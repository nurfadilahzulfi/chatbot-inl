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1\001. DAILY\"/>
    </mc:Choice>
  </mc:AlternateContent>
  <xr:revisionPtr revIDLastSave="0" documentId="13_ncr:1_{391D0F19-03C8-4AA9-8DCA-11C4E85A4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vember" sheetId="40" r:id="rId1"/>
    <sheet name="Sheet1" sheetId="42" state="hidden" r:id="rId2"/>
    <sheet name="Trace Quality" sheetId="41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67" i="40" l="1"/>
  <c r="BV77" i="40"/>
  <c r="AK67" i="40"/>
  <c r="BV69" i="40"/>
  <c r="AC129" i="40" l="1"/>
  <c r="AB129" i="40"/>
  <c r="AA129" i="40"/>
  <c r="Z129" i="40"/>
  <c r="Y129" i="40"/>
  <c r="X129" i="40"/>
  <c r="W129" i="40"/>
  <c r="V129" i="40"/>
  <c r="U129" i="40"/>
  <c r="T129" i="40"/>
  <c r="S129" i="40"/>
  <c r="AK66" i="40"/>
  <c r="BV68" i="40"/>
  <c r="BV126" i="40" l="1"/>
  <c r="BV124" i="40"/>
  <c r="BV123" i="40"/>
  <c r="BV121" i="40"/>
  <c r="BV120" i="40"/>
  <c r="AE122" i="40" l="1"/>
  <c r="BV61" i="40"/>
  <c r="AK27" i="40" l="1"/>
  <c r="AK26" i="40"/>
  <c r="AK25" i="40"/>
  <c r="AK63" i="40"/>
  <c r="AI42" i="40" l="1"/>
  <c r="AI37" i="40"/>
  <c r="AI32" i="40"/>
  <c r="AI77" i="40" l="1"/>
  <c r="AI103" i="40"/>
  <c r="AH77" i="40" l="1"/>
  <c r="AH103" i="40"/>
  <c r="AH62" i="40" l="1"/>
  <c r="AH42" i="40" l="1"/>
  <c r="AH37" i="40"/>
  <c r="AH32" i="40"/>
  <c r="AE56" i="40" l="1"/>
  <c r="AD56" i="40"/>
  <c r="AF34" i="40"/>
  <c r="AF44" i="40" l="1"/>
  <c r="AG42" i="40" l="1"/>
  <c r="AG32" i="40"/>
  <c r="AG37" i="40"/>
  <c r="AG103" i="40"/>
  <c r="AF103" i="40"/>
  <c r="AE103" i="40"/>
  <c r="AD103" i="40"/>
  <c r="AC103" i="40"/>
  <c r="AB103" i="40"/>
  <c r="AA103" i="40"/>
  <c r="Z103" i="40"/>
  <c r="Y103" i="40"/>
  <c r="AE130" i="40"/>
  <c r="AG122" i="40"/>
  <c r="AF122" i="40"/>
  <c r="AD122" i="40"/>
  <c r="AC122" i="40"/>
  <c r="AB122" i="40"/>
  <c r="AA122" i="40"/>
  <c r="Z122" i="40"/>
  <c r="AD77" i="40"/>
  <c r="AG77" i="40"/>
  <c r="AF77" i="40"/>
  <c r="AE77" i="40"/>
  <c r="AE44" i="40"/>
  <c r="AK22" i="40" l="1"/>
  <c r="AF37" i="40"/>
  <c r="AE37" i="40"/>
  <c r="AF32" i="40"/>
  <c r="AE32" i="40"/>
  <c r="AD32" i="40"/>
  <c r="AF42" i="40"/>
  <c r="AE42" i="40"/>
  <c r="AC56" i="40"/>
  <c r="AD44" i="40" l="1"/>
  <c r="AD62" i="40" l="1"/>
  <c r="AD42" i="40"/>
  <c r="AD37" i="40"/>
  <c r="AC32" i="40" l="1"/>
  <c r="AC77" i="40"/>
  <c r="AC42" i="40" l="1"/>
  <c r="AC37" i="40"/>
  <c r="AN60" i="40"/>
  <c r="AN58" i="40"/>
  <c r="AN56" i="40"/>
  <c r="AN45" i="40"/>
  <c r="AN44" i="40"/>
  <c r="AN43" i="40"/>
  <c r="AN39" i="40"/>
  <c r="AN38" i="40"/>
  <c r="AN34" i="40"/>
  <c r="AN33" i="40"/>
  <c r="AN30" i="40"/>
  <c r="AN29" i="40"/>
  <c r="AN23" i="40"/>
  <c r="AO23" i="40" s="1"/>
  <c r="AN22" i="40"/>
  <c r="AB77" i="40"/>
  <c r="AO25" i="40" l="1"/>
  <c r="AB42" i="40"/>
  <c r="AB37" i="40"/>
  <c r="AB32" i="40"/>
  <c r="AA77" i="40"/>
  <c r="Y122" i="40" l="1"/>
  <c r="AA42" i="40" l="1"/>
  <c r="AA37" i="40"/>
  <c r="AA32" i="40"/>
  <c r="X103" i="40"/>
  <c r="Y130" i="40"/>
  <c r="Y120" i="40"/>
  <c r="X122" i="40" l="1"/>
  <c r="W122" i="40"/>
  <c r="V122" i="40"/>
  <c r="U122" i="40"/>
  <c r="T122" i="40"/>
  <c r="Z77" i="40" l="1"/>
  <c r="Y77" i="40"/>
  <c r="Z42" i="40" l="1"/>
  <c r="Y42" i="40"/>
  <c r="X42" i="40"/>
  <c r="Z37" i="40"/>
  <c r="Y37" i="40"/>
  <c r="X37" i="40"/>
  <c r="Z32" i="40"/>
  <c r="Y32" i="40"/>
  <c r="X32" i="40"/>
  <c r="AU56" i="40" l="1"/>
  <c r="AQ25" i="40"/>
  <c r="S130" i="40"/>
  <c r="J103" i="40"/>
  <c r="Q103" i="40"/>
  <c r="W77" i="40"/>
  <c r="V77" i="40"/>
  <c r="U77" i="40"/>
  <c r="T77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G77" i="40"/>
  <c r="F77" i="40"/>
  <c r="W42" i="40" l="1"/>
  <c r="AN42" i="40" s="1"/>
  <c r="W37" i="40"/>
  <c r="AN37" i="40" s="1"/>
  <c r="W32" i="40"/>
  <c r="AN32" i="40" s="1"/>
  <c r="V37" i="40" l="1"/>
  <c r="V42" i="40" l="1"/>
  <c r="V32" i="40" l="1"/>
  <c r="AN63" i="40"/>
  <c r="AN27" i="40"/>
  <c r="AN26" i="40"/>
  <c r="AN25" i="40"/>
  <c r="AN61" i="40"/>
  <c r="AO61" i="40" s="1"/>
  <c r="AN51" i="40" l="1"/>
  <c r="AN52" i="40"/>
  <c r="AN49" i="40"/>
  <c r="AN50" i="40"/>
  <c r="AN47" i="40"/>
  <c r="AN48" i="40"/>
  <c r="U42" i="40"/>
  <c r="U37" i="40"/>
  <c r="U32" i="40"/>
  <c r="AP48" i="40" l="1"/>
  <c r="S122" i="40"/>
  <c r="R122" i="40"/>
  <c r="AK120" i="40"/>
  <c r="T42" i="40" l="1"/>
  <c r="T37" i="40"/>
  <c r="T32" i="40"/>
  <c r="R56" i="40" l="1"/>
  <c r="Q56" i="40"/>
  <c r="P56" i="40"/>
  <c r="S34" i="40"/>
  <c r="S32" i="40" s="1"/>
  <c r="S145" i="40"/>
  <c r="R129" i="40"/>
  <c r="R145" i="40" s="1"/>
  <c r="AI142" i="40"/>
  <c r="AH142" i="40"/>
  <c r="AG142" i="40"/>
  <c r="AF142" i="40"/>
  <c r="AE142" i="40"/>
  <c r="AD142" i="40"/>
  <c r="AC142" i="40"/>
  <c r="AB142" i="40"/>
  <c r="AA142" i="40"/>
  <c r="Z142" i="40"/>
  <c r="Y142" i="40"/>
  <c r="X142" i="40"/>
  <c r="W142" i="40"/>
  <c r="V142" i="40"/>
  <c r="U142" i="40"/>
  <c r="T142" i="40"/>
  <c r="S142" i="40"/>
  <c r="R142" i="40"/>
  <c r="Q142" i="40"/>
  <c r="P142" i="40"/>
  <c r="O142" i="40"/>
  <c r="N142" i="40"/>
  <c r="M142" i="40"/>
  <c r="L142" i="40"/>
  <c r="K142" i="40"/>
  <c r="J142" i="40"/>
  <c r="I142" i="40"/>
  <c r="H142" i="40"/>
  <c r="G142" i="40"/>
  <c r="F142" i="40"/>
  <c r="AI141" i="40"/>
  <c r="AH141" i="40"/>
  <c r="AG141" i="40"/>
  <c r="AF141" i="40"/>
  <c r="AE141" i="40"/>
  <c r="AD141" i="40"/>
  <c r="AC141" i="40"/>
  <c r="AB141" i="40"/>
  <c r="AA141" i="40"/>
  <c r="Z141" i="40"/>
  <c r="Y141" i="40"/>
  <c r="X141" i="40"/>
  <c r="W141" i="40"/>
  <c r="V141" i="40"/>
  <c r="U141" i="40"/>
  <c r="T141" i="40"/>
  <c r="S141" i="40"/>
  <c r="R141" i="40"/>
  <c r="Q141" i="40"/>
  <c r="P141" i="40"/>
  <c r="O141" i="40"/>
  <c r="N141" i="40"/>
  <c r="M141" i="40"/>
  <c r="L141" i="40"/>
  <c r="K141" i="40"/>
  <c r="J141" i="40"/>
  <c r="I141" i="40"/>
  <c r="H141" i="40"/>
  <c r="G141" i="40"/>
  <c r="F141" i="40"/>
  <c r="AK138" i="40"/>
  <c r="AK137" i="40"/>
  <c r="AK135" i="40"/>
  <c r="AK134" i="40"/>
  <c r="AI131" i="40"/>
  <c r="AH131" i="40"/>
  <c r="AG131" i="40"/>
  <c r="AF131" i="40"/>
  <c r="AE131" i="40"/>
  <c r="AD131" i="40"/>
  <c r="AC131" i="40"/>
  <c r="AB131" i="40"/>
  <c r="AA131" i="40"/>
  <c r="Z131" i="40"/>
  <c r="Y131" i="40"/>
  <c r="X131" i="40"/>
  <c r="W131" i="40"/>
  <c r="V131" i="40"/>
  <c r="U131" i="40"/>
  <c r="T131" i="40"/>
  <c r="S131" i="40"/>
  <c r="R131" i="40"/>
  <c r="Q131" i="40"/>
  <c r="P131" i="40"/>
  <c r="O131" i="40"/>
  <c r="N131" i="40"/>
  <c r="M131" i="40"/>
  <c r="L131" i="40"/>
  <c r="K131" i="40"/>
  <c r="J131" i="40"/>
  <c r="I131" i="40"/>
  <c r="H131" i="40"/>
  <c r="G131" i="40"/>
  <c r="F131" i="40"/>
  <c r="AK130" i="40"/>
  <c r="AI129" i="40"/>
  <c r="AI145" i="40" s="1"/>
  <c r="AH129" i="40"/>
  <c r="AH145" i="40" s="1"/>
  <c r="AG129" i="40"/>
  <c r="AG145" i="40" s="1"/>
  <c r="AF129" i="40"/>
  <c r="AF145" i="40" s="1"/>
  <c r="AE129" i="40"/>
  <c r="AE145" i="40" s="1"/>
  <c r="AD129" i="40"/>
  <c r="AD145" i="40" s="1"/>
  <c r="AC145" i="40"/>
  <c r="AB145" i="40"/>
  <c r="AA145" i="40"/>
  <c r="Z145" i="40"/>
  <c r="Y145" i="40"/>
  <c r="X145" i="40"/>
  <c r="W145" i="40"/>
  <c r="V145" i="40"/>
  <c r="U145" i="40"/>
  <c r="T145" i="40"/>
  <c r="Q129" i="40"/>
  <c r="Q145" i="40" s="1"/>
  <c r="P129" i="40"/>
  <c r="P145" i="40" s="1"/>
  <c r="O129" i="40"/>
  <c r="O145" i="40" s="1"/>
  <c r="N129" i="40"/>
  <c r="N145" i="40" s="1"/>
  <c r="M129" i="40"/>
  <c r="M145" i="40" s="1"/>
  <c r="L129" i="40"/>
  <c r="L145" i="40" s="1"/>
  <c r="K129" i="40"/>
  <c r="K145" i="40" s="1"/>
  <c r="J129" i="40"/>
  <c r="J145" i="40" s="1"/>
  <c r="I129" i="40"/>
  <c r="I145" i="40" s="1"/>
  <c r="H129" i="40"/>
  <c r="H145" i="40" s="1"/>
  <c r="G129" i="40"/>
  <c r="G145" i="40" s="1"/>
  <c r="F129" i="40"/>
  <c r="F145" i="40" s="1"/>
  <c r="AI128" i="40"/>
  <c r="AI144" i="40" s="1"/>
  <c r="AH128" i="40"/>
  <c r="AH144" i="40" s="1"/>
  <c r="AG128" i="40"/>
  <c r="AG144" i="40" s="1"/>
  <c r="AF128" i="40"/>
  <c r="AF144" i="40" s="1"/>
  <c r="AE128" i="40"/>
  <c r="AE144" i="40" s="1"/>
  <c r="AD128" i="40"/>
  <c r="AD144" i="40" s="1"/>
  <c r="AC128" i="40"/>
  <c r="AC144" i="40" s="1"/>
  <c r="AB128" i="40"/>
  <c r="AB144" i="40" s="1"/>
  <c r="AA128" i="40"/>
  <c r="AA144" i="40" s="1"/>
  <c r="Z128" i="40"/>
  <c r="Z144" i="40" s="1"/>
  <c r="Y128" i="40"/>
  <c r="Y144" i="40" s="1"/>
  <c r="X128" i="40"/>
  <c r="X144" i="40" s="1"/>
  <c r="W128" i="40"/>
  <c r="W144" i="40" s="1"/>
  <c r="V128" i="40"/>
  <c r="V144" i="40" s="1"/>
  <c r="U128" i="40"/>
  <c r="U144" i="40" s="1"/>
  <c r="T128" i="40"/>
  <c r="T144" i="40" s="1"/>
  <c r="S128" i="40"/>
  <c r="S144" i="40" s="1"/>
  <c r="R128" i="40"/>
  <c r="R144" i="40" s="1"/>
  <c r="Q128" i="40"/>
  <c r="Q144" i="40" s="1"/>
  <c r="P128" i="40"/>
  <c r="P144" i="40" s="1"/>
  <c r="O128" i="40"/>
  <c r="O144" i="40" s="1"/>
  <c r="N128" i="40"/>
  <c r="N144" i="40" s="1"/>
  <c r="M128" i="40"/>
  <c r="M144" i="40" s="1"/>
  <c r="L128" i="40"/>
  <c r="L144" i="40" s="1"/>
  <c r="K128" i="40"/>
  <c r="K144" i="40" s="1"/>
  <c r="J128" i="40"/>
  <c r="J144" i="40" s="1"/>
  <c r="I128" i="40"/>
  <c r="I144" i="40" s="1"/>
  <c r="H128" i="40"/>
  <c r="H144" i="40" s="1"/>
  <c r="G128" i="40"/>
  <c r="G144" i="40" s="1"/>
  <c r="F128" i="40"/>
  <c r="F144" i="40" s="1"/>
  <c r="AK126" i="40"/>
  <c r="AK129" i="40" s="1"/>
  <c r="AK125" i="40"/>
  <c r="AK128" i="40" s="1"/>
  <c r="AI122" i="40"/>
  <c r="AI123" i="40" s="1"/>
  <c r="AH122" i="40"/>
  <c r="AH123" i="40" s="1"/>
  <c r="AG123" i="40"/>
  <c r="AF123" i="40"/>
  <c r="AE123" i="40"/>
  <c r="AD123" i="40"/>
  <c r="AC123" i="40"/>
  <c r="AB123" i="40"/>
  <c r="AA123" i="40"/>
  <c r="Z123" i="40"/>
  <c r="Y123" i="40"/>
  <c r="X123" i="40"/>
  <c r="W123" i="40"/>
  <c r="V123" i="40"/>
  <c r="U123" i="40"/>
  <c r="T123" i="40"/>
  <c r="Q122" i="40"/>
  <c r="Q123" i="40" s="1"/>
  <c r="P122" i="40"/>
  <c r="P123" i="40" s="1"/>
  <c r="O122" i="40"/>
  <c r="O123" i="40" s="1"/>
  <c r="N122" i="40"/>
  <c r="N123" i="40" s="1"/>
  <c r="M122" i="40"/>
  <c r="M123" i="40" s="1"/>
  <c r="L122" i="40"/>
  <c r="L123" i="40" s="1"/>
  <c r="K122" i="40"/>
  <c r="K123" i="40" s="1"/>
  <c r="J122" i="40"/>
  <c r="J123" i="40" s="1"/>
  <c r="I122" i="40"/>
  <c r="I123" i="40" s="1"/>
  <c r="H122" i="40"/>
  <c r="H123" i="40" s="1"/>
  <c r="G122" i="40"/>
  <c r="G123" i="40" s="1"/>
  <c r="F122" i="40"/>
  <c r="F123" i="40" s="1"/>
  <c r="Q95" i="40"/>
  <c r="S44" i="40"/>
  <c r="S42" i="40" s="1"/>
  <c r="R44" i="40"/>
  <c r="R42" i="40" s="1"/>
  <c r="Q34" i="40"/>
  <c r="Q32" i="40" s="1"/>
  <c r="S37" i="40"/>
  <c r="R37" i="40"/>
  <c r="Q37" i="40"/>
  <c r="R32" i="40"/>
  <c r="Q42" i="40"/>
  <c r="P34" i="40"/>
  <c r="AK142" i="40" l="1"/>
  <c r="AK131" i="40"/>
  <c r="AK141" i="40"/>
  <c r="AK123" i="40"/>
  <c r="AK144" i="40"/>
  <c r="AK145" i="40"/>
  <c r="AK122" i="40"/>
  <c r="P37" i="40"/>
  <c r="P32" i="40"/>
  <c r="AK121" i="40" l="1"/>
  <c r="P42" i="40"/>
  <c r="AN53" i="40" l="1"/>
  <c r="AN54" i="40"/>
  <c r="O42" i="40"/>
  <c r="O32" i="40"/>
  <c r="M44" i="40" l="1"/>
  <c r="L56" i="40" l="1"/>
  <c r="M34" i="40"/>
  <c r="N42" i="40" l="1"/>
  <c r="M42" i="40"/>
  <c r="N32" i="40"/>
  <c r="M32" i="40"/>
  <c r="L32" i="40"/>
  <c r="K32" i="40"/>
  <c r="J56" i="40"/>
  <c r="K56" i="40"/>
  <c r="L44" i="40" l="1"/>
  <c r="K44" i="40"/>
  <c r="AK103" i="40"/>
  <c r="J104" i="40"/>
  <c r="L42" i="40" l="1"/>
  <c r="K42" i="40"/>
  <c r="J42" i="40"/>
  <c r="J32" i="40"/>
  <c r="I42" i="40" l="1"/>
  <c r="I54" i="40" s="1"/>
  <c r="I32" i="40"/>
  <c r="E38" i="41"/>
  <c r="D38" i="41"/>
  <c r="E37" i="41"/>
  <c r="D37" i="41"/>
  <c r="E36" i="41"/>
  <c r="D36" i="41"/>
  <c r="E35" i="41"/>
  <c r="E39" i="41" s="1"/>
  <c r="D35" i="41"/>
  <c r="D39" i="41" s="1"/>
  <c r="H31" i="41"/>
  <c r="G31" i="41"/>
  <c r="D30" i="41"/>
  <c r="D29" i="41"/>
  <c r="D28" i="41"/>
  <c r="D27" i="41"/>
  <c r="E20" i="41"/>
  <c r="D20" i="41"/>
  <c r="E19" i="41"/>
  <c r="D19" i="41"/>
  <c r="E18" i="41"/>
  <c r="D18" i="41"/>
  <c r="E17" i="41"/>
  <c r="E21" i="41" s="1"/>
  <c r="D17" i="41"/>
  <c r="D21" i="41" s="1"/>
  <c r="H13" i="41"/>
  <c r="G13" i="41"/>
  <c r="D12" i="41"/>
  <c r="D11" i="41"/>
  <c r="D10" i="41"/>
  <c r="D9" i="41"/>
  <c r="AH197" i="40"/>
  <c r="AI193" i="40"/>
  <c r="AH193" i="40"/>
  <c r="AG193" i="40"/>
  <c r="AF193" i="40"/>
  <c r="AE193" i="40"/>
  <c r="AD193" i="40"/>
  <c r="AC193" i="40"/>
  <c r="AB193" i="40"/>
  <c r="AA193" i="40"/>
  <c r="Z193" i="40"/>
  <c r="Y193" i="40"/>
  <c r="X193" i="40"/>
  <c r="W193" i="40"/>
  <c r="V193" i="40"/>
  <c r="U193" i="40"/>
  <c r="T193" i="40"/>
  <c r="S193" i="40"/>
  <c r="R193" i="40"/>
  <c r="Q193" i="40"/>
  <c r="P193" i="40"/>
  <c r="O193" i="40"/>
  <c r="N193" i="40"/>
  <c r="M193" i="40"/>
  <c r="L193" i="40"/>
  <c r="K193" i="40"/>
  <c r="J193" i="40"/>
  <c r="I193" i="40"/>
  <c r="H193" i="40"/>
  <c r="G193" i="40"/>
  <c r="F193" i="40"/>
  <c r="AK192" i="40"/>
  <c r="AK191" i="40"/>
  <c r="AK190" i="40"/>
  <c r="AK189" i="40"/>
  <c r="AK188" i="40"/>
  <c r="AI186" i="40"/>
  <c r="AH186" i="40"/>
  <c r="AG186" i="40"/>
  <c r="AF186" i="40"/>
  <c r="AE186" i="40"/>
  <c r="AD186" i="40"/>
  <c r="AC186" i="40"/>
  <c r="AB186" i="40"/>
  <c r="AA186" i="40"/>
  <c r="Z186" i="40"/>
  <c r="Y186" i="40"/>
  <c r="X186" i="40"/>
  <c r="W186" i="40"/>
  <c r="V186" i="40"/>
  <c r="U186" i="40"/>
  <c r="T186" i="40"/>
  <c r="S186" i="40"/>
  <c r="R186" i="40"/>
  <c r="Q186" i="40"/>
  <c r="P186" i="40"/>
  <c r="O186" i="40"/>
  <c r="N186" i="40"/>
  <c r="M186" i="40"/>
  <c r="L186" i="40"/>
  <c r="K186" i="40"/>
  <c r="J186" i="40"/>
  <c r="I186" i="40"/>
  <c r="H186" i="40"/>
  <c r="G186" i="40"/>
  <c r="F186" i="40"/>
  <c r="AK185" i="40"/>
  <c r="AK184" i="40"/>
  <c r="AK183" i="40"/>
  <c r="AK182" i="40"/>
  <c r="AK181" i="40"/>
  <c r="AI179" i="40"/>
  <c r="AH179" i="40"/>
  <c r="AG179" i="40"/>
  <c r="AF179" i="40"/>
  <c r="AE179" i="40"/>
  <c r="AD179" i="40"/>
  <c r="AC179" i="40"/>
  <c r="AB179" i="40"/>
  <c r="AA179" i="40"/>
  <c r="Z179" i="40"/>
  <c r="Y179" i="40"/>
  <c r="X179" i="40"/>
  <c r="W179" i="40"/>
  <c r="V179" i="40"/>
  <c r="U179" i="40"/>
  <c r="T179" i="40"/>
  <c r="S179" i="40"/>
  <c r="R179" i="40"/>
  <c r="Q179" i="40"/>
  <c r="P179" i="40"/>
  <c r="O179" i="40"/>
  <c r="N179" i="40"/>
  <c r="M179" i="40"/>
  <c r="L179" i="40"/>
  <c r="K179" i="40"/>
  <c r="J179" i="40"/>
  <c r="I179" i="40"/>
  <c r="H179" i="40"/>
  <c r="G179" i="40"/>
  <c r="F179" i="40"/>
  <c r="AK178" i="40"/>
  <c r="AK175" i="40"/>
  <c r="AI174" i="40"/>
  <c r="AH174" i="40"/>
  <c r="AG174" i="40"/>
  <c r="AF174" i="40"/>
  <c r="AE174" i="40"/>
  <c r="AD174" i="40"/>
  <c r="AC174" i="40"/>
  <c r="AB174" i="40"/>
  <c r="AA174" i="40"/>
  <c r="Z174" i="40"/>
  <c r="Y174" i="40"/>
  <c r="X174" i="40"/>
  <c r="W174" i="40"/>
  <c r="V174" i="40"/>
  <c r="U174" i="40"/>
  <c r="T174" i="40"/>
  <c r="S174" i="40"/>
  <c r="R174" i="40"/>
  <c r="Q174" i="40"/>
  <c r="P174" i="40"/>
  <c r="O174" i="40"/>
  <c r="N174" i="40"/>
  <c r="M174" i="40"/>
  <c r="L174" i="40"/>
  <c r="K174" i="40"/>
  <c r="J174" i="40"/>
  <c r="I174" i="40"/>
  <c r="H174" i="40"/>
  <c r="G174" i="40"/>
  <c r="F174" i="40"/>
  <c r="AK173" i="40"/>
  <c r="D173" i="40"/>
  <c r="D174" i="40" s="1"/>
  <c r="AK172" i="40"/>
  <c r="AK171" i="40"/>
  <c r="AK169" i="40"/>
  <c r="D167" i="40"/>
  <c r="AI166" i="40"/>
  <c r="AI167" i="40" s="1"/>
  <c r="AH166" i="40"/>
  <c r="AH167" i="40" s="1"/>
  <c r="AG166" i="40"/>
  <c r="AG167" i="40" s="1"/>
  <c r="AF166" i="40"/>
  <c r="AF167" i="40" s="1"/>
  <c r="AE166" i="40"/>
  <c r="AE167" i="40" s="1"/>
  <c r="AD166" i="40"/>
  <c r="AD167" i="40" s="1"/>
  <c r="AC166" i="40"/>
  <c r="AC167" i="40" s="1"/>
  <c r="AB166" i="40"/>
  <c r="AB167" i="40" s="1"/>
  <c r="AA166" i="40"/>
  <c r="AA167" i="40" s="1"/>
  <c r="Z166" i="40"/>
  <c r="Z167" i="40" s="1"/>
  <c r="Y166" i="40"/>
  <c r="Y167" i="40" s="1"/>
  <c r="X166" i="40"/>
  <c r="X167" i="40" s="1"/>
  <c r="W166" i="40"/>
  <c r="W167" i="40" s="1"/>
  <c r="V166" i="40"/>
  <c r="V167" i="40" s="1"/>
  <c r="U166" i="40"/>
  <c r="U167" i="40" s="1"/>
  <c r="T166" i="40"/>
  <c r="T167" i="40" s="1"/>
  <c r="S166" i="40"/>
  <c r="S167" i="40" s="1"/>
  <c r="R166" i="40"/>
  <c r="R167" i="40" s="1"/>
  <c r="Q166" i="40"/>
  <c r="Q167" i="40" s="1"/>
  <c r="P166" i="40"/>
  <c r="P167" i="40" s="1"/>
  <c r="O166" i="40"/>
  <c r="O167" i="40" s="1"/>
  <c r="N166" i="40"/>
  <c r="N167" i="40" s="1"/>
  <c r="M166" i="40"/>
  <c r="M167" i="40" s="1"/>
  <c r="L166" i="40"/>
  <c r="L167" i="40" s="1"/>
  <c r="K166" i="40"/>
  <c r="K167" i="40" s="1"/>
  <c r="J166" i="40"/>
  <c r="J167" i="40" s="1"/>
  <c r="I166" i="40"/>
  <c r="I167" i="40" s="1"/>
  <c r="H166" i="40"/>
  <c r="H167" i="40" s="1"/>
  <c r="G166" i="40"/>
  <c r="F166" i="40"/>
  <c r="F167" i="40" s="1"/>
  <c r="AK165" i="40"/>
  <c r="AK164" i="40"/>
  <c r="AK162" i="40"/>
  <c r="D162" i="40"/>
  <c r="AI160" i="40"/>
  <c r="AI159" i="40" s="1"/>
  <c r="AH160" i="40"/>
  <c r="AH159" i="40" s="1"/>
  <c r="AG160" i="40"/>
  <c r="AG159" i="40" s="1"/>
  <c r="AF160" i="40"/>
  <c r="AF159" i="40" s="1"/>
  <c r="AE160" i="40"/>
  <c r="AE159" i="40" s="1"/>
  <c r="AD160" i="40"/>
  <c r="AC160" i="40"/>
  <c r="AC159" i="40" s="1"/>
  <c r="AB160" i="40"/>
  <c r="AB159" i="40" s="1"/>
  <c r="AA160" i="40"/>
  <c r="AA159" i="40" s="1"/>
  <c r="Z160" i="40"/>
  <c r="Z159" i="40" s="1"/>
  <c r="Y160" i="40"/>
  <c r="Y159" i="40" s="1"/>
  <c r="X160" i="40"/>
  <c r="X159" i="40" s="1"/>
  <c r="W160" i="40"/>
  <c r="W159" i="40" s="1"/>
  <c r="V160" i="40"/>
  <c r="U160" i="40"/>
  <c r="T160" i="40"/>
  <c r="T159" i="40" s="1"/>
  <c r="S160" i="40"/>
  <c r="S159" i="40" s="1"/>
  <c r="R160" i="40"/>
  <c r="R159" i="40" s="1"/>
  <c r="Q160" i="40"/>
  <c r="Q159" i="40" s="1"/>
  <c r="P160" i="40"/>
  <c r="P159" i="40" s="1"/>
  <c r="O160" i="40"/>
  <c r="O159" i="40" s="1"/>
  <c r="N160" i="40"/>
  <c r="M160" i="40"/>
  <c r="M159" i="40" s="1"/>
  <c r="L160" i="40"/>
  <c r="L159" i="40" s="1"/>
  <c r="K160" i="40"/>
  <c r="K159" i="40" s="1"/>
  <c r="J160" i="40"/>
  <c r="I160" i="40"/>
  <c r="I159" i="40" s="1"/>
  <c r="H160" i="40"/>
  <c r="H159" i="40" s="1"/>
  <c r="G160" i="40"/>
  <c r="G159" i="40" s="1"/>
  <c r="F160" i="40"/>
  <c r="D160" i="40"/>
  <c r="AD159" i="40"/>
  <c r="V159" i="40"/>
  <c r="U159" i="40"/>
  <c r="N159" i="40"/>
  <c r="J159" i="40"/>
  <c r="F159" i="40"/>
  <c r="AK158" i="40"/>
  <c r="AK156" i="40"/>
  <c r="AK155" i="40"/>
  <c r="AK153" i="40"/>
  <c r="AK152" i="40"/>
  <c r="AI151" i="40"/>
  <c r="AH151" i="40"/>
  <c r="AG151" i="40"/>
  <c r="AF151" i="40"/>
  <c r="AE151" i="40"/>
  <c r="AD151" i="40"/>
  <c r="AC151" i="40"/>
  <c r="AB151" i="40"/>
  <c r="AA151" i="40"/>
  <c r="Z151" i="40"/>
  <c r="Y151" i="40"/>
  <c r="X151" i="40"/>
  <c r="W151" i="40"/>
  <c r="V151" i="40"/>
  <c r="U151" i="40"/>
  <c r="T151" i="40"/>
  <c r="S151" i="40"/>
  <c r="R151" i="40"/>
  <c r="Q151" i="40"/>
  <c r="P151" i="40"/>
  <c r="O151" i="40"/>
  <c r="N151" i="40"/>
  <c r="M151" i="40"/>
  <c r="L151" i="40"/>
  <c r="K151" i="40"/>
  <c r="J151" i="40"/>
  <c r="I151" i="40"/>
  <c r="H151" i="40"/>
  <c r="G151" i="40"/>
  <c r="F151" i="40"/>
  <c r="AK149" i="40"/>
  <c r="AI147" i="40"/>
  <c r="AH147" i="40"/>
  <c r="AG147" i="40"/>
  <c r="AF147" i="40"/>
  <c r="AE147" i="40"/>
  <c r="AD147" i="40"/>
  <c r="AC147" i="40"/>
  <c r="AB147" i="40"/>
  <c r="AA147" i="40"/>
  <c r="Y147" i="40"/>
  <c r="X147" i="40"/>
  <c r="W147" i="40"/>
  <c r="V147" i="40"/>
  <c r="U147" i="40"/>
  <c r="T147" i="40"/>
  <c r="S147" i="40"/>
  <c r="R147" i="40"/>
  <c r="Q147" i="40"/>
  <c r="P147" i="40"/>
  <c r="O147" i="40"/>
  <c r="N147" i="40"/>
  <c r="M147" i="40"/>
  <c r="L147" i="40"/>
  <c r="K147" i="40"/>
  <c r="J147" i="40"/>
  <c r="I147" i="40"/>
  <c r="H147" i="40"/>
  <c r="G147" i="40"/>
  <c r="F147" i="40"/>
  <c r="AI115" i="40"/>
  <c r="AH115" i="40"/>
  <c r="AG115" i="40"/>
  <c r="AF115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S115" i="40"/>
  <c r="R115" i="40"/>
  <c r="Q115" i="40"/>
  <c r="P115" i="40"/>
  <c r="O115" i="40"/>
  <c r="N115" i="40"/>
  <c r="M115" i="40"/>
  <c r="L115" i="40"/>
  <c r="K115" i="40"/>
  <c r="J115" i="40"/>
  <c r="I115" i="40"/>
  <c r="H115" i="40"/>
  <c r="G115" i="40"/>
  <c r="F115" i="40"/>
  <c r="AI114" i="40"/>
  <c r="AH114" i="40"/>
  <c r="AG114" i="40"/>
  <c r="AF114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S114" i="40"/>
  <c r="R114" i="40"/>
  <c r="Q114" i="40"/>
  <c r="P114" i="40"/>
  <c r="O114" i="40"/>
  <c r="N114" i="40"/>
  <c r="M114" i="40"/>
  <c r="L114" i="40"/>
  <c r="K114" i="40"/>
  <c r="J114" i="40"/>
  <c r="I114" i="40"/>
  <c r="H114" i="40"/>
  <c r="G114" i="40"/>
  <c r="F114" i="40"/>
  <c r="AK111" i="40"/>
  <c r="AK110" i="40"/>
  <c r="AK108" i="40"/>
  <c r="AK107" i="40"/>
  <c r="AI104" i="40"/>
  <c r="AH104" i="40"/>
  <c r="AG104" i="40"/>
  <c r="AF104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S104" i="40"/>
  <c r="R104" i="40"/>
  <c r="Q104" i="40"/>
  <c r="P104" i="40"/>
  <c r="O104" i="40"/>
  <c r="N104" i="40"/>
  <c r="M104" i="40"/>
  <c r="L104" i="40"/>
  <c r="K104" i="40"/>
  <c r="I104" i="40"/>
  <c r="H104" i="40"/>
  <c r="G104" i="40"/>
  <c r="F104" i="40"/>
  <c r="AI102" i="40"/>
  <c r="AI118" i="40" s="1"/>
  <c r="AH102" i="40"/>
  <c r="AH118" i="40" s="1"/>
  <c r="AG102" i="40"/>
  <c r="AG118" i="40" s="1"/>
  <c r="AF102" i="40"/>
  <c r="AF118" i="40" s="1"/>
  <c r="AE102" i="40"/>
  <c r="AE118" i="40" s="1"/>
  <c r="AD102" i="40"/>
  <c r="AD118" i="40" s="1"/>
  <c r="AC102" i="40"/>
  <c r="AC118" i="40" s="1"/>
  <c r="AB102" i="40"/>
  <c r="AB118" i="40" s="1"/>
  <c r="AA102" i="40"/>
  <c r="AA118" i="40" s="1"/>
  <c r="Z102" i="40"/>
  <c r="Z118" i="40" s="1"/>
  <c r="Y102" i="40"/>
  <c r="Y118" i="40" s="1"/>
  <c r="X102" i="40"/>
  <c r="X118" i="40" s="1"/>
  <c r="W102" i="40"/>
  <c r="W118" i="40" s="1"/>
  <c r="V102" i="40"/>
  <c r="V118" i="40" s="1"/>
  <c r="U102" i="40"/>
  <c r="U118" i="40" s="1"/>
  <c r="T102" i="40"/>
  <c r="T118" i="40" s="1"/>
  <c r="S102" i="40"/>
  <c r="S118" i="40" s="1"/>
  <c r="R102" i="40"/>
  <c r="R118" i="40" s="1"/>
  <c r="Q102" i="40"/>
  <c r="Q118" i="40" s="1"/>
  <c r="P102" i="40"/>
  <c r="P118" i="40" s="1"/>
  <c r="O102" i="40"/>
  <c r="O118" i="40" s="1"/>
  <c r="N102" i="40"/>
  <c r="N118" i="40" s="1"/>
  <c r="M102" i="40"/>
  <c r="M118" i="40" s="1"/>
  <c r="L102" i="40"/>
  <c r="L118" i="40" s="1"/>
  <c r="K102" i="40"/>
  <c r="K118" i="40" s="1"/>
  <c r="J102" i="40"/>
  <c r="J118" i="40" s="1"/>
  <c r="I102" i="40"/>
  <c r="I118" i="40" s="1"/>
  <c r="H102" i="40"/>
  <c r="H118" i="40" s="1"/>
  <c r="G102" i="40"/>
  <c r="G118" i="40" s="1"/>
  <c r="F102" i="40"/>
  <c r="F118" i="40" s="1"/>
  <c r="AI101" i="40"/>
  <c r="AI117" i="40" s="1"/>
  <c r="AH101" i="40"/>
  <c r="AH117" i="40" s="1"/>
  <c r="AG101" i="40"/>
  <c r="AG117" i="40" s="1"/>
  <c r="AF101" i="40"/>
  <c r="AF117" i="40" s="1"/>
  <c r="AE101" i="40"/>
  <c r="AE117" i="40" s="1"/>
  <c r="AD101" i="40"/>
  <c r="AD117" i="40" s="1"/>
  <c r="AC101" i="40"/>
  <c r="AC117" i="40" s="1"/>
  <c r="AB101" i="40"/>
  <c r="AB117" i="40" s="1"/>
  <c r="AA101" i="40"/>
  <c r="AA117" i="40" s="1"/>
  <c r="Z101" i="40"/>
  <c r="Z117" i="40" s="1"/>
  <c r="Y101" i="40"/>
  <c r="Y117" i="40" s="1"/>
  <c r="X101" i="40"/>
  <c r="X117" i="40" s="1"/>
  <c r="W101" i="40"/>
  <c r="W117" i="40" s="1"/>
  <c r="V101" i="40"/>
  <c r="V117" i="40" s="1"/>
  <c r="U101" i="40"/>
  <c r="U117" i="40" s="1"/>
  <c r="T101" i="40"/>
  <c r="T117" i="40" s="1"/>
  <c r="S101" i="40"/>
  <c r="S117" i="40" s="1"/>
  <c r="R101" i="40"/>
  <c r="R117" i="40" s="1"/>
  <c r="Q101" i="40"/>
  <c r="Q117" i="40" s="1"/>
  <c r="P101" i="40"/>
  <c r="P117" i="40" s="1"/>
  <c r="O101" i="40"/>
  <c r="O117" i="40" s="1"/>
  <c r="N101" i="40"/>
  <c r="N117" i="40" s="1"/>
  <c r="M101" i="40"/>
  <c r="M117" i="40" s="1"/>
  <c r="L101" i="40"/>
  <c r="L117" i="40" s="1"/>
  <c r="K101" i="40"/>
  <c r="K117" i="40" s="1"/>
  <c r="J101" i="40"/>
  <c r="J117" i="40" s="1"/>
  <c r="I101" i="40"/>
  <c r="I117" i="40" s="1"/>
  <c r="H101" i="40"/>
  <c r="H117" i="40" s="1"/>
  <c r="G101" i="40"/>
  <c r="G117" i="40" s="1"/>
  <c r="F101" i="40"/>
  <c r="F117" i="40" s="1"/>
  <c r="AK99" i="40"/>
  <c r="AK102" i="40" s="1"/>
  <c r="AK98" i="40"/>
  <c r="AK101" i="40" s="1"/>
  <c r="AI95" i="40"/>
  <c r="AI96" i="40" s="1"/>
  <c r="AH95" i="40"/>
  <c r="AH96" i="40" s="1"/>
  <c r="AG95" i="40"/>
  <c r="AG96" i="40" s="1"/>
  <c r="AF95" i="40"/>
  <c r="AF96" i="40" s="1"/>
  <c r="AE95" i="40"/>
  <c r="AE96" i="40" s="1"/>
  <c r="AD95" i="40"/>
  <c r="AD96" i="40" s="1"/>
  <c r="AC95" i="40"/>
  <c r="AC96" i="40" s="1"/>
  <c r="AB95" i="40"/>
  <c r="AB96" i="40" s="1"/>
  <c r="AA95" i="40"/>
  <c r="AA96" i="40" s="1"/>
  <c r="Z95" i="40"/>
  <c r="Z96" i="40" s="1"/>
  <c r="Y95" i="40"/>
  <c r="Y96" i="40" s="1"/>
  <c r="X95" i="40"/>
  <c r="X96" i="40" s="1"/>
  <c r="W95" i="40"/>
  <c r="W96" i="40" s="1"/>
  <c r="V95" i="40"/>
  <c r="V96" i="40" s="1"/>
  <c r="U95" i="40"/>
  <c r="U96" i="40" s="1"/>
  <c r="T95" i="40"/>
  <c r="T96" i="40" s="1"/>
  <c r="S95" i="40"/>
  <c r="S96" i="40" s="1"/>
  <c r="R95" i="40"/>
  <c r="R96" i="40" s="1"/>
  <c r="Q96" i="40"/>
  <c r="P95" i="40"/>
  <c r="P96" i="40" s="1"/>
  <c r="O95" i="40"/>
  <c r="O96" i="40" s="1"/>
  <c r="N95" i="40"/>
  <c r="N96" i="40" s="1"/>
  <c r="M95" i="40"/>
  <c r="M96" i="40" s="1"/>
  <c r="L95" i="40"/>
  <c r="L96" i="40" s="1"/>
  <c r="K95" i="40"/>
  <c r="K96" i="40" s="1"/>
  <c r="J95" i="40"/>
  <c r="J96" i="40" s="1"/>
  <c r="I95" i="40"/>
  <c r="I96" i="40" s="1"/>
  <c r="H95" i="40"/>
  <c r="H96" i="40" s="1"/>
  <c r="G95" i="40"/>
  <c r="G96" i="40" s="1"/>
  <c r="F95" i="40"/>
  <c r="F96" i="40" s="1"/>
  <c r="AI89" i="40"/>
  <c r="AH89" i="40"/>
  <c r="AG89" i="40"/>
  <c r="AF89" i="40"/>
  <c r="AE89" i="40"/>
  <c r="AD89" i="40"/>
  <c r="AC89" i="40"/>
  <c r="AB89" i="40"/>
  <c r="AA89" i="40"/>
  <c r="Z89" i="40"/>
  <c r="Y89" i="40"/>
  <c r="X89" i="40"/>
  <c r="W89" i="40"/>
  <c r="V89" i="40"/>
  <c r="U89" i="40"/>
  <c r="T89" i="40"/>
  <c r="S89" i="40"/>
  <c r="R89" i="40"/>
  <c r="Q89" i="40"/>
  <c r="P89" i="40"/>
  <c r="O89" i="40"/>
  <c r="N89" i="40"/>
  <c r="M89" i="40"/>
  <c r="L89" i="40"/>
  <c r="K89" i="40"/>
  <c r="J89" i="40"/>
  <c r="I89" i="40"/>
  <c r="H89" i="40"/>
  <c r="G89" i="40"/>
  <c r="F89" i="40"/>
  <c r="AI88" i="40"/>
  <c r="AH88" i="40"/>
  <c r="AG88" i="40"/>
  <c r="AF88" i="40"/>
  <c r="AE88" i="40"/>
  <c r="AD88" i="40"/>
  <c r="AC88" i="40"/>
  <c r="AB88" i="40"/>
  <c r="AA88" i="40"/>
  <c r="Z88" i="40"/>
  <c r="Y88" i="40"/>
  <c r="X88" i="40"/>
  <c r="W88" i="40"/>
  <c r="V88" i="40"/>
  <c r="U88" i="40"/>
  <c r="T88" i="40"/>
  <c r="S88" i="40"/>
  <c r="R88" i="40"/>
  <c r="Q88" i="40"/>
  <c r="P88" i="40"/>
  <c r="O88" i="40"/>
  <c r="N88" i="40"/>
  <c r="M88" i="40"/>
  <c r="L88" i="40"/>
  <c r="K88" i="40"/>
  <c r="J88" i="40"/>
  <c r="I88" i="40"/>
  <c r="H88" i="40"/>
  <c r="G88" i="40"/>
  <c r="F88" i="40"/>
  <c r="AK85" i="40"/>
  <c r="AK84" i="40"/>
  <c r="AK82" i="40"/>
  <c r="AK81" i="40"/>
  <c r="AI78" i="40"/>
  <c r="AH78" i="40"/>
  <c r="AG78" i="40"/>
  <c r="AF78" i="40"/>
  <c r="AE78" i="40"/>
  <c r="AD78" i="40"/>
  <c r="AC78" i="40"/>
  <c r="AB78" i="40"/>
  <c r="AA78" i="40"/>
  <c r="Z78" i="40"/>
  <c r="Y78" i="40"/>
  <c r="X78" i="40"/>
  <c r="W78" i="40"/>
  <c r="V78" i="40"/>
  <c r="U78" i="40"/>
  <c r="T78" i="40"/>
  <c r="S78" i="40"/>
  <c r="R78" i="40"/>
  <c r="Q78" i="40"/>
  <c r="P78" i="40"/>
  <c r="O78" i="40"/>
  <c r="N78" i="40"/>
  <c r="M78" i="40"/>
  <c r="L78" i="40"/>
  <c r="K78" i="40"/>
  <c r="J78" i="40"/>
  <c r="I78" i="40"/>
  <c r="H78" i="40"/>
  <c r="G78" i="40"/>
  <c r="F78" i="40"/>
  <c r="AK77" i="40"/>
  <c r="AI76" i="40"/>
  <c r="AI92" i="40" s="1"/>
  <c r="AH76" i="40"/>
  <c r="AH92" i="40" s="1"/>
  <c r="AG76" i="40"/>
  <c r="AG92" i="40" s="1"/>
  <c r="AF76" i="40"/>
  <c r="AF92" i="40" s="1"/>
  <c r="AE76" i="40"/>
  <c r="AE92" i="40" s="1"/>
  <c r="AD76" i="40"/>
  <c r="AD92" i="40" s="1"/>
  <c r="AC76" i="40"/>
  <c r="AC92" i="40" s="1"/>
  <c r="AB76" i="40"/>
  <c r="AB92" i="40" s="1"/>
  <c r="AA76" i="40"/>
  <c r="AA92" i="40" s="1"/>
  <c r="Z76" i="40"/>
  <c r="Z92" i="40" s="1"/>
  <c r="Y76" i="40"/>
  <c r="Y92" i="40" s="1"/>
  <c r="X76" i="40"/>
  <c r="X92" i="40" s="1"/>
  <c r="W76" i="40"/>
  <c r="W92" i="40" s="1"/>
  <c r="V76" i="40"/>
  <c r="V92" i="40" s="1"/>
  <c r="U76" i="40"/>
  <c r="U92" i="40" s="1"/>
  <c r="T76" i="40"/>
  <c r="T92" i="40" s="1"/>
  <c r="S76" i="40"/>
  <c r="S92" i="40" s="1"/>
  <c r="R76" i="40"/>
  <c r="R92" i="40" s="1"/>
  <c r="Q76" i="40"/>
  <c r="Q92" i="40" s="1"/>
  <c r="P76" i="40"/>
  <c r="P92" i="40" s="1"/>
  <c r="O76" i="40"/>
  <c r="O92" i="40" s="1"/>
  <c r="N76" i="40"/>
  <c r="N92" i="40" s="1"/>
  <c r="M76" i="40"/>
  <c r="M92" i="40" s="1"/>
  <c r="L76" i="40"/>
  <c r="L92" i="40" s="1"/>
  <c r="K76" i="40"/>
  <c r="K92" i="40" s="1"/>
  <c r="J76" i="40"/>
  <c r="J92" i="40" s="1"/>
  <c r="I76" i="40"/>
  <c r="I92" i="40" s="1"/>
  <c r="H76" i="40"/>
  <c r="H92" i="40" s="1"/>
  <c r="G76" i="40"/>
  <c r="G92" i="40" s="1"/>
  <c r="F76" i="40"/>
  <c r="F92" i="40" s="1"/>
  <c r="AI75" i="40"/>
  <c r="AI91" i="40" s="1"/>
  <c r="AH75" i="40"/>
  <c r="AH91" i="40" s="1"/>
  <c r="AG75" i="40"/>
  <c r="AG91" i="40" s="1"/>
  <c r="AF75" i="40"/>
  <c r="AF91" i="40" s="1"/>
  <c r="AE75" i="40"/>
  <c r="AE91" i="40" s="1"/>
  <c r="AD75" i="40"/>
  <c r="AD91" i="40" s="1"/>
  <c r="AC75" i="40"/>
  <c r="AC91" i="40" s="1"/>
  <c r="AB75" i="40"/>
  <c r="AB91" i="40" s="1"/>
  <c r="AA75" i="40"/>
  <c r="AA91" i="40" s="1"/>
  <c r="Z75" i="40"/>
  <c r="Z91" i="40" s="1"/>
  <c r="Y75" i="40"/>
  <c r="Y91" i="40" s="1"/>
  <c r="X75" i="40"/>
  <c r="X91" i="40" s="1"/>
  <c r="W75" i="40"/>
  <c r="W91" i="40" s="1"/>
  <c r="V75" i="40"/>
  <c r="V91" i="40" s="1"/>
  <c r="U75" i="40"/>
  <c r="U91" i="40" s="1"/>
  <c r="T75" i="40"/>
  <c r="T91" i="40" s="1"/>
  <c r="S75" i="40"/>
  <c r="S91" i="40" s="1"/>
  <c r="R75" i="40"/>
  <c r="R91" i="40" s="1"/>
  <c r="Q75" i="40"/>
  <c r="Q91" i="40" s="1"/>
  <c r="P75" i="40"/>
  <c r="P91" i="40" s="1"/>
  <c r="O75" i="40"/>
  <c r="O91" i="40" s="1"/>
  <c r="N75" i="40"/>
  <c r="N91" i="40" s="1"/>
  <c r="M75" i="40"/>
  <c r="M91" i="40" s="1"/>
  <c r="L75" i="40"/>
  <c r="L91" i="40" s="1"/>
  <c r="K75" i="40"/>
  <c r="K91" i="40" s="1"/>
  <c r="J75" i="40"/>
  <c r="J91" i="40" s="1"/>
  <c r="I75" i="40"/>
  <c r="I91" i="40" s="1"/>
  <c r="H75" i="40"/>
  <c r="H91" i="40" s="1"/>
  <c r="G75" i="40"/>
  <c r="G91" i="40" s="1"/>
  <c r="F75" i="40"/>
  <c r="F91" i="40" s="1"/>
  <c r="AK73" i="40"/>
  <c r="AK76" i="40" s="1"/>
  <c r="AK72" i="40"/>
  <c r="AK75" i="40" s="1"/>
  <c r="AK70" i="40"/>
  <c r="AI68" i="40"/>
  <c r="AI69" i="40" s="1"/>
  <c r="AH68" i="40"/>
  <c r="AH69" i="40" s="1"/>
  <c r="AG68" i="40"/>
  <c r="AG69" i="40" s="1"/>
  <c r="AF68" i="40"/>
  <c r="AF69" i="40" s="1"/>
  <c r="AE68" i="40"/>
  <c r="AE69" i="40" s="1"/>
  <c r="AD68" i="40"/>
  <c r="AD69" i="40" s="1"/>
  <c r="AC68" i="40"/>
  <c r="AC69" i="40" s="1"/>
  <c r="AB68" i="40"/>
  <c r="AB69" i="40" s="1"/>
  <c r="AA68" i="40"/>
  <c r="AA69" i="40" s="1"/>
  <c r="Z68" i="40"/>
  <c r="Z69" i="40" s="1"/>
  <c r="Y68" i="40"/>
  <c r="Y69" i="40" s="1"/>
  <c r="X68" i="40"/>
  <c r="X69" i="40" s="1"/>
  <c r="W68" i="40"/>
  <c r="W69" i="40" s="1"/>
  <c r="V68" i="40"/>
  <c r="V69" i="40" s="1"/>
  <c r="U68" i="40"/>
  <c r="U69" i="40" s="1"/>
  <c r="T68" i="40"/>
  <c r="T69" i="40" s="1"/>
  <c r="S68" i="40"/>
  <c r="S69" i="40" s="1"/>
  <c r="R68" i="40"/>
  <c r="R69" i="40" s="1"/>
  <c r="Q68" i="40"/>
  <c r="Q69" i="40" s="1"/>
  <c r="P68" i="40"/>
  <c r="P69" i="40" s="1"/>
  <c r="O68" i="40"/>
  <c r="O69" i="40" s="1"/>
  <c r="N68" i="40"/>
  <c r="N69" i="40" s="1"/>
  <c r="M68" i="40"/>
  <c r="M69" i="40" s="1"/>
  <c r="L68" i="40"/>
  <c r="L69" i="40" s="1"/>
  <c r="K68" i="40"/>
  <c r="K69" i="40" s="1"/>
  <c r="J68" i="40"/>
  <c r="J69" i="40" s="1"/>
  <c r="I68" i="40"/>
  <c r="I69" i="40" s="1"/>
  <c r="H68" i="40"/>
  <c r="H69" i="40" s="1"/>
  <c r="G68" i="40"/>
  <c r="G69" i="40" s="1"/>
  <c r="F68" i="40"/>
  <c r="F69" i="40" s="1"/>
  <c r="AI64" i="40"/>
  <c r="AH64" i="40"/>
  <c r="AG64" i="40"/>
  <c r="AF64" i="40"/>
  <c r="AE64" i="40"/>
  <c r="AD64" i="40"/>
  <c r="AC64" i="40"/>
  <c r="AB64" i="40"/>
  <c r="AA64" i="40"/>
  <c r="Z64" i="40"/>
  <c r="Y64" i="40"/>
  <c r="X64" i="40"/>
  <c r="W64" i="40"/>
  <c r="V64" i="40"/>
  <c r="U64" i="40"/>
  <c r="T64" i="40"/>
  <c r="S64" i="40"/>
  <c r="R64" i="40"/>
  <c r="Q64" i="40"/>
  <c r="P64" i="40"/>
  <c r="O64" i="40"/>
  <c r="N64" i="40"/>
  <c r="M64" i="40"/>
  <c r="L64" i="40"/>
  <c r="K64" i="40"/>
  <c r="J64" i="40"/>
  <c r="I64" i="40"/>
  <c r="H64" i="40"/>
  <c r="G64" i="40"/>
  <c r="F64" i="40"/>
  <c r="AI62" i="40"/>
  <c r="AG62" i="40"/>
  <c r="AF62" i="40"/>
  <c r="AE62" i="40"/>
  <c r="AC62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P62" i="40"/>
  <c r="O62" i="40"/>
  <c r="N62" i="40"/>
  <c r="M62" i="40"/>
  <c r="L62" i="40"/>
  <c r="K62" i="40"/>
  <c r="J62" i="40"/>
  <c r="I62" i="40"/>
  <c r="H62" i="40"/>
  <c r="G62" i="40"/>
  <c r="F62" i="40"/>
  <c r="AI61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AK60" i="40"/>
  <c r="AI59" i="40"/>
  <c r="AH59" i="40"/>
  <c r="AG59" i="40"/>
  <c r="AF59" i="40"/>
  <c r="AB59" i="40"/>
  <c r="AA59" i="40"/>
  <c r="Z59" i="40"/>
  <c r="Y59" i="40"/>
  <c r="X59" i="40"/>
  <c r="W59" i="40"/>
  <c r="V59" i="40"/>
  <c r="U59" i="40"/>
  <c r="T59" i="40"/>
  <c r="S59" i="40"/>
  <c r="O59" i="40"/>
  <c r="N59" i="40"/>
  <c r="M59" i="40"/>
  <c r="I59" i="40"/>
  <c r="H59" i="40"/>
  <c r="G59" i="40"/>
  <c r="F59" i="40"/>
  <c r="AK58" i="40"/>
  <c r="AI57" i="40"/>
  <c r="AH57" i="40"/>
  <c r="AG57" i="40"/>
  <c r="AF57" i="40"/>
  <c r="AB57" i="40"/>
  <c r="AA57" i="40"/>
  <c r="Z57" i="40"/>
  <c r="Y57" i="40"/>
  <c r="X57" i="40"/>
  <c r="W57" i="40"/>
  <c r="V57" i="40"/>
  <c r="U57" i="40"/>
  <c r="T57" i="40"/>
  <c r="S57" i="40"/>
  <c r="O57" i="40"/>
  <c r="N57" i="40"/>
  <c r="M57" i="40"/>
  <c r="I57" i="40"/>
  <c r="H57" i="40"/>
  <c r="G57" i="40"/>
  <c r="F57" i="40"/>
  <c r="AK56" i="40"/>
  <c r="AI54" i="40"/>
  <c r="AH54" i="40"/>
  <c r="AG54" i="40"/>
  <c r="AF54" i="40"/>
  <c r="AE54" i="40"/>
  <c r="AD54" i="40"/>
  <c r="AC54" i="40"/>
  <c r="AB54" i="40"/>
  <c r="AA54" i="40"/>
  <c r="Z54" i="40"/>
  <c r="Y54" i="40"/>
  <c r="X54" i="40"/>
  <c r="W54" i="40"/>
  <c r="V54" i="40"/>
  <c r="U54" i="40"/>
  <c r="T54" i="40"/>
  <c r="S54" i="40"/>
  <c r="R54" i="40"/>
  <c r="Q54" i="40"/>
  <c r="P54" i="40"/>
  <c r="O54" i="40"/>
  <c r="N54" i="40"/>
  <c r="M54" i="40"/>
  <c r="L54" i="40"/>
  <c r="K54" i="40"/>
  <c r="J54" i="40"/>
  <c r="AI53" i="40"/>
  <c r="AH53" i="40"/>
  <c r="AG53" i="40"/>
  <c r="AF53" i="40"/>
  <c r="AE53" i="40"/>
  <c r="AD53" i="40"/>
  <c r="AC53" i="40"/>
  <c r="AB53" i="40"/>
  <c r="AA53" i="40"/>
  <c r="Z53" i="40"/>
  <c r="Y53" i="40"/>
  <c r="X53" i="40"/>
  <c r="W53" i="40"/>
  <c r="V53" i="40"/>
  <c r="U53" i="40"/>
  <c r="T53" i="40"/>
  <c r="S53" i="40"/>
  <c r="R53" i="40"/>
  <c r="Q53" i="40"/>
  <c r="P53" i="40"/>
  <c r="O53" i="40"/>
  <c r="N53" i="40"/>
  <c r="M53" i="40"/>
  <c r="L53" i="40"/>
  <c r="K53" i="40"/>
  <c r="J53" i="40"/>
  <c r="AI52" i="40"/>
  <c r="AH52" i="40"/>
  <c r="AG52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AI51" i="40"/>
  <c r="AH51" i="40"/>
  <c r="AG51" i="40"/>
  <c r="AF51" i="40"/>
  <c r="AC51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AI50" i="40"/>
  <c r="AH50" i="40"/>
  <c r="AG50" i="40"/>
  <c r="AF50" i="40"/>
  <c r="AE50" i="40"/>
  <c r="AD50" i="40"/>
  <c r="AC50" i="40"/>
  <c r="AB50" i="40"/>
  <c r="AA50" i="40"/>
  <c r="Z50" i="40"/>
  <c r="Y50" i="40"/>
  <c r="X50" i="40"/>
  <c r="W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AI49" i="40"/>
  <c r="AH49" i="40"/>
  <c r="AG49" i="40"/>
  <c r="AF49" i="40"/>
  <c r="AE49" i="40"/>
  <c r="AD49" i="40"/>
  <c r="AC49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AI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AI47" i="40"/>
  <c r="AH47" i="40"/>
  <c r="AG47" i="40"/>
  <c r="AF47" i="40"/>
  <c r="AE47" i="40"/>
  <c r="AE41" i="40" s="1"/>
  <c r="AE51" i="40" s="1"/>
  <c r="AD47" i="40"/>
  <c r="AD41" i="40" s="1"/>
  <c r="AD51" i="40" s="1"/>
  <c r="AC47" i="40"/>
  <c r="AC41" i="40" s="1"/>
  <c r="AB47" i="40"/>
  <c r="AA47" i="40"/>
  <c r="Z47" i="40"/>
  <c r="Y47" i="40"/>
  <c r="X47" i="40"/>
  <c r="W47" i="40"/>
  <c r="V47" i="40"/>
  <c r="U47" i="40"/>
  <c r="T47" i="40"/>
  <c r="S47" i="40"/>
  <c r="R47" i="40"/>
  <c r="R41" i="40" s="1"/>
  <c r="Q47" i="40"/>
  <c r="Q41" i="40" s="1"/>
  <c r="P47" i="40"/>
  <c r="P36" i="40" s="1"/>
  <c r="AN36" i="40" s="1"/>
  <c r="O47" i="40"/>
  <c r="N47" i="40"/>
  <c r="M47" i="40"/>
  <c r="L47" i="40"/>
  <c r="L41" i="40" s="1"/>
  <c r="L59" i="40" s="1"/>
  <c r="K47" i="40"/>
  <c r="K41" i="40" s="1"/>
  <c r="J47" i="40"/>
  <c r="J41" i="40" s="1"/>
  <c r="I47" i="40"/>
  <c r="H47" i="40"/>
  <c r="G47" i="40"/>
  <c r="F47" i="40"/>
  <c r="AK45" i="40"/>
  <c r="AK44" i="40"/>
  <c r="AK43" i="40"/>
  <c r="H42" i="40"/>
  <c r="H54" i="40" s="1"/>
  <c r="G42" i="40"/>
  <c r="G53" i="40" s="1"/>
  <c r="F42" i="40"/>
  <c r="F53" i="40" s="1"/>
  <c r="AK39" i="40"/>
  <c r="AK38" i="40"/>
  <c r="AK37" i="40"/>
  <c r="AK36" i="40"/>
  <c r="AK34" i="40"/>
  <c r="AK33" i="40"/>
  <c r="H32" i="40"/>
  <c r="H50" i="40" s="1"/>
  <c r="G32" i="40"/>
  <c r="G49" i="40" s="1"/>
  <c r="F32" i="40"/>
  <c r="F49" i="40" s="1"/>
  <c r="AK30" i="40"/>
  <c r="D30" i="40"/>
  <c r="AK29" i="40"/>
  <c r="D29" i="40"/>
  <c r="AK24" i="40"/>
  <c r="AK23" i="40"/>
  <c r="AI19" i="40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AK17" i="40"/>
  <c r="AK16" i="40"/>
  <c r="AI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AK13" i="40"/>
  <c r="AK12" i="40"/>
  <c r="AI10" i="40"/>
  <c r="AH10" i="40"/>
  <c r="AG10" i="40"/>
  <c r="AF10" i="40"/>
  <c r="AE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AK9" i="40"/>
  <c r="AK8" i="40"/>
  <c r="AD57" i="40" l="1"/>
  <c r="AD59" i="40"/>
  <c r="AE57" i="40"/>
  <c r="AE59" i="40"/>
  <c r="AC57" i="40"/>
  <c r="AC59" i="40"/>
  <c r="AN41" i="40"/>
  <c r="AN57" i="40" s="1"/>
  <c r="AO57" i="40" s="1"/>
  <c r="R57" i="40"/>
  <c r="R59" i="40"/>
  <c r="AP23" i="40"/>
  <c r="AQ23" i="40" s="1"/>
  <c r="AQ26" i="40" s="1"/>
  <c r="AM23" i="40"/>
  <c r="P59" i="40"/>
  <c r="P57" i="40"/>
  <c r="Q59" i="40"/>
  <c r="Q57" i="40"/>
  <c r="J59" i="40"/>
  <c r="J57" i="40"/>
  <c r="AK41" i="40"/>
  <c r="AK57" i="40" s="1"/>
  <c r="BV57" i="40" s="1"/>
  <c r="K59" i="40"/>
  <c r="K57" i="40"/>
  <c r="L57" i="40"/>
  <c r="AK52" i="40"/>
  <c r="AM156" i="40"/>
  <c r="AK64" i="40"/>
  <c r="AK32" i="40"/>
  <c r="AK51" i="40"/>
  <c r="AK104" i="40"/>
  <c r="H49" i="40"/>
  <c r="AK115" i="40"/>
  <c r="AK117" i="40"/>
  <c r="AK118" i="40"/>
  <c r="AK114" i="40"/>
  <c r="I53" i="40"/>
  <c r="H53" i="40"/>
  <c r="AK18" i="40"/>
  <c r="AK14" i="40"/>
  <c r="AK166" i="40"/>
  <c r="AK167" i="40" s="1"/>
  <c r="AK159" i="40"/>
  <c r="AK160" i="40" s="1"/>
  <c r="AK174" i="40"/>
  <c r="AK179" i="40"/>
  <c r="AK151" i="40"/>
  <c r="AK42" i="40"/>
  <c r="AM162" i="40"/>
  <c r="AM163" i="40" s="1"/>
  <c r="AK89" i="40"/>
  <c r="AK78" i="40"/>
  <c r="AK91" i="40"/>
  <c r="AK88" i="40"/>
  <c r="AK186" i="40"/>
  <c r="AK193" i="40"/>
  <c r="AK10" i="40"/>
  <c r="AK62" i="40"/>
  <c r="AK48" i="40"/>
  <c r="AK61" i="40"/>
  <c r="AM61" i="40" s="1"/>
  <c r="AK69" i="40"/>
  <c r="AK68" i="40"/>
  <c r="AK96" i="40"/>
  <c r="AK92" i="40"/>
  <c r="AM169" i="40"/>
  <c r="AM178" i="40"/>
  <c r="G167" i="40"/>
  <c r="AK47" i="40"/>
  <c r="F50" i="40"/>
  <c r="F54" i="40"/>
  <c r="AK95" i="40"/>
  <c r="AK19" i="40"/>
  <c r="G50" i="40"/>
  <c r="G54" i="40"/>
  <c r="AN59" i="40" l="1"/>
  <c r="AP57" i="40"/>
  <c r="AM57" i="40"/>
  <c r="AM19" i="40"/>
  <c r="AP25" i="40"/>
  <c r="AP38" i="40"/>
  <c r="AQ38" i="40" s="1"/>
  <c r="AQ40" i="40" s="1"/>
  <c r="AK49" i="40"/>
  <c r="AK59" i="40"/>
  <c r="AK94" i="40"/>
  <c r="AK50" i="40"/>
  <c r="AK53" i="40"/>
  <c r="AK54" i="40"/>
  <c r="AP59" i="40" l="1"/>
  <c r="BV59" i="40"/>
  <c r="AP39" i="40"/>
  <c r="AM59" i="40"/>
  <c r="AK148" i="40" l="1"/>
  <c r="Z147" i="40"/>
  <c r="AK147" i="40" s="1"/>
</calcChain>
</file>

<file path=xl/sharedStrings.xml><?xml version="1.0" encoding="utf-8"?>
<sst xmlns="http://schemas.openxmlformats.org/spreadsheetml/2006/main" count="424" uniqueCount="146">
  <si>
    <t>PRODUCTION REPORT</t>
  </si>
  <si>
    <t>No</t>
  </si>
  <si>
    <t>ITEM</t>
  </si>
  <si>
    <t>Budget / Norma</t>
  </si>
  <si>
    <t>UoM</t>
  </si>
  <si>
    <t>NOVEMBER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</si>
  <si>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</si>
  <si>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</si>
  <si>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</si>
  <si>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</si>
  <si>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</si>
  <si>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</si>
  <si>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</si>
  <si>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</si>
  <si>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Incoming CPO (Group) Piping Line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</si>
  <si>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</si>
  <si>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</si>
  <si>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</si>
  <si>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</si>
  <si>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</si>
  <si>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</si>
  <si>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</si>
  <si>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</si>
  <si>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</si>
  <si>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</si>
  <si>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</si>
  <si>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</si>
  <si>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</si>
  <si>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</si>
  <si>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</si>
  <si>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</si>
  <si>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</si>
  <si>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</si>
  <si>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</si>
  <si>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</si>
  <si>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</si>
  <si>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</si>
  <si>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</si>
  <si>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</si>
  <si>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</si>
  <si>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</si>
  <si>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</si>
  <si>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</si>
  <si>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</si>
  <si>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</si>
  <si>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</si>
  <si>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</si>
  <si>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</si>
  <si>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</si>
  <si>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</si>
  <si>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</si>
  <si>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</si>
  <si>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</si>
  <si>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</si>
  <si>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</si>
  <si>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</si>
  <si>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</si>
  <si>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</si>
  <si>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</si>
  <si>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</si>
  <si>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</si>
  <si>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</si>
  <si>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</si>
  <si>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</si>
  <si>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</si>
  <si>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</si>
  <si>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</si>
  <si>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</si>
  <si>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</si>
  <si>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</si>
  <si>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</si>
  <si>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</si>
  <si>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</si>
  <si>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</si>
  <si>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</si>
  <si>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</si>
  <si>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</si>
  <si>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</si>
  <si>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</si>
  <si>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</si>
  <si>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</si>
  <si>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</si>
  <si>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</si>
  <si>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</si>
  <si>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 xml:space="preserve">OUTGOING SALVACO </t>
  </si>
  <si>
    <t>Outgoing Salvaco</t>
  </si>
  <si>
    <t>Outgoing in Kg</t>
  </si>
  <si>
    <t>OUTGOING NUSAKITA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</si>
  <si>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</si>
  <si>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</si>
  <si>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</si>
  <si>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</si>
  <si>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</si>
  <si>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</si>
  <si>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</si>
  <si>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</si>
  <si>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</si>
  <si>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</si>
  <si>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</si>
  <si>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</si>
  <si>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</si>
  <si>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</si>
  <si>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</si>
  <si>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</si>
  <si>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</si>
  <si>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</si>
  <si>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</si>
  <si>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</si>
  <si>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</si>
  <si>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</si>
  <si>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</si>
  <si>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</si>
  <si>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</si>
  <si>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</si>
  <si>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</si>
  <si>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</si>
  <si>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</si>
  <si>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</si>
  <si>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</si>
  <si>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</si>
  <si>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</si>
  <si>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Component of Oil</t>
  </si>
  <si>
    <t xml:space="preserve">3 - 5 Agustus </t>
  </si>
  <si>
    <t>30 Juli - 2 Agst</t>
  </si>
  <si>
    <t>27 - 29 Juli</t>
  </si>
  <si>
    <t>23 - 26 Juli</t>
  </si>
  <si>
    <t>16 - 22 Juli</t>
  </si>
  <si>
    <t>9 - 15 Juli</t>
  </si>
  <si>
    <t>2 - 8 Juli</t>
  </si>
  <si>
    <t>OLEIN IV 60</t>
  </si>
  <si>
    <t>Feed to Refinery</t>
  </si>
  <si>
    <t>Quality Feed</t>
  </si>
  <si>
    <t>Quality on Tank</t>
  </si>
  <si>
    <t>Storage Tank</t>
  </si>
  <si>
    <t xml:space="preserve">Qty Feed </t>
  </si>
  <si>
    <t>FFA</t>
  </si>
  <si>
    <t>DOBI</t>
  </si>
  <si>
    <t>Average</t>
  </si>
  <si>
    <t>Perhitungan Quality secara Proporsional</t>
  </si>
  <si>
    <t>% CPO Feed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</si>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</sst>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_-;\-* #,##0.000_-;_-* &quot;-&quot;_-;_-@_-"/>
    <numFmt numFmtId="179" formatCode="_-* #,##0.0000_-;\-* #,##0.0000_-;_-* &quot;-&quot;????_-;_-@_-"/>
    <numFmt numFmtId="180" formatCode="_-* #,##0.000_-;\-* #,##0.000_-;_-* &quot;-&quot;?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2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/>
    <xf numFmtId="0" fontId="0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4" fontId="3" fillId="0" borderId="4" xfId="1" applyNumberFormat="1" applyFont="1" applyBorder="1"/>
    <xf numFmtId="166" fontId="3" fillId="0" borderId="4" xfId="1" applyFont="1" applyBorder="1"/>
    <xf numFmtId="0" fontId="3" fillId="0" borderId="5" xfId="0" applyFont="1" applyBorder="1"/>
    <xf numFmtId="166" fontId="3" fillId="0" borderId="5" xfId="1" applyFont="1" applyBorder="1"/>
    <xf numFmtId="166" fontId="3" fillId="4" borderId="5" xfId="1" applyFont="1" applyFill="1" applyBorder="1"/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6" fontId="3" fillId="5" borderId="0" xfId="0" applyNumberFormat="1" applyFont="1" applyFill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6" fontId="3" fillId="0" borderId="7" xfId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6" fontId="3" fillId="0" borderId="9" xfId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1" applyFont="1" applyAlignment="1">
      <alignment horizontal="center"/>
    </xf>
    <xf numFmtId="0" fontId="5" fillId="0" borderId="3" xfId="0" applyFont="1" applyBorder="1" applyAlignment="1">
      <alignment horizontal="center"/>
    </xf>
    <xf numFmtId="166" fontId="3" fillId="0" borderId="10" xfId="1" applyFont="1" applyBorder="1" applyAlignment="1">
      <alignment horizontal="center"/>
    </xf>
    <xf numFmtId="166" fontId="3" fillId="0" borderId="11" xfId="1" applyFont="1" applyBorder="1" applyAlignment="1">
      <alignment horizontal="center"/>
    </xf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6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top"/>
    </xf>
    <xf numFmtId="0" fontId="5" fillId="5" borderId="13" xfId="0" applyFont="1" applyFill="1" applyBorder="1" applyAlignment="1">
      <alignment vertical="center"/>
    </xf>
    <xf numFmtId="0" fontId="3" fillId="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3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7" fillId="0" borderId="9" xfId="1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vertical="center"/>
    </xf>
    <xf numFmtId="166" fontId="7" fillId="0" borderId="7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164" fontId="3" fillId="5" borderId="13" xfId="1" applyNumberFormat="1" applyFont="1" applyFill="1" applyBorder="1"/>
    <xf numFmtId="0" fontId="5" fillId="0" borderId="7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164" fontId="3" fillId="0" borderId="13" xfId="1" applyNumberFormat="1" applyFont="1" applyFill="1" applyBorder="1"/>
    <xf numFmtId="164" fontId="3" fillId="0" borderId="7" xfId="1" applyNumberFormat="1" applyFont="1" applyFill="1" applyBorder="1"/>
    <xf numFmtId="0" fontId="5" fillId="0" borderId="7" xfId="0" applyFont="1" applyFill="1" applyBorder="1" applyAlignment="1">
      <alignment horizontal="center"/>
    </xf>
    <xf numFmtId="0" fontId="3" fillId="8" borderId="7" xfId="0" applyFont="1" applyFill="1" applyBorder="1"/>
    <xf numFmtId="164" fontId="3" fillId="7" borderId="7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164" fontId="3" fillId="8" borderId="7" xfId="1" applyNumberFormat="1" applyFont="1" applyFill="1" applyBorder="1"/>
    <xf numFmtId="0" fontId="9" fillId="0" borderId="7" xfId="0" applyFont="1" applyFill="1" applyBorder="1" applyAlignment="1">
      <alignment horizontal="center"/>
    </xf>
    <xf numFmtId="166" fontId="4" fillId="7" borderId="7" xfId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68" fontId="3" fillId="0" borderId="7" xfId="2" applyNumberFormat="1" applyFont="1" applyFill="1" applyBorder="1"/>
    <xf numFmtId="166" fontId="3" fillId="7" borderId="7" xfId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66" fontId="3" fillId="7" borderId="7" xfId="1" applyFont="1" applyFill="1" applyBorder="1" applyAlignment="1">
      <alignment horizontal="right"/>
    </xf>
    <xf numFmtId="168" fontId="4" fillId="0" borderId="7" xfId="2" applyNumberFormat="1" applyFont="1" applyFill="1" applyBorder="1"/>
    <xf numFmtId="0" fontId="10" fillId="2" borderId="7" xfId="0" applyFont="1" applyFill="1" applyBorder="1"/>
    <xf numFmtId="0" fontId="3" fillId="7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13" xfId="0" applyFont="1" applyBorder="1"/>
    <xf numFmtId="0" fontId="11" fillId="7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9" borderId="7" xfId="0" applyFont="1" applyFill="1" applyBorder="1" applyAlignment="1">
      <alignment vertical="center"/>
    </xf>
    <xf numFmtId="0" fontId="11" fillId="7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5" fillId="5" borderId="13" xfId="0" applyFont="1" applyFill="1" applyBorder="1"/>
    <xf numFmtId="0" fontId="3" fillId="5" borderId="13" xfId="0" applyFont="1" applyFill="1" applyBorder="1" applyAlignment="1">
      <alignment horizontal="center"/>
    </xf>
    <xf numFmtId="0" fontId="3" fillId="2" borderId="7" xfId="0" applyFont="1" applyFill="1" applyBorder="1"/>
    <xf numFmtId="166" fontId="3" fillId="0" borderId="7" xfId="1" applyFont="1" applyFill="1" applyBorder="1"/>
    <xf numFmtId="166" fontId="3" fillId="0" borderId="7" xfId="1" applyNumberFormat="1" applyFont="1" applyFill="1" applyBorder="1"/>
    <xf numFmtId="0" fontId="3" fillId="0" borderId="7" xfId="0" applyFont="1" applyBorder="1"/>
    <xf numFmtId="166" fontId="3" fillId="7" borderId="14" xfId="1" applyFont="1" applyFill="1" applyBorder="1" applyAlignment="1">
      <alignment horizontal="center"/>
    </xf>
    <xf numFmtId="164" fontId="3" fillId="0" borderId="14" xfId="1" applyNumberFormat="1" applyFont="1" applyFill="1" applyBorder="1"/>
    <xf numFmtId="0" fontId="3" fillId="0" borderId="15" xfId="0" applyFont="1" applyBorder="1"/>
    <xf numFmtId="0" fontId="3" fillId="7" borderId="15" xfId="0" applyFont="1" applyFill="1" applyBorder="1" applyAlignment="1">
      <alignment horizontal="center"/>
    </xf>
    <xf numFmtId="166" fontId="3" fillId="0" borderId="15" xfId="1" applyFont="1" applyFill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69" fontId="3" fillId="0" borderId="7" xfId="1" applyNumberFormat="1" applyFont="1" applyFill="1" applyBorder="1"/>
    <xf numFmtId="0" fontId="5" fillId="2" borderId="13" xfId="0" applyFont="1" applyFill="1" applyBorder="1" applyAlignment="1">
      <alignment horizontal="center"/>
    </xf>
    <xf numFmtId="170" fontId="3" fillId="7" borderId="13" xfId="1" applyNumberFormat="1" applyFont="1" applyFill="1" applyBorder="1" applyAlignment="1">
      <alignment horizontal="center"/>
    </xf>
    <xf numFmtId="166" fontId="12" fillId="0" borderId="13" xfId="1" applyFont="1" applyFill="1" applyBorder="1"/>
    <xf numFmtId="171" fontId="3" fillId="7" borderId="7" xfId="1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0" borderId="13" xfId="1" applyNumberFormat="1" applyFont="1" applyFill="1" applyBorder="1"/>
    <xf numFmtId="166" fontId="3" fillId="0" borderId="15" xfId="1" applyNumberFormat="1" applyFont="1" applyFill="1" applyBorder="1"/>
    <xf numFmtId="164" fontId="5" fillId="0" borderId="13" xfId="1" applyNumberFormat="1" applyFont="1" applyFill="1" applyBorder="1"/>
    <xf numFmtId="164" fontId="5" fillId="2" borderId="13" xfId="1" applyNumberFormat="1" applyFont="1" applyFill="1" applyBorder="1"/>
    <xf numFmtId="164" fontId="3" fillId="0" borderId="16" xfId="1" applyNumberFormat="1" applyFont="1" applyFill="1" applyBorder="1"/>
    <xf numFmtId="164" fontId="3" fillId="5" borderId="13" xfId="1" applyNumberFormat="1" applyFont="1" applyFill="1" applyBorder="1" applyAlignment="1">
      <alignment horizontal="right" vertical="center"/>
    </xf>
    <xf numFmtId="164" fontId="5" fillId="0" borderId="13" xfId="1" applyNumberFormat="1" applyFont="1" applyFill="1" applyBorder="1" applyAlignment="1">
      <alignment horizontal="center"/>
    </xf>
    <xf numFmtId="164" fontId="3" fillId="9" borderId="7" xfId="1" applyNumberFormat="1" applyFont="1" applyFill="1" applyBorder="1" applyAlignment="1">
      <alignment horizontal="center" vertical="center"/>
    </xf>
    <xf numFmtId="169" fontId="4" fillId="0" borderId="7" xfId="1" applyNumberFormat="1" applyFont="1" applyFill="1" applyBorder="1"/>
    <xf numFmtId="164" fontId="3" fillId="0" borderId="0" xfId="0" applyNumberFormat="1" applyFont="1"/>
    <xf numFmtId="0" fontId="14" fillId="5" borderId="19" xfId="0" applyFont="1" applyFill="1" applyBorder="1" applyAlignment="1">
      <alignment vertical="center"/>
    </xf>
    <xf numFmtId="164" fontId="3" fillId="0" borderId="19" xfId="1" applyNumberFormat="1" applyFont="1" applyBorder="1"/>
    <xf numFmtId="172" fontId="15" fillId="0" borderId="19" xfId="0" applyNumberFormat="1" applyFont="1" applyBorder="1"/>
    <xf numFmtId="0" fontId="14" fillId="5" borderId="20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9" xfId="0" applyNumberFormat="1" applyFont="1" applyBorder="1"/>
    <xf numFmtId="164" fontId="5" fillId="0" borderId="21" xfId="1" applyNumberFormat="1" applyFont="1" applyBorder="1" applyAlignment="1">
      <alignment vertical="center"/>
    </xf>
    <xf numFmtId="0" fontId="10" fillId="0" borderId="19" xfId="0" applyFont="1" applyBorder="1"/>
    <xf numFmtId="164" fontId="3" fillId="0" borderId="19" xfId="0" applyNumberFormat="1" applyFont="1" applyBorder="1"/>
    <xf numFmtId="0" fontId="16" fillId="0" borderId="0" xfId="0" applyFont="1" applyFill="1"/>
    <xf numFmtId="164" fontId="3" fillId="0" borderId="0" xfId="1" applyNumberFormat="1" applyFont="1" applyFill="1"/>
    <xf numFmtId="166" fontId="3" fillId="0" borderId="19" xfId="0" applyNumberFormat="1" applyFont="1" applyFill="1" applyBorder="1"/>
    <xf numFmtId="164" fontId="4" fillId="0" borderId="0" xfId="1" applyNumberFormat="1" applyFont="1"/>
    <xf numFmtId="166" fontId="4" fillId="0" borderId="0" xfId="1" applyFont="1"/>
    <xf numFmtId="0" fontId="16" fillId="2" borderId="0" xfId="0" applyFont="1" applyFill="1"/>
    <xf numFmtId="164" fontId="14" fillId="0" borderId="19" xfId="0" applyNumberFormat="1" applyFont="1" applyBorder="1"/>
    <xf numFmtId="0" fontId="16" fillId="0" borderId="0" xfId="0" applyFont="1"/>
    <xf numFmtId="164" fontId="10" fillId="0" borderId="19" xfId="0" applyNumberFormat="1" applyFont="1" applyBorder="1"/>
    <xf numFmtId="0" fontId="16" fillId="0" borderId="0" xfId="0" applyFont="1" applyAlignment="1">
      <alignment vertical="center"/>
    </xf>
    <xf numFmtId="164" fontId="3" fillId="0" borderId="19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9" xfId="1" applyNumberFormat="1" applyFont="1" applyBorder="1" applyAlignment="1">
      <alignment vertical="center"/>
    </xf>
    <xf numFmtId="0" fontId="16" fillId="0" borderId="0" xfId="0" applyFont="1" applyBorder="1"/>
    <xf numFmtId="0" fontId="5" fillId="5" borderId="20" xfId="0" applyFont="1" applyFill="1" applyBorder="1"/>
    <xf numFmtId="166" fontId="3" fillId="0" borderId="19" xfId="1" applyFont="1" applyBorder="1"/>
    <xf numFmtId="166" fontId="3" fillId="0" borderId="0" xfId="1" applyNumberFormat="1" applyFont="1" applyFill="1" applyBorder="1"/>
    <xf numFmtId="164" fontId="3" fillId="0" borderId="22" xfId="0" applyNumberFormat="1" applyFont="1" applyBorder="1"/>
    <xf numFmtId="166" fontId="3" fillId="0" borderId="23" xfId="1" applyFont="1" applyBorder="1"/>
    <xf numFmtId="169" fontId="3" fillId="0" borderId="19" xfId="1" applyNumberFormat="1" applyFont="1" applyBorder="1"/>
    <xf numFmtId="0" fontId="12" fillId="2" borderId="0" xfId="0" applyFont="1" applyFill="1" applyBorder="1"/>
    <xf numFmtId="166" fontId="12" fillId="0" borderId="20" xfId="1" applyFont="1" applyFill="1" applyBorder="1"/>
    <xf numFmtId="164" fontId="3" fillId="2" borderId="0" xfId="1" applyNumberFormat="1" applyFont="1" applyFill="1"/>
    <xf numFmtId="0" fontId="16" fillId="2" borderId="0" xfId="0" applyFont="1" applyFill="1" applyBorder="1"/>
    <xf numFmtId="166" fontId="3" fillId="2" borderId="19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64" fontId="5" fillId="0" borderId="7" xfId="1" applyNumberFormat="1" applyFont="1" applyFill="1" applyBorder="1"/>
    <xf numFmtId="0" fontId="5" fillId="7" borderId="7" xfId="0" applyFont="1" applyFill="1" applyBorder="1" applyAlignment="1">
      <alignment horizontal="center"/>
    </xf>
    <xf numFmtId="166" fontId="5" fillId="0" borderId="7" xfId="1" applyNumberFormat="1" applyFont="1" applyFill="1" applyBorder="1"/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vertical="center"/>
    </xf>
    <xf numFmtId="164" fontId="3" fillId="0" borderId="10" xfId="1" applyNumberFormat="1" applyFont="1" applyFill="1" applyBorder="1" applyAlignment="1">
      <alignment wrapText="1"/>
    </xf>
    <xf numFmtId="0" fontId="5" fillId="0" borderId="1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4" fillId="2" borderId="7" xfId="0" applyFont="1" applyFill="1" applyBorder="1"/>
    <xf numFmtId="173" fontId="13" fillId="0" borderId="7" xfId="1" applyNumberFormat="1" applyFont="1" applyFill="1" applyBorder="1"/>
    <xf numFmtId="170" fontId="3" fillId="7" borderId="7" xfId="1" applyNumberFormat="1" applyFont="1" applyFill="1" applyBorder="1" applyAlignment="1">
      <alignment horizontal="center"/>
    </xf>
    <xf numFmtId="173" fontId="3" fillId="0" borderId="7" xfId="1" applyNumberFormat="1" applyFont="1" applyFill="1" applyBorder="1"/>
    <xf numFmtId="164" fontId="3" fillId="0" borderId="7" xfId="1" applyNumberFormat="1" applyFont="1" applyFill="1" applyBorder="1" applyAlignment="1"/>
    <xf numFmtId="164" fontId="3" fillId="0" borderId="7" xfId="1" applyNumberFormat="1" applyFont="1" applyBorder="1"/>
    <xf numFmtId="174" fontId="13" fillId="0" borderId="7" xfId="1" applyNumberFormat="1" applyFont="1" applyFill="1" applyBorder="1"/>
    <xf numFmtId="174" fontId="4" fillId="0" borderId="7" xfId="1" applyNumberFormat="1" applyFont="1" applyFill="1" applyBorder="1"/>
    <xf numFmtId="173" fontId="4" fillId="0" borderId="7" xfId="1" applyNumberFormat="1" applyFont="1" applyFill="1" applyBorder="1"/>
    <xf numFmtId="175" fontId="4" fillId="0" borderId="7" xfId="1" applyNumberFormat="1" applyFont="1" applyFill="1" applyBorder="1"/>
    <xf numFmtId="175" fontId="3" fillId="0" borderId="7" xfId="1" applyNumberFormat="1" applyFont="1" applyFill="1" applyBorder="1"/>
    <xf numFmtId="174" fontId="3" fillId="0" borderId="7" xfId="1" applyNumberFormat="1" applyFont="1" applyFill="1" applyBorder="1"/>
    <xf numFmtId="164" fontId="5" fillId="0" borderId="0" xfId="0" applyNumberFormat="1" applyFont="1" applyFill="1"/>
    <xf numFmtId="166" fontId="5" fillId="0" borderId="19" xfId="0" applyNumberFormat="1" applyFont="1" applyFill="1" applyBorder="1"/>
    <xf numFmtId="164" fontId="5" fillId="0" borderId="0" xfId="1" applyNumberFormat="1" applyFont="1" applyFill="1"/>
    <xf numFmtId="0" fontId="17" fillId="0" borderId="0" xfId="0" applyFont="1" applyFill="1"/>
    <xf numFmtId="166" fontId="3" fillId="0" borderId="0" xfId="0" applyNumberFormat="1" applyFont="1" applyFill="1"/>
    <xf numFmtId="164" fontId="14" fillId="0" borderId="19" xfId="0" applyNumberFormat="1" applyFont="1" applyFill="1" applyBorder="1"/>
    <xf numFmtId="0" fontId="16" fillId="0" borderId="0" xfId="0" applyFont="1" applyFill="1" applyAlignment="1">
      <alignment vertical="center"/>
    </xf>
    <xf numFmtId="164" fontId="3" fillId="0" borderId="19" xfId="0" applyNumberFormat="1" applyFont="1" applyFill="1" applyBorder="1"/>
    <xf numFmtId="164" fontId="3" fillId="0" borderId="0" xfId="1" applyNumberFormat="1" applyFont="1" applyFill="1" applyAlignment="1">
      <alignment vertical="center"/>
    </xf>
    <xf numFmtId="164" fontId="3" fillId="0" borderId="19" xfId="0" applyNumberFormat="1" applyFont="1" applyFill="1" applyBorder="1" applyAlignment="1">
      <alignment vertical="center"/>
    </xf>
    <xf numFmtId="174" fontId="3" fillId="0" borderId="19" xfId="0" applyNumberFormat="1" applyFont="1" applyFill="1" applyBorder="1"/>
    <xf numFmtId="174" fontId="5" fillId="0" borderId="19" xfId="0" applyNumberFormat="1" applyFont="1" applyFill="1" applyBorder="1"/>
    <xf numFmtId="0" fontId="5" fillId="0" borderId="9" xfId="0" applyFont="1" applyBorder="1" applyAlignment="1">
      <alignment horizontal="center"/>
    </xf>
    <xf numFmtId="166" fontId="5" fillId="7" borderId="9" xfId="1" applyFont="1" applyFill="1" applyBorder="1" applyAlignment="1">
      <alignment horizontal="center"/>
    </xf>
    <xf numFmtId="173" fontId="5" fillId="0" borderId="9" xfId="1" applyNumberFormat="1" applyFont="1" applyFill="1" applyBorder="1"/>
    <xf numFmtId="0" fontId="5" fillId="5" borderId="7" xfId="0" applyFont="1" applyFill="1" applyBorder="1" applyAlignment="1">
      <alignment horizontal="center"/>
    </xf>
    <xf numFmtId="174" fontId="5" fillId="5" borderId="7" xfId="1" applyNumberFormat="1" applyFont="1" applyFill="1" applyBorder="1"/>
    <xf numFmtId="164" fontId="5" fillId="7" borderId="7" xfId="1" applyNumberFormat="1" applyFont="1" applyFill="1" applyBorder="1" applyAlignment="1">
      <alignment horizontal="center"/>
    </xf>
    <xf numFmtId="166" fontId="3" fillId="7" borderId="7" xfId="1" applyFont="1" applyFill="1" applyBorder="1" applyAlignment="1">
      <alignment horizontal="center" vertical="center"/>
    </xf>
    <xf numFmtId="166" fontId="3" fillId="0" borderId="7" xfId="1" applyNumberFormat="1" applyFont="1" applyFill="1" applyBorder="1" applyAlignment="1">
      <alignment vertical="center"/>
    </xf>
    <xf numFmtId="166" fontId="3" fillId="7" borderId="7" xfId="1" applyFont="1" applyFill="1" applyBorder="1" applyAlignment="1">
      <alignment vertical="center"/>
    </xf>
    <xf numFmtId="0" fontId="3" fillId="7" borderId="7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164" fontId="13" fillId="0" borderId="7" xfId="1" applyNumberFormat="1" applyFont="1" applyFill="1" applyBorder="1"/>
    <xf numFmtId="0" fontId="3" fillId="5" borderId="13" xfId="0" applyFont="1" applyFill="1" applyBorder="1"/>
    <xf numFmtId="0" fontId="5" fillId="2" borderId="9" xfId="0" applyFont="1" applyFill="1" applyBorder="1"/>
    <xf numFmtId="0" fontId="5" fillId="7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5" fillId="0" borderId="9" xfId="1" applyNumberFormat="1" applyFont="1" applyBorder="1"/>
    <xf numFmtId="174" fontId="5" fillId="0" borderId="9" xfId="1" applyNumberFormat="1" applyFont="1" applyFill="1" applyBorder="1"/>
    <xf numFmtId="166" fontId="13" fillId="0" borderId="7" xfId="1" applyNumberFormat="1" applyFont="1" applyFill="1" applyBorder="1" applyAlignment="1">
      <alignment vertical="center"/>
    </xf>
    <xf numFmtId="164" fontId="4" fillId="0" borderId="7" xfId="1" applyNumberFormat="1" applyFont="1" applyFill="1" applyBorder="1"/>
    <xf numFmtId="166" fontId="3" fillId="5" borderId="13" xfId="1" applyNumberFormat="1" applyFont="1" applyFill="1" applyBorder="1"/>
    <xf numFmtId="166" fontId="4" fillId="0" borderId="7" xfId="1" applyNumberFormat="1" applyFont="1" applyFill="1" applyBorder="1" applyAlignment="1">
      <alignment vertical="center"/>
    </xf>
    <xf numFmtId="0" fontId="14" fillId="0" borderId="19" xfId="0" applyFont="1" applyBorder="1"/>
    <xf numFmtId="177" fontId="3" fillId="0" borderId="19" xfId="0" applyNumberFormat="1" applyFont="1" applyBorder="1"/>
    <xf numFmtId="0" fontId="17" fillId="0" borderId="0" xfId="0" applyFont="1"/>
    <xf numFmtId="174" fontId="5" fillId="0" borderId="18" xfId="0" applyNumberFormat="1" applyFont="1" applyBorder="1"/>
    <xf numFmtId="164" fontId="5" fillId="0" borderId="0" xfId="1" applyNumberFormat="1" applyFont="1"/>
    <xf numFmtId="166" fontId="5" fillId="5" borderId="20" xfId="1" applyNumberFormat="1" applyFont="1" applyFill="1" applyBorder="1"/>
    <xf numFmtId="164" fontId="5" fillId="0" borderId="19" xfId="0" applyNumberFormat="1" applyFont="1" applyBorder="1"/>
    <xf numFmtId="164" fontId="5" fillId="0" borderId="0" xfId="0" applyNumberFormat="1" applyFont="1"/>
    <xf numFmtId="165" fontId="14" fillId="0" borderId="19" xfId="0" applyNumberFormat="1" applyFont="1" applyBorder="1"/>
    <xf numFmtId="166" fontId="5" fillId="0" borderId="19" xfId="1" applyFont="1" applyBorder="1" applyAlignment="1">
      <alignment vertical="center"/>
    </xf>
    <xf numFmtId="164" fontId="14" fillId="0" borderId="19" xfId="0" applyNumberFormat="1" applyFont="1" applyBorder="1" applyAlignment="1">
      <alignment vertical="center"/>
    </xf>
    <xf numFmtId="166" fontId="3" fillId="0" borderId="19" xfId="1" applyFont="1" applyBorder="1" applyAlignment="1">
      <alignment vertical="center"/>
    </xf>
    <xf numFmtId="164" fontId="5" fillId="5" borderId="20" xfId="1" applyNumberFormat="1" applyFont="1" applyFill="1" applyBorder="1"/>
    <xf numFmtId="0" fontId="10" fillId="5" borderId="20" xfId="0" applyFont="1" applyFill="1" applyBorder="1"/>
    <xf numFmtId="164" fontId="5" fillId="0" borderId="18" xfId="0" applyNumberFormat="1" applyFont="1" applyBorder="1"/>
    <xf numFmtId="0" fontId="10" fillId="5" borderId="19" xfId="0" applyFont="1" applyFill="1" applyBorder="1"/>
    <xf numFmtId="164" fontId="5" fillId="0" borderId="24" xfId="0" applyNumberFormat="1" applyFont="1" applyBorder="1"/>
    <xf numFmtId="0" fontId="5" fillId="5" borderId="19" xfId="0" quotePrefix="1" applyFont="1" applyFill="1" applyBorder="1"/>
    <xf numFmtId="0" fontId="4" fillId="0" borderId="7" xfId="0" quotePrefix="1" applyFont="1" applyFill="1" applyBorder="1"/>
    <xf numFmtId="0" fontId="3" fillId="0" borderId="7" xfId="0" quotePrefix="1" applyFont="1" applyFill="1" applyBorder="1"/>
    <xf numFmtId="0" fontId="3" fillId="8" borderId="7" xfId="0" quotePrefix="1" applyFont="1" applyFill="1" applyBorder="1"/>
    <xf numFmtId="0" fontId="3" fillId="8" borderId="7" xfId="0" quotePrefix="1" applyFont="1" applyFill="1" applyBorder="1" applyAlignment="1">
      <alignment horizontal="center"/>
    </xf>
    <xf numFmtId="0" fontId="5" fillId="5" borderId="13" xfId="0" quotePrefix="1" applyFont="1" applyFill="1" applyBorder="1"/>
    <xf numFmtId="0" fontId="5" fillId="5" borderId="20" xfId="0" quotePrefix="1" applyFont="1" applyFill="1" applyBorder="1"/>
    <xf numFmtId="0" fontId="3" fillId="2" borderId="7" xfId="0" quotePrefix="1" applyFont="1" applyFill="1" applyBorder="1"/>
    <xf numFmtId="0" fontId="3" fillId="2" borderId="7" xfId="0" quotePrefix="1" applyFont="1" applyFill="1" applyBorder="1" applyAlignment="1">
      <alignment horizontal="center"/>
    </xf>
    <xf numFmtId="0" fontId="3" fillId="0" borderId="7" xfId="0" quotePrefix="1" applyFont="1" applyBorder="1"/>
    <xf numFmtId="0" fontId="3" fillId="0" borderId="7" xfId="0" quotePrefix="1" applyFont="1" applyBorder="1" applyAlignment="1">
      <alignment horizontal="center"/>
    </xf>
    <xf numFmtId="0" fontId="3" fillId="0" borderId="14" xfId="0" quotePrefix="1" applyFont="1" applyBorder="1"/>
    <xf numFmtId="0" fontId="3" fillId="0" borderId="14" xfId="0" quotePrefix="1" applyFon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5" fillId="2" borderId="13" xfId="0" quotePrefix="1" applyFont="1" applyFill="1" applyBorder="1"/>
    <xf numFmtId="0" fontId="3" fillId="2" borderId="13" xfId="0" quotePrefix="1" applyFont="1" applyFill="1" applyBorder="1" applyAlignment="1">
      <alignment horizontal="center"/>
    </xf>
    <xf numFmtId="0" fontId="3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5" fillId="0" borderId="7" xfId="0" quotePrefix="1" applyFont="1" applyFill="1" applyBorder="1"/>
    <xf numFmtId="0" fontId="5" fillId="0" borderId="7" xfId="0" quotePrefix="1" applyFont="1" applyFill="1" applyBorder="1" applyAlignment="1">
      <alignment horizontal="center"/>
    </xf>
    <xf numFmtId="0" fontId="14" fillId="0" borderId="7" xfId="0" quotePrefix="1" applyFont="1" applyFill="1" applyBorder="1"/>
    <xf numFmtId="0" fontId="3" fillId="0" borderId="7" xfId="0" quotePrefix="1" applyFont="1" applyFill="1" applyBorder="1" applyAlignment="1">
      <alignment horizontal="center"/>
    </xf>
    <xf numFmtId="0" fontId="3" fillId="0" borderId="7" xfId="0" quotePrefix="1" applyFont="1" applyFill="1" applyBorder="1" applyAlignment="1">
      <alignment vertical="center"/>
    </xf>
    <xf numFmtId="0" fontId="3" fillId="0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/>
    <xf numFmtId="0" fontId="5" fillId="0" borderId="9" xfId="0" quotePrefix="1" applyFont="1" applyBorder="1"/>
    <xf numFmtId="0" fontId="5" fillId="0" borderId="9" xfId="0" quotePrefix="1" applyFont="1" applyBorder="1" applyAlignment="1">
      <alignment horizontal="center"/>
    </xf>
    <xf numFmtId="0" fontId="5" fillId="5" borderId="7" xfId="0" quotePrefix="1" applyFont="1" applyFill="1" applyBorder="1"/>
    <xf numFmtId="0" fontId="14" fillId="0" borderId="7" xfId="0" quotePrefix="1" applyFont="1" applyBorder="1"/>
    <xf numFmtId="0" fontId="3" fillId="0" borderId="7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vertical="center"/>
    </xf>
    <xf numFmtId="0" fontId="5" fillId="2" borderId="7" xfId="0" quotePrefix="1" applyFont="1" applyFill="1" applyBorder="1"/>
    <xf numFmtId="0" fontId="5" fillId="2" borderId="7" xfId="0" quotePrefix="1" applyFont="1" applyFill="1" applyBorder="1" applyAlignment="1">
      <alignment horizontal="center"/>
    </xf>
    <xf numFmtId="164" fontId="22" fillId="0" borderId="7" xfId="1" applyNumberFormat="1" applyFont="1" applyFill="1" applyBorder="1"/>
    <xf numFmtId="41" fontId="3" fillId="0" borderId="0" xfId="2" applyFont="1"/>
    <xf numFmtId="168" fontId="3" fillId="0" borderId="0" xfId="2" applyNumberFormat="1" applyFont="1"/>
    <xf numFmtId="168" fontId="4" fillId="0" borderId="0" xfId="0" applyNumberFormat="1" applyFont="1"/>
    <xf numFmtId="166" fontId="3" fillId="2" borderId="0" xfId="0" applyNumberFormat="1" applyFont="1" applyFill="1"/>
    <xf numFmtId="168" fontId="5" fillId="0" borderId="0" xfId="2" applyNumberFormat="1" applyFont="1"/>
    <xf numFmtId="178" fontId="5" fillId="0" borderId="0" xfId="2" applyNumberFormat="1" applyFont="1"/>
    <xf numFmtId="43" fontId="3" fillId="0" borderId="0" xfId="0" applyNumberFormat="1" applyFont="1"/>
    <xf numFmtId="164" fontId="3" fillId="0" borderId="0" xfId="0" applyNumberFormat="1" applyFont="1" applyFill="1"/>
    <xf numFmtId="41" fontId="3" fillId="0" borderId="0" xfId="2" applyFont="1" applyFill="1"/>
    <xf numFmtId="168" fontId="4" fillId="0" borderId="0" xfId="2" applyNumberFormat="1" applyFont="1"/>
    <xf numFmtId="41" fontId="3" fillId="0" borderId="0" xfId="0" applyNumberFormat="1" applyFont="1" applyFill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41" fontId="3" fillId="0" borderId="0" xfId="0" applyNumberFormat="1" applyFont="1" applyAlignment="1">
      <alignment vertical="center"/>
    </xf>
    <xf numFmtId="166" fontId="3" fillId="0" borderId="13" xfId="1" applyNumberFormat="1" applyFont="1" applyFill="1" applyBorder="1"/>
    <xf numFmtId="168" fontId="3" fillId="2" borderId="0" xfId="2" applyNumberFormat="1" applyFont="1" applyFill="1"/>
    <xf numFmtId="43" fontId="5" fillId="0" borderId="0" xfId="0" applyNumberFormat="1" applyFont="1"/>
    <xf numFmtId="41" fontId="4" fillId="0" borderId="0" xfId="0" applyNumberFormat="1" applyFont="1"/>
    <xf numFmtId="176" fontId="13" fillId="0" borderId="7" xfId="1" applyNumberFormat="1" applyFont="1" applyFill="1" applyBorder="1"/>
    <xf numFmtId="164" fontId="3" fillId="0" borderId="9" xfId="1" applyNumberFormat="1" applyFont="1" applyFill="1" applyBorder="1" applyAlignment="1">
      <alignment vertical="center"/>
    </xf>
    <xf numFmtId="168" fontId="3" fillId="2" borderId="7" xfId="2" applyNumberFormat="1" applyFont="1" applyFill="1" applyBorder="1"/>
    <xf numFmtId="168" fontId="3" fillId="0" borderId="7" xfId="2" applyNumberFormat="1" applyFont="1" applyBorder="1"/>
    <xf numFmtId="168" fontId="3" fillId="0" borderId="7" xfId="2" applyNumberFormat="1" applyFont="1" applyFill="1" applyBorder="1" applyAlignment="1">
      <alignment vertical="center"/>
    </xf>
    <xf numFmtId="41" fontId="3" fillId="0" borderId="7" xfId="2" applyFont="1" applyFill="1" applyBorder="1"/>
    <xf numFmtId="41" fontId="3" fillId="0" borderId="0" xfId="2" applyFont="1" applyAlignment="1">
      <alignment vertical="center"/>
    </xf>
    <xf numFmtId="43" fontId="3" fillId="0" borderId="0" xfId="0" applyNumberFormat="1" applyFont="1" applyAlignment="1">
      <alignment vertical="center"/>
    </xf>
    <xf numFmtId="179" fontId="3" fillId="0" borderId="0" xfId="0" applyNumberFormat="1" applyFont="1"/>
    <xf numFmtId="179" fontId="5" fillId="0" borderId="0" xfId="0" applyNumberFormat="1" applyFont="1"/>
    <xf numFmtId="41" fontId="4" fillId="0" borderId="0" xfId="2" applyFont="1"/>
    <xf numFmtId="180" fontId="3" fillId="0" borderId="0" xfId="0" applyNumberFormat="1" applyFont="1"/>
    <xf numFmtId="41" fontId="5" fillId="0" borderId="0" xfId="2" applyFont="1" applyFill="1"/>
    <xf numFmtId="43" fontId="3" fillId="0" borderId="0" xfId="0" applyNumberFormat="1" applyFont="1" applyFill="1"/>
    <xf numFmtId="41" fontId="3" fillId="0" borderId="0" xfId="2" applyFont="1" applyFill="1" applyAlignment="1">
      <alignment vertical="center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2">
    <cellStyle name="Comma" xfId="1" builtinId="3"/>
    <cellStyle name="Comma [0]" xfId="2" builtinId="6"/>
    <cellStyle name="Comma [0] 2" xfId="12" xr:uid="{00000000-0005-0000-0000-00003A000000}"/>
    <cellStyle name="Comma [0] 2 2" xfId="11" xr:uid="{00000000-0005-0000-0000-000034000000}"/>
    <cellStyle name="Comma [0] 2 3" xfId="29" xr:uid="{CCC87D12-D11F-4335-A5FD-3A1391CB4087}"/>
    <cellStyle name="Comma [0] 3" xfId="14" xr:uid="{00000000-0005-0000-0000-00003C000000}"/>
    <cellStyle name="Comma [0] 3 2" xfId="15" xr:uid="{00000000-0005-0000-0000-00003D000000}"/>
    <cellStyle name="Comma [0] 4" xfId="26" xr:uid="{16C80367-FF49-4549-B01B-D17F4B7F8AE5}"/>
    <cellStyle name="Comma 2" xfId="19" xr:uid="{00000000-0005-0000-0000-000042000000}"/>
    <cellStyle name="Comma 2 2" xfId="28" xr:uid="{B22E0383-2A56-41E6-BB32-12E81A5D4D4E}"/>
    <cellStyle name="Comma 3" xfId="13" xr:uid="{00000000-0005-0000-0000-00003B000000}"/>
    <cellStyle name="Comma 4" xfId="16" xr:uid="{00000000-0005-0000-0000-00003E000000}"/>
    <cellStyle name="Comma 4 2" xfId="8" xr:uid="{00000000-0005-0000-0000-000023000000}"/>
    <cellStyle name="Comma 4 2 2" xfId="17" xr:uid="{00000000-0005-0000-0000-000040000000}"/>
    <cellStyle name="Comma 5" xfId="25" xr:uid="{EEB87EB3-B6CF-4E29-BD63-398D71B27371}"/>
    <cellStyle name="Comma 6" xfId="30" xr:uid="{E6D660E8-7F6B-4E15-B885-0161D75A21BD}"/>
    <cellStyle name="Normal" xfId="0" builtinId="0"/>
    <cellStyle name="Normal 2" xfId="9" xr:uid="{00000000-0005-0000-0000-000026000000}"/>
    <cellStyle name="Normal 2 10" xfId="6" xr:uid="{00000000-0005-0000-0000-000017000000}"/>
    <cellStyle name="Normal 2 2" xfId="27" xr:uid="{7A048B7D-485C-469D-B3A5-2C5562543300}"/>
    <cellStyle name="Normal 2 2 2" xfId="23" xr:uid="{00000000-0005-0000-0000-000046000000}"/>
    <cellStyle name="Normal 3" xfId="10" xr:uid="{00000000-0005-0000-0000-00002B000000}"/>
    <cellStyle name="Normal 3 2 2 2" xfId="4" xr:uid="{00000000-0005-0000-0000-00000C000000}"/>
    <cellStyle name="Normal 3 2 2 2 2 2" xfId="20" xr:uid="{00000000-0005-0000-0000-000043000000}"/>
    <cellStyle name="Normal 3 2 2 2 2 2 2 2" xfId="21" xr:uid="{00000000-0005-0000-0000-000044000000}"/>
    <cellStyle name="Normal 3 2 2 2 2 2 2 2 2" xfId="22" xr:uid="{00000000-0005-0000-0000-000045000000}"/>
    <cellStyle name="Normal 4" xfId="7" xr:uid="{00000000-0005-0000-0000-00001A000000}"/>
    <cellStyle name="Normal 5" xfId="24" xr:uid="{3AFD88D0-3227-4C96-8F4D-E4530E478752}"/>
    <cellStyle name="Normal 7 2" xfId="31" xr:uid="{6E96FD99-8781-4861-A8B0-5D5F946286F0}"/>
    <cellStyle name="Normal 8" xfId="5" xr:uid="{00000000-0005-0000-0000-000014000000}"/>
    <cellStyle name="Normal 8 2" xfId="18" xr:uid="{00000000-0005-0000-0000-000041000000}"/>
    <cellStyle name="Normal 8 2 2" xfId="3" xr:uid="{00000000-0005-0000-0000-000006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XT203"/>
  <sheetViews>
    <sheetView showGridLines="0" tabSelected="1" topLeftCell="A4" workbookViewId="0">
      <pane xSplit="5" ySplit="3" topLeftCell="AE7" activePane="bottomRight" state="frozen"/>
      <selection pane="topRight"/>
      <selection pane="bottomLeft"/>
      <selection pane="bottomRight" activeCell="BW21" sqref="BW21"/>
    </sheetView>
  </sheetViews>
  <sheetFormatPr defaultColWidth="9" defaultRowHeight="15"/>
  <cols>
    <col min="1" max="1" width="1.5703125" style="3" customWidth="1"/>
    <col min="2" max="2" width="4.7109375" style="17" customWidth="1"/>
    <col min="3" max="3" width="40.7109375" style="3" customWidth="1"/>
    <col min="4" max="4" width="11.85546875" style="3" customWidth="1"/>
    <col min="5" max="5" width="8.28515625" style="3" customWidth="1"/>
    <col min="6" max="7" width="13.42578125" style="3" customWidth="1"/>
    <col min="8" max="8" width="14.140625" style="3" customWidth="1"/>
    <col min="9" max="9" width="12.7109375" style="3" bestFit="1" customWidth="1"/>
    <col min="10" max="11" width="13.5703125" style="3" customWidth="1"/>
    <col min="12" max="12" width="12.7109375" style="3" bestFit="1" customWidth="1"/>
    <col min="13" max="13" width="13.28515625" style="3" customWidth="1"/>
    <col min="14" max="15" width="12.7109375" style="3" bestFit="1" customWidth="1"/>
    <col min="16" max="18" width="12.85546875" style="3" customWidth="1"/>
    <col min="19" max="23" width="12.7109375" style="3" bestFit="1" customWidth="1"/>
    <col min="24" max="25" width="12.85546875" style="3" customWidth="1"/>
    <col min="26" max="30" width="12.7109375" style="3" bestFit="1" customWidth="1"/>
    <col min="31" max="31" width="13.7109375" style="3" customWidth="1"/>
    <col min="32" max="32" width="12.7109375" style="3" bestFit="1" customWidth="1"/>
    <col min="33" max="33" width="13.28515625" style="3" customWidth="1"/>
    <col min="34" max="35" width="13.5703125" style="3" customWidth="1"/>
    <col min="36" max="36" width="9.42578125" style="3" customWidth="1"/>
    <col min="37" max="37" width="20.7109375" style="3" customWidth="1"/>
    <col min="38" max="38" width="0.140625" style="3" customWidth="1"/>
    <col min="39" max="39" width="9.85546875" style="33" hidden="1" customWidth="1"/>
    <col min="40" max="40" width="12.7109375" style="3" hidden="1" customWidth="1"/>
    <col min="41" max="42" width="8.7109375" style="3" hidden="1" customWidth="1"/>
    <col min="43" max="43" width="7.5703125" style="3" hidden="1" customWidth="1"/>
    <col min="44" max="46" width="0.140625" style="3" hidden="1" customWidth="1"/>
    <col min="47" max="47" width="13.7109375" style="3" hidden="1" customWidth="1"/>
    <col min="48" max="54" width="0.140625" style="3" hidden="1" customWidth="1"/>
    <col min="55" max="73" width="0.140625" style="3" customWidth="1"/>
    <col min="74" max="74" width="14.5703125" style="3" bestFit="1" customWidth="1"/>
    <col min="75" max="75" width="12.7109375" style="3" bestFit="1" customWidth="1"/>
    <col min="76" max="76" width="12" style="3" customWidth="1"/>
    <col min="77" max="77" width="9.140625" style="3"/>
    <col min="78" max="78" width="9.85546875" style="3" bestFit="1" customWidth="1"/>
    <col min="79" max="79" width="15" style="3" customWidth="1"/>
    <col min="80" max="15121" width="9.140625" style="3"/>
    <col min="15122" max="15123" width="9" style="3"/>
    <col min="15124" max="15125" width="9.140625"/>
  </cols>
  <sheetData>
    <row r="1" spans="2:37">
      <c r="B1" s="34"/>
    </row>
    <row r="2" spans="2:37" ht="18">
      <c r="B2" s="298" t="s">
        <v>0</v>
      </c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35"/>
    </row>
    <row r="3" spans="2:37">
      <c r="B3" s="36"/>
    </row>
    <row r="4" spans="2:37" ht="15.75" thickBot="1">
      <c r="C4" s="37"/>
      <c r="D4" s="33"/>
    </row>
    <row r="5" spans="2:37">
      <c r="B5" s="301" t="s">
        <v>1</v>
      </c>
      <c r="C5" s="301" t="s">
        <v>2</v>
      </c>
      <c r="D5" s="302" t="s">
        <v>3</v>
      </c>
      <c r="E5" s="304" t="s">
        <v>4</v>
      </c>
      <c r="F5" s="299" t="s">
        <v>5</v>
      </c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0"/>
      <c r="AK5" s="296" t="s">
        <v>6</v>
      </c>
    </row>
    <row r="6" spans="2:37">
      <c r="B6" s="301"/>
      <c r="C6" s="301"/>
      <c r="D6" s="303"/>
      <c r="E6" s="305"/>
      <c r="F6" s="38">
        <v>1</v>
      </c>
      <c r="G6" s="38">
        <v>2</v>
      </c>
      <c r="H6" s="38">
        <v>3</v>
      </c>
      <c r="I6" s="38">
        <v>4</v>
      </c>
      <c r="J6" s="38">
        <v>5</v>
      </c>
      <c r="K6" s="38">
        <v>6</v>
      </c>
      <c r="L6" s="38">
        <v>7</v>
      </c>
      <c r="M6" s="38">
        <v>8</v>
      </c>
      <c r="N6" s="38">
        <v>9</v>
      </c>
      <c r="O6" s="38">
        <v>10</v>
      </c>
      <c r="P6" s="38">
        <v>11</v>
      </c>
      <c r="Q6" s="38">
        <v>12</v>
      </c>
      <c r="R6" s="38">
        <v>13</v>
      </c>
      <c r="S6" s="38">
        <v>14</v>
      </c>
      <c r="T6" s="38">
        <v>15</v>
      </c>
      <c r="U6" s="38">
        <v>16</v>
      </c>
      <c r="V6" s="38">
        <v>17</v>
      </c>
      <c r="W6" s="38">
        <v>18</v>
      </c>
      <c r="X6" s="38">
        <v>19</v>
      </c>
      <c r="Y6" s="38">
        <v>20</v>
      </c>
      <c r="Z6" s="38">
        <v>21</v>
      </c>
      <c r="AA6" s="38">
        <v>22</v>
      </c>
      <c r="AB6" s="38">
        <v>23</v>
      </c>
      <c r="AC6" s="38">
        <v>24</v>
      </c>
      <c r="AD6" s="38">
        <v>25</v>
      </c>
      <c r="AE6" s="38">
        <v>26</v>
      </c>
      <c r="AF6" s="38">
        <v>27</v>
      </c>
      <c r="AG6" s="38">
        <v>28</v>
      </c>
      <c r="AH6" s="38">
        <v>29</v>
      </c>
      <c r="AI6" s="38">
        <v>30</v>
      </c>
      <c r="AK6" s="297"/>
    </row>
    <row r="7" spans="2:37">
      <c r="B7" s="39">
        <v>1</v>
      </c>
      <c r="C7" s="40" t="s">
        <v>7</v>
      </c>
      <c r="D7" s="41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116"/>
      <c r="AK7" s="117" t="s">
        <v>8</v>
      </c>
    </row>
    <row r="8" spans="2:37">
      <c r="B8" s="39"/>
      <c r="C8" s="44" t="s">
        <v>9</v>
      </c>
      <c r="D8" s="45"/>
      <c r="E8" s="46" t="s">
        <v>10</v>
      </c>
      <c r="F8" s="47">
        <v>1469780</v>
      </c>
      <c r="G8" s="47">
        <v>502930</v>
      </c>
      <c r="H8" s="47">
        <v>1042300</v>
      </c>
      <c r="I8" s="47">
        <v>1077090</v>
      </c>
      <c r="J8" s="47">
        <v>1146440</v>
      </c>
      <c r="K8" s="47">
        <v>2225900</v>
      </c>
      <c r="L8" s="47">
        <v>743690</v>
      </c>
      <c r="M8" s="47">
        <v>1349920</v>
      </c>
      <c r="N8" s="47">
        <v>1568680</v>
      </c>
      <c r="O8" s="47">
        <v>2145230</v>
      </c>
      <c r="P8" s="47">
        <v>1739860</v>
      </c>
      <c r="Q8" s="47">
        <v>1964980</v>
      </c>
      <c r="R8" s="47">
        <v>2202310</v>
      </c>
      <c r="S8" s="47">
        <v>1423400</v>
      </c>
      <c r="T8" s="47">
        <v>1850040</v>
      </c>
      <c r="U8" s="47">
        <v>1833900</v>
      </c>
      <c r="V8" s="47">
        <v>1482560</v>
      </c>
      <c r="W8" s="47">
        <v>1684610</v>
      </c>
      <c r="X8" s="47">
        <v>1522330</v>
      </c>
      <c r="Y8" s="47">
        <v>2301980</v>
      </c>
      <c r="Z8" s="47">
        <v>841670</v>
      </c>
      <c r="AA8" s="47">
        <v>1400360</v>
      </c>
      <c r="AB8" s="47">
        <v>1404180</v>
      </c>
      <c r="AC8" s="47">
        <v>1583400</v>
      </c>
      <c r="AD8" s="47">
        <v>1670480</v>
      </c>
      <c r="AE8" s="47">
        <v>2058820</v>
      </c>
      <c r="AF8" s="47">
        <v>2167880</v>
      </c>
      <c r="AG8" s="47">
        <v>726840</v>
      </c>
      <c r="AH8" s="47">
        <v>1920190</v>
      </c>
      <c r="AI8" s="47">
        <v>2026240</v>
      </c>
      <c r="AJ8" s="116"/>
      <c r="AK8" s="118">
        <f>SUM(F8:AI8)</f>
        <v>47077990</v>
      </c>
    </row>
    <row r="9" spans="2:37">
      <c r="B9" s="39"/>
      <c r="C9" s="44" t="s">
        <v>11</v>
      </c>
      <c r="D9" s="45"/>
      <c r="E9" s="46" t="s">
        <v>10</v>
      </c>
      <c r="F9" s="47">
        <v>1467680</v>
      </c>
      <c r="G9" s="47">
        <v>502120</v>
      </c>
      <c r="H9" s="47">
        <v>1041050</v>
      </c>
      <c r="I9" s="47">
        <v>1075810</v>
      </c>
      <c r="J9" s="47">
        <v>1145490</v>
      </c>
      <c r="K9" s="47">
        <v>2223770</v>
      </c>
      <c r="L9" s="47">
        <v>742750</v>
      </c>
      <c r="M9" s="47">
        <v>1348920</v>
      </c>
      <c r="N9" s="47">
        <v>1566720</v>
      </c>
      <c r="O9" s="47">
        <v>2141850</v>
      </c>
      <c r="P9" s="47">
        <v>1737570</v>
      </c>
      <c r="Q9" s="47">
        <v>1963020</v>
      </c>
      <c r="R9" s="47">
        <v>2202720</v>
      </c>
      <c r="S9" s="47">
        <v>1422960</v>
      </c>
      <c r="T9" s="47">
        <v>1849150</v>
      </c>
      <c r="U9" s="47">
        <v>1832330</v>
      </c>
      <c r="V9" s="47">
        <v>1481320</v>
      </c>
      <c r="W9" s="47">
        <v>1683150</v>
      </c>
      <c r="X9" s="47">
        <v>1522410</v>
      </c>
      <c r="Y9" s="47">
        <v>2298760</v>
      </c>
      <c r="Z9" s="47">
        <v>841300</v>
      </c>
      <c r="AA9" s="47">
        <v>1398180</v>
      </c>
      <c r="AB9" s="47">
        <v>1403140</v>
      </c>
      <c r="AC9" s="47">
        <v>1582730</v>
      </c>
      <c r="AD9" s="47">
        <v>1667510</v>
      </c>
      <c r="AE9" s="47">
        <v>2057930</v>
      </c>
      <c r="AF9" s="47">
        <v>2166580</v>
      </c>
      <c r="AG9" s="47">
        <v>725970</v>
      </c>
      <c r="AH9" s="47">
        <v>1918250</v>
      </c>
      <c r="AI9" s="47">
        <v>2024970</v>
      </c>
      <c r="AJ9" s="116"/>
      <c r="AK9" s="118">
        <f>SUM(F9:AI9)</f>
        <v>47036110</v>
      </c>
    </row>
    <row r="10" spans="2:37">
      <c r="B10" s="39"/>
      <c r="C10" s="48" t="s">
        <v>12</v>
      </c>
      <c r="D10" s="49"/>
      <c r="E10" s="50" t="s">
        <v>13</v>
      </c>
      <c r="F10" s="51">
        <f t="shared" ref="F10:AI10" si="0">((F9-F8)/F8)*100</f>
        <v>-0.14287852603791043</v>
      </c>
      <c r="G10" s="51">
        <f t="shared" si="0"/>
        <v>-0.16105621060584971</v>
      </c>
      <c r="H10" s="51">
        <f t="shared" si="0"/>
        <v>-0.11992708433272571</v>
      </c>
      <c r="I10" s="51">
        <f t="shared" si="0"/>
        <v>-0.11883872285510032</v>
      </c>
      <c r="J10" s="51">
        <f t="shared" si="0"/>
        <v>-8.2865217543002689E-2</v>
      </c>
      <c r="K10" s="51">
        <f t="shared" si="0"/>
        <v>-9.5691630351767823E-2</v>
      </c>
      <c r="L10" s="51">
        <f t="shared" si="0"/>
        <v>-0.12639675133456144</v>
      </c>
      <c r="M10" s="51">
        <f t="shared" si="0"/>
        <v>-7.4078463908972381E-2</v>
      </c>
      <c r="N10" s="51">
        <f t="shared" si="0"/>
        <v>-0.12494581431522045</v>
      </c>
      <c r="O10" s="51">
        <f t="shared" si="0"/>
        <v>-0.1575588631522028</v>
      </c>
      <c r="P10" s="51">
        <f t="shared" si="0"/>
        <v>-0.13161978549998274</v>
      </c>
      <c r="Q10" s="51">
        <f t="shared" si="0"/>
        <v>-9.9746562305977657E-2</v>
      </c>
      <c r="R10" s="51">
        <f t="shared" si="0"/>
        <v>1.8616815979585071E-2</v>
      </c>
      <c r="S10" s="51">
        <f t="shared" si="0"/>
        <v>-3.0911901081916538E-2</v>
      </c>
      <c r="T10" s="51">
        <f t="shared" si="0"/>
        <v>-4.810706795528745E-2</v>
      </c>
      <c r="U10" s="51">
        <f t="shared" si="0"/>
        <v>-8.5609902393805559E-2</v>
      </c>
      <c r="V10" s="51">
        <f t="shared" si="0"/>
        <v>-8.3639110727390456E-2</v>
      </c>
      <c r="W10" s="51">
        <f t="shared" si="0"/>
        <v>-8.6666943684294881E-2</v>
      </c>
      <c r="X10" s="51">
        <f t="shared" si="0"/>
        <v>5.2551023759631619E-3</v>
      </c>
      <c r="Y10" s="51">
        <f t="shared" si="0"/>
        <v>-0.13987958192512531</v>
      </c>
      <c r="Z10" s="51">
        <f t="shared" si="0"/>
        <v>-4.3960221939715091E-2</v>
      </c>
      <c r="AA10" s="51">
        <f t="shared" si="0"/>
        <v>-0.15567425519152217</v>
      </c>
      <c r="AB10" s="51">
        <f t="shared" si="0"/>
        <v>-7.4064578615277238E-2</v>
      </c>
      <c r="AC10" s="51">
        <f t="shared" si="0"/>
        <v>-4.2314007831249209E-2</v>
      </c>
      <c r="AD10" s="51">
        <f t="shared" si="0"/>
        <v>-0.17779320913749341</v>
      </c>
      <c r="AE10" s="51">
        <f t="shared" si="0"/>
        <v>-4.3228645534820913E-2</v>
      </c>
      <c r="AF10" s="51">
        <f t="shared" si="0"/>
        <v>-5.9966418805468942E-2</v>
      </c>
      <c r="AG10" s="51">
        <f t="shared" si="0"/>
        <v>-0.11969621925045403</v>
      </c>
      <c r="AH10" s="51">
        <f t="shared" si="0"/>
        <v>-0.10103166874111415</v>
      </c>
      <c r="AI10" s="51">
        <f t="shared" si="0"/>
        <v>-6.2677668982943788E-2</v>
      </c>
      <c r="AJ10" s="116"/>
      <c r="AK10" s="119">
        <f>((AK9-AK8)/AK8)*100</f>
        <v>-8.8958768205694413E-2</v>
      </c>
    </row>
    <row r="11" spans="2:37">
      <c r="B11" s="39"/>
      <c r="C11" s="40" t="s">
        <v>14</v>
      </c>
      <c r="D11" s="41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116"/>
      <c r="AK11" s="117" t="s">
        <v>8</v>
      </c>
    </row>
    <row r="12" spans="2:37">
      <c r="B12" s="39"/>
      <c r="C12" s="44" t="s">
        <v>15</v>
      </c>
      <c r="D12" s="45"/>
      <c r="E12" s="46" t="s">
        <v>10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472957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662416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455560</v>
      </c>
      <c r="Z12" s="47">
        <v>0</v>
      </c>
      <c r="AA12" s="47">
        <v>564553</v>
      </c>
      <c r="AB12" s="47">
        <v>0</v>
      </c>
      <c r="AC12" s="47">
        <v>0</v>
      </c>
      <c r="AD12" s="47">
        <v>532057</v>
      </c>
      <c r="AE12" s="47">
        <v>0</v>
      </c>
      <c r="AF12" s="47">
        <v>0</v>
      </c>
      <c r="AG12" s="47">
        <v>0</v>
      </c>
      <c r="AH12" s="47">
        <v>630076</v>
      </c>
      <c r="AI12" s="47">
        <v>0</v>
      </c>
      <c r="AJ12" s="116"/>
      <c r="AK12" s="118">
        <f>SUM(F12:AI12)</f>
        <v>3317619</v>
      </c>
    </row>
    <row r="13" spans="2:37">
      <c r="B13" s="39"/>
      <c r="C13" s="44" t="s">
        <v>16</v>
      </c>
      <c r="D13" s="45"/>
      <c r="E13" s="46" t="s">
        <v>10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472858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662245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455474</v>
      </c>
      <c r="Z13" s="47">
        <v>0</v>
      </c>
      <c r="AA13" s="47">
        <v>564160</v>
      </c>
      <c r="AB13" s="47">
        <v>0</v>
      </c>
      <c r="AC13" s="47">
        <v>0</v>
      </c>
      <c r="AD13" s="47">
        <v>531647</v>
      </c>
      <c r="AE13" s="47">
        <v>0</v>
      </c>
      <c r="AF13" s="47">
        <v>0</v>
      </c>
      <c r="AG13" s="47">
        <v>0</v>
      </c>
      <c r="AH13" s="47">
        <v>629792</v>
      </c>
      <c r="AI13" s="47">
        <v>0</v>
      </c>
      <c r="AJ13" s="116"/>
      <c r="AK13" s="118">
        <f>SUM(F13:AI13)</f>
        <v>3316176</v>
      </c>
    </row>
    <row r="14" spans="2:37">
      <c r="B14" s="39"/>
      <c r="C14" s="48" t="s">
        <v>17</v>
      </c>
      <c r="D14" s="49"/>
      <c r="E14" s="50" t="s">
        <v>13</v>
      </c>
      <c r="F14" s="51" t="e">
        <f t="shared" ref="F14:AI14" si="1">((F13-F12)/F12)*100</f>
        <v>#DIV/0!</v>
      </c>
      <c r="G14" s="51" t="e">
        <f t="shared" si="1"/>
        <v>#DIV/0!</v>
      </c>
      <c r="H14" s="51" t="e">
        <f t="shared" si="1"/>
        <v>#DIV/0!</v>
      </c>
      <c r="I14" s="51" t="e">
        <f t="shared" si="1"/>
        <v>#DIV/0!</v>
      </c>
      <c r="J14" s="51" t="e">
        <f t="shared" si="1"/>
        <v>#DIV/0!</v>
      </c>
      <c r="K14" s="51">
        <f t="shared" si="1"/>
        <v>-2.0932135479546764E-2</v>
      </c>
      <c r="L14" s="51" t="e">
        <f t="shared" si="1"/>
        <v>#DIV/0!</v>
      </c>
      <c r="M14" s="51" t="e">
        <f t="shared" si="1"/>
        <v>#DIV/0!</v>
      </c>
      <c r="N14" s="51" t="e">
        <f t="shared" si="1"/>
        <v>#DIV/0!</v>
      </c>
      <c r="O14" s="51" t="e">
        <f t="shared" si="1"/>
        <v>#DIV/0!</v>
      </c>
      <c r="P14" s="51" t="e">
        <f t="shared" si="1"/>
        <v>#DIV/0!</v>
      </c>
      <c r="Q14" s="51" t="e">
        <f t="shared" si="1"/>
        <v>#DIV/0!</v>
      </c>
      <c r="R14" s="51">
        <f t="shared" si="1"/>
        <v>-2.5814593850390088E-2</v>
      </c>
      <c r="S14" s="51" t="e">
        <f t="shared" si="1"/>
        <v>#DIV/0!</v>
      </c>
      <c r="T14" s="51" t="e">
        <f t="shared" si="1"/>
        <v>#DIV/0!</v>
      </c>
      <c r="U14" s="51" t="e">
        <f t="shared" si="1"/>
        <v>#DIV/0!</v>
      </c>
      <c r="V14" s="51" t="e">
        <f t="shared" si="1"/>
        <v>#DIV/0!</v>
      </c>
      <c r="W14" s="51" t="e">
        <f t="shared" si="1"/>
        <v>#DIV/0!</v>
      </c>
      <c r="X14" s="51" t="e">
        <f t="shared" si="1"/>
        <v>#DIV/0!</v>
      </c>
      <c r="Y14" s="51">
        <f t="shared" si="1"/>
        <v>-1.8877864606198964E-2</v>
      </c>
      <c r="Z14" s="51" t="e">
        <f t="shared" si="1"/>
        <v>#DIV/0!</v>
      </c>
      <c r="AA14" s="51">
        <f t="shared" si="1"/>
        <v>-6.9612596160147949E-2</v>
      </c>
      <c r="AB14" s="51" t="e">
        <f t="shared" si="1"/>
        <v>#DIV/0!</v>
      </c>
      <c r="AC14" s="51" t="e">
        <f t="shared" si="1"/>
        <v>#DIV/0!</v>
      </c>
      <c r="AD14" s="51">
        <f t="shared" si="1"/>
        <v>-7.7059412807274408E-2</v>
      </c>
      <c r="AE14" s="51" t="e">
        <f t="shared" si="1"/>
        <v>#DIV/0!</v>
      </c>
      <c r="AF14" s="51" t="e">
        <f t="shared" si="1"/>
        <v>#DIV/0!</v>
      </c>
      <c r="AG14" s="51" t="e">
        <f t="shared" si="1"/>
        <v>#DIV/0!</v>
      </c>
      <c r="AH14" s="51">
        <f t="shared" si="1"/>
        <v>-4.5073927589687597E-2</v>
      </c>
      <c r="AI14" s="51" t="e">
        <f t="shared" si="1"/>
        <v>#DIV/0!</v>
      </c>
      <c r="AJ14" s="116"/>
      <c r="AK14" s="119">
        <f>((AK13-AK12)/AK12)*100</f>
        <v>-4.3495048708124713E-2</v>
      </c>
    </row>
    <row r="15" spans="2:37">
      <c r="B15" s="39"/>
      <c r="C15" s="52" t="s">
        <v>18</v>
      </c>
      <c r="D15" s="45"/>
      <c r="E15" s="46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116"/>
      <c r="AK15" s="120" t="s">
        <v>19</v>
      </c>
    </row>
    <row r="16" spans="2:37">
      <c r="B16" s="39"/>
      <c r="C16" s="44" t="s">
        <v>9</v>
      </c>
      <c r="D16" s="45"/>
      <c r="E16" s="46" t="s">
        <v>10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116"/>
      <c r="AK16" s="118">
        <f>SUM(F16:AI16)</f>
        <v>0</v>
      </c>
    </row>
    <row r="17" spans="1:15171">
      <c r="B17" s="39"/>
      <c r="C17" s="44" t="s">
        <v>11</v>
      </c>
      <c r="D17" s="45"/>
      <c r="E17" s="46" t="s">
        <v>10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116"/>
      <c r="AK17" s="118">
        <f>SUM(F17:AI17)</f>
        <v>0</v>
      </c>
    </row>
    <row r="18" spans="1:15171">
      <c r="B18" s="39"/>
      <c r="C18" s="44" t="s">
        <v>12</v>
      </c>
      <c r="D18" s="45"/>
      <c r="E18" s="46" t="s">
        <v>13</v>
      </c>
      <c r="F18" s="53" t="e">
        <f t="shared" ref="F18:AI18" si="2">((F17-F16)/F16)*100</f>
        <v>#DIV/0!</v>
      </c>
      <c r="G18" s="53" t="e">
        <f t="shared" si="2"/>
        <v>#DIV/0!</v>
      </c>
      <c r="H18" s="53" t="e">
        <f t="shared" si="2"/>
        <v>#DIV/0!</v>
      </c>
      <c r="I18" s="53" t="e">
        <f t="shared" si="2"/>
        <v>#DIV/0!</v>
      </c>
      <c r="J18" s="53" t="e">
        <f t="shared" si="2"/>
        <v>#DIV/0!</v>
      </c>
      <c r="K18" s="53" t="e">
        <f t="shared" si="2"/>
        <v>#DIV/0!</v>
      </c>
      <c r="L18" s="53" t="e">
        <f t="shared" si="2"/>
        <v>#DIV/0!</v>
      </c>
      <c r="M18" s="53" t="e">
        <f t="shared" si="2"/>
        <v>#DIV/0!</v>
      </c>
      <c r="N18" s="53" t="e">
        <f t="shared" si="2"/>
        <v>#DIV/0!</v>
      </c>
      <c r="O18" s="53" t="e">
        <f t="shared" si="2"/>
        <v>#DIV/0!</v>
      </c>
      <c r="P18" s="53" t="e">
        <f t="shared" si="2"/>
        <v>#DIV/0!</v>
      </c>
      <c r="Q18" s="53" t="e">
        <f t="shared" si="2"/>
        <v>#DIV/0!</v>
      </c>
      <c r="R18" s="53" t="e">
        <f t="shared" si="2"/>
        <v>#DIV/0!</v>
      </c>
      <c r="S18" s="53" t="e">
        <f t="shared" si="2"/>
        <v>#DIV/0!</v>
      </c>
      <c r="T18" s="53" t="e">
        <f t="shared" si="2"/>
        <v>#DIV/0!</v>
      </c>
      <c r="U18" s="53" t="e">
        <f t="shared" si="2"/>
        <v>#DIV/0!</v>
      </c>
      <c r="V18" s="53" t="e">
        <f t="shared" si="2"/>
        <v>#DIV/0!</v>
      </c>
      <c r="W18" s="53" t="e">
        <f t="shared" si="2"/>
        <v>#DIV/0!</v>
      </c>
      <c r="X18" s="53" t="e">
        <f t="shared" si="2"/>
        <v>#DIV/0!</v>
      </c>
      <c r="Y18" s="53" t="e">
        <f t="shared" si="2"/>
        <v>#DIV/0!</v>
      </c>
      <c r="Z18" s="53" t="e">
        <f t="shared" si="2"/>
        <v>#DIV/0!</v>
      </c>
      <c r="AA18" s="53" t="e">
        <f t="shared" si="2"/>
        <v>#DIV/0!</v>
      </c>
      <c r="AB18" s="53" t="e">
        <f t="shared" si="2"/>
        <v>#DIV/0!</v>
      </c>
      <c r="AC18" s="53" t="e">
        <f t="shared" si="2"/>
        <v>#DIV/0!</v>
      </c>
      <c r="AD18" s="53" t="e">
        <f t="shared" si="2"/>
        <v>#DIV/0!</v>
      </c>
      <c r="AE18" s="53" t="e">
        <f t="shared" si="2"/>
        <v>#DIV/0!</v>
      </c>
      <c r="AF18" s="53" t="e">
        <f t="shared" si="2"/>
        <v>#DIV/0!</v>
      </c>
      <c r="AG18" s="53" t="e">
        <f t="shared" si="2"/>
        <v>#DIV/0!</v>
      </c>
      <c r="AH18" s="53" t="e">
        <f t="shared" si="2"/>
        <v>#DIV/0!</v>
      </c>
      <c r="AI18" s="53" t="e">
        <f t="shared" si="2"/>
        <v>#DIV/0!</v>
      </c>
      <c r="AJ18" s="121"/>
      <c r="AK18" s="122" t="e">
        <f>((AK17-AK16)/AK16)*100</f>
        <v>#DIV/0!</v>
      </c>
    </row>
    <row r="19" spans="1:15171">
      <c r="B19" s="39"/>
      <c r="C19" s="54" t="s">
        <v>20</v>
      </c>
      <c r="D19" s="55"/>
      <c r="E19" s="56" t="s">
        <v>10</v>
      </c>
      <c r="F19" s="57">
        <f t="shared" ref="F19:AI19" si="3">SUM(F9,F13,F17)</f>
        <v>1467680</v>
      </c>
      <c r="G19" s="57">
        <f t="shared" si="3"/>
        <v>502120</v>
      </c>
      <c r="H19" s="57">
        <f t="shared" si="3"/>
        <v>1041050</v>
      </c>
      <c r="I19" s="57">
        <f t="shared" si="3"/>
        <v>1075810</v>
      </c>
      <c r="J19" s="57">
        <f t="shared" si="3"/>
        <v>1145490</v>
      </c>
      <c r="K19" s="57">
        <f t="shared" si="3"/>
        <v>2696628</v>
      </c>
      <c r="L19" s="57">
        <f t="shared" si="3"/>
        <v>742750</v>
      </c>
      <c r="M19" s="57">
        <f t="shared" si="3"/>
        <v>1348920</v>
      </c>
      <c r="N19" s="57">
        <f t="shared" si="3"/>
        <v>1566720</v>
      </c>
      <c r="O19" s="57">
        <f t="shared" si="3"/>
        <v>2141850</v>
      </c>
      <c r="P19" s="57">
        <f t="shared" si="3"/>
        <v>1737570</v>
      </c>
      <c r="Q19" s="57">
        <f t="shared" si="3"/>
        <v>1963020</v>
      </c>
      <c r="R19" s="57">
        <f t="shared" si="3"/>
        <v>2864965</v>
      </c>
      <c r="S19" s="57">
        <f t="shared" si="3"/>
        <v>1422960</v>
      </c>
      <c r="T19" s="57">
        <f t="shared" si="3"/>
        <v>1849150</v>
      </c>
      <c r="U19" s="57">
        <f t="shared" si="3"/>
        <v>1832330</v>
      </c>
      <c r="V19" s="57">
        <f t="shared" si="3"/>
        <v>1481320</v>
      </c>
      <c r="W19" s="57">
        <f t="shared" si="3"/>
        <v>1683150</v>
      </c>
      <c r="X19" s="57">
        <f t="shared" si="3"/>
        <v>1522410</v>
      </c>
      <c r="Y19" s="57">
        <f t="shared" si="3"/>
        <v>2754234</v>
      </c>
      <c r="Z19" s="57">
        <f t="shared" si="3"/>
        <v>841300</v>
      </c>
      <c r="AA19" s="57">
        <f t="shared" si="3"/>
        <v>1962340</v>
      </c>
      <c r="AB19" s="57">
        <f t="shared" si="3"/>
        <v>1403140</v>
      </c>
      <c r="AC19" s="57">
        <f t="shared" si="3"/>
        <v>1582730</v>
      </c>
      <c r="AD19" s="57">
        <f t="shared" si="3"/>
        <v>2199157</v>
      </c>
      <c r="AE19" s="57">
        <f t="shared" si="3"/>
        <v>2057930</v>
      </c>
      <c r="AF19" s="57">
        <f t="shared" si="3"/>
        <v>2166580</v>
      </c>
      <c r="AG19" s="57">
        <f t="shared" si="3"/>
        <v>725970</v>
      </c>
      <c r="AH19" s="57">
        <f t="shared" si="3"/>
        <v>2548042</v>
      </c>
      <c r="AI19" s="57">
        <f t="shared" si="3"/>
        <v>2024970</v>
      </c>
      <c r="AJ19" s="116"/>
      <c r="AK19" s="123">
        <f>SUM(AK9,AK13,AK17)</f>
        <v>50352286</v>
      </c>
      <c r="AL19" s="116"/>
      <c r="AM19" s="33">
        <f>AK19/1000/AK22</f>
        <v>1678.4095333333332</v>
      </c>
    </row>
    <row r="20" spans="1:15171">
      <c r="B20" s="58">
        <v>2</v>
      </c>
      <c r="C20" s="40" t="s">
        <v>21</v>
      </c>
      <c r="D20" s="59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112"/>
      <c r="AD20" s="60"/>
      <c r="AE20" s="60"/>
      <c r="AF20" s="60"/>
      <c r="AG20" s="60"/>
      <c r="AH20" s="112"/>
      <c r="AI20" s="112"/>
      <c r="AJ20" s="116"/>
      <c r="AK20" s="227" t="s">
        <v>22</v>
      </c>
    </row>
    <row r="21" spans="1:15171">
      <c r="B21" s="61"/>
      <c r="C21" s="62" t="s">
        <v>23</v>
      </c>
      <c r="D21" s="41"/>
      <c r="E21" s="42"/>
      <c r="F21" s="63"/>
      <c r="G21" s="277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109"/>
      <c r="U21" s="110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116"/>
      <c r="AK21" s="124" t="s">
        <v>23</v>
      </c>
    </row>
    <row r="22" spans="1:15171">
      <c r="B22" s="61"/>
      <c r="C22" s="44" t="s">
        <v>24</v>
      </c>
      <c r="D22" s="45"/>
      <c r="E22" s="46" t="s">
        <v>25</v>
      </c>
      <c r="F22" s="64">
        <v>1</v>
      </c>
      <c r="G22" s="64">
        <v>1</v>
      </c>
      <c r="H22" s="64">
        <v>1</v>
      </c>
      <c r="I22" s="64">
        <v>1</v>
      </c>
      <c r="J22" s="64">
        <v>1</v>
      </c>
      <c r="K22" s="64">
        <v>1</v>
      </c>
      <c r="L22" s="64">
        <v>1</v>
      </c>
      <c r="M22" s="64">
        <v>1</v>
      </c>
      <c r="N22" s="64">
        <v>1</v>
      </c>
      <c r="O22" s="64">
        <v>1</v>
      </c>
      <c r="P22" s="64">
        <v>1</v>
      </c>
      <c r="Q22" s="64">
        <v>1</v>
      </c>
      <c r="R22" s="64">
        <v>1</v>
      </c>
      <c r="S22" s="64">
        <v>1</v>
      </c>
      <c r="T22" s="64">
        <v>1</v>
      </c>
      <c r="U22" s="64">
        <v>1</v>
      </c>
      <c r="V22" s="64">
        <v>1</v>
      </c>
      <c r="W22" s="64">
        <v>1</v>
      </c>
      <c r="X22" s="64">
        <v>1</v>
      </c>
      <c r="Y22" s="64">
        <v>1</v>
      </c>
      <c r="Z22" s="64">
        <v>1</v>
      </c>
      <c r="AA22" s="64">
        <v>1</v>
      </c>
      <c r="AB22" s="64">
        <v>1</v>
      </c>
      <c r="AC22" s="64">
        <v>1</v>
      </c>
      <c r="AD22" s="64">
        <v>1</v>
      </c>
      <c r="AE22" s="64">
        <v>1</v>
      </c>
      <c r="AF22" s="64">
        <v>1</v>
      </c>
      <c r="AG22" s="64">
        <v>1</v>
      </c>
      <c r="AH22" s="64">
        <v>1</v>
      </c>
      <c r="AI22" s="64">
        <v>1</v>
      </c>
      <c r="AJ22" s="116"/>
      <c r="AK22" s="125">
        <f>SUM(F22:AI22)</f>
        <v>30</v>
      </c>
      <c r="AL22" s="33"/>
      <c r="AN22" s="116">
        <f>SUM(W22:AC22)</f>
        <v>7</v>
      </c>
      <c r="AO22" s="116"/>
      <c r="AP22" s="263">
        <v>52153</v>
      </c>
    </row>
    <row r="23" spans="1:15171" s="1" customFormat="1">
      <c r="B23" s="65"/>
      <c r="C23" s="66" t="s">
        <v>26</v>
      </c>
      <c r="D23" s="67">
        <v>2000000</v>
      </c>
      <c r="E23" s="68" t="s">
        <v>10</v>
      </c>
      <c r="F23" s="69">
        <v>1582108</v>
      </c>
      <c r="G23" s="69">
        <v>1670596</v>
      </c>
      <c r="H23" s="69">
        <v>1643526</v>
      </c>
      <c r="I23" s="69">
        <v>1438284</v>
      </c>
      <c r="J23" s="69">
        <v>1445286</v>
      </c>
      <c r="K23" s="69">
        <v>1439700</v>
      </c>
      <c r="L23" s="69">
        <v>1438728</v>
      </c>
      <c r="M23" s="69">
        <v>1485627</v>
      </c>
      <c r="N23" s="69">
        <v>1535227</v>
      </c>
      <c r="O23" s="69">
        <v>1559270</v>
      </c>
      <c r="P23" s="69">
        <v>1531711</v>
      </c>
      <c r="Q23" s="69">
        <v>1570189</v>
      </c>
      <c r="R23" s="69">
        <v>1546580</v>
      </c>
      <c r="S23" s="69">
        <v>1653794</v>
      </c>
      <c r="T23" s="69">
        <v>1720139</v>
      </c>
      <c r="U23" s="69">
        <v>1781318</v>
      </c>
      <c r="V23" s="69">
        <v>1878706</v>
      </c>
      <c r="W23" s="69">
        <v>1828368</v>
      </c>
      <c r="X23" s="69">
        <v>1790009</v>
      </c>
      <c r="Y23" s="69">
        <v>1349900</v>
      </c>
      <c r="Z23" s="69">
        <v>1941857</v>
      </c>
      <c r="AA23" s="69">
        <v>1695490</v>
      </c>
      <c r="AB23" s="69">
        <v>1973456</v>
      </c>
      <c r="AC23" s="69">
        <v>1792703</v>
      </c>
      <c r="AD23" s="69">
        <v>1814192</v>
      </c>
      <c r="AE23" s="69">
        <v>1610189</v>
      </c>
      <c r="AF23" s="69">
        <v>1847489</v>
      </c>
      <c r="AG23" s="69">
        <v>1955890</v>
      </c>
      <c r="AH23" s="69">
        <v>1609474</v>
      </c>
      <c r="AI23" s="69">
        <v>1604001</v>
      </c>
      <c r="AJ23" s="126"/>
      <c r="AK23" s="125">
        <f>SUM(F23:AI23)</f>
        <v>49733807</v>
      </c>
      <c r="AL23" s="127"/>
      <c r="AM23" s="127">
        <f>AK23/1000/AK22</f>
        <v>1657.7935666666667</v>
      </c>
      <c r="AN23" s="116">
        <f>SUM(W23:AC23)</f>
        <v>12371783</v>
      </c>
      <c r="AO23" s="116">
        <f>AN23/1000</f>
        <v>12371.782999999999</v>
      </c>
      <c r="AP23" s="270">
        <f>AK23/1000</f>
        <v>49733.807000000001</v>
      </c>
      <c r="AQ23" s="271">
        <f>AP22-AP23</f>
        <v>2419.1929999999993</v>
      </c>
      <c r="BV23" s="270"/>
    </row>
    <row r="24" spans="1:15171" s="1" customFormat="1" hidden="1">
      <c r="B24" s="65"/>
      <c r="C24" s="66" t="s">
        <v>27</v>
      </c>
      <c r="D24" s="67"/>
      <c r="E24" s="68" t="s">
        <v>10</v>
      </c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126"/>
      <c r="AK24" s="118">
        <f>SUM(F24:AI24)</f>
        <v>0</v>
      </c>
      <c r="AL24" s="127"/>
      <c r="AM24" s="127"/>
    </row>
    <row r="25" spans="1:15171" s="2" customFormat="1">
      <c r="A25" s="21"/>
      <c r="B25" s="70"/>
      <c r="C25" s="228" t="s">
        <v>28</v>
      </c>
      <c r="D25" s="71">
        <v>5</v>
      </c>
      <c r="E25" s="72" t="s">
        <v>13</v>
      </c>
      <c r="F25" s="73">
        <v>4.05</v>
      </c>
      <c r="G25" s="73">
        <v>3.97</v>
      </c>
      <c r="H25" s="73">
        <v>3.96</v>
      </c>
      <c r="I25" s="73">
        <v>4.01</v>
      </c>
      <c r="J25" s="73">
        <v>4.42</v>
      </c>
      <c r="K25" s="73">
        <v>4.09</v>
      </c>
      <c r="L25" s="73">
        <v>4.21</v>
      </c>
      <c r="M25" s="73">
        <v>3.94</v>
      </c>
      <c r="N25" s="73">
        <v>4.04</v>
      </c>
      <c r="O25" s="73">
        <v>3.99</v>
      </c>
      <c r="P25" s="73">
        <v>4.12</v>
      </c>
      <c r="Q25" s="73">
        <v>4.08</v>
      </c>
      <c r="R25" s="73">
        <v>4.03</v>
      </c>
      <c r="S25" s="73">
        <v>4.08</v>
      </c>
      <c r="T25" s="73">
        <v>4.16</v>
      </c>
      <c r="U25" s="73">
        <v>4.1500000000000004</v>
      </c>
      <c r="V25" s="73">
        <v>4.12</v>
      </c>
      <c r="W25" s="73">
        <v>4.12</v>
      </c>
      <c r="X25" s="73">
        <v>4.18</v>
      </c>
      <c r="Y25" s="73">
        <v>4.24</v>
      </c>
      <c r="Z25" s="73">
        <v>4.21</v>
      </c>
      <c r="AA25" s="73">
        <v>4.1900000000000004</v>
      </c>
      <c r="AB25" s="73">
        <v>4.18</v>
      </c>
      <c r="AC25" s="73">
        <v>4.3499999999999996</v>
      </c>
      <c r="AD25" s="73">
        <v>4.22</v>
      </c>
      <c r="AE25" s="73">
        <v>4.18</v>
      </c>
      <c r="AF25" s="73">
        <v>4.16</v>
      </c>
      <c r="AG25" s="73">
        <v>4.1900000000000004</v>
      </c>
      <c r="AH25" s="73">
        <v>4.2300000000000004</v>
      </c>
      <c r="AI25" s="73">
        <v>4.2</v>
      </c>
      <c r="AK25" s="128">
        <f>AVERAGE(F25:AI25)</f>
        <v>4.1356666666666664</v>
      </c>
      <c r="AL25" s="129"/>
      <c r="AM25" s="129"/>
      <c r="AN25" s="265">
        <f>AVERAGE(P25:U25)</f>
        <v>4.1033333333333344</v>
      </c>
      <c r="AO25" s="280">
        <f>AO23/AN22</f>
        <v>1767.3975714285714</v>
      </c>
      <c r="AP25" s="272">
        <f>AP23/AP22*100</f>
        <v>95.361354092765509</v>
      </c>
      <c r="AQ25" s="21">
        <f>30-18</f>
        <v>12</v>
      </c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9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1"/>
      <c r="AML25" s="21"/>
      <c r="AMM25" s="21"/>
      <c r="AMN25" s="21"/>
      <c r="AMO25" s="21"/>
      <c r="AMP25" s="21"/>
      <c r="AMQ25" s="21"/>
      <c r="AMR25" s="21"/>
      <c r="AMS25" s="21"/>
      <c r="AMT25" s="21"/>
      <c r="AMU25" s="21"/>
      <c r="AMV25" s="21"/>
      <c r="AMW25" s="21"/>
      <c r="AMX25" s="21"/>
      <c r="AMY25" s="21"/>
      <c r="AMZ25" s="21"/>
      <c r="ANA25" s="21"/>
      <c r="ANB25" s="21"/>
      <c r="ANC25" s="21"/>
      <c r="AND25" s="21"/>
      <c r="ANE25" s="21"/>
      <c r="ANF25" s="21"/>
      <c r="ANG25" s="21"/>
      <c r="ANH25" s="21"/>
      <c r="ANI25" s="21"/>
      <c r="ANJ25" s="21"/>
      <c r="ANK25" s="21"/>
      <c r="ANL25" s="21"/>
      <c r="ANM25" s="21"/>
      <c r="ANN25" s="21"/>
      <c r="ANO25" s="21"/>
      <c r="ANP25" s="21"/>
      <c r="ANQ25" s="21"/>
      <c r="ANR25" s="21"/>
      <c r="ANS25" s="21"/>
      <c r="ANT25" s="21"/>
      <c r="ANU25" s="21"/>
      <c r="ANV25" s="21"/>
      <c r="ANW25" s="21"/>
      <c r="ANX25" s="21"/>
      <c r="ANY25" s="21"/>
      <c r="ANZ25" s="21"/>
      <c r="AOA25" s="21"/>
      <c r="AOB25" s="21"/>
      <c r="AOC25" s="21"/>
      <c r="AOD25" s="21"/>
      <c r="AOE25" s="21"/>
      <c r="AOF25" s="21"/>
      <c r="AOG25" s="21"/>
      <c r="AOH25" s="21"/>
      <c r="AOI25" s="21"/>
      <c r="AOJ25" s="21"/>
      <c r="AOK25" s="21"/>
      <c r="AOL25" s="21"/>
      <c r="AOM25" s="21"/>
      <c r="AON25" s="21"/>
      <c r="AOO25" s="21"/>
      <c r="AOP25" s="21"/>
      <c r="AOQ25" s="21"/>
      <c r="AOR25" s="21"/>
      <c r="AOS25" s="21"/>
      <c r="AOT25" s="21"/>
      <c r="AOU25" s="21"/>
      <c r="AOV25" s="21"/>
      <c r="AOW25" s="21"/>
      <c r="AOX25" s="21"/>
      <c r="AOY25" s="21"/>
      <c r="AOZ25" s="21"/>
      <c r="APA25" s="21"/>
      <c r="APB25" s="21"/>
      <c r="APC25" s="21"/>
      <c r="APD25" s="21"/>
      <c r="APE25" s="21"/>
      <c r="APF25" s="21"/>
      <c r="APG25" s="21"/>
      <c r="APH25" s="21"/>
      <c r="API25" s="21"/>
      <c r="APJ25" s="21"/>
      <c r="APK25" s="21"/>
      <c r="APL25" s="21"/>
      <c r="APM25" s="21"/>
      <c r="APN25" s="21"/>
      <c r="APO25" s="21"/>
      <c r="APP25" s="21"/>
      <c r="APQ25" s="21"/>
      <c r="APR25" s="21"/>
      <c r="APS25" s="21"/>
      <c r="APT25" s="21"/>
      <c r="APU25" s="21"/>
      <c r="APV25" s="21"/>
      <c r="APW25" s="21"/>
      <c r="APX25" s="21"/>
      <c r="APY25" s="21"/>
      <c r="APZ25" s="21"/>
      <c r="AQA25" s="21"/>
      <c r="AQB25" s="21"/>
      <c r="AQC25" s="21"/>
      <c r="AQD25" s="21"/>
      <c r="AQE25" s="21"/>
      <c r="AQF25" s="21"/>
      <c r="AQG25" s="21"/>
      <c r="AQH25" s="21"/>
      <c r="AQI25" s="21"/>
      <c r="AQJ25" s="21"/>
      <c r="AQK25" s="21"/>
      <c r="AQL25" s="21"/>
      <c r="AQM25" s="21"/>
      <c r="AQN25" s="21"/>
      <c r="AQO25" s="21"/>
      <c r="AQP25" s="21"/>
      <c r="AQQ25" s="21"/>
      <c r="AQR25" s="21"/>
      <c r="AQS25" s="21"/>
      <c r="AQT25" s="21"/>
      <c r="AQU25" s="21"/>
      <c r="AQV25" s="21"/>
      <c r="AQW25" s="21"/>
      <c r="AQX25" s="21"/>
      <c r="AQY25" s="21"/>
      <c r="AQZ25" s="21"/>
      <c r="ARA25" s="21"/>
      <c r="ARB25" s="21"/>
      <c r="ARC25" s="21"/>
      <c r="ARD25" s="21"/>
      <c r="ARE25" s="21"/>
      <c r="ARF25" s="21"/>
      <c r="ARG25" s="21"/>
      <c r="ARH25" s="21"/>
      <c r="ARI25" s="21"/>
      <c r="ARJ25" s="21"/>
      <c r="ARK25" s="21"/>
      <c r="ARL25" s="21"/>
      <c r="ARM25" s="21"/>
      <c r="ARN25" s="21"/>
      <c r="ARO25" s="21"/>
      <c r="ARP25" s="21"/>
      <c r="ARQ25" s="21"/>
      <c r="ARR25" s="21"/>
      <c r="ARS25" s="21"/>
      <c r="ART25" s="21"/>
      <c r="ARU25" s="21"/>
      <c r="ARV25" s="21"/>
      <c r="ARW25" s="21"/>
      <c r="ARX25" s="21"/>
      <c r="ARY25" s="21"/>
      <c r="ARZ25" s="21"/>
      <c r="ASA25" s="21"/>
      <c r="ASB25" s="21"/>
      <c r="ASC25" s="21"/>
      <c r="ASD25" s="21"/>
      <c r="ASE25" s="21"/>
      <c r="ASF25" s="21"/>
      <c r="ASG25" s="21"/>
      <c r="ASH25" s="21"/>
      <c r="ASI25" s="21"/>
      <c r="ASJ25" s="21"/>
      <c r="ASK25" s="21"/>
      <c r="ASL25" s="21"/>
      <c r="ASM25" s="21"/>
      <c r="ASN25" s="21"/>
      <c r="ASO25" s="21"/>
      <c r="ASP25" s="21"/>
      <c r="ASQ25" s="21"/>
      <c r="ASR25" s="21"/>
      <c r="ASS25" s="21"/>
      <c r="AST25" s="21"/>
      <c r="ASU25" s="21"/>
      <c r="ASV25" s="21"/>
      <c r="ASW25" s="21"/>
      <c r="ASX25" s="21"/>
      <c r="ASY25" s="21"/>
      <c r="ASZ25" s="21"/>
      <c r="ATA25" s="21"/>
      <c r="ATB25" s="21"/>
      <c r="ATC25" s="21"/>
      <c r="ATD25" s="21"/>
      <c r="ATE25" s="21"/>
      <c r="ATF25" s="21"/>
      <c r="ATG25" s="21"/>
      <c r="ATH25" s="21"/>
      <c r="ATI25" s="21"/>
      <c r="ATJ25" s="21"/>
      <c r="ATK25" s="21"/>
      <c r="ATL25" s="21"/>
      <c r="ATM25" s="21"/>
      <c r="ATN25" s="21"/>
      <c r="ATO25" s="21"/>
      <c r="ATP25" s="21"/>
      <c r="ATQ25" s="21"/>
      <c r="ATR25" s="21"/>
      <c r="ATS25" s="21"/>
      <c r="ATT25" s="21"/>
      <c r="ATU25" s="21"/>
      <c r="ATV25" s="21"/>
      <c r="ATW25" s="21"/>
      <c r="ATX25" s="21"/>
      <c r="ATY25" s="21"/>
      <c r="ATZ25" s="21"/>
      <c r="AUA25" s="21"/>
      <c r="AUB25" s="21"/>
      <c r="AUC25" s="21"/>
      <c r="AUD25" s="21"/>
      <c r="AUE25" s="21"/>
      <c r="AUF25" s="21"/>
      <c r="AUG25" s="21"/>
      <c r="AUH25" s="21"/>
      <c r="AUI25" s="21"/>
      <c r="AUJ25" s="21"/>
      <c r="AUK25" s="21"/>
      <c r="AUL25" s="21"/>
      <c r="AUM25" s="21"/>
      <c r="AUN25" s="21"/>
      <c r="AUO25" s="21"/>
      <c r="AUP25" s="21"/>
      <c r="AUQ25" s="21"/>
      <c r="AUR25" s="21"/>
      <c r="AUS25" s="21"/>
      <c r="AUT25" s="21"/>
      <c r="AUU25" s="21"/>
      <c r="AUV25" s="21"/>
      <c r="AUW25" s="21"/>
      <c r="AUX25" s="21"/>
      <c r="AUY25" s="21"/>
      <c r="AUZ25" s="21"/>
      <c r="AVA25" s="21"/>
      <c r="AVB25" s="21"/>
      <c r="AVC25" s="21"/>
      <c r="AVD25" s="21"/>
      <c r="AVE25" s="21"/>
      <c r="AVF25" s="21"/>
      <c r="AVG25" s="21"/>
      <c r="AVH25" s="21"/>
      <c r="AVI25" s="21"/>
      <c r="AVJ25" s="21"/>
      <c r="AVK25" s="21"/>
      <c r="AVL25" s="21"/>
      <c r="AVM25" s="21"/>
      <c r="AVN25" s="21"/>
      <c r="AVO25" s="21"/>
      <c r="AVP25" s="21"/>
      <c r="AVQ25" s="21"/>
      <c r="AVR25" s="21"/>
      <c r="AVS25" s="21"/>
      <c r="AVT25" s="21"/>
      <c r="AVU25" s="21"/>
      <c r="AVV25" s="21"/>
      <c r="AVW25" s="21"/>
      <c r="AVX25" s="21"/>
      <c r="AVY25" s="21"/>
      <c r="AVZ25" s="21"/>
      <c r="AWA25" s="21"/>
      <c r="AWB25" s="21"/>
      <c r="AWC25" s="21"/>
      <c r="AWD25" s="21"/>
      <c r="AWE25" s="21"/>
      <c r="AWF25" s="21"/>
      <c r="AWG25" s="21"/>
      <c r="AWH25" s="21"/>
      <c r="AWI25" s="21"/>
      <c r="AWJ25" s="21"/>
      <c r="AWK25" s="21"/>
      <c r="AWL25" s="21"/>
      <c r="AWM25" s="21"/>
      <c r="AWN25" s="21"/>
      <c r="AWO25" s="21"/>
      <c r="AWP25" s="21"/>
      <c r="AWQ25" s="21"/>
      <c r="AWR25" s="21"/>
      <c r="AWS25" s="21"/>
      <c r="AWT25" s="21"/>
      <c r="AWU25" s="21"/>
      <c r="AWV25" s="21"/>
      <c r="AWW25" s="21"/>
      <c r="AWX25" s="21"/>
      <c r="AWY25" s="21"/>
      <c r="AWZ25" s="21"/>
      <c r="AXA25" s="21"/>
      <c r="AXB25" s="21"/>
      <c r="AXC25" s="21"/>
      <c r="AXD25" s="21"/>
      <c r="AXE25" s="21"/>
      <c r="AXF25" s="21"/>
      <c r="AXG25" s="21"/>
      <c r="AXH25" s="21"/>
      <c r="AXI25" s="21"/>
      <c r="AXJ25" s="21"/>
      <c r="AXK25" s="21"/>
      <c r="AXL25" s="21"/>
      <c r="AXM25" s="21"/>
      <c r="AXN25" s="21"/>
      <c r="AXO25" s="21"/>
      <c r="AXP25" s="21"/>
      <c r="AXQ25" s="21"/>
      <c r="AXR25" s="21"/>
      <c r="AXS25" s="21"/>
      <c r="AXT25" s="21"/>
      <c r="AXU25" s="21"/>
      <c r="AXV25" s="21"/>
      <c r="AXW25" s="21"/>
      <c r="AXX25" s="21"/>
      <c r="AXY25" s="21"/>
      <c r="AXZ25" s="21"/>
      <c r="AYA25" s="21"/>
      <c r="AYB25" s="21"/>
      <c r="AYC25" s="21"/>
      <c r="AYD25" s="21"/>
      <c r="AYE25" s="21"/>
      <c r="AYF25" s="21"/>
      <c r="AYG25" s="21"/>
      <c r="AYH25" s="21"/>
      <c r="AYI25" s="21"/>
      <c r="AYJ25" s="21"/>
      <c r="AYK25" s="21"/>
      <c r="AYL25" s="21"/>
      <c r="AYM25" s="21"/>
      <c r="AYN25" s="21"/>
      <c r="AYO25" s="21"/>
      <c r="AYP25" s="21"/>
      <c r="AYQ25" s="21"/>
      <c r="AYR25" s="21"/>
      <c r="AYS25" s="21"/>
      <c r="AYT25" s="21"/>
      <c r="AYU25" s="21"/>
      <c r="AYV25" s="21"/>
      <c r="AYW25" s="21"/>
      <c r="AYX25" s="21"/>
      <c r="AYY25" s="21"/>
      <c r="AYZ25" s="21"/>
      <c r="AZA25" s="21"/>
      <c r="AZB25" s="21"/>
      <c r="AZC25" s="21"/>
      <c r="AZD25" s="21"/>
      <c r="AZE25" s="21"/>
      <c r="AZF25" s="21"/>
      <c r="AZG25" s="21"/>
      <c r="AZH25" s="21"/>
      <c r="AZI25" s="21"/>
      <c r="AZJ25" s="21"/>
      <c r="AZK25" s="21"/>
      <c r="AZL25" s="21"/>
      <c r="AZM25" s="21"/>
      <c r="AZN25" s="21"/>
      <c r="AZO25" s="21"/>
      <c r="AZP25" s="21"/>
      <c r="AZQ25" s="21"/>
      <c r="AZR25" s="21"/>
      <c r="AZS25" s="21"/>
      <c r="AZT25" s="21"/>
      <c r="AZU25" s="21"/>
      <c r="AZV25" s="21"/>
      <c r="AZW25" s="21"/>
      <c r="AZX25" s="21"/>
      <c r="AZY25" s="21"/>
      <c r="AZZ25" s="21"/>
      <c r="BAA25" s="21"/>
      <c r="BAB25" s="21"/>
      <c r="BAC25" s="21"/>
      <c r="BAD25" s="21"/>
      <c r="BAE25" s="21"/>
      <c r="BAF25" s="21"/>
      <c r="BAG25" s="21"/>
      <c r="BAH25" s="21"/>
      <c r="BAI25" s="21"/>
      <c r="BAJ25" s="21"/>
      <c r="BAK25" s="21"/>
      <c r="BAL25" s="21"/>
      <c r="BAM25" s="21"/>
      <c r="BAN25" s="21"/>
      <c r="BAO25" s="21"/>
      <c r="BAP25" s="21"/>
      <c r="BAQ25" s="21"/>
      <c r="BAR25" s="21"/>
      <c r="BAS25" s="21"/>
      <c r="BAT25" s="21"/>
      <c r="BAU25" s="21"/>
      <c r="BAV25" s="21"/>
      <c r="BAW25" s="21"/>
      <c r="BAX25" s="21"/>
      <c r="BAY25" s="21"/>
      <c r="BAZ25" s="21"/>
      <c r="BBA25" s="21"/>
      <c r="BBB25" s="21"/>
      <c r="BBC25" s="21"/>
      <c r="BBD25" s="21"/>
      <c r="BBE25" s="21"/>
      <c r="BBF25" s="21"/>
      <c r="BBG25" s="21"/>
      <c r="BBH25" s="21"/>
      <c r="BBI25" s="21"/>
      <c r="BBJ25" s="21"/>
      <c r="BBK25" s="21"/>
      <c r="BBL25" s="21"/>
      <c r="BBM25" s="21"/>
      <c r="BBN25" s="21"/>
      <c r="BBO25" s="21"/>
      <c r="BBP25" s="21"/>
      <c r="BBQ25" s="21"/>
      <c r="BBR25" s="21"/>
      <c r="BBS25" s="21"/>
      <c r="BBT25" s="21"/>
      <c r="BBU25" s="21"/>
      <c r="BBV25" s="21"/>
      <c r="BBW25" s="21"/>
      <c r="BBX25" s="21"/>
      <c r="BBY25" s="21"/>
      <c r="BBZ25" s="21"/>
      <c r="BCA25" s="21"/>
      <c r="BCB25" s="21"/>
      <c r="BCC25" s="21"/>
      <c r="BCD25" s="21"/>
      <c r="BCE25" s="21"/>
      <c r="BCF25" s="21"/>
      <c r="BCG25" s="21"/>
      <c r="BCH25" s="21"/>
      <c r="BCI25" s="21"/>
      <c r="BCJ25" s="21"/>
      <c r="BCK25" s="21"/>
      <c r="BCL25" s="21"/>
      <c r="BCM25" s="21"/>
      <c r="BCN25" s="21"/>
      <c r="BCO25" s="21"/>
      <c r="BCP25" s="21"/>
      <c r="BCQ25" s="21"/>
      <c r="BCR25" s="21"/>
      <c r="BCS25" s="21"/>
      <c r="BCT25" s="21"/>
      <c r="BCU25" s="21"/>
      <c r="BCV25" s="21"/>
      <c r="BCW25" s="21"/>
      <c r="BCX25" s="21"/>
      <c r="BCY25" s="21"/>
      <c r="BCZ25" s="21"/>
      <c r="BDA25" s="21"/>
      <c r="BDB25" s="21"/>
      <c r="BDC25" s="21"/>
      <c r="BDD25" s="21"/>
      <c r="BDE25" s="21"/>
      <c r="BDF25" s="21"/>
      <c r="BDG25" s="21"/>
      <c r="BDH25" s="21"/>
      <c r="BDI25" s="21"/>
      <c r="BDJ25" s="21"/>
      <c r="BDK25" s="21"/>
      <c r="BDL25" s="21"/>
      <c r="BDM25" s="21"/>
      <c r="BDN25" s="21"/>
      <c r="BDO25" s="21"/>
      <c r="BDP25" s="21"/>
      <c r="BDQ25" s="21"/>
      <c r="BDR25" s="21"/>
      <c r="BDS25" s="21"/>
      <c r="BDT25" s="21"/>
      <c r="BDU25" s="21"/>
      <c r="BDV25" s="21"/>
      <c r="BDW25" s="21"/>
      <c r="BDX25" s="21"/>
      <c r="BDY25" s="21"/>
      <c r="BDZ25" s="21"/>
      <c r="BEA25" s="21"/>
      <c r="BEB25" s="21"/>
      <c r="BEC25" s="21"/>
      <c r="BED25" s="21"/>
      <c r="BEE25" s="21"/>
      <c r="BEF25" s="21"/>
      <c r="BEG25" s="21"/>
      <c r="BEH25" s="21"/>
      <c r="BEI25" s="21"/>
      <c r="BEJ25" s="21"/>
      <c r="BEK25" s="21"/>
      <c r="BEL25" s="21"/>
      <c r="BEM25" s="21"/>
      <c r="BEN25" s="21"/>
      <c r="BEO25" s="21"/>
      <c r="BEP25" s="21"/>
      <c r="BEQ25" s="21"/>
      <c r="BER25" s="21"/>
      <c r="BES25" s="21"/>
      <c r="BET25" s="21"/>
      <c r="BEU25" s="21"/>
      <c r="BEV25" s="21"/>
      <c r="BEW25" s="21"/>
      <c r="BEX25" s="21"/>
      <c r="BEY25" s="21"/>
      <c r="BEZ25" s="21"/>
      <c r="BFA25" s="21"/>
      <c r="BFB25" s="21"/>
      <c r="BFC25" s="21"/>
      <c r="BFD25" s="21"/>
      <c r="BFE25" s="21"/>
      <c r="BFF25" s="21"/>
      <c r="BFG25" s="21"/>
      <c r="BFH25" s="21"/>
      <c r="BFI25" s="21"/>
      <c r="BFJ25" s="21"/>
      <c r="BFK25" s="21"/>
      <c r="BFL25" s="21"/>
      <c r="BFM25" s="21"/>
      <c r="BFN25" s="21"/>
      <c r="BFO25" s="21"/>
      <c r="BFP25" s="21"/>
      <c r="BFQ25" s="21"/>
      <c r="BFR25" s="21"/>
      <c r="BFS25" s="21"/>
      <c r="BFT25" s="21"/>
      <c r="BFU25" s="21"/>
      <c r="BFV25" s="21"/>
      <c r="BFW25" s="21"/>
      <c r="BFX25" s="21"/>
      <c r="BFY25" s="21"/>
      <c r="BFZ25" s="21"/>
      <c r="BGA25" s="21"/>
      <c r="BGB25" s="21"/>
      <c r="BGC25" s="21"/>
      <c r="BGD25" s="21"/>
      <c r="BGE25" s="21"/>
      <c r="BGF25" s="21"/>
      <c r="BGG25" s="21"/>
      <c r="BGH25" s="21"/>
      <c r="BGI25" s="21"/>
      <c r="BGJ25" s="21"/>
      <c r="BGK25" s="21"/>
      <c r="BGL25" s="21"/>
      <c r="BGM25" s="21"/>
      <c r="BGN25" s="21"/>
      <c r="BGO25" s="21"/>
      <c r="BGP25" s="21"/>
      <c r="BGQ25" s="21"/>
      <c r="BGR25" s="21"/>
      <c r="BGS25" s="21"/>
      <c r="BGT25" s="21"/>
      <c r="BGU25" s="21"/>
      <c r="BGV25" s="21"/>
      <c r="BGW25" s="21"/>
      <c r="BGX25" s="21"/>
      <c r="BGY25" s="21"/>
      <c r="BGZ25" s="21"/>
      <c r="BHA25" s="21"/>
      <c r="BHB25" s="21"/>
      <c r="BHC25" s="21"/>
      <c r="BHD25" s="21"/>
      <c r="BHE25" s="21"/>
      <c r="BHF25" s="21"/>
      <c r="BHG25" s="21"/>
      <c r="BHH25" s="21"/>
      <c r="BHI25" s="21"/>
      <c r="BHJ25" s="21"/>
      <c r="BHK25" s="21"/>
      <c r="BHL25" s="21"/>
      <c r="BHM25" s="21"/>
      <c r="BHN25" s="21"/>
      <c r="BHO25" s="21"/>
      <c r="BHP25" s="21"/>
      <c r="BHQ25" s="21"/>
      <c r="BHR25" s="21"/>
      <c r="BHS25" s="21"/>
      <c r="BHT25" s="21"/>
      <c r="BHU25" s="21"/>
      <c r="BHV25" s="21"/>
      <c r="BHW25" s="21"/>
      <c r="BHX25" s="21"/>
      <c r="BHY25" s="21"/>
      <c r="BHZ25" s="21"/>
      <c r="BIA25" s="21"/>
      <c r="BIB25" s="21"/>
      <c r="BIC25" s="21"/>
      <c r="BID25" s="21"/>
      <c r="BIE25" s="21"/>
      <c r="BIF25" s="21"/>
      <c r="BIG25" s="21"/>
      <c r="BIH25" s="21"/>
      <c r="BII25" s="21"/>
      <c r="BIJ25" s="21"/>
      <c r="BIK25" s="21"/>
      <c r="BIL25" s="21"/>
      <c r="BIM25" s="21"/>
      <c r="BIN25" s="21"/>
      <c r="BIO25" s="21"/>
      <c r="BIP25" s="21"/>
      <c r="BIQ25" s="21"/>
      <c r="BIR25" s="21"/>
      <c r="BIS25" s="21"/>
      <c r="BIT25" s="21"/>
      <c r="BIU25" s="21"/>
      <c r="BIV25" s="21"/>
      <c r="BIW25" s="21"/>
      <c r="BIX25" s="21"/>
      <c r="BIY25" s="21"/>
      <c r="BIZ25" s="21"/>
      <c r="BJA25" s="21"/>
      <c r="BJB25" s="21"/>
      <c r="BJC25" s="21"/>
      <c r="BJD25" s="21"/>
      <c r="BJE25" s="21"/>
      <c r="BJF25" s="21"/>
      <c r="BJG25" s="21"/>
      <c r="BJH25" s="21"/>
      <c r="BJI25" s="21"/>
      <c r="BJJ25" s="21"/>
      <c r="BJK25" s="21"/>
      <c r="BJL25" s="21"/>
      <c r="BJM25" s="21"/>
      <c r="BJN25" s="21"/>
      <c r="BJO25" s="21"/>
      <c r="BJP25" s="21"/>
      <c r="BJQ25" s="21"/>
      <c r="BJR25" s="21"/>
      <c r="BJS25" s="21"/>
      <c r="BJT25" s="21"/>
      <c r="BJU25" s="21"/>
      <c r="BJV25" s="21"/>
      <c r="BJW25" s="21"/>
      <c r="BJX25" s="21"/>
      <c r="BJY25" s="21"/>
      <c r="BJZ25" s="21"/>
      <c r="BKA25" s="21"/>
      <c r="BKB25" s="21"/>
      <c r="BKC25" s="21"/>
      <c r="BKD25" s="21"/>
      <c r="BKE25" s="21"/>
      <c r="BKF25" s="21"/>
      <c r="BKG25" s="21"/>
      <c r="BKH25" s="21"/>
      <c r="BKI25" s="21"/>
      <c r="BKJ25" s="21"/>
      <c r="BKK25" s="21"/>
      <c r="BKL25" s="21"/>
      <c r="BKM25" s="21"/>
      <c r="BKN25" s="21"/>
      <c r="BKO25" s="21"/>
      <c r="BKP25" s="21"/>
      <c r="BKQ25" s="21"/>
      <c r="BKR25" s="21"/>
      <c r="BKS25" s="21"/>
      <c r="BKT25" s="21"/>
      <c r="BKU25" s="21"/>
      <c r="BKV25" s="21"/>
      <c r="BKW25" s="21"/>
      <c r="BKX25" s="21"/>
      <c r="BKY25" s="21"/>
      <c r="BKZ25" s="21"/>
      <c r="BLA25" s="21"/>
      <c r="BLB25" s="21"/>
      <c r="BLC25" s="21"/>
      <c r="BLD25" s="21"/>
      <c r="BLE25" s="21"/>
      <c r="BLF25" s="21"/>
      <c r="BLG25" s="21"/>
      <c r="BLH25" s="21"/>
      <c r="BLI25" s="21"/>
      <c r="BLJ25" s="21"/>
      <c r="BLK25" s="21"/>
      <c r="BLL25" s="21"/>
      <c r="BLM25" s="21"/>
      <c r="BLN25" s="21"/>
      <c r="BLO25" s="21"/>
      <c r="BLP25" s="21"/>
      <c r="BLQ25" s="21"/>
      <c r="BLR25" s="21"/>
      <c r="BLS25" s="21"/>
      <c r="BLT25" s="21"/>
      <c r="BLU25" s="21"/>
      <c r="BLV25" s="21"/>
      <c r="BLW25" s="21"/>
      <c r="BLX25" s="21"/>
      <c r="BLY25" s="21"/>
      <c r="BLZ25" s="21"/>
      <c r="BMA25" s="21"/>
      <c r="BMB25" s="21"/>
      <c r="BMC25" s="21"/>
      <c r="BMD25" s="21"/>
      <c r="BME25" s="21"/>
      <c r="BMF25" s="21"/>
      <c r="BMG25" s="21"/>
      <c r="BMH25" s="21"/>
      <c r="BMI25" s="21"/>
      <c r="BMJ25" s="21"/>
      <c r="BMK25" s="21"/>
      <c r="BML25" s="21"/>
      <c r="BMM25" s="21"/>
      <c r="BMN25" s="21"/>
      <c r="BMO25" s="21"/>
      <c r="BMP25" s="21"/>
      <c r="BMQ25" s="21"/>
      <c r="BMR25" s="21"/>
      <c r="BMS25" s="21"/>
      <c r="BMT25" s="21"/>
      <c r="BMU25" s="21"/>
      <c r="BMV25" s="21"/>
      <c r="BMW25" s="21"/>
      <c r="BMX25" s="21"/>
      <c r="BMY25" s="21"/>
      <c r="BMZ25" s="21"/>
      <c r="BNA25" s="21"/>
      <c r="BNB25" s="21"/>
      <c r="BNC25" s="21"/>
      <c r="BND25" s="21"/>
      <c r="BNE25" s="21"/>
      <c r="BNF25" s="21"/>
      <c r="BNG25" s="21"/>
      <c r="BNH25" s="21"/>
      <c r="BNI25" s="21"/>
      <c r="BNJ25" s="21"/>
      <c r="BNK25" s="21"/>
      <c r="BNL25" s="21"/>
      <c r="BNM25" s="21"/>
      <c r="BNN25" s="21"/>
      <c r="BNO25" s="21"/>
      <c r="BNP25" s="21"/>
      <c r="BNQ25" s="21"/>
      <c r="BNR25" s="21"/>
      <c r="BNS25" s="21"/>
      <c r="BNT25" s="21"/>
      <c r="BNU25" s="21"/>
      <c r="BNV25" s="21"/>
      <c r="BNW25" s="21"/>
      <c r="BNX25" s="21"/>
      <c r="BNY25" s="21"/>
      <c r="BNZ25" s="21"/>
      <c r="BOA25" s="21"/>
      <c r="BOB25" s="21"/>
      <c r="BOC25" s="21"/>
      <c r="BOD25" s="21"/>
      <c r="BOE25" s="21"/>
      <c r="BOF25" s="21"/>
      <c r="BOG25" s="21"/>
      <c r="BOH25" s="21"/>
      <c r="BOI25" s="21"/>
      <c r="BOJ25" s="21"/>
      <c r="BOK25" s="21"/>
      <c r="BOL25" s="21"/>
      <c r="BOM25" s="21"/>
      <c r="BON25" s="21"/>
      <c r="BOO25" s="21"/>
      <c r="BOP25" s="21"/>
      <c r="BOQ25" s="21"/>
      <c r="BOR25" s="21"/>
      <c r="BOS25" s="21"/>
      <c r="BOT25" s="21"/>
      <c r="BOU25" s="21"/>
      <c r="BOV25" s="21"/>
      <c r="BOW25" s="21"/>
      <c r="BOX25" s="21"/>
      <c r="BOY25" s="21"/>
      <c r="BOZ25" s="21"/>
      <c r="BPA25" s="21"/>
      <c r="BPB25" s="21"/>
      <c r="BPC25" s="21"/>
      <c r="BPD25" s="21"/>
      <c r="BPE25" s="21"/>
      <c r="BPF25" s="21"/>
      <c r="BPG25" s="21"/>
      <c r="BPH25" s="21"/>
      <c r="BPI25" s="21"/>
      <c r="BPJ25" s="21"/>
      <c r="BPK25" s="21"/>
      <c r="BPL25" s="21"/>
      <c r="BPM25" s="21"/>
      <c r="BPN25" s="21"/>
      <c r="BPO25" s="21"/>
      <c r="BPP25" s="21"/>
      <c r="BPQ25" s="21"/>
      <c r="BPR25" s="21"/>
      <c r="BPS25" s="21"/>
      <c r="BPT25" s="21"/>
      <c r="BPU25" s="21"/>
      <c r="BPV25" s="21"/>
      <c r="BPW25" s="21"/>
      <c r="BPX25" s="21"/>
      <c r="BPY25" s="21"/>
      <c r="BPZ25" s="21"/>
      <c r="BQA25" s="21"/>
      <c r="BQB25" s="21"/>
      <c r="BQC25" s="21"/>
      <c r="BQD25" s="21"/>
      <c r="BQE25" s="21"/>
      <c r="BQF25" s="21"/>
      <c r="BQG25" s="21"/>
      <c r="BQH25" s="21"/>
      <c r="BQI25" s="21"/>
      <c r="BQJ25" s="21"/>
      <c r="BQK25" s="21"/>
      <c r="BQL25" s="21"/>
      <c r="BQM25" s="21"/>
      <c r="BQN25" s="21"/>
      <c r="BQO25" s="21"/>
      <c r="BQP25" s="21"/>
      <c r="BQQ25" s="21"/>
      <c r="BQR25" s="21"/>
      <c r="BQS25" s="21"/>
      <c r="BQT25" s="21"/>
      <c r="BQU25" s="21"/>
      <c r="BQV25" s="21"/>
      <c r="BQW25" s="21"/>
      <c r="BQX25" s="21"/>
      <c r="BQY25" s="21"/>
      <c r="BQZ25" s="21"/>
      <c r="BRA25" s="21"/>
      <c r="BRB25" s="21"/>
      <c r="BRC25" s="21"/>
      <c r="BRD25" s="21"/>
      <c r="BRE25" s="21"/>
      <c r="BRF25" s="21"/>
      <c r="BRG25" s="21"/>
      <c r="BRH25" s="21"/>
      <c r="BRI25" s="21"/>
      <c r="BRJ25" s="21"/>
      <c r="BRK25" s="21"/>
      <c r="BRL25" s="21"/>
      <c r="BRM25" s="21"/>
      <c r="BRN25" s="21"/>
      <c r="BRO25" s="21"/>
      <c r="BRP25" s="21"/>
      <c r="BRQ25" s="21"/>
      <c r="BRR25" s="21"/>
      <c r="BRS25" s="21"/>
      <c r="BRT25" s="21"/>
      <c r="BRU25" s="21"/>
      <c r="BRV25" s="21"/>
      <c r="BRW25" s="21"/>
      <c r="BRX25" s="21"/>
      <c r="BRY25" s="21"/>
      <c r="BRZ25" s="21"/>
      <c r="BSA25" s="21"/>
      <c r="BSB25" s="21"/>
      <c r="BSC25" s="21"/>
      <c r="BSD25" s="21"/>
      <c r="BSE25" s="21"/>
      <c r="BSF25" s="21"/>
      <c r="BSG25" s="21"/>
      <c r="BSH25" s="21"/>
      <c r="BSI25" s="21"/>
      <c r="BSJ25" s="21"/>
      <c r="BSK25" s="21"/>
      <c r="BSL25" s="21"/>
      <c r="BSM25" s="21"/>
      <c r="BSN25" s="21"/>
      <c r="BSO25" s="21"/>
      <c r="BSP25" s="21"/>
      <c r="BSQ25" s="21"/>
      <c r="BSR25" s="21"/>
      <c r="BSS25" s="21"/>
      <c r="BST25" s="21"/>
      <c r="BSU25" s="21"/>
      <c r="BSV25" s="21"/>
      <c r="BSW25" s="21"/>
      <c r="BSX25" s="21"/>
      <c r="BSY25" s="21"/>
      <c r="BSZ25" s="21"/>
      <c r="BTA25" s="21"/>
      <c r="BTB25" s="21"/>
      <c r="BTC25" s="21"/>
      <c r="BTD25" s="21"/>
      <c r="BTE25" s="21"/>
      <c r="BTF25" s="21"/>
      <c r="BTG25" s="21"/>
      <c r="BTH25" s="21"/>
      <c r="BTI25" s="21"/>
      <c r="BTJ25" s="21"/>
      <c r="BTK25" s="21"/>
      <c r="BTL25" s="21"/>
      <c r="BTM25" s="21"/>
      <c r="BTN25" s="21"/>
      <c r="BTO25" s="21"/>
      <c r="BTP25" s="21"/>
      <c r="BTQ25" s="21"/>
      <c r="BTR25" s="21"/>
      <c r="BTS25" s="21"/>
      <c r="BTT25" s="21"/>
      <c r="BTU25" s="21"/>
      <c r="BTV25" s="21"/>
      <c r="BTW25" s="21"/>
      <c r="BTX25" s="21"/>
      <c r="BTY25" s="21"/>
      <c r="BTZ25" s="21"/>
      <c r="BUA25" s="21"/>
      <c r="BUB25" s="21"/>
      <c r="BUC25" s="21"/>
      <c r="BUD25" s="21"/>
      <c r="BUE25" s="21"/>
      <c r="BUF25" s="21"/>
      <c r="BUG25" s="21"/>
      <c r="BUH25" s="21"/>
      <c r="BUI25" s="21"/>
      <c r="BUJ25" s="21"/>
      <c r="BUK25" s="21"/>
      <c r="BUL25" s="21"/>
      <c r="BUM25" s="21"/>
      <c r="BUN25" s="21"/>
      <c r="BUO25" s="21"/>
      <c r="BUP25" s="21"/>
      <c r="BUQ25" s="21"/>
      <c r="BUR25" s="21"/>
      <c r="BUS25" s="21"/>
      <c r="BUT25" s="21"/>
      <c r="BUU25" s="21"/>
      <c r="BUV25" s="21"/>
      <c r="BUW25" s="21"/>
      <c r="BUX25" s="21"/>
      <c r="BUY25" s="21"/>
      <c r="BUZ25" s="21"/>
      <c r="BVA25" s="21"/>
      <c r="BVB25" s="21"/>
      <c r="BVC25" s="21"/>
      <c r="BVD25" s="21"/>
      <c r="BVE25" s="21"/>
      <c r="BVF25" s="21"/>
      <c r="BVG25" s="21"/>
      <c r="BVH25" s="21"/>
      <c r="BVI25" s="21"/>
      <c r="BVJ25" s="21"/>
      <c r="BVK25" s="21"/>
      <c r="BVL25" s="21"/>
      <c r="BVM25" s="21"/>
      <c r="BVN25" s="21"/>
      <c r="BVO25" s="21"/>
      <c r="BVP25" s="21"/>
      <c r="BVQ25" s="21"/>
      <c r="BVR25" s="21"/>
      <c r="BVS25" s="21"/>
      <c r="BVT25" s="21"/>
      <c r="BVU25" s="21"/>
      <c r="BVV25" s="21"/>
      <c r="BVW25" s="21"/>
      <c r="BVX25" s="21"/>
      <c r="BVY25" s="21"/>
      <c r="BVZ25" s="21"/>
      <c r="BWA25" s="21"/>
      <c r="BWB25" s="21"/>
      <c r="BWC25" s="21"/>
      <c r="BWD25" s="21"/>
      <c r="BWE25" s="21"/>
      <c r="BWF25" s="21"/>
      <c r="BWG25" s="21"/>
      <c r="BWH25" s="21"/>
      <c r="BWI25" s="21"/>
      <c r="BWJ25" s="21"/>
      <c r="BWK25" s="21"/>
      <c r="BWL25" s="21"/>
      <c r="BWM25" s="21"/>
      <c r="BWN25" s="21"/>
      <c r="BWO25" s="21"/>
      <c r="BWP25" s="21"/>
      <c r="BWQ25" s="21"/>
      <c r="BWR25" s="21"/>
      <c r="BWS25" s="21"/>
      <c r="BWT25" s="21"/>
      <c r="BWU25" s="21"/>
      <c r="BWV25" s="21"/>
      <c r="BWW25" s="21"/>
      <c r="BWX25" s="21"/>
      <c r="BWY25" s="21"/>
      <c r="BWZ25" s="21"/>
      <c r="BXA25" s="21"/>
      <c r="BXB25" s="21"/>
      <c r="BXC25" s="21"/>
      <c r="BXD25" s="21"/>
      <c r="BXE25" s="21"/>
      <c r="BXF25" s="21"/>
      <c r="BXG25" s="21"/>
      <c r="BXH25" s="21"/>
      <c r="BXI25" s="21"/>
      <c r="BXJ25" s="21"/>
      <c r="BXK25" s="21"/>
      <c r="BXL25" s="21"/>
      <c r="BXM25" s="21"/>
      <c r="BXN25" s="21"/>
      <c r="BXO25" s="21"/>
      <c r="BXP25" s="21"/>
      <c r="BXQ25" s="21"/>
      <c r="BXR25" s="21"/>
      <c r="BXS25" s="21"/>
      <c r="BXT25" s="21"/>
      <c r="BXU25" s="21"/>
      <c r="BXV25" s="21"/>
      <c r="BXW25" s="21"/>
      <c r="BXX25" s="21"/>
      <c r="BXY25" s="21"/>
      <c r="BXZ25" s="21"/>
      <c r="BYA25" s="21"/>
      <c r="BYB25" s="21"/>
      <c r="BYC25" s="21"/>
      <c r="BYD25" s="21"/>
      <c r="BYE25" s="21"/>
      <c r="BYF25" s="21"/>
      <c r="BYG25" s="21"/>
      <c r="BYH25" s="21"/>
      <c r="BYI25" s="21"/>
      <c r="BYJ25" s="21"/>
      <c r="BYK25" s="21"/>
      <c r="BYL25" s="21"/>
      <c r="BYM25" s="21"/>
      <c r="BYN25" s="21"/>
      <c r="BYO25" s="21"/>
      <c r="BYP25" s="21"/>
      <c r="BYQ25" s="21"/>
      <c r="BYR25" s="21"/>
      <c r="BYS25" s="21"/>
      <c r="BYT25" s="21"/>
      <c r="BYU25" s="21"/>
      <c r="BYV25" s="21"/>
      <c r="BYW25" s="21"/>
      <c r="BYX25" s="21"/>
      <c r="BYY25" s="21"/>
      <c r="BYZ25" s="21"/>
      <c r="BZA25" s="21"/>
      <c r="BZB25" s="21"/>
      <c r="BZC25" s="21"/>
      <c r="BZD25" s="21"/>
      <c r="BZE25" s="21"/>
      <c r="BZF25" s="21"/>
      <c r="BZG25" s="21"/>
      <c r="BZH25" s="21"/>
      <c r="BZI25" s="21"/>
      <c r="BZJ25" s="21"/>
      <c r="BZK25" s="21"/>
      <c r="BZL25" s="21"/>
      <c r="BZM25" s="21"/>
      <c r="BZN25" s="21"/>
      <c r="BZO25" s="21"/>
      <c r="BZP25" s="21"/>
      <c r="BZQ25" s="21"/>
      <c r="BZR25" s="21"/>
      <c r="BZS25" s="21"/>
      <c r="BZT25" s="21"/>
      <c r="BZU25" s="21"/>
      <c r="BZV25" s="21"/>
      <c r="BZW25" s="21"/>
      <c r="BZX25" s="21"/>
      <c r="BZY25" s="21"/>
      <c r="BZZ25" s="21"/>
      <c r="CAA25" s="21"/>
      <c r="CAB25" s="21"/>
      <c r="CAC25" s="21"/>
      <c r="CAD25" s="21"/>
      <c r="CAE25" s="21"/>
      <c r="CAF25" s="21"/>
      <c r="CAG25" s="21"/>
      <c r="CAH25" s="21"/>
      <c r="CAI25" s="21"/>
      <c r="CAJ25" s="21"/>
      <c r="CAK25" s="21"/>
      <c r="CAL25" s="21"/>
      <c r="CAM25" s="21"/>
      <c r="CAN25" s="21"/>
      <c r="CAO25" s="21"/>
      <c r="CAP25" s="21"/>
      <c r="CAQ25" s="21"/>
      <c r="CAR25" s="21"/>
      <c r="CAS25" s="21"/>
      <c r="CAT25" s="21"/>
      <c r="CAU25" s="21"/>
      <c r="CAV25" s="21"/>
      <c r="CAW25" s="21"/>
      <c r="CAX25" s="21"/>
      <c r="CAY25" s="21"/>
      <c r="CAZ25" s="21"/>
      <c r="CBA25" s="21"/>
      <c r="CBB25" s="21"/>
      <c r="CBC25" s="21"/>
      <c r="CBD25" s="21"/>
      <c r="CBE25" s="21"/>
      <c r="CBF25" s="21"/>
      <c r="CBG25" s="21"/>
      <c r="CBH25" s="21"/>
      <c r="CBI25" s="21"/>
      <c r="CBJ25" s="21"/>
      <c r="CBK25" s="21"/>
      <c r="CBL25" s="21"/>
      <c r="CBM25" s="21"/>
      <c r="CBN25" s="21"/>
      <c r="CBO25" s="21"/>
      <c r="CBP25" s="21"/>
      <c r="CBQ25" s="21"/>
      <c r="CBR25" s="21"/>
      <c r="CBS25" s="21"/>
      <c r="CBT25" s="21"/>
      <c r="CBU25" s="21"/>
      <c r="CBV25" s="21"/>
      <c r="CBW25" s="21"/>
      <c r="CBX25" s="21"/>
      <c r="CBY25" s="21"/>
      <c r="CBZ25" s="21"/>
      <c r="CCA25" s="21"/>
      <c r="CCB25" s="21"/>
      <c r="CCC25" s="21"/>
      <c r="CCD25" s="21"/>
      <c r="CCE25" s="21"/>
      <c r="CCF25" s="21"/>
      <c r="CCG25" s="21"/>
      <c r="CCH25" s="21"/>
      <c r="CCI25" s="21"/>
      <c r="CCJ25" s="21"/>
      <c r="CCK25" s="21"/>
      <c r="CCL25" s="21"/>
      <c r="CCM25" s="21"/>
      <c r="CCN25" s="21"/>
      <c r="CCO25" s="21"/>
      <c r="CCP25" s="21"/>
      <c r="CCQ25" s="21"/>
      <c r="CCR25" s="21"/>
      <c r="CCS25" s="21"/>
      <c r="CCT25" s="21"/>
      <c r="CCU25" s="21"/>
      <c r="CCV25" s="21"/>
      <c r="CCW25" s="21"/>
      <c r="CCX25" s="21"/>
      <c r="CCY25" s="21"/>
      <c r="CCZ25" s="21"/>
      <c r="CDA25" s="21"/>
      <c r="CDB25" s="21"/>
      <c r="CDC25" s="21"/>
      <c r="CDD25" s="21"/>
      <c r="CDE25" s="21"/>
      <c r="CDF25" s="21"/>
      <c r="CDG25" s="21"/>
      <c r="CDH25" s="21"/>
      <c r="CDI25" s="21"/>
      <c r="CDJ25" s="21"/>
      <c r="CDK25" s="21"/>
      <c r="CDL25" s="21"/>
      <c r="CDM25" s="21"/>
      <c r="CDN25" s="21"/>
      <c r="CDO25" s="21"/>
      <c r="CDP25" s="21"/>
      <c r="CDQ25" s="21"/>
      <c r="CDR25" s="21"/>
      <c r="CDS25" s="21"/>
      <c r="CDT25" s="21"/>
      <c r="CDU25" s="21"/>
      <c r="CDV25" s="21"/>
      <c r="CDW25" s="21"/>
      <c r="CDX25" s="21"/>
      <c r="CDY25" s="21"/>
      <c r="CDZ25" s="21"/>
      <c r="CEA25" s="21"/>
      <c r="CEB25" s="21"/>
      <c r="CEC25" s="21"/>
      <c r="CED25" s="21"/>
      <c r="CEE25" s="21"/>
      <c r="CEF25" s="21"/>
      <c r="CEG25" s="21"/>
      <c r="CEH25" s="21"/>
      <c r="CEI25" s="21"/>
      <c r="CEJ25" s="21"/>
      <c r="CEK25" s="21"/>
      <c r="CEL25" s="21"/>
      <c r="CEM25" s="21"/>
      <c r="CEN25" s="21"/>
      <c r="CEO25" s="21"/>
      <c r="CEP25" s="21"/>
      <c r="CEQ25" s="21"/>
      <c r="CER25" s="21"/>
      <c r="CES25" s="21"/>
      <c r="CET25" s="21"/>
      <c r="CEU25" s="21"/>
      <c r="CEV25" s="21"/>
      <c r="CEW25" s="21"/>
      <c r="CEX25" s="21"/>
      <c r="CEY25" s="21"/>
      <c r="CEZ25" s="21"/>
      <c r="CFA25" s="21"/>
      <c r="CFB25" s="21"/>
      <c r="CFC25" s="21"/>
      <c r="CFD25" s="21"/>
      <c r="CFE25" s="21"/>
      <c r="CFF25" s="21"/>
      <c r="CFG25" s="21"/>
      <c r="CFH25" s="21"/>
      <c r="CFI25" s="21"/>
      <c r="CFJ25" s="21"/>
      <c r="CFK25" s="21"/>
      <c r="CFL25" s="21"/>
      <c r="CFM25" s="21"/>
      <c r="CFN25" s="21"/>
      <c r="CFO25" s="21"/>
      <c r="CFP25" s="21"/>
      <c r="CFQ25" s="21"/>
      <c r="CFR25" s="21"/>
      <c r="CFS25" s="21"/>
      <c r="CFT25" s="21"/>
      <c r="CFU25" s="21"/>
      <c r="CFV25" s="21"/>
      <c r="CFW25" s="21"/>
      <c r="CFX25" s="21"/>
      <c r="CFY25" s="21"/>
      <c r="CFZ25" s="21"/>
      <c r="CGA25" s="21"/>
      <c r="CGB25" s="21"/>
      <c r="CGC25" s="21"/>
      <c r="CGD25" s="21"/>
      <c r="CGE25" s="21"/>
      <c r="CGF25" s="21"/>
      <c r="CGG25" s="21"/>
      <c r="CGH25" s="21"/>
      <c r="CGI25" s="21"/>
      <c r="CGJ25" s="21"/>
      <c r="CGK25" s="21"/>
      <c r="CGL25" s="21"/>
      <c r="CGM25" s="21"/>
      <c r="CGN25" s="21"/>
      <c r="CGO25" s="21"/>
      <c r="CGP25" s="21"/>
      <c r="CGQ25" s="21"/>
      <c r="CGR25" s="21"/>
      <c r="CGS25" s="21"/>
      <c r="CGT25" s="21"/>
      <c r="CGU25" s="21"/>
      <c r="CGV25" s="21"/>
      <c r="CGW25" s="21"/>
      <c r="CGX25" s="21"/>
      <c r="CGY25" s="21"/>
      <c r="CGZ25" s="21"/>
      <c r="CHA25" s="21"/>
      <c r="CHB25" s="21"/>
      <c r="CHC25" s="21"/>
      <c r="CHD25" s="21"/>
      <c r="CHE25" s="21"/>
      <c r="CHF25" s="21"/>
      <c r="CHG25" s="21"/>
      <c r="CHH25" s="21"/>
      <c r="CHI25" s="21"/>
      <c r="CHJ25" s="21"/>
      <c r="CHK25" s="21"/>
      <c r="CHL25" s="21"/>
      <c r="CHM25" s="21"/>
      <c r="CHN25" s="21"/>
      <c r="CHO25" s="21"/>
      <c r="CHP25" s="21"/>
      <c r="CHQ25" s="21"/>
      <c r="CHR25" s="21"/>
      <c r="CHS25" s="21"/>
      <c r="CHT25" s="21"/>
      <c r="CHU25" s="21"/>
      <c r="CHV25" s="21"/>
      <c r="CHW25" s="21"/>
      <c r="CHX25" s="21"/>
      <c r="CHY25" s="21"/>
      <c r="CHZ25" s="21"/>
      <c r="CIA25" s="21"/>
      <c r="CIB25" s="21"/>
      <c r="CIC25" s="21"/>
      <c r="CID25" s="21"/>
      <c r="CIE25" s="21"/>
      <c r="CIF25" s="21"/>
      <c r="CIG25" s="21"/>
      <c r="CIH25" s="21"/>
      <c r="CII25" s="21"/>
      <c r="CIJ25" s="21"/>
      <c r="CIK25" s="21"/>
      <c r="CIL25" s="21"/>
      <c r="CIM25" s="21"/>
      <c r="CIN25" s="21"/>
      <c r="CIO25" s="21"/>
      <c r="CIP25" s="21"/>
      <c r="CIQ25" s="21"/>
      <c r="CIR25" s="21"/>
      <c r="CIS25" s="21"/>
      <c r="CIT25" s="21"/>
      <c r="CIU25" s="21"/>
      <c r="CIV25" s="21"/>
      <c r="CIW25" s="21"/>
      <c r="CIX25" s="21"/>
      <c r="CIY25" s="21"/>
      <c r="CIZ25" s="21"/>
      <c r="CJA25" s="21"/>
      <c r="CJB25" s="21"/>
      <c r="CJC25" s="21"/>
      <c r="CJD25" s="21"/>
      <c r="CJE25" s="21"/>
      <c r="CJF25" s="21"/>
      <c r="CJG25" s="21"/>
      <c r="CJH25" s="21"/>
      <c r="CJI25" s="21"/>
      <c r="CJJ25" s="21"/>
      <c r="CJK25" s="21"/>
      <c r="CJL25" s="21"/>
      <c r="CJM25" s="21"/>
      <c r="CJN25" s="21"/>
      <c r="CJO25" s="21"/>
      <c r="CJP25" s="21"/>
      <c r="CJQ25" s="21"/>
      <c r="CJR25" s="21"/>
      <c r="CJS25" s="21"/>
      <c r="CJT25" s="21"/>
      <c r="CJU25" s="21"/>
      <c r="CJV25" s="21"/>
      <c r="CJW25" s="21"/>
      <c r="CJX25" s="21"/>
      <c r="CJY25" s="21"/>
      <c r="CJZ25" s="21"/>
      <c r="CKA25" s="21"/>
      <c r="CKB25" s="21"/>
      <c r="CKC25" s="21"/>
      <c r="CKD25" s="21"/>
      <c r="CKE25" s="21"/>
      <c r="CKF25" s="21"/>
      <c r="CKG25" s="21"/>
      <c r="CKH25" s="21"/>
      <c r="CKI25" s="21"/>
      <c r="CKJ25" s="21"/>
      <c r="CKK25" s="21"/>
      <c r="CKL25" s="21"/>
      <c r="CKM25" s="21"/>
      <c r="CKN25" s="21"/>
      <c r="CKO25" s="21"/>
      <c r="CKP25" s="21"/>
      <c r="CKQ25" s="21"/>
      <c r="CKR25" s="21"/>
      <c r="CKS25" s="21"/>
      <c r="CKT25" s="21"/>
      <c r="CKU25" s="21"/>
      <c r="CKV25" s="21"/>
      <c r="CKW25" s="21"/>
      <c r="CKX25" s="21"/>
      <c r="CKY25" s="21"/>
      <c r="CKZ25" s="21"/>
      <c r="CLA25" s="21"/>
      <c r="CLB25" s="21"/>
      <c r="CLC25" s="21"/>
      <c r="CLD25" s="21"/>
      <c r="CLE25" s="21"/>
      <c r="CLF25" s="21"/>
      <c r="CLG25" s="21"/>
      <c r="CLH25" s="21"/>
      <c r="CLI25" s="21"/>
      <c r="CLJ25" s="21"/>
      <c r="CLK25" s="21"/>
      <c r="CLL25" s="21"/>
      <c r="CLM25" s="21"/>
      <c r="CLN25" s="21"/>
      <c r="CLO25" s="21"/>
      <c r="CLP25" s="21"/>
      <c r="CLQ25" s="21"/>
      <c r="CLR25" s="21"/>
      <c r="CLS25" s="21"/>
      <c r="CLT25" s="21"/>
      <c r="CLU25" s="21"/>
      <c r="CLV25" s="21"/>
      <c r="CLW25" s="21"/>
      <c r="CLX25" s="21"/>
      <c r="CLY25" s="21"/>
      <c r="CLZ25" s="21"/>
      <c r="CMA25" s="21"/>
      <c r="CMB25" s="21"/>
      <c r="CMC25" s="21"/>
      <c r="CMD25" s="21"/>
      <c r="CME25" s="21"/>
      <c r="CMF25" s="21"/>
      <c r="CMG25" s="21"/>
      <c r="CMH25" s="21"/>
      <c r="CMI25" s="21"/>
      <c r="CMJ25" s="21"/>
      <c r="CMK25" s="21"/>
      <c r="CML25" s="21"/>
      <c r="CMM25" s="21"/>
      <c r="CMN25" s="21"/>
      <c r="CMO25" s="21"/>
      <c r="CMP25" s="21"/>
      <c r="CMQ25" s="21"/>
      <c r="CMR25" s="21"/>
      <c r="CMS25" s="21"/>
      <c r="CMT25" s="21"/>
      <c r="CMU25" s="21"/>
      <c r="CMV25" s="21"/>
      <c r="CMW25" s="21"/>
      <c r="CMX25" s="21"/>
      <c r="CMY25" s="21"/>
      <c r="CMZ25" s="21"/>
      <c r="CNA25" s="21"/>
      <c r="CNB25" s="21"/>
      <c r="CNC25" s="21"/>
      <c r="CND25" s="21"/>
      <c r="CNE25" s="21"/>
      <c r="CNF25" s="21"/>
      <c r="CNG25" s="21"/>
      <c r="CNH25" s="21"/>
      <c r="CNI25" s="21"/>
      <c r="CNJ25" s="21"/>
      <c r="CNK25" s="21"/>
      <c r="CNL25" s="21"/>
      <c r="CNM25" s="21"/>
      <c r="CNN25" s="21"/>
      <c r="CNO25" s="21"/>
      <c r="CNP25" s="21"/>
      <c r="CNQ25" s="21"/>
      <c r="CNR25" s="21"/>
      <c r="CNS25" s="21"/>
      <c r="CNT25" s="21"/>
      <c r="CNU25" s="21"/>
      <c r="CNV25" s="21"/>
      <c r="CNW25" s="21"/>
      <c r="CNX25" s="21"/>
      <c r="CNY25" s="21"/>
      <c r="CNZ25" s="21"/>
      <c r="COA25" s="21"/>
      <c r="COB25" s="21"/>
      <c r="COC25" s="21"/>
      <c r="COD25" s="21"/>
      <c r="COE25" s="21"/>
      <c r="COF25" s="21"/>
      <c r="COG25" s="21"/>
      <c r="COH25" s="21"/>
      <c r="COI25" s="21"/>
      <c r="COJ25" s="21"/>
      <c r="COK25" s="21"/>
      <c r="COL25" s="21"/>
      <c r="COM25" s="21"/>
      <c r="CON25" s="21"/>
      <c r="COO25" s="21"/>
      <c r="COP25" s="21"/>
      <c r="COQ25" s="21"/>
      <c r="COR25" s="21"/>
      <c r="COS25" s="21"/>
      <c r="COT25" s="21"/>
      <c r="COU25" s="21"/>
      <c r="COV25" s="21"/>
      <c r="COW25" s="21"/>
      <c r="COX25" s="21"/>
      <c r="COY25" s="21"/>
      <c r="COZ25" s="21"/>
      <c r="CPA25" s="21"/>
      <c r="CPB25" s="21"/>
      <c r="CPC25" s="21"/>
      <c r="CPD25" s="21"/>
      <c r="CPE25" s="21"/>
      <c r="CPF25" s="21"/>
      <c r="CPG25" s="21"/>
      <c r="CPH25" s="21"/>
      <c r="CPI25" s="21"/>
      <c r="CPJ25" s="21"/>
      <c r="CPK25" s="21"/>
      <c r="CPL25" s="21"/>
      <c r="CPM25" s="21"/>
      <c r="CPN25" s="21"/>
      <c r="CPO25" s="21"/>
      <c r="CPP25" s="21"/>
      <c r="CPQ25" s="21"/>
      <c r="CPR25" s="21"/>
      <c r="CPS25" s="21"/>
      <c r="CPT25" s="21"/>
      <c r="CPU25" s="21"/>
      <c r="CPV25" s="21"/>
      <c r="CPW25" s="21"/>
      <c r="CPX25" s="21"/>
      <c r="CPY25" s="21"/>
      <c r="CPZ25" s="21"/>
      <c r="CQA25" s="21"/>
      <c r="CQB25" s="21"/>
      <c r="CQC25" s="21"/>
      <c r="CQD25" s="21"/>
      <c r="CQE25" s="21"/>
      <c r="CQF25" s="21"/>
      <c r="CQG25" s="21"/>
      <c r="CQH25" s="21"/>
      <c r="CQI25" s="21"/>
      <c r="CQJ25" s="21"/>
      <c r="CQK25" s="21"/>
      <c r="CQL25" s="21"/>
      <c r="CQM25" s="21"/>
      <c r="CQN25" s="21"/>
      <c r="CQO25" s="21"/>
      <c r="CQP25" s="21"/>
      <c r="CQQ25" s="21"/>
      <c r="CQR25" s="21"/>
      <c r="CQS25" s="21"/>
      <c r="CQT25" s="21"/>
      <c r="CQU25" s="21"/>
      <c r="CQV25" s="21"/>
      <c r="CQW25" s="21"/>
      <c r="CQX25" s="21"/>
      <c r="CQY25" s="21"/>
      <c r="CQZ25" s="21"/>
      <c r="CRA25" s="21"/>
      <c r="CRB25" s="21"/>
      <c r="CRC25" s="21"/>
      <c r="CRD25" s="21"/>
      <c r="CRE25" s="21"/>
      <c r="CRF25" s="21"/>
      <c r="CRG25" s="21"/>
      <c r="CRH25" s="21"/>
      <c r="CRI25" s="21"/>
      <c r="CRJ25" s="21"/>
      <c r="CRK25" s="21"/>
      <c r="CRL25" s="21"/>
      <c r="CRM25" s="21"/>
      <c r="CRN25" s="21"/>
      <c r="CRO25" s="21"/>
      <c r="CRP25" s="21"/>
      <c r="CRQ25" s="21"/>
      <c r="CRR25" s="21"/>
      <c r="CRS25" s="21"/>
      <c r="CRT25" s="21"/>
      <c r="CRU25" s="21"/>
      <c r="CRV25" s="21"/>
      <c r="CRW25" s="21"/>
      <c r="CRX25" s="21"/>
      <c r="CRY25" s="21"/>
      <c r="CRZ25" s="21"/>
      <c r="CSA25" s="21"/>
      <c r="CSB25" s="21"/>
      <c r="CSC25" s="21"/>
      <c r="CSD25" s="21"/>
      <c r="CSE25" s="21"/>
      <c r="CSF25" s="21"/>
      <c r="CSG25" s="21"/>
      <c r="CSH25" s="21"/>
      <c r="CSI25" s="21"/>
      <c r="CSJ25" s="21"/>
      <c r="CSK25" s="21"/>
      <c r="CSL25" s="21"/>
      <c r="CSM25" s="21"/>
      <c r="CSN25" s="21"/>
      <c r="CSO25" s="21"/>
      <c r="CSP25" s="21"/>
      <c r="CSQ25" s="21"/>
      <c r="CSR25" s="21"/>
      <c r="CSS25" s="21"/>
      <c r="CST25" s="21"/>
      <c r="CSU25" s="21"/>
      <c r="CSV25" s="21"/>
      <c r="CSW25" s="21"/>
      <c r="CSX25" s="21"/>
      <c r="CSY25" s="21"/>
      <c r="CSZ25" s="21"/>
      <c r="CTA25" s="21"/>
      <c r="CTB25" s="21"/>
      <c r="CTC25" s="21"/>
      <c r="CTD25" s="21"/>
      <c r="CTE25" s="21"/>
      <c r="CTF25" s="21"/>
      <c r="CTG25" s="21"/>
      <c r="CTH25" s="21"/>
      <c r="CTI25" s="21"/>
      <c r="CTJ25" s="21"/>
      <c r="CTK25" s="21"/>
      <c r="CTL25" s="21"/>
      <c r="CTM25" s="21"/>
      <c r="CTN25" s="21"/>
      <c r="CTO25" s="21"/>
      <c r="CTP25" s="21"/>
      <c r="CTQ25" s="21"/>
      <c r="CTR25" s="21"/>
      <c r="CTS25" s="21"/>
      <c r="CTT25" s="21"/>
      <c r="CTU25" s="21"/>
      <c r="CTV25" s="21"/>
      <c r="CTW25" s="21"/>
      <c r="CTX25" s="21"/>
      <c r="CTY25" s="21"/>
      <c r="CTZ25" s="21"/>
      <c r="CUA25" s="21"/>
      <c r="CUB25" s="21"/>
      <c r="CUC25" s="21"/>
      <c r="CUD25" s="21"/>
      <c r="CUE25" s="21"/>
      <c r="CUF25" s="21"/>
      <c r="CUG25" s="21"/>
      <c r="CUH25" s="21"/>
      <c r="CUI25" s="21"/>
      <c r="CUJ25" s="21"/>
      <c r="CUK25" s="21"/>
      <c r="CUL25" s="21"/>
      <c r="CUM25" s="21"/>
      <c r="CUN25" s="21"/>
      <c r="CUO25" s="21"/>
      <c r="CUP25" s="21"/>
      <c r="CUQ25" s="21"/>
      <c r="CUR25" s="21"/>
      <c r="CUS25" s="21"/>
      <c r="CUT25" s="21"/>
      <c r="CUU25" s="21"/>
      <c r="CUV25" s="21"/>
      <c r="CUW25" s="21"/>
      <c r="CUX25" s="21"/>
      <c r="CUY25" s="21"/>
      <c r="CUZ25" s="21"/>
      <c r="CVA25" s="21"/>
      <c r="CVB25" s="21"/>
      <c r="CVC25" s="21"/>
      <c r="CVD25" s="21"/>
      <c r="CVE25" s="21"/>
      <c r="CVF25" s="21"/>
      <c r="CVG25" s="21"/>
      <c r="CVH25" s="21"/>
      <c r="CVI25" s="21"/>
      <c r="CVJ25" s="21"/>
      <c r="CVK25" s="21"/>
      <c r="CVL25" s="21"/>
      <c r="CVM25" s="21"/>
      <c r="CVN25" s="21"/>
      <c r="CVO25" s="21"/>
      <c r="CVP25" s="21"/>
      <c r="CVQ25" s="21"/>
      <c r="CVR25" s="21"/>
      <c r="CVS25" s="21"/>
      <c r="CVT25" s="21"/>
      <c r="CVU25" s="21"/>
      <c r="CVV25" s="21"/>
      <c r="CVW25" s="21"/>
      <c r="CVX25" s="21"/>
      <c r="CVY25" s="21"/>
      <c r="CVZ25" s="21"/>
      <c r="CWA25" s="21"/>
      <c r="CWB25" s="21"/>
      <c r="CWC25" s="21"/>
      <c r="CWD25" s="21"/>
      <c r="CWE25" s="21"/>
      <c r="CWF25" s="21"/>
      <c r="CWG25" s="21"/>
      <c r="CWH25" s="21"/>
      <c r="CWI25" s="21"/>
      <c r="CWJ25" s="21"/>
      <c r="CWK25" s="21"/>
      <c r="CWL25" s="21"/>
      <c r="CWM25" s="21"/>
      <c r="CWN25" s="21"/>
      <c r="CWO25" s="21"/>
      <c r="CWP25" s="21"/>
      <c r="CWQ25" s="21"/>
      <c r="CWR25" s="21"/>
      <c r="CWS25" s="21"/>
      <c r="CWT25" s="21"/>
      <c r="CWU25" s="21"/>
      <c r="CWV25" s="21"/>
      <c r="CWW25" s="21"/>
      <c r="CWX25" s="21"/>
      <c r="CWY25" s="21"/>
      <c r="CWZ25" s="21"/>
      <c r="CXA25" s="21"/>
      <c r="CXB25" s="21"/>
      <c r="CXC25" s="21"/>
      <c r="CXD25" s="21"/>
      <c r="CXE25" s="21"/>
      <c r="CXF25" s="21"/>
      <c r="CXG25" s="21"/>
      <c r="CXH25" s="21"/>
      <c r="CXI25" s="21"/>
      <c r="CXJ25" s="21"/>
      <c r="CXK25" s="21"/>
      <c r="CXL25" s="21"/>
      <c r="CXM25" s="21"/>
      <c r="CXN25" s="21"/>
      <c r="CXO25" s="21"/>
      <c r="CXP25" s="21"/>
      <c r="CXQ25" s="21"/>
      <c r="CXR25" s="21"/>
      <c r="CXS25" s="21"/>
      <c r="CXT25" s="21"/>
      <c r="CXU25" s="21"/>
      <c r="CXV25" s="21"/>
      <c r="CXW25" s="21"/>
      <c r="CXX25" s="21"/>
      <c r="CXY25" s="21"/>
      <c r="CXZ25" s="21"/>
      <c r="CYA25" s="21"/>
      <c r="CYB25" s="21"/>
      <c r="CYC25" s="21"/>
      <c r="CYD25" s="21"/>
      <c r="CYE25" s="21"/>
      <c r="CYF25" s="21"/>
      <c r="CYG25" s="21"/>
      <c r="CYH25" s="21"/>
      <c r="CYI25" s="21"/>
      <c r="CYJ25" s="21"/>
      <c r="CYK25" s="21"/>
      <c r="CYL25" s="21"/>
      <c r="CYM25" s="21"/>
      <c r="CYN25" s="21"/>
      <c r="CYO25" s="21"/>
      <c r="CYP25" s="21"/>
      <c r="CYQ25" s="21"/>
      <c r="CYR25" s="21"/>
      <c r="CYS25" s="21"/>
      <c r="CYT25" s="21"/>
      <c r="CYU25" s="21"/>
      <c r="CYV25" s="21"/>
      <c r="CYW25" s="21"/>
      <c r="CYX25" s="21"/>
      <c r="CYY25" s="21"/>
      <c r="CYZ25" s="21"/>
      <c r="CZA25" s="21"/>
      <c r="CZB25" s="21"/>
      <c r="CZC25" s="21"/>
      <c r="CZD25" s="21"/>
      <c r="CZE25" s="21"/>
      <c r="CZF25" s="21"/>
      <c r="CZG25" s="21"/>
      <c r="CZH25" s="21"/>
      <c r="CZI25" s="21"/>
      <c r="CZJ25" s="21"/>
      <c r="CZK25" s="21"/>
      <c r="CZL25" s="21"/>
      <c r="CZM25" s="21"/>
      <c r="CZN25" s="21"/>
      <c r="CZO25" s="21"/>
      <c r="CZP25" s="21"/>
      <c r="CZQ25" s="21"/>
      <c r="CZR25" s="21"/>
      <c r="CZS25" s="21"/>
      <c r="CZT25" s="21"/>
      <c r="CZU25" s="21"/>
      <c r="CZV25" s="21"/>
      <c r="CZW25" s="21"/>
      <c r="CZX25" s="21"/>
      <c r="CZY25" s="21"/>
      <c r="CZZ25" s="21"/>
      <c r="DAA25" s="21"/>
      <c r="DAB25" s="21"/>
      <c r="DAC25" s="21"/>
      <c r="DAD25" s="21"/>
      <c r="DAE25" s="21"/>
      <c r="DAF25" s="21"/>
      <c r="DAG25" s="21"/>
      <c r="DAH25" s="21"/>
      <c r="DAI25" s="21"/>
      <c r="DAJ25" s="21"/>
      <c r="DAK25" s="21"/>
      <c r="DAL25" s="21"/>
      <c r="DAM25" s="21"/>
      <c r="DAN25" s="21"/>
      <c r="DAO25" s="21"/>
      <c r="DAP25" s="21"/>
      <c r="DAQ25" s="21"/>
      <c r="DAR25" s="21"/>
      <c r="DAS25" s="21"/>
      <c r="DAT25" s="21"/>
      <c r="DAU25" s="21"/>
      <c r="DAV25" s="21"/>
      <c r="DAW25" s="21"/>
      <c r="DAX25" s="21"/>
      <c r="DAY25" s="21"/>
      <c r="DAZ25" s="21"/>
      <c r="DBA25" s="21"/>
      <c r="DBB25" s="21"/>
      <c r="DBC25" s="21"/>
      <c r="DBD25" s="21"/>
      <c r="DBE25" s="21"/>
      <c r="DBF25" s="21"/>
      <c r="DBG25" s="21"/>
      <c r="DBH25" s="21"/>
      <c r="DBI25" s="21"/>
      <c r="DBJ25" s="21"/>
      <c r="DBK25" s="21"/>
      <c r="DBL25" s="21"/>
      <c r="DBM25" s="21"/>
      <c r="DBN25" s="21"/>
      <c r="DBO25" s="21"/>
      <c r="DBP25" s="21"/>
      <c r="DBQ25" s="21"/>
      <c r="DBR25" s="21"/>
      <c r="DBS25" s="21"/>
      <c r="DBT25" s="21"/>
      <c r="DBU25" s="21"/>
      <c r="DBV25" s="21"/>
      <c r="DBW25" s="21"/>
      <c r="DBX25" s="21"/>
      <c r="DBY25" s="21"/>
      <c r="DBZ25" s="21"/>
      <c r="DCA25" s="21"/>
      <c r="DCB25" s="21"/>
      <c r="DCC25" s="21"/>
      <c r="DCD25" s="21"/>
      <c r="DCE25" s="21"/>
      <c r="DCF25" s="21"/>
      <c r="DCG25" s="21"/>
      <c r="DCH25" s="21"/>
      <c r="DCI25" s="21"/>
      <c r="DCJ25" s="21"/>
      <c r="DCK25" s="21"/>
      <c r="DCL25" s="21"/>
      <c r="DCM25" s="21"/>
      <c r="DCN25" s="21"/>
      <c r="DCO25" s="21"/>
      <c r="DCP25" s="21"/>
      <c r="DCQ25" s="21"/>
      <c r="DCR25" s="21"/>
      <c r="DCS25" s="21"/>
      <c r="DCT25" s="21"/>
      <c r="DCU25" s="21"/>
      <c r="DCV25" s="21"/>
      <c r="DCW25" s="21"/>
      <c r="DCX25" s="21"/>
      <c r="DCY25" s="21"/>
      <c r="DCZ25" s="21"/>
      <c r="DDA25" s="21"/>
      <c r="DDB25" s="21"/>
      <c r="DDC25" s="21"/>
      <c r="DDD25" s="21"/>
      <c r="DDE25" s="21"/>
      <c r="DDF25" s="21"/>
      <c r="DDG25" s="21"/>
      <c r="DDH25" s="21"/>
      <c r="DDI25" s="21"/>
      <c r="DDJ25" s="21"/>
      <c r="DDK25" s="21"/>
      <c r="DDL25" s="21"/>
      <c r="DDM25" s="21"/>
      <c r="DDN25" s="21"/>
      <c r="DDO25" s="21"/>
      <c r="DDP25" s="21"/>
      <c r="DDQ25" s="21"/>
      <c r="DDR25" s="21"/>
      <c r="DDS25" s="21"/>
      <c r="DDT25" s="21"/>
      <c r="DDU25" s="21"/>
      <c r="DDV25" s="21"/>
      <c r="DDW25" s="21"/>
      <c r="DDX25" s="21"/>
      <c r="DDY25" s="21"/>
      <c r="DDZ25" s="21"/>
      <c r="DEA25" s="21"/>
      <c r="DEB25" s="21"/>
      <c r="DEC25" s="21"/>
      <c r="DED25" s="21"/>
      <c r="DEE25" s="21"/>
      <c r="DEF25" s="21"/>
      <c r="DEG25" s="21"/>
      <c r="DEH25" s="21"/>
      <c r="DEI25" s="21"/>
      <c r="DEJ25" s="21"/>
      <c r="DEK25" s="21"/>
      <c r="DEL25" s="21"/>
      <c r="DEM25" s="21"/>
      <c r="DEN25" s="21"/>
      <c r="DEO25" s="21"/>
      <c r="DEP25" s="21"/>
      <c r="DEQ25" s="21"/>
      <c r="DER25" s="21"/>
      <c r="DES25" s="21"/>
      <c r="DET25" s="21"/>
      <c r="DEU25" s="21"/>
      <c r="DEV25" s="21"/>
      <c r="DEW25" s="21"/>
      <c r="DEX25" s="21"/>
      <c r="DEY25" s="21"/>
      <c r="DEZ25" s="21"/>
      <c r="DFA25" s="21"/>
      <c r="DFB25" s="21"/>
      <c r="DFC25" s="21"/>
      <c r="DFD25" s="21"/>
      <c r="DFE25" s="21"/>
      <c r="DFF25" s="21"/>
      <c r="DFG25" s="21"/>
      <c r="DFH25" s="21"/>
      <c r="DFI25" s="21"/>
      <c r="DFJ25" s="21"/>
      <c r="DFK25" s="21"/>
      <c r="DFL25" s="21"/>
      <c r="DFM25" s="21"/>
      <c r="DFN25" s="21"/>
      <c r="DFO25" s="21"/>
      <c r="DFP25" s="21"/>
      <c r="DFQ25" s="21"/>
      <c r="DFR25" s="21"/>
      <c r="DFS25" s="21"/>
      <c r="DFT25" s="21"/>
      <c r="DFU25" s="21"/>
      <c r="DFV25" s="21"/>
      <c r="DFW25" s="21"/>
      <c r="DFX25" s="21"/>
      <c r="DFY25" s="21"/>
      <c r="DFZ25" s="21"/>
      <c r="DGA25" s="21"/>
      <c r="DGB25" s="21"/>
      <c r="DGC25" s="21"/>
      <c r="DGD25" s="21"/>
      <c r="DGE25" s="21"/>
      <c r="DGF25" s="21"/>
      <c r="DGG25" s="21"/>
      <c r="DGH25" s="21"/>
      <c r="DGI25" s="21"/>
      <c r="DGJ25" s="21"/>
      <c r="DGK25" s="21"/>
      <c r="DGL25" s="21"/>
      <c r="DGM25" s="21"/>
      <c r="DGN25" s="21"/>
      <c r="DGO25" s="21"/>
      <c r="DGP25" s="21"/>
      <c r="DGQ25" s="21"/>
      <c r="DGR25" s="21"/>
      <c r="DGS25" s="21"/>
      <c r="DGT25" s="21"/>
      <c r="DGU25" s="21"/>
      <c r="DGV25" s="21"/>
      <c r="DGW25" s="21"/>
      <c r="DGX25" s="21"/>
      <c r="DGY25" s="21"/>
      <c r="DGZ25" s="21"/>
      <c r="DHA25" s="21"/>
      <c r="DHB25" s="21"/>
      <c r="DHC25" s="21"/>
      <c r="DHD25" s="21"/>
      <c r="DHE25" s="21"/>
      <c r="DHF25" s="21"/>
      <c r="DHG25" s="21"/>
      <c r="DHH25" s="21"/>
      <c r="DHI25" s="21"/>
      <c r="DHJ25" s="21"/>
      <c r="DHK25" s="21"/>
      <c r="DHL25" s="21"/>
      <c r="DHM25" s="21"/>
      <c r="DHN25" s="21"/>
      <c r="DHO25" s="21"/>
      <c r="DHP25" s="21"/>
      <c r="DHQ25" s="21"/>
      <c r="DHR25" s="21"/>
      <c r="DHS25" s="21"/>
      <c r="DHT25" s="21"/>
      <c r="DHU25" s="21"/>
      <c r="DHV25" s="21"/>
      <c r="DHW25" s="21"/>
      <c r="DHX25" s="21"/>
      <c r="DHY25" s="21"/>
      <c r="DHZ25" s="21"/>
      <c r="DIA25" s="21"/>
      <c r="DIB25" s="21"/>
      <c r="DIC25" s="21"/>
      <c r="DID25" s="21"/>
      <c r="DIE25" s="21"/>
      <c r="DIF25" s="21"/>
      <c r="DIG25" s="21"/>
      <c r="DIH25" s="21"/>
      <c r="DII25" s="21"/>
      <c r="DIJ25" s="21"/>
      <c r="DIK25" s="21"/>
      <c r="DIL25" s="21"/>
      <c r="DIM25" s="21"/>
      <c r="DIN25" s="21"/>
      <c r="DIO25" s="21"/>
      <c r="DIP25" s="21"/>
      <c r="DIQ25" s="21"/>
      <c r="DIR25" s="21"/>
      <c r="DIS25" s="21"/>
      <c r="DIT25" s="21"/>
      <c r="DIU25" s="21"/>
      <c r="DIV25" s="21"/>
      <c r="DIW25" s="21"/>
      <c r="DIX25" s="21"/>
      <c r="DIY25" s="21"/>
      <c r="DIZ25" s="21"/>
      <c r="DJA25" s="21"/>
      <c r="DJB25" s="21"/>
      <c r="DJC25" s="21"/>
      <c r="DJD25" s="21"/>
      <c r="DJE25" s="21"/>
      <c r="DJF25" s="21"/>
      <c r="DJG25" s="21"/>
      <c r="DJH25" s="21"/>
      <c r="DJI25" s="21"/>
      <c r="DJJ25" s="21"/>
      <c r="DJK25" s="21"/>
      <c r="DJL25" s="21"/>
      <c r="DJM25" s="21"/>
      <c r="DJN25" s="21"/>
      <c r="DJO25" s="21"/>
      <c r="DJP25" s="21"/>
      <c r="DJQ25" s="21"/>
      <c r="DJR25" s="21"/>
      <c r="DJS25" s="21"/>
      <c r="DJT25" s="21"/>
      <c r="DJU25" s="21"/>
      <c r="DJV25" s="21"/>
      <c r="DJW25" s="21"/>
      <c r="DJX25" s="21"/>
      <c r="DJY25" s="21"/>
      <c r="DJZ25" s="21"/>
      <c r="DKA25" s="21"/>
      <c r="DKB25" s="21"/>
      <c r="DKC25" s="21"/>
      <c r="DKD25" s="21"/>
      <c r="DKE25" s="21"/>
      <c r="DKF25" s="21"/>
      <c r="DKG25" s="21"/>
      <c r="DKH25" s="21"/>
      <c r="DKI25" s="21"/>
      <c r="DKJ25" s="21"/>
      <c r="DKK25" s="21"/>
      <c r="DKL25" s="21"/>
      <c r="DKM25" s="21"/>
      <c r="DKN25" s="21"/>
      <c r="DKO25" s="21"/>
      <c r="DKP25" s="21"/>
      <c r="DKQ25" s="21"/>
      <c r="DKR25" s="21"/>
      <c r="DKS25" s="21"/>
      <c r="DKT25" s="21"/>
      <c r="DKU25" s="21"/>
      <c r="DKV25" s="21"/>
      <c r="DKW25" s="21"/>
      <c r="DKX25" s="21"/>
      <c r="DKY25" s="21"/>
      <c r="DKZ25" s="21"/>
      <c r="DLA25" s="21"/>
      <c r="DLB25" s="21"/>
      <c r="DLC25" s="21"/>
      <c r="DLD25" s="21"/>
      <c r="DLE25" s="21"/>
      <c r="DLF25" s="21"/>
      <c r="DLG25" s="21"/>
      <c r="DLH25" s="21"/>
      <c r="DLI25" s="21"/>
      <c r="DLJ25" s="21"/>
      <c r="DLK25" s="21"/>
      <c r="DLL25" s="21"/>
      <c r="DLM25" s="21"/>
      <c r="DLN25" s="21"/>
      <c r="DLO25" s="21"/>
      <c r="DLP25" s="21"/>
      <c r="DLQ25" s="21"/>
      <c r="DLR25" s="21"/>
      <c r="DLS25" s="21"/>
      <c r="DLT25" s="21"/>
      <c r="DLU25" s="21"/>
      <c r="DLV25" s="21"/>
      <c r="DLW25" s="21"/>
      <c r="DLX25" s="21"/>
      <c r="DLY25" s="21"/>
      <c r="DLZ25" s="21"/>
      <c r="DMA25" s="21"/>
      <c r="DMB25" s="21"/>
      <c r="DMC25" s="21"/>
      <c r="DMD25" s="21"/>
      <c r="DME25" s="21"/>
      <c r="DMF25" s="21"/>
      <c r="DMG25" s="21"/>
      <c r="DMH25" s="21"/>
      <c r="DMI25" s="21"/>
      <c r="DMJ25" s="21"/>
      <c r="DMK25" s="21"/>
      <c r="DML25" s="21"/>
      <c r="DMM25" s="21"/>
      <c r="DMN25" s="21"/>
      <c r="DMO25" s="21"/>
      <c r="DMP25" s="21"/>
      <c r="DMQ25" s="21"/>
      <c r="DMR25" s="21"/>
      <c r="DMS25" s="21"/>
      <c r="DMT25" s="21"/>
      <c r="DMU25" s="21"/>
      <c r="DMV25" s="21"/>
      <c r="DMW25" s="21"/>
      <c r="DMX25" s="21"/>
      <c r="DMY25" s="21"/>
      <c r="DMZ25" s="21"/>
      <c r="DNA25" s="21"/>
      <c r="DNB25" s="21"/>
      <c r="DNC25" s="21"/>
      <c r="DND25" s="21"/>
      <c r="DNE25" s="21"/>
      <c r="DNF25" s="21"/>
      <c r="DNG25" s="21"/>
      <c r="DNH25" s="21"/>
      <c r="DNI25" s="21"/>
      <c r="DNJ25" s="21"/>
      <c r="DNK25" s="21"/>
      <c r="DNL25" s="21"/>
      <c r="DNM25" s="21"/>
      <c r="DNN25" s="21"/>
      <c r="DNO25" s="21"/>
      <c r="DNP25" s="21"/>
      <c r="DNQ25" s="21"/>
      <c r="DNR25" s="21"/>
      <c r="DNS25" s="21"/>
      <c r="DNT25" s="21"/>
      <c r="DNU25" s="21"/>
      <c r="DNV25" s="21"/>
      <c r="DNW25" s="21"/>
      <c r="DNX25" s="21"/>
      <c r="DNY25" s="21"/>
      <c r="DNZ25" s="21"/>
      <c r="DOA25" s="21"/>
      <c r="DOB25" s="21"/>
      <c r="DOC25" s="21"/>
      <c r="DOD25" s="21"/>
      <c r="DOE25" s="21"/>
      <c r="DOF25" s="21"/>
      <c r="DOG25" s="21"/>
      <c r="DOH25" s="21"/>
      <c r="DOI25" s="21"/>
      <c r="DOJ25" s="21"/>
      <c r="DOK25" s="21"/>
      <c r="DOL25" s="21"/>
      <c r="DOM25" s="21"/>
      <c r="DON25" s="21"/>
      <c r="DOO25" s="21"/>
      <c r="DOP25" s="21"/>
      <c r="DOQ25" s="21"/>
      <c r="DOR25" s="21"/>
      <c r="DOS25" s="21"/>
      <c r="DOT25" s="21"/>
      <c r="DOU25" s="21"/>
      <c r="DOV25" s="21"/>
      <c r="DOW25" s="21"/>
      <c r="DOX25" s="21"/>
      <c r="DOY25" s="21"/>
      <c r="DOZ25" s="21"/>
      <c r="DPA25" s="21"/>
      <c r="DPB25" s="21"/>
      <c r="DPC25" s="21"/>
      <c r="DPD25" s="21"/>
      <c r="DPE25" s="21"/>
      <c r="DPF25" s="21"/>
      <c r="DPG25" s="21"/>
      <c r="DPH25" s="21"/>
      <c r="DPI25" s="21"/>
      <c r="DPJ25" s="21"/>
      <c r="DPK25" s="21"/>
      <c r="DPL25" s="21"/>
      <c r="DPM25" s="21"/>
      <c r="DPN25" s="21"/>
      <c r="DPO25" s="21"/>
      <c r="DPP25" s="21"/>
      <c r="DPQ25" s="21"/>
      <c r="DPR25" s="21"/>
      <c r="DPS25" s="21"/>
      <c r="DPT25" s="21"/>
      <c r="DPU25" s="21"/>
      <c r="DPV25" s="21"/>
      <c r="DPW25" s="21"/>
      <c r="DPX25" s="21"/>
      <c r="DPY25" s="21"/>
      <c r="DPZ25" s="21"/>
      <c r="DQA25" s="21"/>
      <c r="DQB25" s="21"/>
      <c r="DQC25" s="21"/>
      <c r="DQD25" s="21"/>
      <c r="DQE25" s="21"/>
      <c r="DQF25" s="21"/>
      <c r="DQG25" s="21"/>
      <c r="DQH25" s="21"/>
      <c r="DQI25" s="21"/>
      <c r="DQJ25" s="21"/>
      <c r="DQK25" s="21"/>
      <c r="DQL25" s="21"/>
      <c r="DQM25" s="21"/>
      <c r="DQN25" s="21"/>
      <c r="DQO25" s="21"/>
      <c r="DQP25" s="21"/>
      <c r="DQQ25" s="21"/>
      <c r="DQR25" s="21"/>
      <c r="DQS25" s="21"/>
      <c r="DQT25" s="21"/>
      <c r="DQU25" s="21"/>
      <c r="DQV25" s="21"/>
      <c r="DQW25" s="21"/>
      <c r="DQX25" s="21"/>
      <c r="DQY25" s="21"/>
      <c r="DQZ25" s="21"/>
      <c r="DRA25" s="21"/>
      <c r="DRB25" s="21"/>
      <c r="DRC25" s="21"/>
      <c r="DRD25" s="21"/>
      <c r="DRE25" s="21"/>
      <c r="DRF25" s="21"/>
      <c r="DRG25" s="21"/>
      <c r="DRH25" s="21"/>
      <c r="DRI25" s="21"/>
      <c r="DRJ25" s="21"/>
      <c r="DRK25" s="21"/>
      <c r="DRL25" s="21"/>
      <c r="DRM25" s="21"/>
      <c r="DRN25" s="21"/>
      <c r="DRO25" s="21"/>
      <c r="DRP25" s="21"/>
      <c r="DRQ25" s="21"/>
      <c r="DRR25" s="21"/>
      <c r="DRS25" s="21"/>
      <c r="DRT25" s="21"/>
      <c r="DRU25" s="21"/>
      <c r="DRV25" s="21"/>
      <c r="DRW25" s="21"/>
      <c r="DRX25" s="21"/>
      <c r="DRY25" s="21"/>
      <c r="DRZ25" s="21"/>
      <c r="DSA25" s="21"/>
      <c r="DSB25" s="21"/>
      <c r="DSC25" s="21"/>
      <c r="DSD25" s="21"/>
      <c r="DSE25" s="21"/>
      <c r="DSF25" s="21"/>
      <c r="DSG25" s="21"/>
      <c r="DSH25" s="21"/>
      <c r="DSI25" s="21"/>
      <c r="DSJ25" s="21"/>
      <c r="DSK25" s="21"/>
      <c r="DSL25" s="21"/>
      <c r="DSM25" s="21"/>
      <c r="DSN25" s="21"/>
      <c r="DSO25" s="21"/>
      <c r="DSP25" s="21"/>
      <c r="DSQ25" s="21"/>
      <c r="DSR25" s="21"/>
      <c r="DSS25" s="21"/>
      <c r="DST25" s="21"/>
      <c r="DSU25" s="21"/>
      <c r="DSV25" s="21"/>
      <c r="DSW25" s="21"/>
      <c r="DSX25" s="21"/>
      <c r="DSY25" s="21"/>
      <c r="DSZ25" s="21"/>
      <c r="DTA25" s="21"/>
      <c r="DTB25" s="21"/>
      <c r="DTC25" s="21"/>
      <c r="DTD25" s="21"/>
      <c r="DTE25" s="21"/>
      <c r="DTF25" s="21"/>
      <c r="DTG25" s="21"/>
      <c r="DTH25" s="21"/>
      <c r="DTI25" s="21"/>
      <c r="DTJ25" s="21"/>
      <c r="DTK25" s="21"/>
      <c r="DTL25" s="21"/>
      <c r="DTM25" s="21"/>
      <c r="DTN25" s="21"/>
      <c r="DTO25" s="21"/>
      <c r="DTP25" s="21"/>
      <c r="DTQ25" s="21"/>
      <c r="DTR25" s="21"/>
      <c r="DTS25" s="21"/>
      <c r="DTT25" s="21"/>
      <c r="DTU25" s="21"/>
      <c r="DTV25" s="21"/>
      <c r="DTW25" s="21"/>
      <c r="DTX25" s="21"/>
      <c r="DTY25" s="21"/>
      <c r="DTZ25" s="21"/>
      <c r="DUA25" s="21"/>
      <c r="DUB25" s="21"/>
      <c r="DUC25" s="21"/>
      <c r="DUD25" s="21"/>
      <c r="DUE25" s="21"/>
      <c r="DUF25" s="21"/>
      <c r="DUG25" s="21"/>
      <c r="DUH25" s="21"/>
      <c r="DUI25" s="21"/>
      <c r="DUJ25" s="21"/>
      <c r="DUK25" s="21"/>
      <c r="DUL25" s="21"/>
      <c r="DUM25" s="21"/>
      <c r="DUN25" s="21"/>
      <c r="DUO25" s="21"/>
      <c r="DUP25" s="21"/>
      <c r="DUQ25" s="21"/>
      <c r="DUR25" s="21"/>
      <c r="DUS25" s="21"/>
      <c r="DUT25" s="21"/>
      <c r="DUU25" s="21"/>
      <c r="DUV25" s="21"/>
      <c r="DUW25" s="21"/>
      <c r="DUX25" s="21"/>
      <c r="DUY25" s="21"/>
      <c r="DUZ25" s="21"/>
      <c r="DVA25" s="21"/>
      <c r="DVB25" s="21"/>
      <c r="DVC25" s="21"/>
      <c r="DVD25" s="21"/>
      <c r="DVE25" s="21"/>
      <c r="DVF25" s="21"/>
      <c r="DVG25" s="21"/>
      <c r="DVH25" s="21"/>
      <c r="DVI25" s="21"/>
      <c r="DVJ25" s="21"/>
      <c r="DVK25" s="21"/>
      <c r="DVL25" s="21"/>
      <c r="DVM25" s="21"/>
      <c r="DVN25" s="21"/>
      <c r="DVO25" s="21"/>
      <c r="DVP25" s="21"/>
      <c r="DVQ25" s="21"/>
      <c r="DVR25" s="21"/>
      <c r="DVS25" s="21"/>
      <c r="DVT25" s="21"/>
      <c r="DVU25" s="21"/>
      <c r="DVV25" s="21"/>
      <c r="DVW25" s="21"/>
      <c r="DVX25" s="21"/>
      <c r="DVY25" s="21"/>
      <c r="DVZ25" s="21"/>
      <c r="DWA25" s="21"/>
      <c r="DWB25" s="21"/>
      <c r="DWC25" s="21"/>
      <c r="DWD25" s="21"/>
      <c r="DWE25" s="21"/>
      <c r="DWF25" s="21"/>
      <c r="DWG25" s="21"/>
      <c r="DWH25" s="21"/>
      <c r="DWI25" s="21"/>
      <c r="DWJ25" s="21"/>
      <c r="DWK25" s="21"/>
      <c r="DWL25" s="21"/>
      <c r="DWM25" s="21"/>
      <c r="DWN25" s="21"/>
      <c r="DWO25" s="21"/>
      <c r="DWP25" s="21"/>
      <c r="DWQ25" s="21"/>
      <c r="DWR25" s="21"/>
      <c r="DWS25" s="21"/>
      <c r="DWT25" s="21"/>
      <c r="DWU25" s="21"/>
      <c r="DWV25" s="21"/>
      <c r="DWW25" s="21"/>
      <c r="DWX25" s="21"/>
      <c r="DWY25" s="21"/>
      <c r="DWZ25" s="21"/>
      <c r="DXA25" s="21"/>
      <c r="DXB25" s="21"/>
      <c r="DXC25" s="21"/>
      <c r="DXD25" s="21"/>
      <c r="DXE25" s="21"/>
      <c r="DXF25" s="21"/>
      <c r="DXG25" s="21"/>
      <c r="DXH25" s="21"/>
      <c r="DXI25" s="21"/>
      <c r="DXJ25" s="21"/>
      <c r="DXK25" s="21"/>
      <c r="DXL25" s="21"/>
      <c r="DXM25" s="21"/>
      <c r="DXN25" s="21"/>
      <c r="DXO25" s="21"/>
      <c r="DXP25" s="21"/>
      <c r="DXQ25" s="21"/>
      <c r="DXR25" s="21"/>
      <c r="DXS25" s="21"/>
      <c r="DXT25" s="21"/>
      <c r="DXU25" s="21"/>
      <c r="DXV25" s="21"/>
      <c r="DXW25" s="21"/>
      <c r="DXX25" s="21"/>
      <c r="DXY25" s="21"/>
      <c r="DXZ25" s="21"/>
      <c r="DYA25" s="21"/>
      <c r="DYB25" s="21"/>
      <c r="DYC25" s="21"/>
      <c r="DYD25" s="21"/>
      <c r="DYE25" s="21"/>
      <c r="DYF25" s="21"/>
      <c r="DYG25" s="21"/>
      <c r="DYH25" s="21"/>
      <c r="DYI25" s="21"/>
      <c r="DYJ25" s="21"/>
      <c r="DYK25" s="21"/>
      <c r="DYL25" s="21"/>
      <c r="DYM25" s="21"/>
      <c r="DYN25" s="21"/>
      <c r="DYO25" s="21"/>
      <c r="DYP25" s="21"/>
      <c r="DYQ25" s="21"/>
      <c r="DYR25" s="21"/>
      <c r="DYS25" s="21"/>
      <c r="DYT25" s="21"/>
      <c r="DYU25" s="21"/>
      <c r="DYV25" s="21"/>
      <c r="DYW25" s="21"/>
      <c r="DYX25" s="21"/>
      <c r="DYY25" s="21"/>
      <c r="DYZ25" s="21"/>
      <c r="DZA25" s="21"/>
      <c r="DZB25" s="21"/>
      <c r="DZC25" s="21"/>
      <c r="DZD25" s="21"/>
      <c r="DZE25" s="21"/>
      <c r="DZF25" s="21"/>
      <c r="DZG25" s="21"/>
      <c r="DZH25" s="21"/>
      <c r="DZI25" s="21"/>
      <c r="DZJ25" s="21"/>
      <c r="DZK25" s="21"/>
      <c r="DZL25" s="21"/>
      <c r="DZM25" s="21"/>
      <c r="DZN25" s="21"/>
      <c r="DZO25" s="21"/>
      <c r="DZP25" s="21"/>
      <c r="DZQ25" s="21"/>
      <c r="DZR25" s="21"/>
      <c r="DZS25" s="21"/>
      <c r="DZT25" s="21"/>
      <c r="DZU25" s="21"/>
      <c r="DZV25" s="21"/>
      <c r="DZW25" s="21"/>
      <c r="DZX25" s="21"/>
      <c r="DZY25" s="21"/>
      <c r="DZZ25" s="21"/>
      <c r="EAA25" s="21"/>
      <c r="EAB25" s="21"/>
      <c r="EAC25" s="21"/>
      <c r="EAD25" s="21"/>
      <c r="EAE25" s="21"/>
      <c r="EAF25" s="21"/>
      <c r="EAG25" s="21"/>
      <c r="EAH25" s="21"/>
      <c r="EAI25" s="21"/>
      <c r="EAJ25" s="21"/>
      <c r="EAK25" s="21"/>
      <c r="EAL25" s="21"/>
      <c r="EAM25" s="21"/>
      <c r="EAN25" s="21"/>
      <c r="EAO25" s="21"/>
      <c r="EAP25" s="21"/>
      <c r="EAQ25" s="21"/>
      <c r="EAR25" s="21"/>
      <c r="EAS25" s="21"/>
      <c r="EAT25" s="21"/>
      <c r="EAU25" s="21"/>
      <c r="EAV25" s="21"/>
      <c r="EAW25" s="21"/>
      <c r="EAX25" s="21"/>
      <c r="EAY25" s="21"/>
      <c r="EAZ25" s="21"/>
      <c r="EBA25" s="21"/>
      <c r="EBB25" s="21"/>
      <c r="EBC25" s="21"/>
      <c r="EBD25" s="21"/>
      <c r="EBE25" s="21"/>
      <c r="EBF25" s="21"/>
      <c r="EBG25" s="21"/>
      <c r="EBH25" s="21"/>
      <c r="EBI25" s="21"/>
      <c r="EBJ25" s="21"/>
      <c r="EBK25" s="21"/>
      <c r="EBL25" s="21"/>
      <c r="EBM25" s="21"/>
      <c r="EBN25" s="21"/>
      <c r="EBO25" s="21"/>
      <c r="EBP25" s="21"/>
      <c r="EBQ25" s="21"/>
      <c r="EBR25" s="21"/>
      <c r="EBS25" s="21"/>
      <c r="EBT25" s="21"/>
      <c r="EBU25" s="21"/>
      <c r="EBV25" s="21"/>
      <c r="EBW25" s="21"/>
      <c r="EBX25" s="21"/>
      <c r="EBY25" s="21"/>
      <c r="EBZ25" s="21"/>
      <c r="ECA25" s="21"/>
      <c r="ECB25" s="21"/>
      <c r="ECC25" s="21"/>
      <c r="ECD25" s="21"/>
      <c r="ECE25" s="21"/>
      <c r="ECF25" s="21"/>
      <c r="ECG25" s="21"/>
      <c r="ECH25" s="21"/>
      <c r="ECI25" s="21"/>
      <c r="ECJ25" s="21"/>
      <c r="ECK25" s="21"/>
      <c r="ECL25" s="21"/>
      <c r="ECM25" s="21"/>
      <c r="ECN25" s="21"/>
      <c r="ECO25" s="21"/>
      <c r="ECP25" s="21"/>
      <c r="ECQ25" s="21"/>
      <c r="ECR25" s="21"/>
      <c r="ECS25" s="21"/>
      <c r="ECT25" s="21"/>
      <c r="ECU25" s="21"/>
      <c r="ECV25" s="21"/>
      <c r="ECW25" s="21"/>
      <c r="ECX25" s="21"/>
      <c r="ECY25" s="21"/>
      <c r="ECZ25" s="21"/>
      <c r="EDA25" s="21"/>
      <c r="EDB25" s="21"/>
      <c r="EDC25" s="21"/>
      <c r="EDD25" s="21"/>
      <c r="EDE25" s="21"/>
      <c r="EDF25" s="21"/>
      <c r="EDG25" s="21"/>
      <c r="EDH25" s="21"/>
      <c r="EDI25" s="21"/>
      <c r="EDJ25" s="21"/>
      <c r="EDK25" s="21"/>
      <c r="EDL25" s="21"/>
      <c r="EDM25" s="21"/>
      <c r="EDN25" s="21"/>
      <c r="EDO25" s="21"/>
      <c r="EDP25" s="21"/>
      <c r="EDQ25" s="21"/>
      <c r="EDR25" s="21"/>
      <c r="EDS25" s="21"/>
      <c r="EDT25" s="21"/>
      <c r="EDU25" s="21"/>
      <c r="EDV25" s="21"/>
      <c r="EDW25" s="21"/>
      <c r="EDX25" s="21"/>
      <c r="EDY25" s="21"/>
      <c r="EDZ25" s="21"/>
      <c r="EEA25" s="21"/>
      <c r="EEB25" s="21"/>
      <c r="EEC25" s="21"/>
      <c r="EED25" s="21"/>
      <c r="EEE25" s="21"/>
      <c r="EEF25" s="21"/>
      <c r="EEG25" s="21"/>
      <c r="EEH25" s="21"/>
      <c r="EEI25" s="21"/>
      <c r="EEJ25" s="21"/>
      <c r="EEK25" s="21"/>
      <c r="EEL25" s="21"/>
      <c r="EEM25" s="21"/>
      <c r="EEN25" s="21"/>
      <c r="EEO25" s="21"/>
      <c r="EEP25" s="21"/>
      <c r="EEQ25" s="21"/>
      <c r="EER25" s="21"/>
      <c r="EES25" s="21"/>
      <c r="EET25" s="21"/>
      <c r="EEU25" s="21"/>
      <c r="EEV25" s="21"/>
      <c r="EEW25" s="21"/>
      <c r="EEX25" s="21"/>
      <c r="EEY25" s="21"/>
      <c r="EEZ25" s="21"/>
      <c r="EFA25" s="21"/>
      <c r="EFB25" s="21"/>
      <c r="EFC25" s="21"/>
      <c r="EFD25" s="21"/>
      <c r="EFE25" s="21"/>
      <c r="EFF25" s="21"/>
      <c r="EFG25" s="21"/>
      <c r="EFH25" s="21"/>
      <c r="EFI25" s="21"/>
      <c r="EFJ25" s="21"/>
      <c r="EFK25" s="21"/>
      <c r="EFL25" s="21"/>
      <c r="EFM25" s="21"/>
      <c r="EFN25" s="21"/>
      <c r="EFO25" s="21"/>
      <c r="EFP25" s="21"/>
      <c r="EFQ25" s="21"/>
      <c r="EFR25" s="21"/>
      <c r="EFS25" s="21"/>
      <c r="EFT25" s="21"/>
      <c r="EFU25" s="21"/>
      <c r="EFV25" s="21"/>
      <c r="EFW25" s="21"/>
      <c r="EFX25" s="21"/>
      <c r="EFY25" s="21"/>
      <c r="EFZ25" s="21"/>
      <c r="EGA25" s="21"/>
      <c r="EGB25" s="21"/>
      <c r="EGC25" s="21"/>
      <c r="EGD25" s="21"/>
      <c r="EGE25" s="21"/>
      <c r="EGF25" s="21"/>
      <c r="EGG25" s="21"/>
      <c r="EGH25" s="21"/>
      <c r="EGI25" s="21"/>
      <c r="EGJ25" s="21"/>
      <c r="EGK25" s="21"/>
      <c r="EGL25" s="21"/>
      <c r="EGM25" s="21"/>
      <c r="EGN25" s="21"/>
      <c r="EGO25" s="21"/>
      <c r="EGP25" s="21"/>
      <c r="EGQ25" s="21"/>
      <c r="EGR25" s="21"/>
      <c r="EGS25" s="21"/>
      <c r="EGT25" s="21"/>
      <c r="EGU25" s="21"/>
      <c r="EGV25" s="21"/>
      <c r="EGW25" s="21"/>
      <c r="EGX25" s="21"/>
      <c r="EGY25" s="21"/>
      <c r="EGZ25" s="21"/>
      <c r="EHA25" s="21"/>
      <c r="EHB25" s="21"/>
      <c r="EHC25" s="21"/>
      <c r="EHD25" s="21"/>
      <c r="EHE25" s="21"/>
      <c r="EHF25" s="21"/>
      <c r="EHG25" s="21"/>
      <c r="EHH25" s="21"/>
      <c r="EHI25" s="21"/>
      <c r="EHJ25" s="21"/>
      <c r="EHK25" s="21"/>
      <c r="EHL25" s="21"/>
      <c r="EHM25" s="21"/>
      <c r="EHN25" s="21"/>
      <c r="EHO25" s="21"/>
      <c r="EHP25" s="21"/>
      <c r="EHQ25" s="21"/>
      <c r="EHR25" s="21"/>
      <c r="EHS25" s="21"/>
      <c r="EHT25" s="21"/>
      <c r="EHU25" s="21"/>
      <c r="EHV25" s="21"/>
      <c r="EHW25" s="21"/>
      <c r="EHX25" s="21"/>
      <c r="EHY25" s="21"/>
      <c r="EHZ25" s="21"/>
      <c r="EIA25" s="21"/>
      <c r="EIB25" s="21"/>
      <c r="EIC25" s="21"/>
      <c r="EID25" s="21"/>
      <c r="EIE25" s="21"/>
      <c r="EIF25" s="21"/>
      <c r="EIG25" s="21"/>
      <c r="EIH25" s="21"/>
      <c r="EII25" s="21"/>
      <c r="EIJ25" s="21"/>
      <c r="EIK25" s="21"/>
      <c r="EIL25" s="21"/>
      <c r="EIM25" s="21"/>
      <c r="EIN25" s="21"/>
      <c r="EIO25" s="21"/>
      <c r="EIP25" s="21"/>
      <c r="EIQ25" s="21"/>
      <c r="EIR25" s="21"/>
      <c r="EIS25" s="21"/>
      <c r="EIT25" s="21"/>
      <c r="EIU25" s="21"/>
      <c r="EIV25" s="21"/>
      <c r="EIW25" s="21"/>
      <c r="EIX25" s="21"/>
      <c r="EIY25" s="21"/>
      <c r="EIZ25" s="21"/>
      <c r="EJA25" s="21"/>
      <c r="EJB25" s="21"/>
      <c r="EJC25" s="21"/>
      <c r="EJD25" s="21"/>
      <c r="EJE25" s="21"/>
      <c r="EJF25" s="21"/>
      <c r="EJG25" s="21"/>
      <c r="EJH25" s="21"/>
      <c r="EJI25" s="21"/>
      <c r="EJJ25" s="21"/>
      <c r="EJK25" s="21"/>
      <c r="EJL25" s="21"/>
      <c r="EJM25" s="21"/>
      <c r="EJN25" s="21"/>
      <c r="EJO25" s="21"/>
      <c r="EJP25" s="21"/>
      <c r="EJQ25" s="21"/>
      <c r="EJR25" s="21"/>
      <c r="EJS25" s="21"/>
      <c r="EJT25" s="21"/>
      <c r="EJU25" s="21"/>
      <c r="EJV25" s="21"/>
      <c r="EJW25" s="21"/>
      <c r="EJX25" s="21"/>
      <c r="EJY25" s="21"/>
      <c r="EJZ25" s="21"/>
      <c r="EKA25" s="21"/>
      <c r="EKB25" s="21"/>
      <c r="EKC25" s="21"/>
      <c r="EKD25" s="21"/>
      <c r="EKE25" s="21"/>
      <c r="EKF25" s="21"/>
      <c r="EKG25" s="21"/>
      <c r="EKH25" s="21"/>
      <c r="EKI25" s="21"/>
      <c r="EKJ25" s="21"/>
      <c r="EKK25" s="21"/>
      <c r="EKL25" s="21"/>
      <c r="EKM25" s="21"/>
      <c r="EKN25" s="21"/>
      <c r="EKO25" s="21"/>
      <c r="EKP25" s="21"/>
      <c r="EKQ25" s="21"/>
      <c r="EKR25" s="21"/>
      <c r="EKS25" s="21"/>
      <c r="EKT25" s="21"/>
      <c r="EKU25" s="21"/>
      <c r="EKV25" s="21"/>
      <c r="EKW25" s="21"/>
      <c r="EKX25" s="21"/>
      <c r="EKY25" s="21"/>
      <c r="EKZ25" s="21"/>
      <c r="ELA25" s="21"/>
      <c r="ELB25" s="21"/>
      <c r="ELC25" s="21"/>
      <c r="ELD25" s="21"/>
      <c r="ELE25" s="21"/>
      <c r="ELF25" s="21"/>
      <c r="ELG25" s="21"/>
      <c r="ELH25" s="21"/>
      <c r="ELI25" s="21"/>
      <c r="ELJ25" s="21"/>
      <c r="ELK25" s="21"/>
      <c r="ELL25" s="21"/>
      <c r="ELM25" s="21"/>
      <c r="ELN25" s="21"/>
      <c r="ELO25" s="21"/>
      <c r="ELP25" s="21"/>
      <c r="ELQ25" s="21"/>
      <c r="ELR25" s="21"/>
      <c r="ELS25" s="21"/>
      <c r="ELT25" s="21"/>
      <c r="ELU25" s="21"/>
      <c r="ELV25" s="21"/>
      <c r="ELW25" s="21"/>
      <c r="ELX25" s="21"/>
      <c r="ELY25" s="21"/>
      <c r="ELZ25" s="21"/>
      <c r="EMA25" s="21"/>
      <c r="EMB25" s="21"/>
      <c r="EMC25" s="21"/>
      <c r="EMD25" s="21"/>
      <c r="EME25" s="21"/>
      <c r="EMF25" s="21"/>
      <c r="EMG25" s="21"/>
      <c r="EMH25" s="21"/>
      <c r="EMI25" s="21"/>
      <c r="EMJ25" s="21"/>
      <c r="EMK25" s="21"/>
      <c r="EML25" s="21"/>
      <c r="EMM25" s="21"/>
      <c r="EMN25" s="21"/>
      <c r="EMO25" s="21"/>
      <c r="EMP25" s="21"/>
      <c r="EMQ25" s="21"/>
      <c r="EMR25" s="21"/>
      <c r="EMS25" s="21"/>
      <c r="EMT25" s="21"/>
      <c r="EMU25" s="21"/>
      <c r="EMV25" s="21"/>
      <c r="EMW25" s="21"/>
      <c r="EMX25" s="21"/>
      <c r="EMY25" s="21"/>
      <c r="EMZ25" s="21"/>
      <c r="ENA25" s="21"/>
      <c r="ENB25" s="21"/>
      <c r="ENC25" s="21"/>
      <c r="END25" s="21"/>
      <c r="ENE25" s="21"/>
      <c r="ENF25" s="21"/>
      <c r="ENG25" s="21"/>
      <c r="ENH25" s="21"/>
      <c r="ENI25" s="21"/>
      <c r="ENJ25" s="21"/>
      <c r="ENK25" s="21"/>
      <c r="ENL25" s="21"/>
      <c r="ENM25" s="21"/>
      <c r="ENN25" s="21"/>
      <c r="ENO25" s="21"/>
      <c r="ENP25" s="21"/>
      <c r="ENQ25" s="21"/>
      <c r="ENR25" s="21"/>
      <c r="ENS25" s="21"/>
      <c r="ENT25" s="21"/>
      <c r="ENU25" s="21"/>
      <c r="ENV25" s="21"/>
      <c r="ENW25" s="21"/>
      <c r="ENX25" s="21"/>
      <c r="ENY25" s="21"/>
      <c r="ENZ25" s="21"/>
      <c r="EOA25" s="21"/>
      <c r="EOB25" s="21"/>
      <c r="EOC25" s="21"/>
      <c r="EOD25" s="21"/>
      <c r="EOE25" s="21"/>
      <c r="EOF25" s="21"/>
      <c r="EOG25" s="21"/>
      <c r="EOH25" s="21"/>
      <c r="EOI25" s="21"/>
      <c r="EOJ25" s="21"/>
      <c r="EOK25" s="21"/>
      <c r="EOL25" s="21"/>
      <c r="EOM25" s="21"/>
      <c r="EON25" s="21"/>
      <c r="EOO25" s="21"/>
      <c r="EOP25" s="21"/>
      <c r="EOQ25" s="21"/>
      <c r="EOR25" s="21"/>
      <c r="EOS25" s="21"/>
      <c r="EOT25" s="21"/>
      <c r="EOU25" s="21"/>
      <c r="EOV25" s="21"/>
      <c r="EOW25" s="21"/>
      <c r="EOX25" s="21"/>
      <c r="EOY25" s="21"/>
      <c r="EOZ25" s="21"/>
      <c r="EPA25" s="21"/>
      <c r="EPB25" s="21"/>
      <c r="EPC25" s="21"/>
      <c r="EPD25" s="21"/>
      <c r="EPE25" s="21"/>
      <c r="EPF25" s="21"/>
      <c r="EPG25" s="21"/>
      <c r="EPH25" s="21"/>
      <c r="EPI25" s="21"/>
      <c r="EPJ25" s="21"/>
      <c r="EPK25" s="21"/>
      <c r="EPL25" s="21"/>
      <c r="EPM25" s="21"/>
      <c r="EPN25" s="21"/>
      <c r="EPO25" s="21"/>
      <c r="EPP25" s="21"/>
      <c r="EPQ25" s="21"/>
      <c r="EPR25" s="21"/>
      <c r="EPS25" s="21"/>
      <c r="EPT25" s="21"/>
      <c r="EPU25" s="21"/>
      <c r="EPV25" s="21"/>
      <c r="EPW25" s="21"/>
      <c r="EPX25" s="21"/>
      <c r="EPY25" s="21"/>
      <c r="EPZ25" s="21"/>
      <c r="EQA25" s="21"/>
      <c r="EQB25" s="21"/>
      <c r="EQC25" s="21"/>
      <c r="EQD25" s="21"/>
      <c r="EQE25" s="21"/>
      <c r="EQF25" s="21"/>
      <c r="EQG25" s="21"/>
      <c r="EQH25" s="21"/>
      <c r="EQI25" s="21"/>
      <c r="EQJ25" s="21"/>
      <c r="EQK25" s="21"/>
      <c r="EQL25" s="21"/>
      <c r="EQM25" s="21"/>
      <c r="EQN25" s="21"/>
      <c r="EQO25" s="21"/>
      <c r="EQP25" s="21"/>
      <c r="EQQ25" s="21"/>
      <c r="EQR25" s="21"/>
      <c r="EQS25" s="21"/>
      <c r="EQT25" s="21"/>
      <c r="EQU25" s="21"/>
      <c r="EQV25" s="21"/>
      <c r="EQW25" s="21"/>
      <c r="EQX25" s="21"/>
      <c r="EQY25" s="21"/>
      <c r="EQZ25" s="21"/>
      <c r="ERA25" s="21"/>
      <c r="ERB25" s="21"/>
      <c r="ERC25" s="21"/>
      <c r="ERD25" s="21"/>
      <c r="ERE25" s="21"/>
      <c r="ERF25" s="21"/>
      <c r="ERG25" s="21"/>
      <c r="ERH25" s="21"/>
      <c r="ERI25" s="21"/>
      <c r="ERJ25" s="21"/>
      <c r="ERK25" s="21"/>
      <c r="ERL25" s="21"/>
      <c r="ERM25" s="21"/>
      <c r="ERN25" s="21"/>
      <c r="ERO25" s="21"/>
      <c r="ERP25" s="21"/>
      <c r="ERQ25" s="21"/>
      <c r="ERR25" s="21"/>
      <c r="ERS25" s="21"/>
      <c r="ERT25" s="21"/>
      <c r="ERU25" s="21"/>
      <c r="ERV25" s="21"/>
      <c r="ERW25" s="21"/>
      <c r="ERX25" s="21"/>
      <c r="ERY25" s="21"/>
      <c r="ERZ25" s="21"/>
      <c r="ESA25" s="21"/>
      <c r="ESB25" s="21"/>
      <c r="ESC25" s="21"/>
      <c r="ESD25" s="21"/>
      <c r="ESE25" s="21"/>
      <c r="ESF25" s="21"/>
      <c r="ESG25" s="21"/>
      <c r="ESH25" s="21"/>
      <c r="ESI25" s="21"/>
      <c r="ESJ25" s="21"/>
      <c r="ESK25" s="21"/>
      <c r="ESL25" s="21"/>
      <c r="ESM25" s="21"/>
      <c r="ESN25" s="21"/>
      <c r="ESO25" s="21"/>
      <c r="ESP25" s="21"/>
      <c r="ESQ25" s="21"/>
      <c r="ESR25" s="21"/>
      <c r="ESS25" s="21"/>
      <c r="EST25" s="21"/>
      <c r="ESU25" s="21"/>
      <c r="ESV25" s="21"/>
      <c r="ESW25" s="21"/>
      <c r="ESX25" s="21"/>
      <c r="ESY25" s="21"/>
      <c r="ESZ25" s="21"/>
      <c r="ETA25" s="21"/>
      <c r="ETB25" s="21"/>
      <c r="ETC25" s="21"/>
      <c r="ETD25" s="21"/>
      <c r="ETE25" s="21"/>
      <c r="ETF25" s="21"/>
      <c r="ETG25" s="21"/>
      <c r="ETH25" s="21"/>
      <c r="ETI25" s="21"/>
      <c r="ETJ25" s="21"/>
      <c r="ETK25" s="21"/>
      <c r="ETL25" s="21"/>
      <c r="ETM25" s="21"/>
      <c r="ETN25" s="21"/>
      <c r="ETO25" s="21"/>
      <c r="ETP25" s="21"/>
      <c r="ETQ25" s="21"/>
      <c r="ETR25" s="21"/>
      <c r="ETS25" s="21"/>
      <c r="ETT25" s="21"/>
      <c r="ETU25" s="21"/>
      <c r="ETV25" s="21"/>
      <c r="ETW25" s="21"/>
      <c r="ETX25" s="21"/>
      <c r="ETY25" s="21"/>
      <c r="ETZ25" s="21"/>
      <c r="EUA25" s="21"/>
      <c r="EUB25" s="21"/>
      <c r="EUC25" s="21"/>
      <c r="EUD25" s="21"/>
      <c r="EUE25" s="21"/>
      <c r="EUF25" s="21"/>
      <c r="EUG25" s="21"/>
      <c r="EUH25" s="21"/>
      <c r="EUI25" s="21"/>
      <c r="EUJ25" s="21"/>
      <c r="EUK25" s="21"/>
      <c r="EUL25" s="21"/>
      <c r="EUM25" s="21"/>
      <c r="EUN25" s="21"/>
      <c r="EUO25" s="21"/>
      <c r="EUP25" s="21"/>
      <c r="EUQ25" s="21"/>
      <c r="EUR25" s="21"/>
      <c r="EUS25" s="21"/>
      <c r="EUT25" s="21"/>
      <c r="EUU25" s="21"/>
      <c r="EUV25" s="21"/>
      <c r="EUW25" s="21"/>
      <c r="EUX25" s="21"/>
      <c r="EUY25" s="21"/>
      <c r="EUZ25" s="21"/>
      <c r="EVA25" s="21"/>
      <c r="EVB25" s="21"/>
      <c r="EVC25" s="21"/>
      <c r="EVD25" s="21"/>
      <c r="EVE25" s="21"/>
      <c r="EVF25" s="21"/>
      <c r="EVG25" s="21"/>
      <c r="EVH25" s="21"/>
      <c r="EVI25" s="21"/>
      <c r="EVJ25" s="21"/>
      <c r="EVK25" s="21"/>
      <c r="EVL25" s="21"/>
      <c r="EVM25" s="21"/>
      <c r="EVN25" s="21"/>
      <c r="EVO25" s="21"/>
      <c r="EVP25" s="21"/>
      <c r="EVQ25" s="21"/>
      <c r="EVR25" s="21"/>
      <c r="EVS25" s="21"/>
      <c r="EVT25" s="21"/>
      <c r="EVU25" s="21"/>
      <c r="EVV25" s="21"/>
      <c r="EVW25" s="21"/>
      <c r="EVX25" s="21"/>
      <c r="EVY25" s="21"/>
      <c r="EVZ25" s="21"/>
      <c r="EWA25" s="21"/>
      <c r="EWB25" s="21"/>
      <c r="EWC25" s="21"/>
      <c r="EWD25" s="21"/>
      <c r="EWE25" s="21"/>
      <c r="EWF25" s="21"/>
      <c r="EWG25" s="21"/>
      <c r="EWH25" s="21"/>
      <c r="EWI25" s="21"/>
      <c r="EWJ25" s="21"/>
      <c r="EWK25" s="21"/>
      <c r="EWL25" s="21"/>
      <c r="EWM25" s="21"/>
      <c r="EWN25" s="21"/>
      <c r="EWO25" s="21"/>
      <c r="EWP25" s="21"/>
      <c r="EWQ25" s="21"/>
      <c r="EWR25" s="21"/>
      <c r="EWS25" s="21"/>
      <c r="EWT25" s="21"/>
      <c r="EWU25" s="21"/>
      <c r="EWV25" s="21"/>
      <c r="EWW25" s="21"/>
      <c r="EWX25" s="21"/>
      <c r="EWY25" s="21"/>
      <c r="EWZ25" s="21"/>
      <c r="EXA25" s="21"/>
      <c r="EXB25" s="21"/>
      <c r="EXC25" s="21"/>
      <c r="EXD25" s="21"/>
      <c r="EXE25" s="21"/>
      <c r="EXF25" s="21"/>
      <c r="EXG25" s="21"/>
      <c r="EXH25" s="21"/>
      <c r="EXI25" s="21"/>
      <c r="EXJ25" s="21"/>
      <c r="EXK25" s="21"/>
      <c r="EXL25" s="21"/>
      <c r="EXM25" s="21"/>
      <c r="EXN25" s="21"/>
      <c r="EXO25" s="21"/>
      <c r="EXP25" s="21"/>
      <c r="EXQ25" s="21"/>
      <c r="EXR25" s="21"/>
      <c r="EXS25" s="21"/>
      <c r="EXT25" s="21"/>
      <c r="EXU25" s="21"/>
      <c r="EXV25" s="21"/>
      <c r="EXW25" s="21"/>
      <c r="EXX25" s="21"/>
      <c r="EXY25" s="21"/>
      <c r="EXZ25" s="21"/>
      <c r="EYA25" s="21"/>
      <c r="EYB25" s="21"/>
      <c r="EYC25" s="21"/>
      <c r="EYD25" s="21"/>
      <c r="EYE25" s="21"/>
      <c r="EYF25" s="21"/>
      <c r="EYG25" s="21"/>
      <c r="EYH25" s="21"/>
      <c r="EYI25" s="21"/>
      <c r="EYJ25" s="21"/>
      <c r="EYK25" s="21"/>
      <c r="EYL25" s="21"/>
      <c r="EYM25" s="21"/>
      <c r="EYN25" s="21"/>
      <c r="EYO25" s="21"/>
      <c r="EYP25" s="21"/>
      <c r="EYQ25" s="21"/>
      <c r="EYR25" s="21"/>
      <c r="EYS25" s="21"/>
      <c r="EYT25" s="21"/>
      <c r="EYU25" s="21"/>
      <c r="EYV25" s="21"/>
      <c r="EYW25" s="21"/>
      <c r="EYX25" s="21"/>
      <c r="EYY25" s="21"/>
      <c r="EYZ25" s="21"/>
      <c r="EZA25" s="21"/>
      <c r="EZB25" s="21"/>
      <c r="EZC25" s="21"/>
      <c r="EZD25" s="21"/>
      <c r="EZE25" s="21"/>
      <c r="EZF25" s="21"/>
      <c r="EZG25" s="21"/>
      <c r="EZH25" s="21"/>
      <c r="EZI25" s="21"/>
      <c r="EZJ25" s="21"/>
      <c r="EZK25" s="21"/>
      <c r="EZL25" s="21"/>
      <c r="EZM25" s="21"/>
      <c r="EZN25" s="21"/>
      <c r="EZO25" s="21"/>
      <c r="EZP25" s="21"/>
      <c r="EZQ25" s="21"/>
      <c r="EZR25" s="21"/>
      <c r="EZS25" s="21"/>
      <c r="EZT25" s="21"/>
      <c r="EZU25" s="21"/>
      <c r="EZV25" s="21"/>
      <c r="EZW25" s="21"/>
      <c r="EZX25" s="21"/>
      <c r="EZY25" s="21"/>
      <c r="EZZ25" s="21"/>
      <c r="FAA25" s="21"/>
      <c r="FAB25" s="21"/>
      <c r="FAC25" s="21"/>
      <c r="FAD25" s="21"/>
      <c r="FAE25" s="21"/>
      <c r="FAF25" s="21"/>
      <c r="FAG25" s="21"/>
      <c r="FAH25" s="21"/>
      <c r="FAI25" s="21"/>
      <c r="FAJ25" s="21"/>
      <c r="FAK25" s="21"/>
      <c r="FAL25" s="21"/>
      <c r="FAM25" s="21"/>
      <c r="FAN25" s="21"/>
      <c r="FAO25" s="21"/>
      <c r="FAP25" s="21"/>
      <c r="FAQ25" s="21"/>
      <c r="FAR25" s="21"/>
      <c r="FAS25" s="21"/>
      <c r="FAT25" s="21"/>
      <c r="FAU25" s="21"/>
      <c r="FAV25" s="21"/>
      <c r="FAW25" s="21"/>
      <c r="FAX25" s="21"/>
      <c r="FAY25" s="21"/>
      <c r="FAZ25" s="21"/>
      <c r="FBA25" s="21"/>
      <c r="FBB25" s="21"/>
      <c r="FBC25" s="21"/>
      <c r="FBD25" s="21"/>
      <c r="FBE25" s="21"/>
      <c r="FBF25" s="21"/>
      <c r="FBG25" s="21"/>
      <c r="FBH25" s="21"/>
      <c r="FBI25" s="21"/>
      <c r="FBJ25" s="21"/>
      <c r="FBK25" s="21"/>
      <c r="FBL25" s="21"/>
      <c r="FBM25" s="21"/>
      <c r="FBN25" s="21"/>
      <c r="FBO25" s="21"/>
      <c r="FBP25" s="21"/>
      <c r="FBQ25" s="21"/>
      <c r="FBR25" s="21"/>
      <c r="FBS25" s="21"/>
      <c r="FBT25" s="21"/>
      <c r="FBU25" s="21"/>
      <c r="FBV25" s="21"/>
      <c r="FBW25" s="21"/>
      <c r="FBX25" s="21"/>
      <c r="FBY25" s="21"/>
      <c r="FBZ25" s="21"/>
      <c r="FCA25" s="21"/>
      <c r="FCB25" s="21"/>
      <c r="FCC25" s="21"/>
      <c r="FCD25" s="21"/>
      <c r="FCE25" s="21"/>
      <c r="FCF25" s="21"/>
      <c r="FCG25" s="21"/>
      <c r="FCH25" s="21"/>
      <c r="FCI25" s="21"/>
      <c r="FCJ25" s="21"/>
      <c r="FCK25" s="21"/>
      <c r="FCL25" s="21"/>
      <c r="FCM25" s="21"/>
      <c r="FCN25" s="21"/>
      <c r="FCO25" s="21"/>
      <c r="FCP25" s="21"/>
      <c r="FCQ25" s="21"/>
      <c r="FCR25" s="21"/>
      <c r="FCS25" s="21"/>
      <c r="FCT25" s="21"/>
      <c r="FCU25" s="21"/>
      <c r="FCV25" s="21"/>
      <c r="FCW25" s="21"/>
      <c r="FCX25" s="21"/>
      <c r="FCY25" s="21"/>
      <c r="FCZ25" s="21"/>
      <c r="FDA25" s="21"/>
      <c r="FDB25" s="21"/>
      <c r="FDC25" s="21"/>
      <c r="FDD25" s="21"/>
      <c r="FDE25" s="21"/>
      <c r="FDF25" s="21"/>
      <c r="FDG25" s="21"/>
      <c r="FDH25" s="21"/>
      <c r="FDI25" s="21"/>
      <c r="FDJ25" s="21"/>
      <c r="FDK25" s="21"/>
      <c r="FDL25" s="21"/>
      <c r="FDM25" s="21"/>
      <c r="FDN25" s="21"/>
      <c r="FDO25" s="21"/>
      <c r="FDP25" s="21"/>
      <c r="FDQ25" s="21"/>
      <c r="FDR25" s="21"/>
      <c r="FDS25" s="21"/>
      <c r="FDT25" s="21"/>
      <c r="FDU25" s="21"/>
      <c r="FDV25" s="21"/>
      <c r="FDW25" s="21"/>
      <c r="FDX25" s="21"/>
      <c r="FDY25" s="21"/>
      <c r="FDZ25" s="21"/>
      <c r="FEA25" s="21"/>
      <c r="FEB25" s="21"/>
      <c r="FEC25" s="21"/>
      <c r="FED25" s="21"/>
      <c r="FEE25" s="21"/>
      <c r="FEF25" s="21"/>
      <c r="FEG25" s="21"/>
      <c r="FEH25" s="21"/>
      <c r="FEI25" s="21"/>
      <c r="FEJ25" s="21"/>
      <c r="FEK25" s="21"/>
      <c r="FEL25" s="21"/>
      <c r="FEM25" s="21"/>
      <c r="FEN25" s="21"/>
      <c r="FEO25" s="21"/>
      <c r="FEP25" s="21"/>
      <c r="FEQ25" s="21"/>
      <c r="FER25" s="21"/>
      <c r="FES25" s="21"/>
      <c r="FET25" s="21"/>
      <c r="FEU25" s="21"/>
      <c r="FEV25" s="21"/>
      <c r="FEW25" s="21"/>
      <c r="FEX25" s="21"/>
      <c r="FEY25" s="21"/>
      <c r="FEZ25" s="21"/>
      <c r="FFA25" s="21"/>
      <c r="FFB25" s="21"/>
      <c r="FFC25" s="21"/>
      <c r="FFD25" s="21"/>
      <c r="FFE25" s="21"/>
      <c r="FFF25" s="21"/>
      <c r="FFG25" s="21"/>
      <c r="FFH25" s="21"/>
      <c r="FFI25" s="21"/>
      <c r="FFJ25" s="21"/>
      <c r="FFK25" s="21"/>
      <c r="FFL25" s="21"/>
      <c r="FFM25" s="21"/>
      <c r="FFN25" s="21"/>
      <c r="FFO25" s="21"/>
      <c r="FFP25" s="21"/>
      <c r="FFQ25" s="21"/>
      <c r="FFR25" s="21"/>
      <c r="FFS25" s="21"/>
      <c r="FFT25" s="21"/>
      <c r="FFU25" s="21"/>
      <c r="FFV25" s="21"/>
      <c r="FFW25" s="21"/>
      <c r="FFX25" s="21"/>
      <c r="FFY25" s="21"/>
      <c r="FFZ25" s="21"/>
      <c r="FGA25" s="21"/>
      <c r="FGB25" s="21"/>
      <c r="FGC25" s="21"/>
      <c r="FGD25" s="21"/>
      <c r="FGE25" s="21"/>
      <c r="FGF25" s="21"/>
      <c r="FGG25" s="21"/>
      <c r="FGH25" s="21"/>
      <c r="FGI25" s="21"/>
      <c r="FGJ25" s="21"/>
      <c r="FGK25" s="21"/>
      <c r="FGL25" s="21"/>
      <c r="FGM25" s="21"/>
      <c r="FGN25" s="21"/>
      <c r="FGO25" s="21"/>
      <c r="FGP25" s="21"/>
      <c r="FGQ25" s="21"/>
      <c r="FGR25" s="21"/>
      <c r="FGS25" s="21"/>
      <c r="FGT25" s="21"/>
      <c r="FGU25" s="21"/>
      <c r="FGV25" s="21"/>
      <c r="FGW25" s="21"/>
      <c r="FGX25" s="21"/>
      <c r="FGY25" s="21"/>
      <c r="FGZ25" s="21"/>
      <c r="FHA25" s="21"/>
      <c r="FHB25" s="21"/>
      <c r="FHC25" s="21"/>
      <c r="FHD25" s="21"/>
      <c r="FHE25" s="21"/>
      <c r="FHF25" s="21"/>
      <c r="FHG25" s="21"/>
      <c r="FHH25" s="21"/>
      <c r="FHI25" s="21"/>
      <c r="FHJ25" s="21"/>
      <c r="FHK25" s="21"/>
      <c r="FHL25" s="21"/>
      <c r="FHM25" s="21"/>
      <c r="FHN25" s="21"/>
      <c r="FHO25" s="21"/>
      <c r="FHP25" s="21"/>
      <c r="FHQ25" s="21"/>
      <c r="FHR25" s="21"/>
      <c r="FHS25" s="21"/>
      <c r="FHT25" s="21"/>
      <c r="FHU25" s="21"/>
      <c r="FHV25" s="21"/>
      <c r="FHW25" s="21"/>
      <c r="FHX25" s="21"/>
      <c r="FHY25" s="21"/>
      <c r="FHZ25" s="21"/>
      <c r="FIA25" s="21"/>
      <c r="FIB25" s="21"/>
      <c r="FIC25" s="21"/>
      <c r="FID25" s="21"/>
      <c r="FIE25" s="21"/>
      <c r="FIF25" s="21"/>
      <c r="FIG25" s="21"/>
      <c r="FIH25" s="21"/>
      <c r="FII25" s="21"/>
      <c r="FIJ25" s="21"/>
      <c r="FIK25" s="21"/>
      <c r="FIL25" s="21"/>
      <c r="FIM25" s="21"/>
      <c r="FIN25" s="21"/>
      <c r="FIO25" s="21"/>
      <c r="FIP25" s="21"/>
      <c r="FIQ25" s="21"/>
      <c r="FIR25" s="21"/>
      <c r="FIS25" s="21"/>
      <c r="FIT25" s="21"/>
      <c r="FIU25" s="21"/>
      <c r="FIV25" s="21"/>
      <c r="FIW25" s="21"/>
      <c r="FIX25" s="21"/>
      <c r="FIY25" s="21"/>
      <c r="FIZ25" s="21"/>
      <c r="FJA25" s="21"/>
      <c r="FJB25" s="21"/>
      <c r="FJC25" s="21"/>
      <c r="FJD25" s="21"/>
      <c r="FJE25" s="21"/>
      <c r="FJF25" s="21"/>
      <c r="FJG25" s="21"/>
      <c r="FJH25" s="21"/>
      <c r="FJI25" s="21"/>
      <c r="FJJ25" s="21"/>
      <c r="FJK25" s="21"/>
      <c r="FJL25" s="21"/>
      <c r="FJM25" s="21"/>
      <c r="FJN25" s="21"/>
      <c r="FJO25" s="21"/>
      <c r="FJP25" s="21"/>
      <c r="FJQ25" s="21"/>
      <c r="FJR25" s="21"/>
      <c r="FJS25" s="21"/>
      <c r="FJT25" s="21"/>
      <c r="FJU25" s="21"/>
      <c r="FJV25" s="21"/>
      <c r="FJW25" s="21"/>
      <c r="FJX25" s="21"/>
      <c r="FJY25" s="21"/>
      <c r="FJZ25" s="21"/>
      <c r="FKA25" s="21"/>
      <c r="FKB25" s="21"/>
      <c r="FKC25" s="21"/>
      <c r="FKD25" s="21"/>
      <c r="FKE25" s="21"/>
      <c r="FKF25" s="21"/>
      <c r="FKG25" s="21"/>
      <c r="FKH25" s="21"/>
      <c r="FKI25" s="21"/>
      <c r="FKJ25" s="21"/>
      <c r="FKK25" s="21"/>
      <c r="FKL25" s="21"/>
      <c r="FKM25" s="21"/>
      <c r="FKN25" s="21"/>
      <c r="FKO25" s="21"/>
      <c r="FKP25" s="21"/>
      <c r="FKQ25" s="21"/>
      <c r="FKR25" s="21"/>
      <c r="FKS25" s="21"/>
      <c r="FKT25" s="21"/>
      <c r="FKU25" s="21"/>
      <c r="FKV25" s="21"/>
      <c r="FKW25" s="21"/>
      <c r="FKX25" s="21"/>
      <c r="FKY25" s="21"/>
      <c r="FKZ25" s="21"/>
      <c r="FLA25" s="21"/>
      <c r="FLB25" s="21"/>
      <c r="FLC25" s="21"/>
      <c r="FLD25" s="21"/>
      <c r="FLE25" s="21"/>
      <c r="FLF25" s="21"/>
      <c r="FLG25" s="21"/>
      <c r="FLH25" s="21"/>
      <c r="FLI25" s="21"/>
      <c r="FLJ25" s="21"/>
      <c r="FLK25" s="21"/>
      <c r="FLL25" s="21"/>
      <c r="FLM25" s="21"/>
      <c r="FLN25" s="21"/>
      <c r="FLO25" s="21"/>
      <c r="FLP25" s="21"/>
      <c r="FLQ25" s="21"/>
      <c r="FLR25" s="21"/>
      <c r="FLS25" s="21"/>
      <c r="FLT25" s="21"/>
      <c r="FLU25" s="21"/>
      <c r="FLV25" s="21"/>
      <c r="FLW25" s="21"/>
      <c r="FLX25" s="21"/>
      <c r="FLY25" s="21"/>
      <c r="FLZ25" s="21"/>
      <c r="FMA25" s="21"/>
      <c r="FMB25" s="21"/>
      <c r="FMC25" s="21"/>
      <c r="FMD25" s="21"/>
      <c r="FME25" s="21"/>
      <c r="FMF25" s="21"/>
      <c r="FMG25" s="21"/>
      <c r="FMH25" s="21"/>
      <c r="FMI25" s="21"/>
      <c r="FMJ25" s="21"/>
      <c r="FMK25" s="21"/>
      <c r="FML25" s="21"/>
      <c r="FMM25" s="21"/>
      <c r="FMN25" s="21"/>
      <c r="FMO25" s="21"/>
      <c r="FMP25" s="21"/>
      <c r="FMQ25" s="21"/>
      <c r="FMR25" s="21"/>
      <c r="FMS25" s="21"/>
      <c r="FMT25" s="21"/>
      <c r="FMU25" s="21"/>
      <c r="FMV25" s="21"/>
      <c r="FMW25" s="21"/>
      <c r="FMX25" s="21"/>
      <c r="FMY25" s="21"/>
      <c r="FMZ25" s="21"/>
      <c r="FNA25" s="21"/>
      <c r="FNB25" s="21"/>
      <c r="FNC25" s="21"/>
      <c r="FND25" s="21"/>
      <c r="FNE25" s="21"/>
      <c r="FNF25" s="21"/>
      <c r="FNG25" s="21"/>
      <c r="FNH25" s="21"/>
      <c r="FNI25" s="21"/>
      <c r="FNJ25" s="21"/>
      <c r="FNK25" s="21"/>
      <c r="FNL25" s="21"/>
      <c r="FNM25" s="21"/>
      <c r="FNN25" s="21"/>
      <c r="FNO25" s="21"/>
      <c r="FNP25" s="21"/>
      <c r="FNQ25" s="21"/>
      <c r="FNR25" s="21"/>
      <c r="FNS25" s="21"/>
      <c r="FNT25" s="21"/>
      <c r="FNU25" s="21"/>
      <c r="FNV25" s="21"/>
      <c r="FNW25" s="21"/>
      <c r="FNX25" s="21"/>
      <c r="FNY25" s="21"/>
      <c r="FNZ25" s="21"/>
      <c r="FOA25" s="21"/>
      <c r="FOB25" s="21"/>
      <c r="FOC25" s="21"/>
      <c r="FOD25" s="21"/>
      <c r="FOE25" s="21"/>
      <c r="FOF25" s="21"/>
      <c r="FOG25" s="21"/>
      <c r="FOH25" s="21"/>
      <c r="FOI25" s="21"/>
      <c r="FOJ25" s="21"/>
      <c r="FOK25" s="21"/>
      <c r="FOL25" s="21"/>
      <c r="FOM25" s="21"/>
      <c r="FON25" s="21"/>
      <c r="FOO25" s="21"/>
      <c r="FOP25" s="21"/>
      <c r="FOQ25" s="21"/>
      <c r="FOR25" s="21"/>
      <c r="FOS25" s="21"/>
      <c r="FOT25" s="21"/>
      <c r="FOU25" s="21"/>
      <c r="FOV25" s="21"/>
      <c r="FOW25" s="21"/>
      <c r="FOX25" s="21"/>
      <c r="FOY25" s="21"/>
      <c r="FOZ25" s="21"/>
      <c r="FPA25" s="21"/>
      <c r="FPB25" s="21"/>
      <c r="FPC25" s="21"/>
      <c r="FPD25" s="21"/>
      <c r="FPE25" s="21"/>
      <c r="FPF25" s="21"/>
      <c r="FPG25" s="21"/>
      <c r="FPH25" s="21"/>
      <c r="FPI25" s="21"/>
      <c r="FPJ25" s="21"/>
      <c r="FPK25" s="21"/>
      <c r="FPL25" s="21"/>
      <c r="FPM25" s="21"/>
      <c r="FPN25" s="21"/>
      <c r="FPO25" s="21"/>
      <c r="FPP25" s="21"/>
      <c r="FPQ25" s="21"/>
      <c r="FPR25" s="21"/>
      <c r="FPS25" s="21"/>
      <c r="FPT25" s="21"/>
      <c r="FPU25" s="21"/>
      <c r="FPV25" s="21"/>
      <c r="FPW25" s="21"/>
      <c r="FPX25" s="21"/>
      <c r="FPY25" s="21"/>
      <c r="FPZ25" s="21"/>
      <c r="FQA25" s="21"/>
      <c r="FQB25" s="21"/>
      <c r="FQC25" s="21"/>
      <c r="FQD25" s="21"/>
      <c r="FQE25" s="21"/>
      <c r="FQF25" s="21"/>
      <c r="FQG25" s="21"/>
      <c r="FQH25" s="21"/>
      <c r="FQI25" s="21"/>
      <c r="FQJ25" s="21"/>
      <c r="FQK25" s="21"/>
      <c r="FQL25" s="21"/>
      <c r="FQM25" s="21"/>
      <c r="FQN25" s="21"/>
      <c r="FQO25" s="21"/>
      <c r="FQP25" s="21"/>
      <c r="FQQ25" s="21"/>
      <c r="FQR25" s="21"/>
      <c r="FQS25" s="21"/>
      <c r="FQT25" s="21"/>
      <c r="FQU25" s="21"/>
      <c r="FQV25" s="21"/>
      <c r="FQW25" s="21"/>
      <c r="FQX25" s="21"/>
      <c r="FQY25" s="21"/>
      <c r="FQZ25" s="21"/>
      <c r="FRA25" s="21"/>
      <c r="FRB25" s="21"/>
      <c r="FRC25" s="21"/>
      <c r="FRD25" s="21"/>
      <c r="FRE25" s="21"/>
      <c r="FRF25" s="21"/>
      <c r="FRG25" s="21"/>
      <c r="FRH25" s="21"/>
      <c r="FRI25" s="21"/>
      <c r="FRJ25" s="21"/>
      <c r="FRK25" s="21"/>
      <c r="FRL25" s="21"/>
      <c r="FRM25" s="21"/>
      <c r="FRN25" s="21"/>
      <c r="FRO25" s="21"/>
      <c r="FRP25" s="21"/>
      <c r="FRQ25" s="21"/>
      <c r="FRR25" s="21"/>
      <c r="FRS25" s="21"/>
      <c r="FRT25" s="21"/>
      <c r="FRU25" s="21"/>
      <c r="FRV25" s="21"/>
      <c r="FRW25" s="21"/>
      <c r="FRX25" s="21"/>
      <c r="FRY25" s="21"/>
      <c r="FRZ25" s="21"/>
      <c r="FSA25" s="21"/>
      <c r="FSB25" s="21"/>
      <c r="FSC25" s="21"/>
      <c r="FSD25" s="21"/>
      <c r="FSE25" s="21"/>
      <c r="FSF25" s="21"/>
      <c r="FSG25" s="21"/>
      <c r="FSH25" s="21"/>
      <c r="FSI25" s="21"/>
      <c r="FSJ25" s="21"/>
      <c r="FSK25" s="21"/>
      <c r="FSL25" s="21"/>
      <c r="FSM25" s="21"/>
      <c r="FSN25" s="21"/>
      <c r="FSO25" s="21"/>
      <c r="FSP25" s="21"/>
      <c r="FSQ25" s="21"/>
      <c r="FSR25" s="21"/>
      <c r="FSS25" s="21"/>
      <c r="FST25" s="21"/>
      <c r="FSU25" s="21"/>
      <c r="FSV25" s="21"/>
      <c r="FSW25" s="21"/>
      <c r="FSX25" s="21"/>
      <c r="FSY25" s="21"/>
      <c r="FSZ25" s="21"/>
      <c r="FTA25" s="21"/>
      <c r="FTB25" s="21"/>
      <c r="FTC25" s="21"/>
      <c r="FTD25" s="21"/>
      <c r="FTE25" s="21"/>
      <c r="FTF25" s="21"/>
      <c r="FTG25" s="21"/>
      <c r="FTH25" s="21"/>
      <c r="FTI25" s="21"/>
      <c r="FTJ25" s="21"/>
      <c r="FTK25" s="21"/>
      <c r="FTL25" s="21"/>
      <c r="FTM25" s="21"/>
      <c r="FTN25" s="21"/>
      <c r="FTO25" s="21"/>
      <c r="FTP25" s="21"/>
      <c r="FTQ25" s="21"/>
      <c r="FTR25" s="21"/>
      <c r="FTS25" s="21"/>
      <c r="FTT25" s="21"/>
      <c r="FTU25" s="21"/>
      <c r="FTV25" s="21"/>
      <c r="FTW25" s="21"/>
      <c r="FTX25" s="21"/>
      <c r="FTY25" s="21"/>
      <c r="FTZ25" s="21"/>
      <c r="FUA25" s="21"/>
      <c r="FUB25" s="21"/>
      <c r="FUC25" s="21"/>
      <c r="FUD25" s="21"/>
      <c r="FUE25" s="21"/>
      <c r="FUF25" s="21"/>
      <c r="FUG25" s="21"/>
      <c r="FUH25" s="21"/>
      <c r="FUI25" s="21"/>
      <c r="FUJ25" s="21"/>
      <c r="FUK25" s="21"/>
      <c r="FUL25" s="21"/>
      <c r="FUM25" s="21"/>
      <c r="FUN25" s="21"/>
      <c r="FUO25" s="21"/>
      <c r="FUP25" s="21"/>
      <c r="FUQ25" s="21"/>
      <c r="FUR25" s="21"/>
      <c r="FUS25" s="21"/>
      <c r="FUT25" s="21"/>
      <c r="FUU25" s="21"/>
      <c r="FUV25" s="21"/>
      <c r="FUW25" s="21"/>
      <c r="FUX25" s="21"/>
      <c r="FUY25" s="21"/>
      <c r="FUZ25" s="21"/>
      <c r="FVA25" s="21"/>
      <c r="FVB25" s="21"/>
      <c r="FVC25" s="21"/>
      <c r="FVD25" s="21"/>
      <c r="FVE25" s="21"/>
      <c r="FVF25" s="21"/>
      <c r="FVG25" s="21"/>
      <c r="FVH25" s="21"/>
      <c r="FVI25" s="21"/>
      <c r="FVJ25" s="21"/>
      <c r="FVK25" s="21"/>
      <c r="FVL25" s="21"/>
      <c r="FVM25" s="21"/>
      <c r="FVN25" s="21"/>
      <c r="FVO25" s="21"/>
      <c r="FVP25" s="21"/>
      <c r="FVQ25" s="21"/>
      <c r="FVR25" s="21"/>
      <c r="FVS25" s="21"/>
      <c r="FVT25" s="21"/>
      <c r="FVU25" s="21"/>
      <c r="FVV25" s="21"/>
      <c r="FVW25" s="21"/>
      <c r="FVX25" s="21"/>
      <c r="FVY25" s="21"/>
      <c r="FVZ25" s="21"/>
      <c r="FWA25" s="21"/>
      <c r="FWB25" s="21"/>
      <c r="FWC25" s="21"/>
      <c r="FWD25" s="21"/>
      <c r="FWE25" s="21"/>
      <c r="FWF25" s="21"/>
      <c r="FWG25" s="21"/>
      <c r="FWH25" s="21"/>
      <c r="FWI25" s="21"/>
      <c r="FWJ25" s="21"/>
      <c r="FWK25" s="21"/>
      <c r="FWL25" s="21"/>
      <c r="FWM25" s="21"/>
      <c r="FWN25" s="21"/>
      <c r="FWO25" s="21"/>
      <c r="FWP25" s="21"/>
      <c r="FWQ25" s="21"/>
      <c r="FWR25" s="21"/>
      <c r="FWS25" s="21"/>
      <c r="FWT25" s="21"/>
      <c r="FWU25" s="21"/>
      <c r="FWV25" s="21"/>
      <c r="FWW25" s="21"/>
      <c r="FWX25" s="21"/>
      <c r="FWY25" s="21"/>
      <c r="FWZ25" s="21"/>
      <c r="FXA25" s="21"/>
      <c r="FXB25" s="21"/>
      <c r="FXC25" s="21"/>
      <c r="FXD25" s="21"/>
      <c r="FXE25" s="21"/>
      <c r="FXF25" s="21"/>
      <c r="FXG25" s="21"/>
      <c r="FXH25" s="21"/>
      <c r="FXI25" s="21"/>
      <c r="FXJ25" s="21"/>
      <c r="FXK25" s="21"/>
      <c r="FXL25" s="21"/>
      <c r="FXM25" s="21"/>
      <c r="FXN25" s="21"/>
      <c r="FXO25" s="21"/>
      <c r="FXP25" s="21"/>
      <c r="FXQ25" s="21"/>
      <c r="FXR25" s="21"/>
      <c r="FXS25" s="21"/>
      <c r="FXT25" s="21"/>
      <c r="FXU25" s="21"/>
      <c r="FXV25" s="21"/>
      <c r="FXW25" s="21"/>
      <c r="FXX25" s="21"/>
      <c r="FXY25" s="21"/>
      <c r="FXZ25" s="21"/>
      <c r="FYA25" s="21"/>
      <c r="FYB25" s="21"/>
      <c r="FYC25" s="21"/>
      <c r="FYD25" s="21"/>
      <c r="FYE25" s="21"/>
      <c r="FYF25" s="21"/>
      <c r="FYG25" s="21"/>
      <c r="FYH25" s="21"/>
      <c r="FYI25" s="21"/>
      <c r="FYJ25" s="21"/>
      <c r="FYK25" s="21"/>
      <c r="FYL25" s="21"/>
      <c r="FYM25" s="21"/>
      <c r="FYN25" s="21"/>
      <c r="FYO25" s="21"/>
      <c r="FYP25" s="21"/>
      <c r="FYQ25" s="21"/>
      <c r="FYR25" s="21"/>
      <c r="FYS25" s="21"/>
      <c r="FYT25" s="21"/>
      <c r="FYU25" s="21"/>
      <c r="FYV25" s="21"/>
      <c r="FYW25" s="21"/>
      <c r="FYX25" s="21"/>
      <c r="FYY25" s="21"/>
      <c r="FYZ25" s="21"/>
      <c r="FZA25" s="21"/>
      <c r="FZB25" s="21"/>
      <c r="FZC25" s="21"/>
      <c r="FZD25" s="21"/>
      <c r="FZE25" s="21"/>
      <c r="FZF25" s="21"/>
      <c r="FZG25" s="21"/>
      <c r="FZH25" s="21"/>
      <c r="FZI25" s="21"/>
      <c r="FZJ25" s="21"/>
      <c r="FZK25" s="21"/>
      <c r="FZL25" s="21"/>
      <c r="FZM25" s="21"/>
      <c r="FZN25" s="21"/>
      <c r="FZO25" s="21"/>
      <c r="FZP25" s="21"/>
      <c r="FZQ25" s="21"/>
      <c r="FZR25" s="21"/>
      <c r="FZS25" s="21"/>
      <c r="FZT25" s="21"/>
      <c r="FZU25" s="21"/>
      <c r="FZV25" s="21"/>
      <c r="FZW25" s="21"/>
      <c r="FZX25" s="21"/>
      <c r="FZY25" s="21"/>
      <c r="FZZ25" s="21"/>
      <c r="GAA25" s="21"/>
      <c r="GAB25" s="21"/>
      <c r="GAC25" s="21"/>
      <c r="GAD25" s="21"/>
      <c r="GAE25" s="21"/>
      <c r="GAF25" s="21"/>
      <c r="GAG25" s="21"/>
      <c r="GAH25" s="21"/>
      <c r="GAI25" s="21"/>
      <c r="GAJ25" s="21"/>
      <c r="GAK25" s="21"/>
      <c r="GAL25" s="21"/>
      <c r="GAM25" s="21"/>
      <c r="GAN25" s="21"/>
      <c r="GAO25" s="21"/>
      <c r="GAP25" s="21"/>
      <c r="GAQ25" s="21"/>
      <c r="GAR25" s="21"/>
      <c r="GAS25" s="21"/>
      <c r="GAT25" s="21"/>
      <c r="GAU25" s="21"/>
      <c r="GAV25" s="21"/>
      <c r="GAW25" s="21"/>
      <c r="GAX25" s="21"/>
      <c r="GAY25" s="21"/>
      <c r="GAZ25" s="21"/>
      <c r="GBA25" s="21"/>
      <c r="GBB25" s="21"/>
      <c r="GBC25" s="21"/>
      <c r="GBD25" s="21"/>
      <c r="GBE25" s="21"/>
      <c r="GBF25" s="21"/>
      <c r="GBG25" s="21"/>
      <c r="GBH25" s="21"/>
      <c r="GBI25" s="21"/>
      <c r="GBJ25" s="21"/>
      <c r="GBK25" s="21"/>
      <c r="GBL25" s="21"/>
      <c r="GBM25" s="21"/>
      <c r="GBN25" s="21"/>
      <c r="GBO25" s="21"/>
      <c r="GBP25" s="21"/>
      <c r="GBQ25" s="21"/>
      <c r="GBR25" s="21"/>
      <c r="GBS25" s="21"/>
      <c r="GBT25" s="21"/>
      <c r="GBU25" s="21"/>
      <c r="GBV25" s="21"/>
      <c r="GBW25" s="21"/>
      <c r="GBX25" s="21"/>
      <c r="GBY25" s="21"/>
      <c r="GBZ25" s="21"/>
      <c r="GCA25" s="21"/>
      <c r="GCB25" s="21"/>
      <c r="GCC25" s="21"/>
      <c r="GCD25" s="21"/>
      <c r="GCE25" s="21"/>
      <c r="GCF25" s="21"/>
      <c r="GCG25" s="21"/>
      <c r="GCH25" s="21"/>
      <c r="GCI25" s="21"/>
      <c r="GCJ25" s="21"/>
      <c r="GCK25" s="21"/>
      <c r="GCL25" s="21"/>
      <c r="GCM25" s="21"/>
      <c r="GCN25" s="21"/>
      <c r="GCO25" s="21"/>
      <c r="GCP25" s="21"/>
      <c r="GCQ25" s="21"/>
      <c r="GCR25" s="21"/>
      <c r="GCS25" s="21"/>
      <c r="GCT25" s="21"/>
      <c r="GCU25" s="21"/>
      <c r="GCV25" s="21"/>
      <c r="GCW25" s="21"/>
      <c r="GCX25" s="21"/>
      <c r="GCY25" s="21"/>
      <c r="GCZ25" s="21"/>
      <c r="GDA25" s="21"/>
      <c r="GDB25" s="21"/>
      <c r="GDC25" s="21"/>
      <c r="GDD25" s="21"/>
      <c r="GDE25" s="21"/>
      <c r="GDF25" s="21"/>
      <c r="GDG25" s="21"/>
      <c r="GDH25" s="21"/>
      <c r="GDI25" s="21"/>
      <c r="GDJ25" s="21"/>
      <c r="GDK25" s="21"/>
      <c r="GDL25" s="21"/>
      <c r="GDM25" s="21"/>
      <c r="GDN25" s="21"/>
      <c r="GDO25" s="21"/>
      <c r="GDP25" s="21"/>
      <c r="GDQ25" s="21"/>
      <c r="GDR25" s="21"/>
      <c r="GDS25" s="21"/>
      <c r="GDT25" s="21"/>
      <c r="GDU25" s="21"/>
      <c r="GDV25" s="21"/>
      <c r="GDW25" s="21"/>
      <c r="GDX25" s="21"/>
      <c r="GDY25" s="21"/>
      <c r="GDZ25" s="21"/>
      <c r="GEA25" s="21"/>
      <c r="GEB25" s="21"/>
      <c r="GEC25" s="21"/>
      <c r="GED25" s="21"/>
      <c r="GEE25" s="21"/>
      <c r="GEF25" s="21"/>
      <c r="GEG25" s="21"/>
      <c r="GEH25" s="21"/>
      <c r="GEI25" s="21"/>
      <c r="GEJ25" s="21"/>
      <c r="GEK25" s="21"/>
      <c r="GEL25" s="21"/>
      <c r="GEM25" s="21"/>
      <c r="GEN25" s="21"/>
      <c r="GEO25" s="21"/>
      <c r="GEP25" s="21"/>
      <c r="GEQ25" s="21"/>
      <c r="GER25" s="21"/>
      <c r="GES25" s="21"/>
      <c r="GET25" s="21"/>
      <c r="GEU25" s="21"/>
      <c r="GEV25" s="21"/>
      <c r="GEW25" s="21"/>
      <c r="GEX25" s="21"/>
      <c r="GEY25" s="21"/>
      <c r="GEZ25" s="21"/>
      <c r="GFA25" s="21"/>
      <c r="GFB25" s="21"/>
      <c r="GFC25" s="21"/>
      <c r="GFD25" s="21"/>
      <c r="GFE25" s="21"/>
      <c r="GFF25" s="21"/>
      <c r="GFG25" s="21"/>
      <c r="GFH25" s="21"/>
      <c r="GFI25" s="21"/>
      <c r="GFJ25" s="21"/>
      <c r="GFK25" s="21"/>
      <c r="GFL25" s="21"/>
      <c r="GFM25" s="21"/>
      <c r="GFN25" s="21"/>
      <c r="GFO25" s="21"/>
      <c r="GFP25" s="21"/>
      <c r="GFQ25" s="21"/>
      <c r="GFR25" s="21"/>
      <c r="GFS25" s="21"/>
      <c r="GFT25" s="21"/>
      <c r="GFU25" s="21"/>
      <c r="GFV25" s="21"/>
      <c r="GFW25" s="21"/>
      <c r="GFX25" s="21"/>
      <c r="GFY25" s="21"/>
      <c r="GFZ25" s="21"/>
      <c r="GGA25" s="21"/>
      <c r="GGB25" s="21"/>
      <c r="GGC25" s="21"/>
      <c r="GGD25" s="21"/>
      <c r="GGE25" s="21"/>
      <c r="GGF25" s="21"/>
      <c r="GGG25" s="21"/>
      <c r="GGH25" s="21"/>
      <c r="GGI25" s="21"/>
      <c r="GGJ25" s="21"/>
      <c r="GGK25" s="21"/>
      <c r="GGL25" s="21"/>
      <c r="GGM25" s="21"/>
      <c r="GGN25" s="21"/>
      <c r="GGO25" s="21"/>
      <c r="GGP25" s="21"/>
      <c r="GGQ25" s="21"/>
      <c r="GGR25" s="21"/>
      <c r="GGS25" s="21"/>
      <c r="GGT25" s="21"/>
      <c r="GGU25" s="21"/>
      <c r="GGV25" s="21"/>
      <c r="GGW25" s="21"/>
      <c r="GGX25" s="21"/>
      <c r="GGY25" s="21"/>
      <c r="GGZ25" s="21"/>
      <c r="GHA25" s="21"/>
      <c r="GHB25" s="21"/>
      <c r="GHC25" s="21"/>
      <c r="GHD25" s="21"/>
      <c r="GHE25" s="21"/>
      <c r="GHF25" s="21"/>
      <c r="GHG25" s="21"/>
      <c r="GHH25" s="21"/>
      <c r="GHI25" s="21"/>
      <c r="GHJ25" s="21"/>
      <c r="GHK25" s="21"/>
      <c r="GHL25" s="21"/>
      <c r="GHM25" s="21"/>
      <c r="GHN25" s="21"/>
      <c r="GHO25" s="21"/>
      <c r="GHP25" s="21"/>
      <c r="GHQ25" s="21"/>
      <c r="GHR25" s="21"/>
      <c r="GHS25" s="21"/>
      <c r="GHT25" s="21"/>
      <c r="GHU25" s="21"/>
      <c r="GHV25" s="21"/>
      <c r="GHW25" s="21"/>
      <c r="GHX25" s="21"/>
      <c r="GHY25" s="21"/>
      <c r="GHZ25" s="21"/>
      <c r="GIA25" s="21"/>
      <c r="GIB25" s="21"/>
      <c r="GIC25" s="21"/>
      <c r="GID25" s="21"/>
      <c r="GIE25" s="21"/>
      <c r="GIF25" s="21"/>
      <c r="GIG25" s="21"/>
      <c r="GIH25" s="21"/>
      <c r="GII25" s="21"/>
      <c r="GIJ25" s="21"/>
      <c r="GIK25" s="21"/>
      <c r="GIL25" s="21"/>
      <c r="GIM25" s="21"/>
      <c r="GIN25" s="21"/>
      <c r="GIO25" s="21"/>
      <c r="GIP25" s="21"/>
      <c r="GIQ25" s="21"/>
      <c r="GIR25" s="21"/>
      <c r="GIS25" s="21"/>
      <c r="GIT25" s="21"/>
      <c r="GIU25" s="21"/>
      <c r="GIV25" s="21"/>
      <c r="GIW25" s="21"/>
      <c r="GIX25" s="21"/>
      <c r="GIY25" s="21"/>
      <c r="GIZ25" s="21"/>
      <c r="GJA25" s="21"/>
      <c r="GJB25" s="21"/>
      <c r="GJC25" s="21"/>
      <c r="GJD25" s="21"/>
      <c r="GJE25" s="21"/>
      <c r="GJF25" s="21"/>
      <c r="GJG25" s="21"/>
      <c r="GJH25" s="21"/>
      <c r="GJI25" s="21"/>
      <c r="GJJ25" s="21"/>
      <c r="GJK25" s="21"/>
      <c r="GJL25" s="21"/>
      <c r="GJM25" s="21"/>
      <c r="GJN25" s="21"/>
      <c r="GJO25" s="21"/>
      <c r="GJP25" s="21"/>
      <c r="GJQ25" s="21"/>
      <c r="GJR25" s="21"/>
      <c r="GJS25" s="21"/>
      <c r="GJT25" s="21"/>
      <c r="GJU25" s="21"/>
      <c r="GJV25" s="21"/>
      <c r="GJW25" s="21"/>
      <c r="GJX25" s="21"/>
      <c r="GJY25" s="21"/>
      <c r="GJZ25" s="21"/>
      <c r="GKA25" s="21"/>
      <c r="GKB25" s="21"/>
      <c r="GKC25" s="21"/>
      <c r="GKD25" s="21"/>
      <c r="GKE25" s="21"/>
      <c r="GKF25" s="21"/>
      <c r="GKG25" s="21"/>
      <c r="GKH25" s="21"/>
      <c r="GKI25" s="21"/>
      <c r="GKJ25" s="21"/>
      <c r="GKK25" s="21"/>
      <c r="GKL25" s="21"/>
      <c r="GKM25" s="21"/>
      <c r="GKN25" s="21"/>
      <c r="GKO25" s="21"/>
      <c r="GKP25" s="21"/>
      <c r="GKQ25" s="21"/>
      <c r="GKR25" s="21"/>
      <c r="GKS25" s="21"/>
      <c r="GKT25" s="21"/>
      <c r="GKU25" s="21"/>
      <c r="GKV25" s="21"/>
      <c r="GKW25" s="21"/>
      <c r="GKX25" s="21"/>
      <c r="GKY25" s="21"/>
      <c r="GKZ25" s="21"/>
      <c r="GLA25" s="21"/>
      <c r="GLB25" s="21"/>
      <c r="GLC25" s="21"/>
      <c r="GLD25" s="21"/>
      <c r="GLE25" s="21"/>
      <c r="GLF25" s="21"/>
      <c r="GLG25" s="21"/>
      <c r="GLH25" s="21"/>
      <c r="GLI25" s="21"/>
      <c r="GLJ25" s="21"/>
      <c r="GLK25" s="21"/>
      <c r="GLL25" s="21"/>
      <c r="GLM25" s="21"/>
      <c r="GLN25" s="21"/>
      <c r="GLO25" s="21"/>
      <c r="GLP25" s="21"/>
      <c r="GLQ25" s="21"/>
      <c r="GLR25" s="21"/>
      <c r="GLS25" s="21"/>
      <c r="GLT25" s="21"/>
      <c r="GLU25" s="21"/>
      <c r="GLV25" s="21"/>
      <c r="GLW25" s="21"/>
      <c r="GLX25" s="21"/>
      <c r="GLY25" s="21"/>
      <c r="GLZ25" s="21"/>
      <c r="GMA25" s="21"/>
      <c r="GMB25" s="21"/>
      <c r="GMC25" s="21"/>
      <c r="GMD25" s="21"/>
      <c r="GME25" s="21"/>
      <c r="GMF25" s="21"/>
      <c r="GMG25" s="21"/>
      <c r="GMH25" s="21"/>
      <c r="GMI25" s="21"/>
      <c r="GMJ25" s="21"/>
      <c r="GMK25" s="21"/>
      <c r="GML25" s="21"/>
      <c r="GMM25" s="21"/>
      <c r="GMN25" s="21"/>
      <c r="GMO25" s="21"/>
      <c r="GMP25" s="21"/>
      <c r="GMQ25" s="21"/>
      <c r="GMR25" s="21"/>
      <c r="GMS25" s="21"/>
      <c r="GMT25" s="21"/>
      <c r="GMU25" s="21"/>
      <c r="GMV25" s="21"/>
      <c r="GMW25" s="21"/>
      <c r="GMX25" s="21"/>
      <c r="GMY25" s="21"/>
      <c r="GMZ25" s="21"/>
      <c r="GNA25" s="21"/>
      <c r="GNB25" s="21"/>
      <c r="GNC25" s="21"/>
      <c r="GND25" s="21"/>
      <c r="GNE25" s="21"/>
      <c r="GNF25" s="21"/>
      <c r="GNG25" s="21"/>
      <c r="GNH25" s="21"/>
      <c r="GNI25" s="21"/>
      <c r="GNJ25" s="21"/>
      <c r="GNK25" s="21"/>
      <c r="GNL25" s="21"/>
      <c r="GNM25" s="21"/>
      <c r="GNN25" s="21"/>
      <c r="GNO25" s="21"/>
      <c r="GNP25" s="21"/>
      <c r="GNQ25" s="21"/>
      <c r="GNR25" s="21"/>
      <c r="GNS25" s="21"/>
      <c r="GNT25" s="21"/>
      <c r="GNU25" s="21"/>
      <c r="GNV25" s="21"/>
      <c r="GNW25" s="21"/>
      <c r="GNX25" s="21"/>
      <c r="GNY25" s="21"/>
      <c r="GNZ25" s="21"/>
      <c r="GOA25" s="21"/>
      <c r="GOB25" s="21"/>
      <c r="GOC25" s="21"/>
      <c r="GOD25" s="21"/>
      <c r="GOE25" s="21"/>
      <c r="GOF25" s="21"/>
      <c r="GOG25" s="21"/>
      <c r="GOH25" s="21"/>
      <c r="GOI25" s="21"/>
      <c r="GOJ25" s="21"/>
      <c r="GOK25" s="21"/>
      <c r="GOL25" s="21"/>
      <c r="GOM25" s="21"/>
      <c r="GON25" s="21"/>
      <c r="GOO25" s="21"/>
      <c r="GOP25" s="21"/>
      <c r="GOQ25" s="21"/>
      <c r="GOR25" s="21"/>
      <c r="GOS25" s="21"/>
      <c r="GOT25" s="21"/>
      <c r="GOU25" s="21"/>
      <c r="GOV25" s="21"/>
      <c r="GOW25" s="21"/>
      <c r="GOX25" s="21"/>
      <c r="GOY25" s="21"/>
      <c r="GOZ25" s="21"/>
      <c r="GPA25" s="21"/>
      <c r="GPB25" s="21"/>
      <c r="GPC25" s="21"/>
      <c r="GPD25" s="21"/>
      <c r="GPE25" s="21"/>
      <c r="GPF25" s="21"/>
      <c r="GPG25" s="21"/>
      <c r="GPH25" s="21"/>
      <c r="GPI25" s="21"/>
      <c r="GPJ25" s="21"/>
      <c r="GPK25" s="21"/>
      <c r="GPL25" s="21"/>
      <c r="GPM25" s="21"/>
      <c r="GPN25" s="21"/>
      <c r="GPO25" s="21"/>
      <c r="GPP25" s="21"/>
      <c r="GPQ25" s="21"/>
      <c r="GPR25" s="21"/>
      <c r="GPS25" s="21"/>
      <c r="GPT25" s="21"/>
      <c r="GPU25" s="21"/>
      <c r="GPV25" s="21"/>
      <c r="GPW25" s="21"/>
      <c r="GPX25" s="21"/>
      <c r="GPY25" s="21"/>
      <c r="GPZ25" s="21"/>
      <c r="GQA25" s="21"/>
      <c r="GQB25" s="21"/>
      <c r="GQC25" s="21"/>
      <c r="GQD25" s="21"/>
      <c r="GQE25" s="21"/>
      <c r="GQF25" s="21"/>
      <c r="GQG25" s="21"/>
      <c r="GQH25" s="21"/>
      <c r="GQI25" s="21"/>
      <c r="GQJ25" s="21"/>
      <c r="GQK25" s="21"/>
      <c r="GQL25" s="21"/>
      <c r="GQM25" s="21"/>
      <c r="GQN25" s="21"/>
      <c r="GQO25" s="21"/>
      <c r="GQP25" s="21"/>
      <c r="GQQ25" s="21"/>
      <c r="GQR25" s="21"/>
      <c r="GQS25" s="21"/>
      <c r="GQT25" s="21"/>
      <c r="GQU25" s="21"/>
      <c r="GQV25" s="21"/>
      <c r="GQW25" s="21"/>
      <c r="GQX25" s="21"/>
      <c r="GQY25" s="21"/>
      <c r="GQZ25" s="21"/>
      <c r="GRA25" s="21"/>
      <c r="GRB25" s="21"/>
      <c r="GRC25" s="21"/>
      <c r="GRD25" s="21"/>
      <c r="GRE25" s="21"/>
      <c r="GRF25" s="21"/>
      <c r="GRG25" s="21"/>
      <c r="GRH25" s="21"/>
      <c r="GRI25" s="21"/>
      <c r="GRJ25" s="21"/>
      <c r="GRK25" s="21"/>
      <c r="GRL25" s="21"/>
      <c r="GRM25" s="21"/>
      <c r="GRN25" s="21"/>
      <c r="GRO25" s="21"/>
      <c r="GRP25" s="21"/>
      <c r="GRQ25" s="21"/>
      <c r="GRR25" s="21"/>
      <c r="GRS25" s="21"/>
      <c r="GRT25" s="21"/>
      <c r="GRU25" s="21"/>
      <c r="GRV25" s="21"/>
      <c r="GRW25" s="21"/>
      <c r="GRX25" s="21"/>
      <c r="GRY25" s="21"/>
      <c r="GRZ25" s="21"/>
      <c r="GSA25" s="21"/>
      <c r="GSB25" s="21"/>
      <c r="GSC25" s="21"/>
      <c r="GSD25" s="21"/>
      <c r="GSE25" s="21"/>
      <c r="GSF25" s="21"/>
      <c r="GSG25" s="21"/>
      <c r="GSH25" s="21"/>
      <c r="GSI25" s="21"/>
      <c r="GSJ25" s="21"/>
      <c r="GSK25" s="21"/>
      <c r="GSL25" s="21"/>
      <c r="GSM25" s="21"/>
      <c r="GSN25" s="21"/>
      <c r="GSO25" s="21"/>
      <c r="GSP25" s="21"/>
      <c r="GSQ25" s="21"/>
      <c r="GSR25" s="21"/>
      <c r="GSS25" s="21"/>
      <c r="GST25" s="21"/>
      <c r="GSU25" s="21"/>
      <c r="GSV25" s="21"/>
      <c r="GSW25" s="21"/>
      <c r="GSX25" s="21"/>
      <c r="GSY25" s="21"/>
      <c r="GSZ25" s="21"/>
      <c r="GTA25" s="21"/>
      <c r="GTB25" s="21"/>
      <c r="GTC25" s="21"/>
      <c r="GTD25" s="21"/>
      <c r="GTE25" s="21"/>
      <c r="GTF25" s="21"/>
      <c r="GTG25" s="21"/>
      <c r="GTH25" s="21"/>
      <c r="GTI25" s="21"/>
      <c r="GTJ25" s="21"/>
      <c r="GTK25" s="21"/>
      <c r="GTL25" s="21"/>
      <c r="GTM25" s="21"/>
      <c r="GTN25" s="21"/>
      <c r="GTO25" s="21"/>
      <c r="GTP25" s="21"/>
      <c r="GTQ25" s="21"/>
      <c r="GTR25" s="21"/>
      <c r="GTS25" s="21"/>
      <c r="GTT25" s="21"/>
      <c r="GTU25" s="21"/>
      <c r="GTV25" s="21"/>
      <c r="GTW25" s="21"/>
      <c r="GTX25" s="21"/>
      <c r="GTY25" s="21"/>
      <c r="GTZ25" s="21"/>
      <c r="GUA25" s="21"/>
      <c r="GUB25" s="21"/>
      <c r="GUC25" s="21"/>
      <c r="GUD25" s="21"/>
      <c r="GUE25" s="21"/>
      <c r="GUF25" s="21"/>
      <c r="GUG25" s="21"/>
      <c r="GUH25" s="21"/>
      <c r="GUI25" s="21"/>
      <c r="GUJ25" s="21"/>
      <c r="GUK25" s="21"/>
      <c r="GUL25" s="21"/>
      <c r="GUM25" s="21"/>
      <c r="GUN25" s="21"/>
      <c r="GUO25" s="21"/>
      <c r="GUP25" s="21"/>
      <c r="GUQ25" s="21"/>
      <c r="GUR25" s="21"/>
      <c r="GUS25" s="21"/>
      <c r="GUT25" s="21"/>
      <c r="GUU25" s="21"/>
      <c r="GUV25" s="21"/>
      <c r="GUW25" s="21"/>
      <c r="GUX25" s="21"/>
      <c r="GUY25" s="21"/>
      <c r="GUZ25" s="21"/>
      <c r="GVA25" s="21"/>
      <c r="GVB25" s="21"/>
      <c r="GVC25" s="21"/>
      <c r="GVD25" s="21"/>
      <c r="GVE25" s="21"/>
      <c r="GVF25" s="21"/>
      <c r="GVG25" s="21"/>
      <c r="GVH25" s="21"/>
      <c r="GVI25" s="21"/>
      <c r="GVJ25" s="21"/>
      <c r="GVK25" s="21"/>
      <c r="GVL25" s="21"/>
      <c r="GVM25" s="21"/>
      <c r="GVN25" s="21"/>
      <c r="GVO25" s="21"/>
      <c r="GVP25" s="21"/>
      <c r="GVQ25" s="21"/>
      <c r="GVR25" s="21"/>
      <c r="GVS25" s="21"/>
      <c r="GVT25" s="21"/>
      <c r="GVU25" s="21"/>
      <c r="GVV25" s="21"/>
      <c r="GVW25" s="21"/>
      <c r="GVX25" s="21"/>
      <c r="GVY25" s="21"/>
      <c r="GVZ25" s="21"/>
      <c r="GWA25" s="21"/>
      <c r="GWB25" s="21"/>
      <c r="GWC25" s="21"/>
      <c r="GWD25" s="21"/>
      <c r="GWE25" s="21"/>
      <c r="GWF25" s="21"/>
      <c r="GWG25" s="21"/>
      <c r="GWH25" s="21"/>
      <c r="GWI25" s="21"/>
      <c r="GWJ25" s="21"/>
      <c r="GWK25" s="21"/>
      <c r="GWL25" s="21"/>
      <c r="GWM25" s="21"/>
      <c r="GWN25" s="21"/>
      <c r="GWO25" s="21"/>
      <c r="GWP25" s="21"/>
      <c r="GWQ25" s="21"/>
      <c r="GWR25" s="21"/>
      <c r="GWS25" s="21"/>
      <c r="GWT25" s="21"/>
      <c r="GWU25" s="21"/>
      <c r="GWV25" s="21"/>
      <c r="GWW25" s="21"/>
      <c r="GWX25" s="21"/>
      <c r="GWY25" s="21"/>
      <c r="GWZ25" s="21"/>
      <c r="GXA25" s="21"/>
      <c r="GXB25" s="21"/>
      <c r="GXC25" s="21"/>
      <c r="GXD25" s="21"/>
      <c r="GXE25" s="21"/>
      <c r="GXF25" s="21"/>
      <c r="GXG25" s="21"/>
      <c r="GXH25" s="21"/>
      <c r="GXI25" s="21"/>
      <c r="GXJ25" s="21"/>
      <c r="GXK25" s="21"/>
      <c r="GXL25" s="21"/>
      <c r="GXM25" s="21"/>
      <c r="GXN25" s="21"/>
      <c r="GXO25" s="21"/>
      <c r="GXP25" s="21"/>
      <c r="GXQ25" s="21"/>
      <c r="GXR25" s="21"/>
      <c r="GXS25" s="21"/>
      <c r="GXT25" s="21"/>
      <c r="GXU25" s="21"/>
      <c r="GXV25" s="21"/>
      <c r="GXW25" s="21"/>
      <c r="GXX25" s="21"/>
      <c r="GXY25" s="21"/>
      <c r="GXZ25" s="21"/>
      <c r="GYA25" s="21"/>
      <c r="GYB25" s="21"/>
      <c r="GYC25" s="21"/>
      <c r="GYD25" s="21"/>
      <c r="GYE25" s="21"/>
      <c r="GYF25" s="21"/>
      <c r="GYG25" s="21"/>
      <c r="GYH25" s="21"/>
      <c r="GYI25" s="21"/>
      <c r="GYJ25" s="21"/>
      <c r="GYK25" s="21"/>
      <c r="GYL25" s="21"/>
      <c r="GYM25" s="21"/>
      <c r="GYN25" s="21"/>
      <c r="GYO25" s="21"/>
      <c r="GYP25" s="21"/>
      <c r="GYQ25" s="21"/>
      <c r="GYR25" s="21"/>
      <c r="GYS25" s="21"/>
      <c r="GYT25" s="21"/>
      <c r="GYU25" s="21"/>
      <c r="GYV25" s="21"/>
      <c r="GYW25" s="21"/>
      <c r="GYX25" s="21"/>
      <c r="GYY25" s="21"/>
      <c r="GYZ25" s="21"/>
      <c r="GZA25" s="21"/>
      <c r="GZB25" s="21"/>
      <c r="GZC25" s="21"/>
      <c r="GZD25" s="21"/>
      <c r="GZE25" s="21"/>
      <c r="GZF25" s="21"/>
      <c r="GZG25" s="21"/>
      <c r="GZH25" s="21"/>
      <c r="GZI25" s="21"/>
      <c r="GZJ25" s="21"/>
      <c r="GZK25" s="21"/>
      <c r="GZL25" s="21"/>
      <c r="GZM25" s="21"/>
      <c r="GZN25" s="21"/>
      <c r="GZO25" s="21"/>
      <c r="GZP25" s="21"/>
      <c r="GZQ25" s="21"/>
      <c r="GZR25" s="21"/>
      <c r="GZS25" s="21"/>
      <c r="GZT25" s="21"/>
      <c r="GZU25" s="21"/>
      <c r="GZV25" s="21"/>
      <c r="GZW25" s="21"/>
      <c r="GZX25" s="21"/>
      <c r="GZY25" s="21"/>
      <c r="GZZ25" s="21"/>
      <c r="HAA25" s="21"/>
      <c r="HAB25" s="21"/>
      <c r="HAC25" s="21"/>
      <c r="HAD25" s="21"/>
      <c r="HAE25" s="21"/>
      <c r="HAF25" s="21"/>
      <c r="HAG25" s="21"/>
      <c r="HAH25" s="21"/>
      <c r="HAI25" s="21"/>
      <c r="HAJ25" s="21"/>
      <c r="HAK25" s="21"/>
      <c r="HAL25" s="21"/>
      <c r="HAM25" s="21"/>
      <c r="HAN25" s="21"/>
      <c r="HAO25" s="21"/>
      <c r="HAP25" s="21"/>
      <c r="HAQ25" s="21"/>
      <c r="HAR25" s="21"/>
      <c r="HAS25" s="21"/>
      <c r="HAT25" s="21"/>
      <c r="HAU25" s="21"/>
      <c r="HAV25" s="21"/>
      <c r="HAW25" s="21"/>
      <c r="HAX25" s="21"/>
      <c r="HAY25" s="21"/>
      <c r="HAZ25" s="21"/>
      <c r="HBA25" s="21"/>
      <c r="HBB25" s="21"/>
      <c r="HBC25" s="21"/>
      <c r="HBD25" s="21"/>
      <c r="HBE25" s="21"/>
      <c r="HBF25" s="21"/>
      <c r="HBG25" s="21"/>
      <c r="HBH25" s="21"/>
      <c r="HBI25" s="21"/>
      <c r="HBJ25" s="21"/>
      <c r="HBK25" s="21"/>
      <c r="HBL25" s="21"/>
      <c r="HBM25" s="21"/>
      <c r="HBN25" s="21"/>
      <c r="HBO25" s="21"/>
      <c r="HBP25" s="21"/>
      <c r="HBQ25" s="21"/>
      <c r="HBR25" s="21"/>
      <c r="HBS25" s="21"/>
      <c r="HBT25" s="21"/>
      <c r="HBU25" s="21"/>
      <c r="HBV25" s="21"/>
      <c r="HBW25" s="21"/>
      <c r="HBX25" s="21"/>
      <c r="HBY25" s="21"/>
      <c r="HBZ25" s="21"/>
      <c r="HCA25" s="21"/>
      <c r="HCB25" s="21"/>
      <c r="HCC25" s="21"/>
      <c r="HCD25" s="21"/>
      <c r="HCE25" s="21"/>
      <c r="HCF25" s="21"/>
      <c r="HCG25" s="21"/>
      <c r="HCH25" s="21"/>
      <c r="HCI25" s="21"/>
      <c r="HCJ25" s="21"/>
      <c r="HCK25" s="21"/>
      <c r="HCL25" s="21"/>
      <c r="HCM25" s="21"/>
      <c r="HCN25" s="21"/>
      <c r="HCO25" s="21"/>
      <c r="HCP25" s="21"/>
      <c r="HCQ25" s="21"/>
      <c r="HCR25" s="21"/>
      <c r="HCS25" s="21"/>
      <c r="HCT25" s="21"/>
      <c r="HCU25" s="21"/>
      <c r="HCV25" s="21"/>
      <c r="HCW25" s="21"/>
      <c r="HCX25" s="21"/>
      <c r="HCY25" s="21"/>
      <c r="HCZ25" s="21"/>
      <c r="HDA25" s="21"/>
      <c r="HDB25" s="21"/>
      <c r="HDC25" s="21"/>
      <c r="HDD25" s="21"/>
      <c r="HDE25" s="21"/>
      <c r="HDF25" s="21"/>
      <c r="HDG25" s="21"/>
      <c r="HDH25" s="21"/>
      <c r="HDI25" s="21"/>
      <c r="HDJ25" s="21"/>
      <c r="HDK25" s="21"/>
      <c r="HDL25" s="21"/>
      <c r="HDM25" s="21"/>
      <c r="HDN25" s="21"/>
      <c r="HDO25" s="21"/>
      <c r="HDP25" s="21"/>
      <c r="HDQ25" s="21"/>
      <c r="HDR25" s="21"/>
      <c r="HDS25" s="21"/>
      <c r="HDT25" s="21"/>
      <c r="HDU25" s="21"/>
      <c r="HDV25" s="21"/>
      <c r="HDW25" s="21"/>
      <c r="HDX25" s="21"/>
      <c r="HDY25" s="21"/>
      <c r="HDZ25" s="21"/>
      <c r="HEA25" s="21"/>
      <c r="HEB25" s="21"/>
      <c r="HEC25" s="21"/>
      <c r="HED25" s="21"/>
      <c r="HEE25" s="21"/>
      <c r="HEF25" s="21"/>
      <c r="HEG25" s="21"/>
      <c r="HEH25" s="21"/>
      <c r="HEI25" s="21"/>
      <c r="HEJ25" s="21"/>
      <c r="HEK25" s="21"/>
      <c r="HEL25" s="21"/>
      <c r="HEM25" s="21"/>
      <c r="HEN25" s="21"/>
      <c r="HEO25" s="21"/>
      <c r="HEP25" s="21"/>
      <c r="HEQ25" s="21"/>
      <c r="HER25" s="21"/>
      <c r="HES25" s="21"/>
      <c r="HET25" s="21"/>
      <c r="HEU25" s="21"/>
      <c r="HEV25" s="21"/>
      <c r="HEW25" s="21"/>
      <c r="HEX25" s="21"/>
      <c r="HEY25" s="21"/>
      <c r="HEZ25" s="21"/>
      <c r="HFA25" s="21"/>
      <c r="HFB25" s="21"/>
      <c r="HFC25" s="21"/>
      <c r="HFD25" s="21"/>
      <c r="HFE25" s="21"/>
      <c r="HFF25" s="21"/>
      <c r="HFG25" s="21"/>
      <c r="HFH25" s="21"/>
      <c r="HFI25" s="21"/>
      <c r="HFJ25" s="21"/>
      <c r="HFK25" s="21"/>
      <c r="HFL25" s="21"/>
      <c r="HFM25" s="21"/>
      <c r="HFN25" s="21"/>
      <c r="HFO25" s="21"/>
      <c r="HFP25" s="21"/>
      <c r="HFQ25" s="21"/>
      <c r="HFR25" s="21"/>
      <c r="HFS25" s="21"/>
      <c r="HFT25" s="21"/>
      <c r="HFU25" s="21"/>
      <c r="HFV25" s="21"/>
      <c r="HFW25" s="21"/>
      <c r="HFX25" s="21"/>
      <c r="HFY25" s="21"/>
      <c r="HFZ25" s="21"/>
      <c r="HGA25" s="21"/>
      <c r="HGB25" s="21"/>
      <c r="HGC25" s="21"/>
      <c r="HGD25" s="21"/>
      <c r="HGE25" s="21"/>
      <c r="HGF25" s="21"/>
      <c r="HGG25" s="21"/>
      <c r="HGH25" s="21"/>
      <c r="HGI25" s="21"/>
      <c r="HGJ25" s="21"/>
      <c r="HGK25" s="21"/>
      <c r="HGL25" s="21"/>
      <c r="HGM25" s="21"/>
      <c r="HGN25" s="21"/>
      <c r="HGO25" s="21"/>
      <c r="HGP25" s="21"/>
      <c r="HGQ25" s="21"/>
      <c r="HGR25" s="21"/>
      <c r="HGS25" s="21"/>
      <c r="HGT25" s="21"/>
      <c r="HGU25" s="21"/>
      <c r="HGV25" s="21"/>
      <c r="HGW25" s="21"/>
      <c r="HGX25" s="21"/>
      <c r="HGY25" s="21"/>
      <c r="HGZ25" s="21"/>
      <c r="HHA25" s="21"/>
      <c r="HHB25" s="21"/>
      <c r="HHC25" s="21"/>
      <c r="HHD25" s="21"/>
      <c r="HHE25" s="21"/>
      <c r="HHF25" s="21"/>
      <c r="HHG25" s="21"/>
      <c r="HHH25" s="21"/>
      <c r="HHI25" s="21"/>
      <c r="HHJ25" s="21"/>
      <c r="HHK25" s="21"/>
      <c r="HHL25" s="21"/>
      <c r="HHM25" s="21"/>
      <c r="HHN25" s="21"/>
      <c r="HHO25" s="21"/>
      <c r="HHP25" s="21"/>
      <c r="HHQ25" s="21"/>
      <c r="HHR25" s="21"/>
      <c r="HHS25" s="21"/>
      <c r="HHT25" s="21"/>
      <c r="HHU25" s="21"/>
      <c r="HHV25" s="21"/>
      <c r="HHW25" s="21"/>
      <c r="HHX25" s="21"/>
      <c r="HHY25" s="21"/>
      <c r="HHZ25" s="21"/>
      <c r="HIA25" s="21"/>
      <c r="HIB25" s="21"/>
      <c r="HIC25" s="21"/>
      <c r="HID25" s="21"/>
      <c r="HIE25" s="21"/>
      <c r="HIF25" s="21"/>
      <c r="HIG25" s="21"/>
      <c r="HIH25" s="21"/>
      <c r="HII25" s="21"/>
      <c r="HIJ25" s="21"/>
      <c r="HIK25" s="21"/>
      <c r="HIL25" s="21"/>
      <c r="HIM25" s="21"/>
      <c r="HIN25" s="21"/>
      <c r="HIO25" s="21"/>
      <c r="HIP25" s="21"/>
      <c r="HIQ25" s="21"/>
      <c r="HIR25" s="21"/>
      <c r="HIS25" s="21"/>
      <c r="HIT25" s="21"/>
      <c r="HIU25" s="21"/>
      <c r="HIV25" s="21"/>
      <c r="HIW25" s="21"/>
      <c r="HIX25" s="21"/>
      <c r="HIY25" s="21"/>
      <c r="HIZ25" s="21"/>
      <c r="HJA25" s="21"/>
      <c r="HJB25" s="21"/>
      <c r="HJC25" s="21"/>
      <c r="HJD25" s="21"/>
      <c r="HJE25" s="21"/>
      <c r="HJF25" s="21"/>
      <c r="HJG25" s="21"/>
      <c r="HJH25" s="21"/>
      <c r="HJI25" s="21"/>
      <c r="HJJ25" s="21"/>
      <c r="HJK25" s="21"/>
      <c r="HJL25" s="21"/>
      <c r="HJM25" s="21"/>
      <c r="HJN25" s="21"/>
      <c r="HJO25" s="21"/>
      <c r="HJP25" s="21"/>
      <c r="HJQ25" s="21"/>
      <c r="HJR25" s="21"/>
      <c r="HJS25" s="21"/>
      <c r="HJT25" s="21"/>
      <c r="HJU25" s="21"/>
      <c r="HJV25" s="21"/>
      <c r="HJW25" s="21"/>
      <c r="HJX25" s="21"/>
      <c r="HJY25" s="21"/>
      <c r="HJZ25" s="21"/>
      <c r="HKA25" s="21"/>
      <c r="HKB25" s="21"/>
      <c r="HKC25" s="21"/>
      <c r="HKD25" s="21"/>
      <c r="HKE25" s="21"/>
      <c r="HKF25" s="21"/>
      <c r="HKG25" s="21"/>
      <c r="HKH25" s="21"/>
      <c r="HKI25" s="21"/>
      <c r="HKJ25" s="21"/>
      <c r="HKK25" s="21"/>
      <c r="HKL25" s="21"/>
      <c r="HKM25" s="21"/>
      <c r="HKN25" s="21"/>
      <c r="HKO25" s="21"/>
      <c r="HKP25" s="21"/>
      <c r="HKQ25" s="21"/>
      <c r="HKR25" s="21"/>
      <c r="HKS25" s="21"/>
      <c r="HKT25" s="21"/>
      <c r="HKU25" s="21"/>
      <c r="HKV25" s="21"/>
      <c r="HKW25" s="21"/>
      <c r="HKX25" s="21"/>
      <c r="HKY25" s="21"/>
      <c r="HKZ25" s="21"/>
      <c r="HLA25" s="21"/>
      <c r="HLB25" s="21"/>
      <c r="HLC25" s="21"/>
      <c r="HLD25" s="21"/>
      <c r="HLE25" s="21"/>
      <c r="HLF25" s="21"/>
      <c r="HLG25" s="21"/>
      <c r="HLH25" s="21"/>
      <c r="HLI25" s="21"/>
      <c r="HLJ25" s="21"/>
      <c r="HLK25" s="21"/>
      <c r="HLL25" s="21"/>
      <c r="HLM25" s="21"/>
      <c r="HLN25" s="21"/>
      <c r="HLO25" s="21"/>
      <c r="HLP25" s="21"/>
      <c r="HLQ25" s="21"/>
      <c r="HLR25" s="21"/>
      <c r="HLS25" s="21"/>
      <c r="HLT25" s="21"/>
      <c r="HLU25" s="21"/>
      <c r="HLV25" s="21"/>
      <c r="HLW25" s="21"/>
      <c r="HLX25" s="21"/>
      <c r="HLY25" s="21"/>
      <c r="HLZ25" s="21"/>
      <c r="HMA25" s="21"/>
      <c r="HMB25" s="21"/>
      <c r="HMC25" s="21"/>
      <c r="HMD25" s="21"/>
      <c r="HME25" s="21"/>
      <c r="HMF25" s="21"/>
      <c r="HMG25" s="21"/>
      <c r="HMH25" s="21"/>
      <c r="HMI25" s="21"/>
      <c r="HMJ25" s="21"/>
      <c r="HMK25" s="21"/>
      <c r="HML25" s="21"/>
      <c r="HMM25" s="21"/>
      <c r="HMN25" s="21"/>
      <c r="HMO25" s="21"/>
      <c r="HMP25" s="21"/>
      <c r="HMQ25" s="21"/>
      <c r="HMR25" s="21"/>
      <c r="HMS25" s="21"/>
      <c r="HMT25" s="21"/>
      <c r="HMU25" s="21"/>
      <c r="HMV25" s="21"/>
      <c r="HMW25" s="21"/>
      <c r="HMX25" s="21"/>
      <c r="HMY25" s="21"/>
      <c r="HMZ25" s="21"/>
      <c r="HNA25" s="21"/>
      <c r="HNB25" s="21"/>
      <c r="HNC25" s="21"/>
      <c r="HND25" s="21"/>
      <c r="HNE25" s="21"/>
      <c r="HNF25" s="21"/>
      <c r="HNG25" s="21"/>
      <c r="HNH25" s="21"/>
      <c r="HNI25" s="21"/>
      <c r="HNJ25" s="21"/>
      <c r="HNK25" s="21"/>
      <c r="HNL25" s="21"/>
      <c r="HNM25" s="21"/>
      <c r="HNN25" s="21"/>
      <c r="HNO25" s="21"/>
      <c r="HNP25" s="21"/>
      <c r="HNQ25" s="21"/>
      <c r="HNR25" s="21"/>
      <c r="HNS25" s="21"/>
      <c r="HNT25" s="21"/>
      <c r="HNU25" s="21"/>
      <c r="HNV25" s="21"/>
      <c r="HNW25" s="21"/>
      <c r="HNX25" s="21"/>
      <c r="HNY25" s="21"/>
      <c r="HNZ25" s="21"/>
      <c r="HOA25" s="21"/>
      <c r="HOB25" s="21"/>
      <c r="HOC25" s="21"/>
      <c r="HOD25" s="21"/>
      <c r="HOE25" s="21"/>
      <c r="HOF25" s="21"/>
      <c r="HOG25" s="21"/>
      <c r="HOH25" s="21"/>
      <c r="HOI25" s="21"/>
      <c r="HOJ25" s="21"/>
      <c r="HOK25" s="21"/>
      <c r="HOL25" s="21"/>
      <c r="HOM25" s="21"/>
      <c r="HON25" s="21"/>
      <c r="HOO25" s="21"/>
      <c r="HOP25" s="21"/>
      <c r="HOQ25" s="21"/>
      <c r="HOR25" s="21"/>
      <c r="HOS25" s="21"/>
      <c r="HOT25" s="21"/>
      <c r="HOU25" s="21"/>
      <c r="HOV25" s="21"/>
      <c r="HOW25" s="21"/>
      <c r="HOX25" s="21"/>
      <c r="HOY25" s="21"/>
      <c r="HOZ25" s="21"/>
      <c r="HPA25" s="21"/>
      <c r="HPB25" s="21"/>
      <c r="HPC25" s="21"/>
      <c r="HPD25" s="21"/>
      <c r="HPE25" s="21"/>
      <c r="HPF25" s="21"/>
      <c r="HPG25" s="21"/>
      <c r="HPH25" s="21"/>
      <c r="HPI25" s="21"/>
      <c r="HPJ25" s="21"/>
      <c r="HPK25" s="21"/>
      <c r="HPL25" s="21"/>
      <c r="HPM25" s="21"/>
      <c r="HPN25" s="21"/>
      <c r="HPO25" s="21"/>
      <c r="HPP25" s="21"/>
      <c r="HPQ25" s="21"/>
      <c r="HPR25" s="21"/>
      <c r="HPS25" s="21"/>
      <c r="HPT25" s="21"/>
      <c r="HPU25" s="21"/>
      <c r="HPV25" s="21"/>
      <c r="HPW25" s="21"/>
      <c r="HPX25" s="21"/>
      <c r="HPY25" s="21"/>
      <c r="HPZ25" s="21"/>
      <c r="HQA25" s="21"/>
      <c r="HQB25" s="21"/>
      <c r="HQC25" s="21"/>
      <c r="HQD25" s="21"/>
      <c r="HQE25" s="21"/>
      <c r="HQF25" s="21"/>
      <c r="HQG25" s="21"/>
      <c r="HQH25" s="21"/>
      <c r="HQI25" s="21"/>
      <c r="HQJ25" s="21"/>
      <c r="HQK25" s="21"/>
      <c r="HQL25" s="21"/>
      <c r="HQM25" s="21"/>
      <c r="HQN25" s="21"/>
      <c r="HQO25" s="21"/>
      <c r="HQP25" s="21"/>
      <c r="HQQ25" s="21"/>
      <c r="HQR25" s="21"/>
      <c r="HQS25" s="21"/>
      <c r="HQT25" s="21"/>
      <c r="HQU25" s="21"/>
      <c r="HQV25" s="21"/>
      <c r="HQW25" s="21"/>
      <c r="HQX25" s="21"/>
      <c r="HQY25" s="21"/>
      <c r="HQZ25" s="21"/>
      <c r="HRA25" s="21"/>
      <c r="HRB25" s="21"/>
      <c r="HRC25" s="21"/>
      <c r="HRD25" s="21"/>
      <c r="HRE25" s="21"/>
      <c r="HRF25" s="21"/>
      <c r="HRG25" s="21"/>
      <c r="HRH25" s="21"/>
      <c r="HRI25" s="21"/>
      <c r="HRJ25" s="21"/>
      <c r="HRK25" s="21"/>
      <c r="HRL25" s="21"/>
      <c r="HRM25" s="21"/>
      <c r="HRN25" s="21"/>
      <c r="HRO25" s="21"/>
      <c r="HRP25" s="21"/>
      <c r="HRQ25" s="21"/>
      <c r="HRR25" s="21"/>
      <c r="HRS25" s="21"/>
      <c r="HRT25" s="21"/>
      <c r="HRU25" s="21"/>
      <c r="HRV25" s="21"/>
      <c r="HRW25" s="21"/>
      <c r="HRX25" s="21"/>
      <c r="HRY25" s="21"/>
      <c r="HRZ25" s="21"/>
      <c r="HSA25" s="21"/>
      <c r="HSB25" s="21"/>
      <c r="HSC25" s="21"/>
      <c r="HSD25" s="21"/>
      <c r="HSE25" s="21"/>
      <c r="HSF25" s="21"/>
      <c r="HSG25" s="21"/>
      <c r="HSH25" s="21"/>
      <c r="HSI25" s="21"/>
      <c r="HSJ25" s="21"/>
      <c r="HSK25" s="21"/>
      <c r="HSL25" s="21"/>
      <c r="HSM25" s="21"/>
      <c r="HSN25" s="21"/>
      <c r="HSO25" s="21"/>
      <c r="HSP25" s="21"/>
      <c r="HSQ25" s="21"/>
      <c r="HSR25" s="21"/>
      <c r="HSS25" s="21"/>
      <c r="HST25" s="21"/>
      <c r="HSU25" s="21"/>
      <c r="HSV25" s="21"/>
      <c r="HSW25" s="21"/>
      <c r="HSX25" s="21"/>
      <c r="HSY25" s="21"/>
      <c r="HSZ25" s="21"/>
      <c r="HTA25" s="21"/>
      <c r="HTB25" s="21"/>
      <c r="HTC25" s="21"/>
      <c r="HTD25" s="21"/>
      <c r="HTE25" s="21"/>
      <c r="HTF25" s="21"/>
      <c r="HTG25" s="21"/>
      <c r="HTH25" s="21"/>
      <c r="HTI25" s="21"/>
      <c r="HTJ25" s="21"/>
      <c r="HTK25" s="21"/>
      <c r="HTL25" s="21"/>
      <c r="HTM25" s="21"/>
      <c r="HTN25" s="21"/>
      <c r="HTO25" s="21"/>
      <c r="HTP25" s="21"/>
      <c r="HTQ25" s="21"/>
      <c r="HTR25" s="21"/>
      <c r="HTS25" s="21"/>
      <c r="HTT25" s="21"/>
      <c r="HTU25" s="21"/>
      <c r="HTV25" s="21"/>
      <c r="HTW25" s="21"/>
      <c r="HTX25" s="21"/>
      <c r="HTY25" s="21"/>
      <c r="HTZ25" s="21"/>
      <c r="HUA25" s="21"/>
      <c r="HUB25" s="21"/>
      <c r="HUC25" s="21"/>
      <c r="HUD25" s="21"/>
      <c r="HUE25" s="21"/>
      <c r="HUF25" s="21"/>
      <c r="HUG25" s="21"/>
      <c r="HUH25" s="21"/>
      <c r="HUI25" s="21"/>
      <c r="HUJ25" s="21"/>
      <c r="HUK25" s="21"/>
      <c r="HUL25" s="21"/>
      <c r="HUM25" s="21"/>
      <c r="HUN25" s="21"/>
      <c r="HUO25" s="21"/>
      <c r="HUP25" s="21"/>
      <c r="HUQ25" s="21"/>
      <c r="HUR25" s="21"/>
      <c r="HUS25" s="21"/>
      <c r="HUT25" s="21"/>
      <c r="HUU25" s="21"/>
      <c r="HUV25" s="21"/>
      <c r="HUW25" s="21"/>
      <c r="HUX25" s="21"/>
      <c r="HUY25" s="21"/>
      <c r="HUZ25" s="21"/>
      <c r="HVA25" s="21"/>
      <c r="HVB25" s="21"/>
      <c r="HVC25" s="21"/>
      <c r="HVD25" s="21"/>
      <c r="HVE25" s="21"/>
      <c r="HVF25" s="21"/>
      <c r="HVG25" s="21"/>
      <c r="HVH25" s="21"/>
      <c r="HVI25" s="21"/>
      <c r="HVJ25" s="21"/>
      <c r="HVK25" s="21"/>
      <c r="HVL25" s="21"/>
      <c r="HVM25" s="21"/>
      <c r="HVN25" s="21"/>
      <c r="HVO25" s="21"/>
      <c r="HVP25" s="21"/>
      <c r="HVQ25" s="21"/>
      <c r="HVR25" s="21"/>
      <c r="HVS25" s="21"/>
      <c r="HVT25" s="21"/>
      <c r="HVU25" s="21"/>
      <c r="HVV25" s="21"/>
      <c r="HVW25" s="21"/>
      <c r="HVX25" s="21"/>
      <c r="HVY25" s="21"/>
      <c r="HVZ25" s="21"/>
      <c r="HWA25" s="21"/>
      <c r="HWB25" s="21"/>
      <c r="HWC25" s="21"/>
      <c r="HWD25" s="21"/>
      <c r="HWE25" s="21"/>
      <c r="HWF25" s="21"/>
      <c r="HWG25" s="21"/>
      <c r="HWH25" s="21"/>
      <c r="HWI25" s="21"/>
      <c r="HWJ25" s="21"/>
      <c r="HWK25" s="21"/>
      <c r="HWL25" s="21"/>
      <c r="HWM25" s="21"/>
      <c r="HWN25" s="21"/>
      <c r="HWO25" s="21"/>
      <c r="HWP25" s="21"/>
      <c r="HWQ25" s="21"/>
      <c r="HWR25" s="21"/>
      <c r="HWS25" s="21"/>
      <c r="HWT25" s="21"/>
      <c r="HWU25" s="21"/>
      <c r="HWV25" s="21"/>
      <c r="HWW25" s="21"/>
      <c r="HWX25" s="21"/>
      <c r="HWY25" s="21"/>
      <c r="HWZ25" s="21"/>
      <c r="HXA25" s="21"/>
      <c r="HXB25" s="21"/>
      <c r="HXC25" s="21"/>
      <c r="HXD25" s="21"/>
      <c r="HXE25" s="21"/>
      <c r="HXF25" s="21"/>
      <c r="HXG25" s="21"/>
      <c r="HXH25" s="21"/>
      <c r="HXI25" s="21"/>
      <c r="HXJ25" s="21"/>
      <c r="HXK25" s="21"/>
      <c r="HXL25" s="21"/>
      <c r="HXM25" s="21"/>
      <c r="HXN25" s="21"/>
      <c r="HXO25" s="21"/>
      <c r="HXP25" s="21"/>
      <c r="HXQ25" s="21"/>
      <c r="HXR25" s="21"/>
      <c r="HXS25" s="21"/>
      <c r="HXT25" s="21"/>
      <c r="HXU25" s="21"/>
      <c r="HXV25" s="21"/>
      <c r="HXW25" s="21"/>
      <c r="HXX25" s="21"/>
      <c r="HXY25" s="21"/>
      <c r="HXZ25" s="21"/>
      <c r="HYA25" s="21"/>
      <c r="HYB25" s="21"/>
      <c r="HYC25" s="21"/>
      <c r="HYD25" s="21"/>
      <c r="HYE25" s="21"/>
      <c r="HYF25" s="21"/>
      <c r="HYG25" s="21"/>
      <c r="HYH25" s="21"/>
      <c r="HYI25" s="21"/>
      <c r="HYJ25" s="21"/>
      <c r="HYK25" s="21"/>
      <c r="HYL25" s="21"/>
      <c r="HYM25" s="21"/>
      <c r="HYN25" s="21"/>
      <c r="HYO25" s="21"/>
      <c r="HYP25" s="21"/>
      <c r="HYQ25" s="21"/>
      <c r="HYR25" s="21"/>
      <c r="HYS25" s="21"/>
      <c r="HYT25" s="21"/>
      <c r="HYU25" s="21"/>
      <c r="HYV25" s="21"/>
      <c r="HYW25" s="21"/>
      <c r="HYX25" s="21"/>
      <c r="HYY25" s="21"/>
      <c r="HYZ25" s="21"/>
      <c r="HZA25" s="21"/>
      <c r="HZB25" s="21"/>
      <c r="HZC25" s="21"/>
      <c r="HZD25" s="21"/>
      <c r="HZE25" s="21"/>
      <c r="HZF25" s="21"/>
      <c r="HZG25" s="21"/>
      <c r="HZH25" s="21"/>
      <c r="HZI25" s="21"/>
      <c r="HZJ25" s="21"/>
      <c r="HZK25" s="21"/>
      <c r="HZL25" s="21"/>
      <c r="HZM25" s="21"/>
      <c r="HZN25" s="21"/>
      <c r="HZO25" s="21"/>
      <c r="HZP25" s="21"/>
      <c r="HZQ25" s="21"/>
      <c r="HZR25" s="21"/>
      <c r="HZS25" s="21"/>
      <c r="HZT25" s="21"/>
      <c r="HZU25" s="21"/>
      <c r="HZV25" s="21"/>
      <c r="HZW25" s="21"/>
      <c r="HZX25" s="21"/>
      <c r="HZY25" s="21"/>
      <c r="HZZ25" s="21"/>
      <c r="IAA25" s="21"/>
      <c r="IAB25" s="21"/>
      <c r="IAC25" s="21"/>
      <c r="IAD25" s="21"/>
      <c r="IAE25" s="21"/>
      <c r="IAF25" s="21"/>
      <c r="IAG25" s="21"/>
      <c r="IAH25" s="21"/>
      <c r="IAI25" s="21"/>
      <c r="IAJ25" s="21"/>
      <c r="IAK25" s="21"/>
      <c r="IAL25" s="21"/>
      <c r="IAM25" s="21"/>
      <c r="IAN25" s="21"/>
      <c r="IAO25" s="21"/>
      <c r="IAP25" s="21"/>
      <c r="IAQ25" s="21"/>
      <c r="IAR25" s="21"/>
      <c r="IAS25" s="21"/>
      <c r="IAT25" s="21"/>
      <c r="IAU25" s="21"/>
      <c r="IAV25" s="21"/>
      <c r="IAW25" s="21"/>
      <c r="IAX25" s="21"/>
      <c r="IAY25" s="21"/>
      <c r="IAZ25" s="21"/>
      <c r="IBA25" s="21"/>
      <c r="IBB25" s="21"/>
      <c r="IBC25" s="21"/>
      <c r="IBD25" s="21"/>
      <c r="IBE25" s="21"/>
      <c r="IBF25" s="21"/>
      <c r="IBG25" s="21"/>
      <c r="IBH25" s="21"/>
      <c r="IBI25" s="21"/>
      <c r="IBJ25" s="21"/>
      <c r="IBK25" s="21"/>
      <c r="IBL25" s="21"/>
      <c r="IBM25" s="21"/>
      <c r="IBN25" s="21"/>
      <c r="IBO25" s="21"/>
      <c r="IBP25" s="21"/>
      <c r="IBQ25" s="21"/>
      <c r="IBR25" s="21"/>
      <c r="IBS25" s="21"/>
      <c r="IBT25" s="21"/>
      <c r="IBU25" s="21"/>
      <c r="IBV25" s="21"/>
      <c r="IBW25" s="21"/>
      <c r="IBX25" s="21"/>
      <c r="IBY25" s="21"/>
      <c r="IBZ25" s="21"/>
      <c r="ICA25" s="21"/>
      <c r="ICB25" s="21"/>
      <c r="ICC25" s="21"/>
      <c r="ICD25" s="21"/>
      <c r="ICE25" s="21"/>
      <c r="ICF25" s="21"/>
      <c r="ICG25" s="21"/>
      <c r="ICH25" s="21"/>
      <c r="ICI25" s="21"/>
      <c r="ICJ25" s="21"/>
      <c r="ICK25" s="21"/>
      <c r="ICL25" s="21"/>
      <c r="ICM25" s="21"/>
      <c r="ICN25" s="21"/>
      <c r="ICO25" s="21"/>
      <c r="ICP25" s="21"/>
      <c r="ICQ25" s="21"/>
      <c r="ICR25" s="21"/>
      <c r="ICS25" s="21"/>
      <c r="ICT25" s="21"/>
      <c r="ICU25" s="21"/>
      <c r="ICV25" s="21"/>
      <c r="ICW25" s="21"/>
      <c r="ICX25" s="21"/>
      <c r="ICY25" s="21"/>
      <c r="ICZ25" s="21"/>
      <c r="IDA25" s="21"/>
      <c r="IDB25" s="21"/>
      <c r="IDC25" s="21"/>
      <c r="IDD25" s="21"/>
      <c r="IDE25" s="21"/>
      <c r="IDF25" s="21"/>
      <c r="IDG25" s="21"/>
      <c r="IDH25" s="21"/>
      <c r="IDI25" s="21"/>
      <c r="IDJ25" s="21"/>
      <c r="IDK25" s="21"/>
      <c r="IDL25" s="21"/>
      <c r="IDM25" s="21"/>
      <c r="IDN25" s="21"/>
      <c r="IDO25" s="21"/>
      <c r="IDP25" s="21"/>
      <c r="IDQ25" s="21"/>
      <c r="IDR25" s="21"/>
      <c r="IDS25" s="21"/>
      <c r="IDT25" s="21"/>
      <c r="IDU25" s="21"/>
      <c r="IDV25" s="21"/>
      <c r="IDW25" s="21"/>
      <c r="IDX25" s="21"/>
      <c r="IDY25" s="21"/>
      <c r="IDZ25" s="21"/>
      <c r="IEA25" s="21"/>
      <c r="IEB25" s="21"/>
      <c r="IEC25" s="21"/>
      <c r="IED25" s="21"/>
      <c r="IEE25" s="21"/>
      <c r="IEF25" s="21"/>
      <c r="IEG25" s="21"/>
      <c r="IEH25" s="21"/>
      <c r="IEI25" s="21"/>
      <c r="IEJ25" s="21"/>
      <c r="IEK25" s="21"/>
      <c r="IEL25" s="21"/>
      <c r="IEM25" s="21"/>
      <c r="IEN25" s="21"/>
      <c r="IEO25" s="21"/>
      <c r="IEP25" s="21"/>
      <c r="IEQ25" s="21"/>
      <c r="IER25" s="21"/>
      <c r="IES25" s="21"/>
      <c r="IET25" s="21"/>
      <c r="IEU25" s="21"/>
      <c r="IEV25" s="21"/>
      <c r="IEW25" s="21"/>
      <c r="IEX25" s="21"/>
      <c r="IEY25" s="21"/>
      <c r="IEZ25" s="21"/>
      <c r="IFA25" s="21"/>
      <c r="IFB25" s="21"/>
      <c r="IFC25" s="21"/>
      <c r="IFD25" s="21"/>
      <c r="IFE25" s="21"/>
      <c r="IFF25" s="21"/>
      <c r="IFG25" s="21"/>
      <c r="IFH25" s="21"/>
      <c r="IFI25" s="21"/>
      <c r="IFJ25" s="21"/>
      <c r="IFK25" s="21"/>
      <c r="IFL25" s="21"/>
      <c r="IFM25" s="21"/>
      <c r="IFN25" s="21"/>
      <c r="IFO25" s="21"/>
      <c r="IFP25" s="21"/>
      <c r="IFQ25" s="21"/>
      <c r="IFR25" s="21"/>
      <c r="IFS25" s="21"/>
      <c r="IFT25" s="21"/>
      <c r="IFU25" s="21"/>
      <c r="IFV25" s="21"/>
      <c r="IFW25" s="21"/>
      <c r="IFX25" s="21"/>
      <c r="IFY25" s="21"/>
      <c r="IFZ25" s="21"/>
      <c r="IGA25" s="21"/>
      <c r="IGB25" s="21"/>
      <c r="IGC25" s="21"/>
      <c r="IGD25" s="21"/>
      <c r="IGE25" s="21"/>
      <c r="IGF25" s="21"/>
      <c r="IGG25" s="21"/>
      <c r="IGH25" s="21"/>
      <c r="IGI25" s="21"/>
      <c r="IGJ25" s="21"/>
      <c r="IGK25" s="21"/>
      <c r="IGL25" s="21"/>
      <c r="IGM25" s="21"/>
      <c r="IGN25" s="21"/>
      <c r="IGO25" s="21"/>
      <c r="IGP25" s="21"/>
      <c r="IGQ25" s="21"/>
      <c r="IGR25" s="21"/>
      <c r="IGS25" s="21"/>
      <c r="IGT25" s="21"/>
      <c r="IGU25" s="21"/>
      <c r="IGV25" s="21"/>
      <c r="IGW25" s="21"/>
      <c r="IGX25" s="21"/>
      <c r="IGY25" s="21"/>
      <c r="IGZ25" s="21"/>
      <c r="IHA25" s="21"/>
      <c r="IHB25" s="21"/>
      <c r="IHC25" s="21"/>
      <c r="IHD25" s="21"/>
      <c r="IHE25" s="21"/>
      <c r="IHF25" s="21"/>
      <c r="IHG25" s="21"/>
      <c r="IHH25" s="21"/>
      <c r="IHI25" s="21"/>
      <c r="IHJ25" s="21"/>
      <c r="IHK25" s="21"/>
      <c r="IHL25" s="21"/>
      <c r="IHM25" s="21"/>
      <c r="IHN25" s="21"/>
      <c r="IHO25" s="21"/>
      <c r="IHP25" s="21"/>
      <c r="IHQ25" s="21"/>
      <c r="IHR25" s="21"/>
      <c r="IHS25" s="21"/>
      <c r="IHT25" s="21"/>
      <c r="IHU25" s="21"/>
      <c r="IHV25" s="21"/>
      <c r="IHW25" s="21"/>
      <c r="IHX25" s="21"/>
      <c r="IHY25" s="21"/>
      <c r="IHZ25" s="21"/>
      <c r="IIA25" s="21"/>
      <c r="IIB25" s="21"/>
      <c r="IIC25" s="21"/>
      <c r="IID25" s="21"/>
      <c r="IIE25" s="21"/>
      <c r="IIF25" s="21"/>
      <c r="IIG25" s="21"/>
      <c r="IIH25" s="21"/>
      <c r="III25" s="21"/>
      <c r="IIJ25" s="21"/>
      <c r="IIK25" s="21"/>
      <c r="IIL25" s="21"/>
      <c r="IIM25" s="21"/>
      <c r="IIN25" s="21"/>
      <c r="IIO25" s="21"/>
      <c r="IIP25" s="21"/>
      <c r="IIQ25" s="21"/>
      <c r="IIR25" s="21"/>
      <c r="IIS25" s="21"/>
      <c r="IIT25" s="21"/>
      <c r="IIU25" s="21"/>
      <c r="IIV25" s="21"/>
      <c r="IIW25" s="21"/>
      <c r="IIX25" s="21"/>
      <c r="IIY25" s="21"/>
      <c r="IIZ25" s="21"/>
      <c r="IJA25" s="21"/>
      <c r="IJB25" s="21"/>
      <c r="IJC25" s="21"/>
      <c r="IJD25" s="21"/>
      <c r="IJE25" s="21"/>
      <c r="IJF25" s="21"/>
      <c r="IJG25" s="21"/>
      <c r="IJH25" s="21"/>
      <c r="IJI25" s="21"/>
      <c r="IJJ25" s="21"/>
      <c r="IJK25" s="21"/>
      <c r="IJL25" s="21"/>
      <c r="IJM25" s="21"/>
      <c r="IJN25" s="21"/>
      <c r="IJO25" s="21"/>
      <c r="IJP25" s="21"/>
      <c r="IJQ25" s="21"/>
      <c r="IJR25" s="21"/>
      <c r="IJS25" s="21"/>
      <c r="IJT25" s="21"/>
      <c r="IJU25" s="21"/>
      <c r="IJV25" s="21"/>
      <c r="IJW25" s="21"/>
      <c r="IJX25" s="21"/>
      <c r="IJY25" s="21"/>
      <c r="IJZ25" s="21"/>
      <c r="IKA25" s="21"/>
      <c r="IKB25" s="21"/>
      <c r="IKC25" s="21"/>
      <c r="IKD25" s="21"/>
      <c r="IKE25" s="21"/>
      <c r="IKF25" s="21"/>
      <c r="IKG25" s="21"/>
      <c r="IKH25" s="21"/>
      <c r="IKI25" s="21"/>
      <c r="IKJ25" s="21"/>
      <c r="IKK25" s="21"/>
      <c r="IKL25" s="21"/>
      <c r="IKM25" s="21"/>
      <c r="IKN25" s="21"/>
      <c r="IKO25" s="21"/>
      <c r="IKP25" s="21"/>
      <c r="IKQ25" s="21"/>
      <c r="IKR25" s="21"/>
      <c r="IKS25" s="21"/>
      <c r="IKT25" s="21"/>
      <c r="IKU25" s="21"/>
      <c r="IKV25" s="21"/>
      <c r="IKW25" s="21"/>
      <c r="IKX25" s="21"/>
      <c r="IKY25" s="21"/>
      <c r="IKZ25" s="21"/>
      <c r="ILA25" s="21"/>
      <c r="ILB25" s="21"/>
      <c r="ILC25" s="21"/>
      <c r="ILD25" s="21"/>
      <c r="ILE25" s="21"/>
      <c r="ILF25" s="21"/>
      <c r="ILG25" s="21"/>
      <c r="ILH25" s="21"/>
      <c r="ILI25" s="21"/>
      <c r="ILJ25" s="21"/>
      <c r="ILK25" s="21"/>
      <c r="ILL25" s="21"/>
      <c r="ILM25" s="21"/>
      <c r="ILN25" s="21"/>
      <c r="ILO25" s="21"/>
      <c r="ILP25" s="21"/>
      <c r="ILQ25" s="21"/>
      <c r="ILR25" s="21"/>
      <c r="ILS25" s="21"/>
      <c r="ILT25" s="21"/>
      <c r="ILU25" s="21"/>
      <c r="ILV25" s="21"/>
      <c r="ILW25" s="21"/>
      <c r="ILX25" s="21"/>
      <c r="ILY25" s="21"/>
      <c r="ILZ25" s="21"/>
      <c r="IMA25" s="21"/>
      <c r="IMB25" s="21"/>
      <c r="IMC25" s="21"/>
      <c r="IMD25" s="21"/>
      <c r="IME25" s="21"/>
      <c r="IMF25" s="21"/>
      <c r="IMG25" s="21"/>
      <c r="IMH25" s="21"/>
      <c r="IMI25" s="21"/>
      <c r="IMJ25" s="21"/>
      <c r="IMK25" s="21"/>
      <c r="IML25" s="21"/>
      <c r="IMM25" s="21"/>
      <c r="IMN25" s="21"/>
      <c r="IMO25" s="21"/>
      <c r="IMP25" s="21"/>
      <c r="IMQ25" s="21"/>
      <c r="IMR25" s="21"/>
      <c r="IMS25" s="21"/>
      <c r="IMT25" s="21"/>
      <c r="IMU25" s="21"/>
      <c r="IMV25" s="21"/>
      <c r="IMW25" s="21"/>
      <c r="IMX25" s="21"/>
      <c r="IMY25" s="21"/>
      <c r="IMZ25" s="21"/>
      <c r="INA25" s="21"/>
      <c r="INB25" s="21"/>
      <c r="INC25" s="21"/>
      <c r="IND25" s="21"/>
      <c r="INE25" s="21"/>
      <c r="INF25" s="21"/>
      <c r="ING25" s="21"/>
      <c r="INH25" s="21"/>
      <c r="INI25" s="21"/>
      <c r="INJ25" s="21"/>
      <c r="INK25" s="21"/>
      <c r="INL25" s="21"/>
      <c r="INM25" s="21"/>
      <c r="INN25" s="21"/>
      <c r="INO25" s="21"/>
      <c r="INP25" s="21"/>
      <c r="INQ25" s="21"/>
      <c r="INR25" s="21"/>
      <c r="INS25" s="21"/>
      <c r="INT25" s="21"/>
      <c r="INU25" s="21"/>
      <c r="INV25" s="21"/>
      <c r="INW25" s="21"/>
      <c r="INX25" s="21"/>
      <c r="INY25" s="21"/>
      <c r="INZ25" s="21"/>
      <c r="IOA25" s="21"/>
      <c r="IOB25" s="21"/>
      <c r="IOC25" s="21"/>
      <c r="IOD25" s="21"/>
      <c r="IOE25" s="21"/>
      <c r="IOF25" s="21"/>
      <c r="IOG25" s="21"/>
      <c r="IOH25" s="21"/>
      <c r="IOI25" s="21"/>
      <c r="IOJ25" s="21"/>
      <c r="IOK25" s="21"/>
      <c r="IOL25" s="21"/>
      <c r="IOM25" s="21"/>
      <c r="ION25" s="21"/>
      <c r="IOO25" s="21"/>
      <c r="IOP25" s="21"/>
      <c r="IOQ25" s="21"/>
      <c r="IOR25" s="21"/>
      <c r="IOS25" s="21"/>
      <c r="IOT25" s="21"/>
      <c r="IOU25" s="21"/>
      <c r="IOV25" s="21"/>
      <c r="IOW25" s="21"/>
      <c r="IOX25" s="21"/>
      <c r="IOY25" s="21"/>
      <c r="IOZ25" s="21"/>
      <c r="IPA25" s="21"/>
      <c r="IPB25" s="21"/>
      <c r="IPC25" s="21"/>
      <c r="IPD25" s="21"/>
      <c r="IPE25" s="21"/>
      <c r="IPF25" s="21"/>
      <c r="IPG25" s="21"/>
      <c r="IPH25" s="21"/>
      <c r="IPI25" s="21"/>
      <c r="IPJ25" s="21"/>
      <c r="IPK25" s="21"/>
      <c r="IPL25" s="21"/>
      <c r="IPM25" s="21"/>
      <c r="IPN25" s="21"/>
      <c r="IPO25" s="21"/>
      <c r="IPP25" s="21"/>
      <c r="IPQ25" s="21"/>
      <c r="IPR25" s="21"/>
      <c r="IPS25" s="21"/>
      <c r="IPT25" s="21"/>
      <c r="IPU25" s="21"/>
      <c r="IPV25" s="21"/>
      <c r="IPW25" s="21"/>
      <c r="IPX25" s="21"/>
      <c r="IPY25" s="21"/>
      <c r="IPZ25" s="21"/>
      <c r="IQA25" s="21"/>
      <c r="IQB25" s="21"/>
      <c r="IQC25" s="21"/>
      <c r="IQD25" s="21"/>
      <c r="IQE25" s="21"/>
      <c r="IQF25" s="21"/>
      <c r="IQG25" s="21"/>
      <c r="IQH25" s="21"/>
      <c r="IQI25" s="21"/>
      <c r="IQJ25" s="21"/>
      <c r="IQK25" s="21"/>
      <c r="IQL25" s="21"/>
      <c r="IQM25" s="21"/>
      <c r="IQN25" s="21"/>
      <c r="IQO25" s="21"/>
      <c r="IQP25" s="21"/>
      <c r="IQQ25" s="21"/>
      <c r="IQR25" s="21"/>
      <c r="IQS25" s="21"/>
      <c r="IQT25" s="21"/>
      <c r="IQU25" s="21"/>
      <c r="IQV25" s="21"/>
      <c r="IQW25" s="21"/>
      <c r="IQX25" s="21"/>
      <c r="IQY25" s="21"/>
      <c r="IQZ25" s="21"/>
      <c r="IRA25" s="21"/>
      <c r="IRB25" s="21"/>
      <c r="IRC25" s="21"/>
      <c r="IRD25" s="21"/>
      <c r="IRE25" s="21"/>
      <c r="IRF25" s="21"/>
      <c r="IRG25" s="21"/>
      <c r="IRH25" s="21"/>
      <c r="IRI25" s="21"/>
      <c r="IRJ25" s="21"/>
      <c r="IRK25" s="21"/>
      <c r="IRL25" s="21"/>
      <c r="IRM25" s="21"/>
      <c r="IRN25" s="21"/>
      <c r="IRO25" s="21"/>
      <c r="IRP25" s="21"/>
      <c r="IRQ25" s="21"/>
      <c r="IRR25" s="21"/>
      <c r="IRS25" s="21"/>
      <c r="IRT25" s="21"/>
      <c r="IRU25" s="21"/>
      <c r="IRV25" s="21"/>
      <c r="IRW25" s="21"/>
      <c r="IRX25" s="21"/>
      <c r="IRY25" s="21"/>
      <c r="IRZ25" s="21"/>
      <c r="ISA25" s="21"/>
      <c r="ISB25" s="21"/>
      <c r="ISC25" s="21"/>
      <c r="ISD25" s="21"/>
      <c r="ISE25" s="21"/>
      <c r="ISF25" s="21"/>
      <c r="ISG25" s="21"/>
      <c r="ISH25" s="21"/>
      <c r="ISI25" s="21"/>
      <c r="ISJ25" s="21"/>
      <c r="ISK25" s="21"/>
      <c r="ISL25" s="21"/>
      <c r="ISM25" s="21"/>
      <c r="ISN25" s="21"/>
      <c r="ISO25" s="21"/>
      <c r="ISP25" s="21"/>
      <c r="ISQ25" s="21"/>
      <c r="ISR25" s="21"/>
      <c r="ISS25" s="21"/>
      <c r="IST25" s="21"/>
      <c r="ISU25" s="21"/>
      <c r="ISV25" s="21"/>
      <c r="ISW25" s="21"/>
      <c r="ISX25" s="21"/>
      <c r="ISY25" s="21"/>
      <c r="ISZ25" s="21"/>
      <c r="ITA25" s="21"/>
      <c r="ITB25" s="21"/>
      <c r="ITC25" s="21"/>
      <c r="ITD25" s="21"/>
      <c r="ITE25" s="21"/>
      <c r="ITF25" s="21"/>
      <c r="ITG25" s="21"/>
      <c r="ITH25" s="21"/>
      <c r="ITI25" s="21"/>
      <c r="ITJ25" s="21"/>
      <c r="ITK25" s="21"/>
      <c r="ITL25" s="21"/>
      <c r="ITM25" s="21"/>
      <c r="ITN25" s="21"/>
      <c r="ITO25" s="21"/>
      <c r="ITP25" s="21"/>
      <c r="ITQ25" s="21"/>
      <c r="ITR25" s="21"/>
      <c r="ITS25" s="21"/>
      <c r="ITT25" s="21"/>
      <c r="ITU25" s="21"/>
      <c r="ITV25" s="21"/>
      <c r="ITW25" s="21"/>
      <c r="ITX25" s="21"/>
      <c r="ITY25" s="21"/>
      <c r="ITZ25" s="21"/>
      <c r="IUA25" s="21"/>
      <c r="IUB25" s="21"/>
      <c r="IUC25" s="21"/>
      <c r="IUD25" s="21"/>
      <c r="IUE25" s="21"/>
      <c r="IUF25" s="21"/>
      <c r="IUG25" s="21"/>
      <c r="IUH25" s="21"/>
      <c r="IUI25" s="21"/>
      <c r="IUJ25" s="21"/>
      <c r="IUK25" s="21"/>
      <c r="IUL25" s="21"/>
      <c r="IUM25" s="21"/>
      <c r="IUN25" s="21"/>
      <c r="IUO25" s="21"/>
      <c r="IUP25" s="21"/>
      <c r="IUQ25" s="21"/>
      <c r="IUR25" s="21"/>
      <c r="IUS25" s="21"/>
      <c r="IUT25" s="21"/>
      <c r="IUU25" s="21"/>
      <c r="IUV25" s="21"/>
      <c r="IUW25" s="21"/>
      <c r="IUX25" s="21"/>
      <c r="IUY25" s="21"/>
      <c r="IUZ25" s="21"/>
      <c r="IVA25" s="21"/>
      <c r="IVB25" s="21"/>
      <c r="IVC25" s="21"/>
      <c r="IVD25" s="21"/>
      <c r="IVE25" s="21"/>
      <c r="IVF25" s="21"/>
      <c r="IVG25" s="21"/>
      <c r="IVH25" s="21"/>
      <c r="IVI25" s="21"/>
      <c r="IVJ25" s="21"/>
      <c r="IVK25" s="21"/>
      <c r="IVL25" s="21"/>
      <c r="IVM25" s="21"/>
      <c r="IVN25" s="21"/>
      <c r="IVO25" s="21"/>
      <c r="IVP25" s="21"/>
      <c r="IVQ25" s="21"/>
      <c r="IVR25" s="21"/>
      <c r="IVS25" s="21"/>
      <c r="IVT25" s="21"/>
      <c r="IVU25" s="21"/>
      <c r="IVV25" s="21"/>
      <c r="IVW25" s="21"/>
      <c r="IVX25" s="21"/>
      <c r="IVY25" s="21"/>
      <c r="IVZ25" s="21"/>
      <c r="IWA25" s="21"/>
      <c r="IWB25" s="21"/>
      <c r="IWC25" s="21"/>
      <c r="IWD25" s="21"/>
      <c r="IWE25" s="21"/>
      <c r="IWF25" s="21"/>
      <c r="IWG25" s="21"/>
      <c r="IWH25" s="21"/>
      <c r="IWI25" s="21"/>
      <c r="IWJ25" s="21"/>
      <c r="IWK25" s="21"/>
      <c r="IWL25" s="21"/>
      <c r="IWM25" s="21"/>
      <c r="IWN25" s="21"/>
      <c r="IWO25" s="21"/>
      <c r="IWP25" s="21"/>
      <c r="IWQ25" s="21"/>
      <c r="IWR25" s="21"/>
      <c r="IWS25" s="21"/>
      <c r="IWT25" s="21"/>
      <c r="IWU25" s="21"/>
      <c r="IWV25" s="21"/>
      <c r="IWW25" s="21"/>
      <c r="IWX25" s="21"/>
      <c r="IWY25" s="21"/>
      <c r="IWZ25" s="21"/>
      <c r="IXA25" s="21"/>
      <c r="IXB25" s="21"/>
      <c r="IXC25" s="21"/>
      <c r="IXD25" s="21"/>
      <c r="IXE25" s="21"/>
      <c r="IXF25" s="21"/>
      <c r="IXG25" s="21"/>
      <c r="IXH25" s="21"/>
      <c r="IXI25" s="21"/>
      <c r="IXJ25" s="21"/>
      <c r="IXK25" s="21"/>
      <c r="IXL25" s="21"/>
      <c r="IXM25" s="21"/>
      <c r="IXN25" s="21"/>
      <c r="IXO25" s="21"/>
      <c r="IXP25" s="21"/>
      <c r="IXQ25" s="21"/>
      <c r="IXR25" s="21"/>
      <c r="IXS25" s="21"/>
      <c r="IXT25" s="21"/>
      <c r="IXU25" s="21"/>
      <c r="IXV25" s="21"/>
      <c r="IXW25" s="21"/>
      <c r="IXX25" s="21"/>
      <c r="IXY25" s="21"/>
      <c r="IXZ25" s="21"/>
      <c r="IYA25" s="21"/>
      <c r="IYB25" s="21"/>
      <c r="IYC25" s="21"/>
      <c r="IYD25" s="21"/>
      <c r="IYE25" s="21"/>
      <c r="IYF25" s="21"/>
      <c r="IYG25" s="21"/>
      <c r="IYH25" s="21"/>
      <c r="IYI25" s="21"/>
      <c r="IYJ25" s="21"/>
      <c r="IYK25" s="21"/>
      <c r="IYL25" s="21"/>
      <c r="IYM25" s="21"/>
      <c r="IYN25" s="21"/>
      <c r="IYO25" s="21"/>
      <c r="IYP25" s="21"/>
      <c r="IYQ25" s="21"/>
      <c r="IYR25" s="21"/>
      <c r="IYS25" s="21"/>
      <c r="IYT25" s="21"/>
      <c r="IYU25" s="21"/>
      <c r="IYV25" s="21"/>
      <c r="IYW25" s="21"/>
      <c r="IYX25" s="21"/>
      <c r="IYY25" s="21"/>
      <c r="IYZ25" s="21"/>
      <c r="IZA25" s="21"/>
      <c r="IZB25" s="21"/>
      <c r="IZC25" s="21"/>
      <c r="IZD25" s="21"/>
      <c r="IZE25" s="21"/>
      <c r="IZF25" s="21"/>
      <c r="IZG25" s="21"/>
      <c r="IZH25" s="21"/>
      <c r="IZI25" s="21"/>
      <c r="IZJ25" s="21"/>
      <c r="IZK25" s="21"/>
      <c r="IZL25" s="21"/>
      <c r="IZM25" s="21"/>
      <c r="IZN25" s="21"/>
      <c r="IZO25" s="21"/>
      <c r="IZP25" s="21"/>
      <c r="IZQ25" s="21"/>
      <c r="IZR25" s="21"/>
      <c r="IZS25" s="21"/>
      <c r="IZT25" s="21"/>
      <c r="IZU25" s="21"/>
      <c r="IZV25" s="21"/>
      <c r="IZW25" s="21"/>
      <c r="IZX25" s="21"/>
      <c r="IZY25" s="21"/>
      <c r="IZZ25" s="21"/>
      <c r="JAA25" s="21"/>
      <c r="JAB25" s="21"/>
      <c r="JAC25" s="21"/>
      <c r="JAD25" s="21"/>
      <c r="JAE25" s="21"/>
      <c r="JAF25" s="21"/>
      <c r="JAG25" s="21"/>
      <c r="JAH25" s="21"/>
      <c r="JAI25" s="21"/>
      <c r="JAJ25" s="21"/>
      <c r="JAK25" s="21"/>
      <c r="JAL25" s="21"/>
      <c r="JAM25" s="21"/>
      <c r="JAN25" s="21"/>
      <c r="JAO25" s="21"/>
      <c r="JAP25" s="21"/>
      <c r="JAQ25" s="21"/>
      <c r="JAR25" s="21"/>
      <c r="JAS25" s="21"/>
      <c r="JAT25" s="21"/>
      <c r="JAU25" s="21"/>
      <c r="JAV25" s="21"/>
      <c r="JAW25" s="21"/>
      <c r="JAX25" s="21"/>
      <c r="JAY25" s="21"/>
      <c r="JAZ25" s="21"/>
      <c r="JBA25" s="21"/>
      <c r="JBB25" s="21"/>
      <c r="JBC25" s="21"/>
      <c r="JBD25" s="21"/>
      <c r="JBE25" s="21"/>
      <c r="JBF25" s="21"/>
      <c r="JBG25" s="21"/>
      <c r="JBH25" s="21"/>
      <c r="JBI25" s="21"/>
      <c r="JBJ25" s="21"/>
      <c r="JBK25" s="21"/>
      <c r="JBL25" s="21"/>
      <c r="JBM25" s="21"/>
      <c r="JBN25" s="21"/>
      <c r="JBO25" s="21"/>
      <c r="JBP25" s="21"/>
      <c r="JBQ25" s="21"/>
      <c r="JBR25" s="21"/>
      <c r="JBS25" s="21"/>
      <c r="JBT25" s="21"/>
      <c r="JBU25" s="21"/>
      <c r="JBV25" s="21"/>
      <c r="JBW25" s="21"/>
      <c r="JBX25" s="21"/>
      <c r="JBY25" s="21"/>
      <c r="JBZ25" s="21"/>
      <c r="JCA25" s="21"/>
      <c r="JCB25" s="21"/>
      <c r="JCC25" s="21"/>
      <c r="JCD25" s="21"/>
      <c r="JCE25" s="21"/>
      <c r="JCF25" s="21"/>
      <c r="JCG25" s="21"/>
      <c r="JCH25" s="21"/>
      <c r="JCI25" s="21"/>
      <c r="JCJ25" s="21"/>
      <c r="JCK25" s="21"/>
      <c r="JCL25" s="21"/>
      <c r="JCM25" s="21"/>
      <c r="JCN25" s="21"/>
      <c r="JCO25" s="21"/>
      <c r="JCP25" s="21"/>
      <c r="JCQ25" s="21"/>
      <c r="JCR25" s="21"/>
      <c r="JCS25" s="21"/>
      <c r="JCT25" s="21"/>
      <c r="JCU25" s="21"/>
      <c r="JCV25" s="21"/>
      <c r="JCW25" s="21"/>
      <c r="JCX25" s="21"/>
      <c r="JCY25" s="21"/>
      <c r="JCZ25" s="21"/>
      <c r="JDA25" s="21"/>
      <c r="JDB25" s="21"/>
      <c r="JDC25" s="21"/>
      <c r="JDD25" s="21"/>
      <c r="JDE25" s="21"/>
      <c r="JDF25" s="21"/>
      <c r="JDG25" s="21"/>
      <c r="JDH25" s="21"/>
      <c r="JDI25" s="21"/>
      <c r="JDJ25" s="21"/>
      <c r="JDK25" s="21"/>
      <c r="JDL25" s="21"/>
      <c r="JDM25" s="21"/>
      <c r="JDN25" s="21"/>
      <c r="JDO25" s="21"/>
      <c r="JDP25" s="21"/>
      <c r="JDQ25" s="21"/>
      <c r="JDR25" s="21"/>
      <c r="JDS25" s="21"/>
      <c r="JDT25" s="21"/>
      <c r="JDU25" s="21"/>
      <c r="JDV25" s="21"/>
      <c r="JDW25" s="21"/>
      <c r="JDX25" s="21"/>
      <c r="JDY25" s="21"/>
      <c r="JDZ25" s="21"/>
      <c r="JEA25" s="21"/>
      <c r="JEB25" s="21"/>
      <c r="JEC25" s="21"/>
      <c r="JED25" s="21"/>
      <c r="JEE25" s="21"/>
      <c r="JEF25" s="21"/>
      <c r="JEG25" s="21"/>
      <c r="JEH25" s="21"/>
      <c r="JEI25" s="21"/>
      <c r="JEJ25" s="21"/>
      <c r="JEK25" s="21"/>
      <c r="JEL25" s="21"/>
      <c r="JEM25" s="21"/>
      <c r="JEN25" s="21"/>
      <c r="JEO25" s="21"/>
      <c r="JEP25" s="21"/>
      <c r="JEQ25" s="21"/>
      <c r="JER25" s="21"/>
      <c r="JES25" s="21"/>
      <c r="JET25" s="21"/>
      <c r="JEU25" s="21"/>
      <c r="JEV25" s="21"/>
      <c r="JEW25" s="21"/>
      <c r="JEX25" s="21"/>
      <c r="JEY25" s="21"/>
      <c r="JEZ25" s="21"/>
      <c r="JFA25" s="21"/>
      <c r="JFB25" s="21"/>
      <c r="JFC25" s="21"/>
      <c r="JFD25" s="21"/>
      <c r="JFE25" s="21"/>
      <c r="JFF25" s="21"/>
      <c r="JFG25" s="21"/>
      <c r="JFH25" s="21"/>
      <c r="JFI25" s="21"/>
      <c r="JFJ25" s="21"/>
      <c r="JFK25" s="21"/>
      <c r="JFL25" s="21"/>
      <c r="JFM25" s="21"/>
      <c r="JFN25" s="21"/>
      <c r="JFO25" s="21"/>
      <c r="JFP25" s="21"/>
      <c r="JFQ25" s="21"/>
      <c r="JFR25" s="21"/>
      <c r="JFS25" s="21"/>
      <c r="JFT25" s="21"/>
      <c r="JFU25" s="21"/>
      <c r="JFV25" s="21"/>
      <c r="JFW25" s="21"/>
      <c r="JFX25" s="21"/>
      <c r="JFY25" s="21"/>
      <c r="JFZ25" s="21"/>
      <c r="JGA25" s="21"/>
      <c r="JGB25" s="21"/>
      <c r="JGC25" s="21"/>
      <c r="JGD25" s="21"/>
      <c r="JGE25" s="21"/>
      <c r="JGF25" s="21"/>
      <c r="JGG25" s="21"/>
      <c r="JGH25" s="21"/>
      <c r="JGI25" s="21"/>
      <c r="JGJ25" s="21"/>
      <c r="JGK25" s="21"/>
      <c r="JGL25" s="21"/>
      <c r="JGM25" s="21"/>
      <c r="JGN25" s="21"/>
      <c r="JGO25" s="21"/>
      <c r="JGP25" s="21"/>
      <c r="JGQ25" s="21"/>
      <c r="JGR25" s="21"/>
      <c r="JGS25" s="21"/>
      <c r="JGT25" s="21"/>
      <c r="JGU25" s="21"/>
      <c r="JGV25" s="21"/>
      <c r="JGW25" s="21"/>
      <c r="JGX25" s="21"/>
      <c r="JGY25" s="21"/>
      <c r="JGZ25" s="21"/>
      <c r="JHA25" s="21"/>
      <c r="JHB25" s="21"/>
      <c r="JHC25" s="21"/>
      <c r="JHD25" s="21"/>
      <c r="JHE25" s="21"/>
      <c r="JHF25" s="21"/>
      <c r="JHG25" s="21"/>
      <c r="JHH25" s="21"/>
      <c r="JHI25" s="21"/>
      <c r="JHJ25" s="21"/>
      <c r="JHK25" s="21"/>
      <c r="JHL25" s="21"/>
      <c r="JHM25" s="21"/>
      <c r="JHN25" s="21"/>
      <c r="JHO25" s="21"/>
      <c r="JHP25" s="21"/>
      <c r="JHQ25" s="21"/>
      <c r="JHR25" s="21"/>
      <c r="JHS25" s="21"/>
      <c r="JHT25" s="21"/>
      <c r="JHU25" s="21"/>
      <c r="JHV25" s="21"/>
      <c r="JHW25" s="21"/>
      <c r="JHX25" s="21"/>
      <c r="JHY25" s="21"/>
      <c r="JHZ25" s="21"/>
      <c r="JIA25" s="21"/>
      <c r="JIB25" s="21"/>
      <c r="JIC25" s="21"/>
      <c r="JID25" s="21"/>
      <c r="JIE25" s="21"/>
      <c r="JIF25" s="21"/>
      <c r="JIG25" s="21"/>
      <c r="JIH25" s="21"/>
      <c r="JII25" s="21"/>
      <c r="JIJ25" s="21"/>
      <c r="JIK25" s="21"/>
      <c r="JIL25" s="21"/>
      <c r="JIM25" s="21"/>
      <c r="JIN25" s="21"/>
      <c r="JIO25" s="21"/>
      <c r="JIP25" s="21"/>
      <c r="JIQ25" s="21"/>
      <c r="JIR25" s="21"/>
      <c r="JIS25" s="21"/>
      <c r="JIT25" s="21"/>
      <c r="JIU25" s="21"/>
      <c r="JIV25" s="21"/>
      <c r="JIW25" s="21"/>
      <c r="JIX25" s="21"/>
      <c r="JIY25" s="21"/>
      <c r="JIZ25" s="21"/>
      <c r="JJA25" s="21"/>
      <c r="JJB25" s="21"/>
      <c r="JJC25" s="21"/>
      <c r="JJD25" s="21"/>
      <c r="JJE25" s="21"/>
      <c r="JJF25" s="21"/>
      <c r="JJG25" s="21"/>
      <c r="JJH25" s="21"/>
      <c r="JJI25" s="21"/>
      <c r="JJJ25" s="21"/>
      <c r="JJK25" s="21"/>
      <c r="JJL25" s="21"/>
      <c r="JJM25" s="21"/>
      <c r="JJN25" s="21"/>
      <c r="JJO25" s="21"/>
      <c r="JJP25" s="21"/>
      <c r="JJQ25" s="21"/>
      <c r="JJR25" s="21"/>
      <c r="JJS25" s="21"/>
      <c r="JJT25" s="21"/>
      <c r="JJU25" s="21"/>
      <c r="JJV25" s="21"/>
      <c r="JJW25" s="21"/>
      <c r="JJX25" s="21"/>
      <c r="JJY25" s="21"/>
      <c r="JJZ25" s="21"/>
      <c r="JKA25" s="21"/>
      <c r="JKB25" s="21"/>
      <c r="JKC25" s="21"/>
      <c r="JKD25" s="21"/>
      <c r="JKE25" s="21"/>
      <c r="JKF25" s="21"/>
      <c r="JKG25" s="21"/>
      <c r="JKH25" s="21"/>
      <c r="JKI25" s="21"/>
      <c r="JKJ25" s="21"/>
      <c r="JKK25" s="21"/>
      <c r="JKL25" s="21"/>
      <c r="JKM25" s="21"/>
      <c r="JKN25" s="21"/>
      <c r="JKO25" s="21"/>
      <c r="JKP25" s="21"/>
      <c r="JKQ25" s="21"/>
      <c r="JKR25" s="21"/>
      <c r="JKS25" s="21"/>
      <c r="JKT25" s="21"/>
      <c r="JKU25" s="21"/>
      <c r="JKV25" s="21"/>
      <c r="JKW25" s="21"/>
      <c r="JKX25" s="21"/>
      <c r="JKY25" s="21"/>
      <c r="JKZ25" s="21"/>
      <c r="JLA25" s="21"/>
      <c r="JLB25" s="21"/>
      <c r="JLC25" s="21"/>
      <c r="JLD25" s="21"/>
      <c r="JLE25" s="21"/>
      <c r="JLF25" s="21"/>
      <c r="JLG25" s="21"/>
      <c r="JLH25" s="21"/>
      <c r="JLI25" s="21"/>
      <c r="JLJ25" s="21"/>
      <c r="JLK25" s="21"/>
      <c r="JLL25" s="21"/>
      <c r="JLM25" s="21"/>
      <c r="JLN25" s="21"/>
      <c r="JLO25" s="21"/>
      <c r="JLP25" s="21"/>
      <c r="JLQ25" s="21"/>
      <c r="JLR25" s="21"/>
      <c r="JLS25" s="21"/>
      <c r="JLT25" s="21"/>
      <c r="JLU25" s="21"/>
      <c r="JLV25" s="21"/>
      <c r="JLW25" s="21"/>
      <c r="JLX25" s="21"/>
      <c r="JLY25" s="21"/>
      <c r="JLZ25" s="21"/>
      <c r="JMA25" s="21"/>
      <c r="JMB25" s="21"/>
      <c r="JMC25" s="21"/>
      <c r="JMD25" s="21"/>
      <c r="JME25" s="21"/>
      <c r="JMF25" s="21"/>
      <c r="JMG25" s="21"/>
      <c r="JMH25" s="21"/>
      <c r="JMI25" s="21"/>
      <c r="JMJ25" s="21"/>
      <c r="JMK25" s="21"/>
      <c r="JML25" s="21"/>
      <c r="JMM25" s="21"/>
      <c r="JMN25" s="21"/>
      <c r="JMO25" s="21"/>
      <c r="JMP25" s="21"/>
      <c r="JMQ25" s="21"/>
      <c r="JMR25" s="21"/>
      <c r="JMS25" s="21"/>
      <c r="JMT25" s="21"/>
      <c r="JMU25" s="21"/>
      <c r="JMV25" s="21"/>
      <c r="JMW25" s="21"/>
      <c r="JMX25" s="21"/>
      <c r="JMY25" s="21"/>
      <c r="JMZ25" s="21"/>
      <c r="JNA25" s="21"/>
      <c r="JNB25" s="21"/>
      <c r="JNC25" s="21"/>
      <c r="JND25" s="21"/>
      <c r="JNE25" s="21"/>
      <c r="JNF25" s="21"/>
      <c r="JNG25" s="21"/>
      <c r="JNH25" s="21"/>
      <c r="JNI25" s="21"/>
      <c r="JNJ25" s="21"/>
      <c r="JNK25" s="21"/>
      <c r="JNL25" s="21"/>
      <c r="JNM25" s="21"/>
      <c r="JNN25" s="21"/>
      <c r="JNO25" s="21"/>
      <c r="JNP25" s="21"/>
      <c r="JNQ25" s="21"/>
      <c r="JNR25" s="21"/>
      <c r="JNS25" s="21"/>
      <c r="JNT25" s="21"/>
      <c r="JNU25" s="21"/>
      <c r="JNV25" s="21"/>
      <c r="JNW25" s="21"/>
      <c r="JNX25" s="21"/>
      <c r="JNY25" s="21"/>
      <c r="JNZ25" s="21"/>
      <c r="JOA25" s="21"/>
      <c r="JOB25" s="21"/>
      <c r="JOC25" s="21"/>
      <c r="JOD25" s="21"/>
      <c r="JOE25" s="21"/>
      <c r="JOF25" s="21"/>
      <c r="JOG25" s="21"/>
      <c r="JOH25" s="21"/>
      <c r="JOI25" s="21"/>
      <c r="JOJ25" s="21"/>
      <c r="JOK25" s="21"/>
      <c r="JOL25" s="21"/>
      <c r="JOM25" s="21"/>
      <c r="JON25" s="21"/>
      <c r="JOO25" s="21"/>
      <c r="JOP25" s="21"/>
      <c r="JOQ25" s="21"/>
      <c r="JOR25" s="21"/>
      <c r="JOS25" s="21"/>
      <c r="JOT25" s="21"/>
      <c r="JOU25" s="21"/>
      <c r="JOV25" s="21"/>
      <c r="JOW25" s="21"/>
      <c r="JOX25" s="21"/>
      <c r="JOY25" s="21"/>
      <c r="JOZ25" s="21"/>
      <c r="JPA25" s="21"/>
      <c r="JPB25" s="21"/>
      <c r="JPC25" s="21"/>
      <c r="JPD25" s="21"/>
      <c r="JPE25" s="21"/>
      <c r="JPF25" s="21"/>
      <c r="JPG25" s="21"/>
      <c r="JPH25" s="21"/>
      <c r="JPI25" s="21"/>
      <c r="JPJ25" s="21"/>
      <c r="JPK25" s="21"/>
      <c r="JPL25" s="21"/>
      <c r="JPM25" s="21"/>
      <c r="JPN25" s="21"/>
      <c r="JPO25" s="21"/>
      <c r="JPP25" s="21"/>
      <c r="JPQ25" s="21"/>
      <c r="JPR25" s="21"/>
      <c r="JPS25" s="21"/>
      <c r="JPT25" s="21"/>
      <c r="JPU25" s="21"/>
      <c r="JPV25" s="21"/>
      <c r="JPW25" s="21"/>
      <c r="JPX25" s="21"/>
      <c r="JPY25" s="21"/>
      <c r="JPZ25" s="21"/>
      <c r="JQA25" s="21"/>
      <c r="JQB25" s="21"/>
      <c r="JQC25" s="21"/>
      <c r="JQD25" s="21"/>
      <c r="JQE25" s="21"/>
      <c r="JQF25" s="21"/>
      <c r="JQG25" s="21"/>
      <c r="JQH25" s="21"/>
      <c r="JQI25" s="21"/>
      <c r="JQJ25" s="21"/>
      <c r="JQK25" s="21"/>
      <c r="JQL25" s="21"/>
      <c r="JQM25" s="21"/>
      <c r="JQN25" s="21"/>
      <c r="JQO25" s="21"/>
      <c r="JQP25" s="21"/>
      <c r="JQQ25" s="21"/>
      <c r="JQR25" s="21"/>
      <c r="JQS25" s="21"/>
      <c r="JQT25" s="21"/>
      <c r="JQU25" s="21"/>
      <c r="JQV25" s="21"/>
      <c r="JQW25" s="21"/>
      <c r="JQX25" s="21"/>
      <c r="JQY25" s="21"/>
      <c r="JQZ25" s="21"/>
      <c r="JRA25" s="21"/>
      <c r="JRB25" s="21"/>
      <c r="JRC25" s="21"/>
      <c r="JRD25" s="21"/>
      <c r="JRE25" s="21"/>
      <c r="JRF25" s="21"/>
      <c r="JRG25" s="21"/>
      <c r="JRH25" s="21"/>
      <c r="JRI25" s="21"/>
      <c r="JRJ25" s="21"/>
      <c r="JRK25" s="21"/>
      <c r="JRL25" s="21"/>
      <c r="JRM25" s="21"/>
      <c r="JRN25" s="21"/>
      <c r="JRO25" s="21"/>
      <c r="JRP25" s="21"/>
      <c r="JRQ25" s="21"/>
      <c r="JRR25" s="21"/>
      <c r="JRS25" s="21"/>
      <c r="JRT25" s="21"/>
      <c r="JRU25" s="21"/>
      <c r="JRV25" s="21"/>
      <c r="JRW25" s="21"/>
      <c r="JRX25" s="21"/>
      <c r="JRY25" s="21"/>
      <c r="JRZ25" s="21"/>
      <c r="JSA25" s="21"/>
      <c r="JSB25" s="21"/>
      <c r="JSC25" s="21"/>
      <c r="JSD25" s="21"/>
      <c r="JSE25" s="21"/>
      <c r="JSF25" s="21"/>
      <c r="JSG25" s="21"/>
      <c r="JSH25" s="21"/>
      <c r="JSI25" s="21"/>
      <c r="JSJ25" s="21"/>
      <c r="JSK25" s="21"/>
      <c r="JSL25" s="21"/>
      <c r="JSM25" s="21"/>
      <c r="JSN25" s="21"/>
      <c r="JSO25" s="21"/>
      <c r="JSP25" s="21"/>
      <c r="JSQ25" s="21"/>
      <c r="JSR25" s="21"/>
      <c r="JSS25" s="21"/>
      <c r="JST25" s="21"/>
      <c r="JSU25" s="21"/>
      <c r="JSV25" s="21"/>
      <c r="JSW25" s="21"/>
      <c r="JSX25" s="21"/>
      <c r="JSY25" s="21"/>
      <c r="JSZ25" s="21"/>
      <c r="JTA25" s="21"/>
      <c r="JTB25" s="21"/>
      <c r="JTC25" s="21"/>
      <c r="JTD25" s="21"/>
      <c r="JTE25" s="21"/>
      <c r="JTF25" s="21"/>
      <c r="JTG25" s="21"/>
      <c r="JTH25" s="21"/>
      <c r="JTI25" s="21"/>
      <c r="JTJ25" s="21"/>
      <c r="JTK25" s="21"/>
      <c r="JTL25" s="21"/>
      <c r="JTM25" s="21"/>
      <c r="JTN25" s="21"/>
      <c r="JTO25" s="21"/>
      <c r="JTP25" s="21"/>
      <c r="JTQ25" s="21"/>
      <c r="JTR25" s="21"/>
      <c r="JTS25" s="21"/>
      <c r="JTT25" s="21"/>
      <c r="JTU25" s="21"/>
      <c r="JTV25" s="21"/>
      <c r="JTW25" s="21"/>
      <c r="JTX25" s="21"/>
      <c r="JTY25" s="21"/>
      <c r="JTZ25" s="21"/>
      <c r="JUA25" s="21"/>
      <c r="JUB25" s="21"/>
      <c r="JUC25" s="21"/>
      <c r="JUD25" s="21"/>
      <c r="JUE25" s="21"/>
      <c r="JUF25" s="21"/>
      <c r="JUG25" s="21"/>
      <c r="JUH25" s="21"/>
      <c r="JUI25" s="21"/>
      <c r="JUJ25" s="21"/>
      <c r="JUK25" s="21"/>
      <c r="JUL25" s="21"/>
      <c r="JUM25" s="21"/>
      <c r="JUN25" s="21"/>
      <c r="JUO25" s="21"/>
      <c r="JUP25" s="21"/>
      <c r="JUQ25" s="21"/>
      <c r="JUR25" s="21"/>
      <c r="JUS25" s="21"/>
      <c r="JUT25" s="21"/>
      <c r="JUU25" s="21"/>
      <c r="JUV25" s="21"/>
      <c r="JUW25" s="21"/>
      <c r="JUX25" s="21"/>
      <c r="JUY25" s="21"/>
      <c r="JUZ25" s="21"/>
      <c r="JVA25" s="21"/>
      <c r="JVB25" s="21"/>
      <c r="JVC25" s="21"/>
      <c r="JVD25" s="21"/>
      <c r="JVE25" s="21"/>
      <c r="JVF25" s="21"/>
      <c r="JVG25" s="21"/>
      <c r="JVH25" s="21"/>
      <c r="JVI25" s="21"/>
      <c r="JVJ25" s="21"/>
      <c r="JVK25" s="21"/>
      <c r="JVL25" s="21"/>
      <c r="JVM25" s="21"/>
      <c r="JVN25" s="21"/>
      <c r="JVO25" s="21"/>
      <c r="JVP25" s="21"/>
      <c r="JVQ25" s="21"/>
      <c r="JVR25" s="21"/>
      <c r="JVS25" s="21"/>
      <c r="JVT25" s="21"/>
      <c r="JVU25" s="21"/>
      <c r="JVV25" s="21"/>
      <c r="JVW25" s="21"/>
      <c r="JVX25" s="21"/>
      <c r="JVY25" s="21"/>
      <c r="JVZ25" s="21"/>
      <c r="JWA25" s="21"/>
      <c r="JWB25" s="21"/>
      <c r="JWC25" s="21"/>
      <c r="JWD25" s="21"/>
      <c r="JWE25" s="21"/>
      <c r="JWF25" s="21"/>
      <c r="JWG25" s="21"/>
      <c r="JWH25" s="21"/>
      <c r="JWI25" s="21"/>
      <c r="JWJ25" s="21"/>
      <c r="JWK25" s="21"/>
      <c r="JWL25" s="21"/>
      <c r="JWM25" s="21"/>
      <c r="JWN25" s="21"/>
      <c r="JWO25" s="21"/>
      <c r="JWP25" s="21"/>
      <c r="JWQ25" s="21"/>
      <c r="JWR25" s="21"/>
      <c r="JWS25" s="21"/>
      <c r="JWT25" s="21"/>
      <c r="JWU25" s="21"/>
      <c r="JWV25" s="21"/>
      <c r="JWW25" s="21"/>
      <c r="JWX25" s="21"/>
      <c r="JWY25" s="21"/>
      <c r="JWZ25" s="21"/>
      <c r="JXA25" s="21"/>
      <c r="JXB25" s="21"/>
      <c r="JXC25" s="21"/>
      <c r="JXD25" s="21"/>
      <c r="JXE25" s="21"/>
      <c r="JXF25" s="21"/>
      <c r="JXG25" s="21"/>
      <c r="JXH25" s="21"/>
      <c r="JXI25" s="21"/>
      <c r="JXJ25" s="21"/>
      <c r="JXK25" s="21"/>
      <c r="JXL25" s="21"/>
      <c r="JXM25" s="21"/>
      <c r="JXN25" s="21"/>
      <c r="JXO25" s="21"/>
      <c r="JXP25" s="21"/>
      <c r="JXQ25" s="21"/>
      <c r="JXR25" s="21"/>
      <c r="JXS25" s="21"/>
      <c r="JXT25" s="21"/>
      <c r="JXU25" s="21"/>
      <c r="JXV25" s="21"/>
      <c r="JXW25" s="21"/>
      <c r="JXX25" s="21"/>
      <c r="JXY25" s="21"/>
      <c r="JXZ25" s="21"/>
      <c r="JYA25" s="21"/>
      <c r="JYB25" s="21"/>
      <c r="JYC25" s="21"/>
      <c r="JYD25" s="21"/>
      <c r="JYE25" s="21"/>
      <c r="JYF25" s="21"/>
      <c r="JYG25" s="21"/>
      <c r="JYH25" s="21"/>
      <c r="JYI25" s="21"/>
      <c r="JYJ25" s="21"/>
      <c r="JYK25" s="21"/>
      <c r="JYL25" s="21"/>
      <c r="JYM25" s="21"/>
      <c r="JYN25" s="21"/>
      <c r="JYO25" s="21"/>
      <c r="JYP25" s="21"/>
      <c r="JYQ25" s="21"/>
      <c r="JYR25" s="21"/>
      <c r="JYS25" s="21"/>
      <c r="JYT25" s="21"/>
      <c r="JYU25" s="21"/>
      <c r="JYV25" s="21"/>
      <c r="JYW25" s="21"/>
      <c r="JYX25" s="21"/>
      <c r="JYY25" s="21"/>
      <c r="JYZ25" s="21"/>
      <c r="JZA25" s="21"/>
      <c r="JZB25" s="21"/>
      <c r="JZC25" s="21"/>
      <c r="JZD25" s="21"/>
      <c r="JZE25" s="21"/>
      <c r="JZF25" s="21"/>
      <c r="JZG25" s="21"/>
      <c r="JZH25" s="21"/>
      <c r="JZI25" s="21"/>
      <c r="JZJ25" s="21"/>
      <c r="JZK25" s="21"/>
      <c r="JZL25" s="21"/>
      <c r="JZM25" s="21"/>
      <c r="JZN25" s="21"/>
      <c r="JZO25" s="21"/>
      <c r="JZP25" s="21"/>
      <c r="JZQ25" s="21"/>
      <c r="JZR25" s="21"/>
      <c r="JZS25" s="21"/>
      <c r="JZT25" s="21"/>
      <c r="JZU25" s="21"/>
      <c r="JZV25" s="21"/>
      <c r="JZW25" s="21"/>
      <c r="JZX25" s="21"/>
      <c r="JZY25" s="21"/>
      <c r="JZZ25" s="21"/>
      <c r="KAA25" s="21"/>
      <c r="KAB25" s="21"/>
      <c r="KAC25" s="21"/>
      <c r="KAD25" s="21"/>
      <c r="KAE25" s="21"/>
      <c r="KAF25" s="21"/>
      <c r="KAG25" s="21"/>
      <c r="KAH25" s="21"/>
      <c r="KAI25" s="21"/>
      <c r="KAJ25" s="21"/>
      <c r="KAK25" s="21"/>
      <c r="KAL25" s="21"/>
      <c r="KAM25" s="21"/>
      <c r="KAN25" s="21"/>
      <c r="KAO25" s="21"/>
      <c r="KAP25" s="21"/>
      <c r="KAQ25" s="21"/>
      <c r="KAR25" s="21"/>
      <c r="KAS25" s="21"/>
      <c r="KAT25" s="21"/>
      <c r="KAU25" s="21"/>
      <c r="KAV25" s="21"/>
      <c r="KAW25" s="21"/>
      <c r="KAX25" s="21"/>
      <c r="KAY25" s="21"/>
      <c r="KAZ25" s="21"/>
      <c r="KBA25" s="21"/>
      <c r="KBB25" s="21"/>
      <c r="KBC25" s="21"/>
      <c r="KBD25" s="21"/>
      <c r="KBE25" s="21"/>
      <c r="KBF25" s="21"/>
      <c r="KBG25" s="21"/>
      <c r="KBH25" s="21"/>
      <c r="KBI25" s="21"/>
      <c r="KBJ25" s="21"/>
      <c r="KBK25" s="21"/>
      <c r="KBL25" s="21"/>
      <c r="KBM25" s="21"/>
      <c r="KBN25" s="21"/>
      <c r="KBO25" s="21"/>
      <c r="KBP25" s="21"/>
      <c r="KBQ25" s="21"/>
      <c r="KBR25" s="21"/>
      <c r="KBS25" s="21"/>
      <c r="KBT25" s="21"/>
      <c r="KBU25" s="21"/>
      <c r="KBV25" s="21"/>
      <c r="KBW25" s="21"/>
      <c r="KBX25" s="21"/>
      <c r="KBY25" s="21"/>
      <c r="KBZ25" s="21"/>
      <c r="KCA25" s="21"/>
      <c r="KCB25" s="21"/>
      <c r="KCC25" s="21"/>
      <c r="KCD25" s="21"/>
      <c r="KCE25" s="21"/>
      <c r="KCF25" s="21"/>
      <c r="KCG25" s="21"/>
      <c r="KCH25" s="21"/>
      <c r="KCI25" s="21"/>
      <c r="KCJ25" s="21"/>
      <c r="KCK25" s="21"/>
      <c r="KCL25" s="21"/>
      <c r="KCM25" s="21"/>
      <c r="KCN25" s="21"/>
      <c r="KCO25" s="21"/>
      <c r="KCP25" s="21"/>
      <c r="KCQ25" s="21"/>
      <c r="KCR25" s="21"/>
      <c r="KCS25" s="21"/>
      <c r="KCT25" s="21"/>
      <c r="KCU25" s="21"/>
      <c r="KCV25" s="21"/>
      <c r="KCW25" s="21"/>
      <c r="KCX25" s="21"/>
      <c r="KCY25" s="21"/>
      <c r="KCZ25" s="21"/>
      <c r="KDA25" s="21"/>
      <c r="KDB25" s="21"/>
      <c r="KDC25" s="21"/>
      <c r="KDD25" s="21"/>
      <c r="KDE25" s="21"/>
      <c r="KDF25" s="21"/>
      <c r="KDG25" s="21"/>
      <c r="KDH25" s="21"/>
      <c r="KDI25" s="21"/>
      <c r="KDJ25" s="21"/>
      <c r="KDK25" s="21"/>
      <c r="KDL25" s="21"/>
      <c r="KDM25" s="21"/>
      <c r="KDN25" s="21"/>
      <c r="KDO25" s="21"/>
      <c r="KDP25" s="21"/>
      <c r="KDQ25" s="21"/>
      <c r="KDR25" s="21"/>
      <c r="KDS25" s="21"/>
      <c r="KDT25" s="21"/>
      <c r="KDU25" s="21"/>
      <c r="KDV25" s="21"/>
      <c r="KDW25" s="21"/>
      <c r="KDX25" s="21"/>
      <c r="KDY25" s="21"/>
      <c r="KDZ25" s="21"/>
      <c r="KEA25" s="21"/>
      <c r="KEB25" s="21"/>
      <c r="KEC25" s="21"/>
      <c r="KED25" s="21"/>
      <c r="KEE25" s="21"/>
      <c r="KEF25" s="21"/>
      <c r="KEG25" s="21"/>
      <c r="KEH25" s="21"/>
      <c r="KEI25" s="21"/>
      <c r="KEJ25" s="21"/>
      <c r="KEK25" s="21"/>
      <c r="KEL25" s="21"/>
      <c r="KEM25" s="21"/>
      <c r="KEN25" s="21"/>
      <c r="KEO25" s="21"/>
      <c r="KEP25" s="21"/>
      <c r="KEQ25" s="21"/>
      <c r="KER25" s="21"/>
      <c r="KES25" s="21"/>
      <c r="KET25" s="21"/>
      <c r="KEU25" s="21"/>
      <c r="KEV25" s="21"/>
      <c r="KEW25" s="21"/>
      <c r="KEX25" s="21"/>
      <c r="KEY25" s="21"/>
      <c r="KEZ25" s="21"/>
      <c r="KFA25" s="21"/>
      <c r="KFB25" s="21"/>
      <c r="KFC25" s="21"/>
      <c r="KFD25" s="21"/>
      <c r="KFE25" s="21"/>
      <c r="KFF25" s="21"/>
      <c r="KFG25" s="21"/>
      <c r="KFH25" s="21"/>
      <c r="KFI25" s="21"/>
      <c r="KFJ25" s="21"/>
      <c r="KFK25" s="21"/>
      <c r="KFL25" s="21"/>
      <c r="KFM25" s="21"/>
      <c r="KFN25" s="21"/>
      <c r="KFO25" s="21"/>
      <c r="KFP25" s="21"/>
      <c r="KFQ25" s="21"/>
      <c r="KFR25" s="21"/>
      <c r="KFS25" s="21"/>
      <c r="KFT25" s="21"/>
      <c r="KFU25" s="21"/>
      <c r="KFV25" s="21"/>
      <c r="KFW25" s="21"/>
      <c r="KFX25" s="21"/>
      <c r="KFY25" s="21"/>
      <c r="KFZ25" s="21"/>
      <c r="KGA25" s="21"/>
      <c r="KGB25" s="21"/>
      <c r="KGC25" s="21"/>
      <c r="KGD25" s="21"/>
      <c r="KGE25" s="21"/>
      <c r="KGF25" s="21"/>
      <c r="KGG25" s="21"/>
      <c r="KGH25" s="21"/>
      <c r="KGI25" s="21"/>
      <c r="KGJ25" s="21"/>
      <c r="KGK25" s="21"/>
      <c r="KGL25" s="21"/>
      <c r="KGM25" s="21"/>
      <c r="KGN25" s="21"/>
      <c r="KGO25" s="21"/>
      <c r="KGP25" s="21"/>
      <c r="KGQ25" s="21"/>
      <c r="KGR25" s="21"/>
      <c r="KGS25" s="21"/>
      <c r="KGT25" s="21"/>
      <c r="KGU25" s="21"/>
      <c r="KGV25" s="21"/>
      <c r="KGW25" s="21"/>
      <c r="KGX25" s="21"/>
      <c r="KGY25" s="21"/>
      <c r="KGZ25" s="21"/>
      <c r="KHA25" s="21"/>
      <c r="KHB25" s="21"/>
      <c r="KHC25" s="21"/>
      <c r="KHD25" s="21"/>
      <c r="KHE25" s="21"/>
      <c r="KHF25" s="21"/>
      <c r="KHG25" s="21"/>
      <c r="KHH25" s="21"/>
      <c r="KHI25" s="21"/>
      <c r="KHJ25" s="21"/>
      <c r="KHK25" s="21"/>
      <c r="KHL25" s="21"/>
      <c r="KHM25" s="21"/>
      <c r="KHN25" s="21"/>
      <c r="KHO25" s="21"/>
      <c r="KHP25" s="21"/>
      <c r="KHQ25" s="21"/>
      <c r="KHR25" s="21"/>
      <c r="KHS25" s="21"/>
      <c r="KHT25" s="21"/>
      <c r="KHU25" s="21"/>
      <c r="KHV25" s="21"/>
      <c r="KHW25" s="21"/>
      <c r="KHX25" s="21"/>
      <c r="KHY25" s="21"/>
      <c r="KHZ25" s="21"/>
      <c r="KIA25" s="21"/>
      <c r="KIB25" s="21"/>
      <c r="KIC25" s="21"/>
      <c r="KID25" s="21"/>
      <c r="KIE25" s="21"/>
      <c r="KIF25" s="21"/>
      <c r="KIG25" s="21"/>
      <c r="KIH25" s="21"/>
      <c r="KII25" s="21"/>
      <c r="KIJ25" s="21"/>
      <c r="KIK25" s="21"/>
      <c r="KIL25" s="21"/>
      <c r="KIM25" s="21"/>
      <c r="KIN25" s="21"/>
      <c r="KIO25" s="21"/>
      <c r="KIP25" s="21"/>
      <c r="KIQ25" s="21"/>
      <c r="KIR25" s="21"/>
      <c r="KIS25" s="21"/>
      <c r="KIT25" s="21"/>
      <c r="KIU25" s="21"/>
      <c r="KIV25" s="21"/>
      <c r="KIW25" s="21"/>
      <c r="KIX25" s="21"/>
      <c r="KIY25" s="21"/>
      <c r="KIZ25" s="21"/>
      <c r="KJA25" s="21"/>
      <c r="KJB25" s="21"/>
      <c r="KJC25" s="21"/>
      <c r="KJD25" s="21"/>
      <c r="KJE25" s="21"/>
      <c r="KJF25" s="21"/>
      <c r="KJG25" s="21"/>
      <c r="KJH25" s="21"/>
      <c r="KJI25" s="21"/>
      <c r="KJJ25" s="21"/>
      <c r="KJK25" s="21"/>
      <c r="KJL25" s="21"/>
      <c r="KJM25" s="21"/>
      <c r="KJN25" s="21"/>
      <c r="KJO25" s="21"/>
      <c r="KJP25" s="21"/>
      <c r="KJQ25" s="21"/>
      <c r="KJR25" s="21"/>
      <c r="KJS25" s="21"/>
      <c r="KJT25" s="21"/>
      <c r="KJU25" s="21"/>
      <c r="KJV25" s="21"/>
      <c r="KJW25" s="21"/>
      <c r="KJX25" s="21"/>
      <c r="KJY25" s="21"/>
      <c r="KJZ25" s="21"/>
      <c r="KKA25" s="21"/>
      <c r="KKB25" s="21"/>
      <c r="KKC25" s="21"/>
      <c r="KKD25" s="21"/>
      <c r="KKE25" s="21"/>
      <c r="KKF25" s="21"/>
      <c r="KKG25" s="21"/>
      <c r="KKH25" s="21"/>
      <c r="KKI25" s="21"/>
      <c r="KKJ25" s="21"/>
      <c r="KKK25" s="21"/>
      <c r="KKL25" s="21"/>
      <c r="KKM25" s="21"/>
      <c r="KKN25" s="21"/>
      <c r="KKO25" s="21"/>
      <c r="KKP25" s="21"/>
      <c r="KKQ25" s="21"/>
      <c r="KKR25" s="21"/>
      <c r="KKS25" s="21"/>
      <c r="KKT25" s="21"/>
      <c r="KKU25" s="21"/>
      <c r="KKV25" s="21"/>
      <c r="KKW25" s="21"/>
      <c r="KKX25" s="21"/>
      <c r="KKY25" s="21"/>
      <c r="KKZ25" s="21"/>
      <c r="KLA25" s="21"/>
      <c r="KLB25" s="21"/>
      <c r="KLC25" s="21"/>
      <c r="KLD25" s="21"/>
      <c r="KLE25" s="21"/>
      <c r="KLF25" s="21"/>
      <c r="KLG25" s="21"/>
      <c r="KLH25" s="21"/>
      <c r="KLI25" s="21"/>
      <c r="KLJ25" s="21"/>
      <c r="KLK25" s="21"/>
      <c r="KLL25" s="21"/>
      <c r="KLM25" s="21"/>
      <c r="KLN25" s="21"/>
      <c r="KLO25" s="21"/>
      <c r="KLP25" s="21"/>
      <c r="KLQ25" s="21"/>
      <c r="KLR25" s="21"/>
      <c r="KLS25" s="21"/>
      <c r="KLT25" s="21"/>
      <c r="KLU25" s="21"/>
      <c r="KLV25" s="21"/>
      <c r="KLW25" s="21"/>
      <c r="KLX25" s="21"/>
      <c r="KLY25" s="21"/>
      <c r="KLZ25" s="21"/>
      <c r="KMA25" s="21"/>
      <c r="KMB25" s="21"/>
      <c r="KMC25" s="21"/>
      <c r="KMD25" s="21"/>
      <c r="KME25" s="21"/>
      <c r="KMF25" s="21"/>
      <c r="KMG25" s="21"/>
      <c r="KMH25" s="21"/>
      <c r="KMI25" s="21"/>
      <c r="KMJ25" s="21"/>
      <c r="KMK25" s="21"/>
      <c r="KML25" s="21"/>
      <c r="KMM25" s="21"/>
      <c r="KMN25" s="21"/>
      <c r="KMO25" s="21"/>
      <c r="KMP25" s="21"/>
      <c r="KMQ25" s="21"/>
      <c r="KMR25" s="21"/>
      <c r="KMS25" s="21"/>
      <c r="KMT25" s="21"/>
      <c r="KMU25" s="21"/>
      <c r="KMV25" s="21"/>
      <c r="KMW25" s="21"/>
      <c r="KMX25" s="21"/>
      <c r="KMY25" s="21"/>
      <c r="KMZ25" s="21"/>
      <c r="KNA25" s="21"/>
      <c r="KNB25" s="21"/>
      <c r="KNC25" s="21"/>
      <c r="KND25" s="21"/>
      <c r="KNE25" s="21"/>
      <c r="KNF25" s="21"/>
      <c r="KNG25" s="21"/>
      <c r="KNH25" s="21"/>
      <c r="KNI25" s="21"/>
      <c r="KNJ25" s="21"/>
      <c r="KNK25" s="21"/>
      <c r="KNL25" s="21"/>
      <c r="KNM25" s="21"/>
      <c r="KNN25" s="21"/>
      <c r="KNO25" s="21"/>
      <c r="KNP25" s="21"/>
      <c r="KNQ25" s="21"/>
      <c r="KNR25" s="21"/>
      <c r="KNS25" s="21"/>
      <c r="KNT25" s="21"/>
      <c r="KNU25" s="21"/>
      <c r="KNV25" s="21"/>
      <c r="KNW25" s="21"/>
      <c r="KNX25" s="21"/>
      <c r="KNY25" s="21"/>
      <c r="KNZ25" s="21"/>
      <c r="KOA25" s="21"/>
      <c r="KOB25" s="21"/>
      <c r="KOC25" s="21"/>
      <c r="KOD25" s="21"/>
      <c r="KOE25" s="21"/>
      <c r="KOF25" s="21"/>
      <c r="KOG25" s="21"/>
      <c r="KOH25" s="21"/>
      <c r="KOI25" s="21"/>
      <c r="KOJ25" s="21"/>
      <c r="KOK25" s="21"/>
      <c r="KOL25" s="21"/>
      <c r="KOM25" s="21"/>
      <c r="KON25" s="21"/>
      <c r="KOO25" s="21"/>
      <c r="KOP25" s="21"/>
      <c r="KOQ25" s="21"/>
      <c r="KOR25" s="21"/>
      <c r="KOS25" s="21"/>
      <c r="KOT25" s="21"/>
      <c r="KOU25" s="21"/>
      <c r="KOV25" s="21"/>
      <c r="KOW25" s="21"/>
      <c r="KOX25" s="21"/>
      <c r="KOY25" s="21"/>
      <c r="KOZ25" s="21"/>
      <c r="KPA25" s="21"/>
      <c r="KPB25" s="21"/>
      <c r="KPC25" s="21"/>
      <c r="KPD25" s="21"/>
      <c r="KPE25" s="21"/>
      <c r="KPF25" s="21"/>
      <c r="KPG25" s="21"/>
      <c r="KPH25" s="21"/>
      <c r="KPI25" s="21"/>
      <c r="KPJ25" s="21"/>
      <c r="KPK25" s="21"/>
      <c r="KPL25" s="21"/>
      <c r="KPM25" s="21"/>
      <c r="KPN25" s="21"/>
      <c r="KPO25" s="21"/>
      <c r="KPP25" s="21"/>
      <c r="KPQ25" s="21"/>
      <c r="KPR25" s="21"/>
      <c r="KPS25" s="21"/>
      <c r="KPT25" s="21"/>
      <c r="KPU25" s="21"/>
      <c r="KPV25" s="21"/>
      <c r="KPW25" s="21"/>
      <c r="KPX25" s="21"/>
      <c r="KPY25" s="21"/>
      <c r="KPZ25" s="21"/>
      <c r="KQA25" s="21"/>
      <c r="KQB25" s="21"/>
      <c r="KQC25" s="21"/>
      <c r="KQD25" s="21"/>
      <c r="KQE25" s="21"/>
      <c r="KQF25" s="21"/>
      <c r="KQG25" s="21"/>
      <c r="KQH25" s="21"/>
      <c r="KQI25" s="21"/>
      <c r="KQJ25" s="21"/>
      <c r="KQK25" s="21"/>
      <c r="KQL25" s="21"/>
      <c r="KQM25" s="21"/>
      <c r="KQN25" s="21"/>
      <c r="KQO25" s="21"/>
      <c r="KQP25" s="21"/>
      <c r="KQQ25" s="21"/>
      <c r="KQR25" s="21"/>
      <c r="KQS25" s="21"/>
      <c r="KQT25" s="21"/>
      <c r="KQU25" s="21"/>
      <c r="KQV25" s="21"/>
      <c r="KQW25" s="21"/>
      <c r="KQX25" s="21"/>
      <c r="KQY25" s="21"/>
      <c r="KQZ25" s="21"/>
      <c r="KRA25" s="21"/>
      <c r="KRB25" s="21"/>
      <c r="KRC25" s="21"/>
      <c r="KRD25" s="21"/>
      <c r="KRE25" s="21"/>
      <c r="KRF25" s="21"/>
      <c r="KRG25" s="21"/>
      <c r="KRH25" s="21"/>
      <c r="KRI25" s="21"/>
      <c r="KRJ25" s="21"/>
      <c r="KRK25" s="21"/>
      <c r="KRL25" s="21"/>
      <c r="KRM25" s="21"/>
      <c r="KRN25" s="21"/>
      <c r="KRO25" s="21"/>
      <c r="KRP25" s="21"/>
      <c r="KRQ25" s="21"/>
      <c r="KRR25" s="21"/>
      <c r="KRS25" s="21"/>
      <c r="KRT25" s="21"/>
      <c r="KRU25" s="21"/>
      <c r="KRV25" s="21"/>
      <c r="KRW25" s="21"/>
      <c r="KRX25" s="21"/>
      <c r="KRY25" s="21"/>
      <c r="KRZ25" s="21"/>
      <c r="KSA25" s="21"/>
      <c r="KSB25" s="21"/>
      <c r="KSC25" s="21"/>
      <c r="KSD25" s="21"/>
      <c r="KSE25" s="21"/>
      <c r="KSF25" s="21"/>
      <c r="KSG25" s="21"/>
      <c r="KSH25" s="21"/>
      <c r="KSI25" s="21"/>
      <c r="KSJ25" s="21"/>
      <c r="KSK25" s="21"/>
      <c r="KSL25" s="21"/>
      <c r="KSM25" s="21"/>
      <c r="KSN25" s="21"/>
      <c r="KSO25" s="21"/>
      <c r="KSP25" s="21"/>
      <c r="KSQ25" s="21"/>
      <c r="KSR25" s="21"/>
      <c r="KSS25" s="21"/>
      <c r="KST25" s="21"/>
      <c r="KSU25" s="21"/>
      <c r="KSV25" s="21"/>
      <c r="KSW25" s="21"/>
      <c r="KSX25" s="21"/>
      <c r="KSY25" s="21"/>
      <c r="KSZ25" s="21"/>
      <c r="KTA25" s="21"/>
      <c r="KTB25" s="21"/>
      <c r="KTC25" s="21"/>
      <c r="KTD25" s="21"/>
      <c r="KTE25" s="21"/>
      <c r="KTF25" s="21"/>
      <c r="KTG25" s="21"/>
      <c r="KTH25" s="21"/>
      <c r="KTI25" s="21"/>
      <c r="KTJ25" s="21"/>
      <c r="KTK25" s="21"/>
      <c r="KTL25" s="21"/>
      <c r="KTM25" s="21"/>
      <c r="KTN25" s="21"/>
      <c r="KTO25" s="21"/>
      <c r="KTP25" s="21"/>
      <c r="KTQ25" s="21"/>
      <c r="KTR25" s="21"/>
      <c r="KTS25" s="21"/>
      <c r="KTT25" s="21"/>
      <c r="KTU25" s="21"/>
      <c r="KTV25" s="21"/>
      <c r="KTW25" s="21"/>
      <c r="KTX25" s="21"/>
      <c r="KTY25" s="21"/>
      <c r="KTZ25" s="21"/>
      <c r="KUA25" s="21"/>
      <c r="KUB25" s="21"/>
      <c r="KUC25" s="21"/>
      <c r="KUD25" s="21"/>
      <c r="KUE25" s="21"/>
      <c r="KUF25" s="21"/>
      <c r="KUG25" s="21"/>
      <c r="KUH25" s="21"/>
      <c r="KUI25" s="21"/>
      <c r="KUJ25" s="21"/>
      <c r="KUK25" s="21"/>
      <c r="KUL25" s="21"/>
      <c r="KUM25" s="21"/>
      <c r="KUN25" s="21"/>
      <c r="KUO25" s="21"/>
      <c r="KUP25" s="21"/>
      <c r="KUQ25" s="21"/>
      <c r="KUR25" s="21"/>
      <c r="KUS25" s="21"/>
      <c r="KUT25" s="21"/>
      <c r="KUU25" s="21"/>
      <c r="KUV25" s="21"/>
      <c r="KUW25" s="21"/>
      <c r="KUX25" s="21"/>
      <c r="KUY25" s="21"/>
      <c r="KUZ25" s="21"/>
      <c r="KVA25" s="21"/>
      <c r="KVB25" s="21"/>
      <c r="KVC25" s="21"/>
      <c r="KVD25" s="21"/>
      <c r="KVE25" s="21"/>
      <c r="KVF25" s="21"/>
      <c r="KVG25" s="21"/>
      <c r="KVH25" s="21"/>
      <c r="KVI25" s="21"/>
      <c r="KVJ25" s="21"/>
      <c r="KVK25" s="21"/>
      <c r="KVL25" s="21"/>
      <c r="KVM25" s="21"/>
      <c r="KVN25" s="21"/>
      <c r="KVO25" s="21"/>
      <c r="KVP25" s="21"/>
      <c r="KVQ25" s="21"/>
      <c r="KVR25" s="21"/>
      <c r="KVS25" s="21"/>
      <c r="KVT25" s="21"/>
      <c r="KVU25" s="21"/>
      <c r="KVV25" s="21"/>
      <c r="KVW25" s="21"/>
      <c r="KVX25" s="21"/>
      <c r="KVY25" s="21"/>
      <c r="KVZ25" s="21"/>
      <c r="KWA25" s="21"/>
      <c r="KWB25" s="21"/>
      <c r="KWC25" s="21"/>
      <c r="KWD25" s="21"/>
      <c r="KWE25" s="21"/>
      <c r="KWF25" s="21"/>
      <c r="KWG25" s="21"/>
      <c r="KWH25" s="21"/>
      <c r="KWI25" s="21"/>
      <c r="KWJ25" s="21"/>
      <c r="KWK25" s="21"/>
      <c r="KWL25" s="21"/>
      <c r="KWM25" s="21"/>
      <c r="KWN25" s="21"/>
      <c r="KWO25" s="21"/>
      <c r="KWP25" s="21"/>
      <c r="KWQ25" s="21"/>
      <c r="KWR25" s="21"/>
      <c r="KWS25" s="21"/>
      <c r="KWT25" s="21"/>
      <c r="KWU25" s="21"/>
      <c r="KWV25" s="21"/>
      <c r="KWW25" s="21"/>
      <c r="KWX25" s="21"/>
      <c r="KWY25" s="21"/>
      <c r="KWZ25" s="21"/>
      <c r="KXA25" s="21"/>
      <c r="KXB25" s="21"/>
      <c r="KXC25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" s="21"/>
      <c r="KXN25" s="21"/>
      <c r="KXO25" s="21"/>
      <c r="KXP25" s="21"/>
      <c r="KXQ25" s="21"/>
      <c r="KXR25" s="21"/>
      <c r="KXS25" s="21"/>
      <c r="KXT25" s="21"/>
      <c r="KXU25" s="21"/>
      <c r="KXV25" s="21"/>
      <c r="KXW25" s="21"/>
      <c r="KXX25" s="21"/>
      <c r="KXY25" s="21"/>
      <c r="KXZ25" s="21"/>
      <c r="KYA25" s="21"/>
      <c r="KYB25" s="21"/>
      <c r="KYC25" s="21"/>
      <c r="KYD25" s="21"/>
      <c r="KYE25" s="21"/>
      <c r="KYF25" s="21"/>
      <c r="KYG25" s="21"/>
      <c r="KYH25" s="21"/>
      <c r="KYI25" s="21"/>
      <c r="KYJ25" s="21"/>
      <c r="KYK25" s="21"/>
      <c r="KYL25" s="21"/>
      <c r="KYM25" s="21"/>
      <c r="KYN25" s="21"/>
      <c r="KYO25" s="21"/>
      <c r="KYP25" s="21"/>
      <c r="KYQ25" s="21"/>
      <c r="KYR25" s="21"/>
      <c r="KYS25" s="21"/>
      <c r="KYT25" s="21"/>
      <c r="KYU25" s="21"/>
      <c r="KYV25" s="21"/>
      <c r="KYW25" s="21"/>
      <c r="KYX25" s="21"/>
      <c r="KYY25" s="21"/>
      <c r="KYZ25" s="21"/>
      <c r="KZA25" s="21"/>
      <c r="KZB25" s="21"/>
      <c r="KZC25" s="21"/>
      <c r="KZD25" s="21"/>
      <c r="KZE25" s="21"/>
      <c r="KZF25" s="21"/>
      <c r="KZG25" s="21"/>
      <c r="KZH25" s="21"/>
      <c r="KZI25" s="21"/>
      <c r="KZJ25" s="21"/>
      <c r="KZK25" s="21"/>
      <c r="KZL25" s="21"/>
      <c r="KZM25" s="21"/>
      <c r="KZN25" s="21"/>
      <c r="KZO25" s="21"/>
      <c r="KZP25" s="21"/>
      <c r="KZQ25" s="21"/>
      <c r="KZR25" s="21"/>
      <c r="KZS25" s="21"/>
      <c r="KZT25" s="21"/>
      <c r="KZU25" s="21"/>
      <c r="KZV25" s="21"/>
      <c r="KZW25" s="21"/>
      <c r="KZX25" s="21"/>
      <c r="KZY25" s="21"/>
      <c r="KZZ25" s="21"/>
      <c r="LAA25" s="21"/>
      <c r="LAB25" s="21"/>
      <c r="LAC25" s="21"/>
      <c r="LAD25" s="21"/>
      <c r="LAE25" s="21"/>
      <c r="LAF25" s="21"/>
      <c r="LAG25" s="21"/>
      <c r="LAH25" s="21"/>
      <c r="LAI25" s="21"/>
      <c r="LAJ25" s="21"/>
      <c r="LAK25" s="21"/>
      <c r="LAL25" s="21"/>
      <c r="LAM25" s="21"/>
      <c r="LAN25" s="21"/>
      <c r="LAO25" s="21"/>
      <c r="LAP25" s="21"/>
      <c r="LAQ25" s="21"/>
      <c r="LAR25" s="21"/>
      <c r="LAS25" s="21"/>
      <c r="LAT25" s="21"/>
      <c r="LAU25" s="21"/>
      <c r="LAV25" s="21"/>
      <c r="LAW25" s="21"/>
      <c r="LAX25" s="21"/>
      <c r="LAY25" s="21"/>
      <c r="LAZ25" s="21"/>
      <c r="LBA25" s="21"/>
      <c r="LBB25" s="21"/>
      <c r="LBC25" s="21"/>
      <c r="LBD25" s="21"/>
      <c r="LBE25" s="21"/>
      <c r="LBF25" s="21"/>
      <c r="LBG25" s="21"/>
      <c r="LBH25" s="21"/>
      <c r="LBI25" s="21"/>
      <c r="LBJ25" s="21"/>
      <c r="LBK25" s="21"/>
      <c r="LBL25" s="21"/>
      <c r="LBM25" s="21"/>
      <c r="LBN25" s="21"/>
      <c r="LBO25" s="21"/>
      <c r="LBP25" s="21"/>
      <c r="LBQ25" s="21"/>
      <c r="LBR25" s="21"/>
      <c r="LBS25" s="21"/>
      <c r="LBT25" s="21"/>
      <c r="LBU25" s="21"/>
      <c r="LBV25" s="21"/>
      <c r="LBW25" s="21"/>
      <c r="LBX25" s="21"/>
      <c r="LBY25" s="21"/>
      <c r="LBZ25" s="21"/>
      <c r="LCA25" s="21"/>
      <c r="LCB25" s="21"/>
      <c r="LCC25" s="21"/>
      <c r="LCD25" s="21"/>
      <c r="LCE25" s="21"/>
      <c r="LCF25" s="21"/>
      <c r="LCG25" s="21"/>
      <c r="LCH25" s="21"/>
      <c r="LCI25" s="21"/>
      <c r="LCJ25" s="21"/>
      <c r="LCK25" s="21"/>
      <c r="LCL25" s="21"/>
      <c r="LCM25" s="21"/>
      <c r="LCN25" s="21"/>
      <c r="LCO25" s="21"/>
      <c r="LCP25" s="21"/>
      <c r="LCQ25" s="21"/>
      <c r="LCR25" s="21"/>
      <c r="LCS25" s="21"/>
      <c r="LCT25" s="21"/>
      <c r="LCU25" s="21"/>
      <c r="LCV25" s="21"/>
      <c r="LCW25" s="21"/>
      <c r="LCX25" s="21"/>
      <c r="LCY25" s="21"/>
      <c r="LCZ25" s="21"/>
      <c r="LDA25" s="21"/>
      <c r="LDB25" s="21"/>
      <c r="LDC25" s="21"/>
      <c r="LDD25" s="21"/>
      <c r="LDE25" s="21"/>
      <c r="LDF25" s="21"/>
      <c r="LDG25" s="21"/>
      <c r="LDH25" s="21"/>
      <c r="LDI25" s="21"/>
      <c r="LDJ25" s="21"/>
      <c r="LDK25" s="21"/>
      <c r="LDL25" s="21"/>
      <c r="LDM25" s="21"/>
      <c r="LDN25" s="21"/>
      <c r="LDO25" s="21"/>
      <c r="LDP25" s="21"/>
      <c r="LDQ25" s="21"/>
      <c r="LDR25" s="21"/>
      <c r="LDS25" s="21"/>
      <c r="LDT25" s="21"/>
      <c r="LDU25" s="21"/>
      <c r="LDV25" s="21"/>
      <c r="LDW25" s="21"/>
      <c r="LDX25" s="21"/>
      <c r="LDY25" s="21"/>
      <c r="LDZ25" s="21"/>
      <c r="LEA25" s="21"/>
      <c r="LEB25" s="21"/>
      <c r="LEC25" s="21"/>
      <c r="LED25" s="21"/>
      <c r="LEE25" s="21"/>
      <c r="LEF25" s="21"/>
      <c r="LEG25" s="21"/>
      <c r="LEH25" s="21"/>
      <c r="LEI25" s="21"/>
      <c r="LEJ25" s="21"/>
      <c r="LEK25" s="21"/>
      <c r="LEL25" s="21"/>
      <c r="LEM25" s="21"/>
      <c r="LEN25" s="21"/>
      <c r="LEO25" s="21"/>
      <c r="LEP25" s="21"/>
      <c r="LEQ25" s="21"/>
      <c r="LER25" s="21"/>
      <c r="LES25" s="21"/>
      <c r="LET25" s="21"/>
      <c r="LEU25" s="21"/>
      <c r="LEV25" s="21"/>
      <c r="LEW25" s="21"/>
      <c r="LEX25" s="21"/>
      <c r="LEY25" s="21"/>
      <c r="LEZ25" s="21"/>
      <c r="LFA25" s="21"/>
      <c r="LFB25" s="21"/>
      <c r="LFC25" s="21"/>
      <c r="LFD25" s="21"/>
      <c r="LFE25" s="21"/>
      <c r="LFF25" s="21"/>
      <c r="LFG25" s="21"/>
      <c r="LFH25" s="21"/>
      <c r="LFI25" s="21"/>
      <c r="LFJ25" s="21"/>
      <c r="LFK25" s="21"/>
      <c r="LFL25" s="21"/>
      <c r="LFM25" s="21"/>
      <c r="LFN25" s="21"/>
      <c r="LFO25" s="21"/>
      <c r="LFP25" s="21"/>
      <c r="LFQ25" s="21"/>
      <c r="LFR25" s="21"/>
      <c r="LFS25" s="21"/>
      <c r="LFT25" s="21"/>
      <c r="LFU25" s="21"/>
      <c r="LFV25" s="21"/>
      <c r="LFW25" s="21"/>
      <c r="LFX25" s="21"/>
      <c r="LFY25" s="21"/>
      <c r="LFZ25" s="21"/>
      <c r="LGA25" s="21"/>
      <c r="LGB25" s="21"/>
      <c r="LGC25" s="21"/>
      <c r="LGD25" s="21"/>
      <c r="LGE25" s="21"/>
      <c r="LGF25" s="21"/>
      <c r="LGG25" s="21"/>
      <c r="LGH25" s="21"/>
      <c r="LGI25" s="21"/>
      <c r="LGJ25" s="21"/>
      <c r="LGK25" s="21"/>
      <c r="LGL25" s="21"/>
      <c r="LGM25" s="21"/>
      <c r="LGN25" s="21"/>
      <c r="LGO25" s="21"/>
      <c r="LGP25" s="21"/>
      <c r="LGQ25" s="21"/>
      <c r="LGR25" s="21"/>
      <c r="LGS25" s="21"/>
      <c r="LGT25" s="21"/>
      <c r="LGU25" s="21"/>
      <c r="LGV25" s="21"/>
      <c r="LGW25" s="21"/>
      <c r="LGX25" s="21"/>
      <c r="LGY25" s="21"/>
      <c r="LGZ25" s="21"/>
      <c r="LHA25" s="21"/>
      <c r="LHB25" s="21"/>
      <c r="LHC25" s="21"/>
      <c r="LHD25" s="21"/>
      <c r="LHE25" s="21"/>
      <c r="LHF25" s="21"/>
      <c r="LHG25" s="21"/>
      <c r="LHH25" s="21"/>
      <c r="LHI25" s="21"/>
      <c r="LHJ25" s="21"/>
      <c r="LHK25" s="21"/>
      <c r="LHL25" s="21"/>
      <c r="LHM25" s="21"/>
      <c r="LHN25" s="21"/>
      <c r="LHO25" s="21"/>
      <c r="LHP25" s="21"/>
      <c r="LHQ25" s="21"/>
      <c r="LHR25" s="21"/>
      <c r="LHS25" s="21"/>
      <c r="LHT25" s="21"/>
      <c r="LHU25" s="21"/>
      <c r="LHV25" s="21"/>
      <c r="LHW25" s="21"/>
      <c r="LHX25" s="21"/>
      <c r="LHY25" s="21"/>
      <c r="LHZ25" s="21"/>
      <c r="LIA25" s="21"/>
      <c r="LIB25" s="21"/>
      <c r="LIC25" s="21"/>
      <c r="LID25" s="21"/>
      <c r="LIE25" s="21"/>
      <c r="LIF25" s="21"/>
      <c r="LIG25" s="21"/>
      <c r="LIH25" s="21"/>
      <c r="LII25" s="21"/>
      <c r="LIJ25" s="21"/>
      <c r="LIK25" s="21"/>
      <c r="LIL25" s="21"/>
      <c r="LIM25" s="21"/>
      <c r="LIN25" s="21"/>
      <c r="LIO25" s="21"/>
      <c r="LIP25" s="21"/>
      <c r="LIQ25" s="21"/>
      <c r="LIR25" s="21"/>
      <c r="LIS25" s="21"/>
      <c r="LIT25" s="21"/>
      <c r="LIU25" s="21"/>
      <c r="LIV25" s="21"/>
      <c r="LIW25" s="21"/>
      <c r="LIX25" s="21"/>
      <c r="LIY25" s="21"/>
      <c r="LIZ25" s="21"/>
      <c r="LJA25" s="21"/>
      <c r="LJB25" s="21"/>
      <c r="LJC25" s="21"/>
      <c r="LJD25" s="21"/>
      <c r="LJE25" s="21"/>
      <c r="LJF25" s="21"/>
      <c r="LJG25" s="21"/>
      <c r="LJH25" s="21"/>
      <c r="LJI25" s="21"/>
      <c r="LJJ25" s="21"/>
      <c r="LJK25" s="21"/>
      <c r="LJL25" s="21"/>
      <c r="LJM25" s="21"/>
      <c r="LJN25" s="21"/>
      <c r="LJO25" s="21"/>
      <c r="LJP25" s="21"/>
      <c r="LJQ25" s="21"/>
      <c r="LJR25" s="21"/>
      <c r="LJS25" s="21"/>
      <c r="LJT25" s="21"/>
      <c r="LJU25" s="21"/>
      <c r="LJV25" s="21"/>
      <c r="LJW25" s="21"/>
      <c r="LJX25" s="21"/>
      <c r="LJY25" s="21"/>
      <c r="LJZ25" s="21"/>
      <c r="LKA25" s="21"/>
      <c r="LKB25" s="21"/>
      <c r="LKC25" s="21"/>
      <c r="LKD25" s="21"/>
      <c r="LKE25" s="21"/>
      <c r="LKF25" s="21"/>
      <c r="LKG25" s="21"/>
      <c r="LKH25" s="21"/>
      <c r="LKI25" s="21"/>
      <c r="LKJ25" s="21"/>
      <c r="LKK25" s="21"/>
      <c r="LKL25" s="21"/>
      <c r="LKM25" s="21"/>
      <c r="LKN25" s="21"/>
      <c r="LKO25" s="21"/>
      <c r="LKP25" s="21"/>
      <c r="LKQ25" s="21"/>
      <c r="LKR25" s="21"/>
      <c r="LKS25" s="21"/>
      <c r="LKT25" s="21"/>
      <c r="LKU25" s="21"/>
      <c r="LKV25" s="21"/>
      <c r="LKW25" s="21"/>
      <c r="LKX25" s="21"/>
      <c r="LKY25" s="21"/>
      <c r="LKZ25" s="21"/>
      <c r="LLA25" s="21"/>
      <c r="LLB25" s="21"/>
      <c r="LLC25" s="21"/>
      <c r="LLD25" s="21"/>
      <c r="LLE25" s="21"/>
      <c r="LLF25" s="21"/>
      <c r="LLG25" s="21"/>
      <c r="LLH25" s="21"/>
      <c r="LLI25" s="21"/>
      <c r="LLJ25" s="21"/>
      <c r="LLK25" s="21"/>
      <c r="LLL25" s="21"/>
      <c r="LLM25" s="21"/>
      <c r="LLN25" s="21"/>
      <c r="LLO25" s="21"/>
      <c r="LLP25" s="21"/>
      <c r="LLQ25" s="21"/>
      <c r="LLR25" s="21"/>
      <c r="LLS25" s="21"/>
      <c r="LLT25" s="21"/>
      <c r="LLU25" s="21"/>
      <c r="LLV25" s="21"/>
      <c r="LLW25" s="21"/>
      <c r="LLX25" s="21"/>
      <c r="LLY25" s="21"/>
      <c r="LLZ25" s="21"/>
      <c r="LMA25" s="21"/>
      <c r="LMB25" s="21"/>
      <c r="LMC25" s="21"/>
      <c r="LMD25" s="21"/>
      <c r="LME25" s="21"/>
      <c r="LMF25" s="21"/>
      <c r="LMG25" s="21"/>
      <c r="LMH25" s="21"/>
      <c r="LMI25" s="21"/>
      <c r="LMJ25" s="21"/>
      <c r="LMK25" s="21"/>
      <c r="LML25" s="21"/>
      <c r="LMM25" s="21"/>
      <c r="LMN25" s="21"/>
      <c r="LMO25" s="21"/>
      <c r="LMP25" s="21"/>
      <c r="LMQ25" s="21"/>
      <c r="LMR25" s="21"/>
      <c r="LMS25" s="21"/>
      <c r="LMT25" s="21"/>
      <c r="LMU25" s="21"/>
      <c r="LMV25" s="21"/>
      <c r="LMW25" s="21"/>
      <c r="LMX25" s="21"/>
      <c r="LMY25" s="21"/>
      <c r="LMZ25" s="21"/>
      <c r="LNA25" s="21"/>
      <c r="LNB25" s="21"/>
      <c r="LNC25" s="21"/>
      <c r="LND25" s="21"/>
      <c r="LNE25" s="21"/>
      <c r="LNF25" s="21"/>
      <c r="LNG25" s="21"/>
      <c r="LNH25" s="21"/>
      <c r="LNI25" s="21"/>
      <c r="LNJ25" s="21"/>
      <c r="LNK25" s="21"/>
      <c r="LNL25" s="21"/>
      <c r="LNM25" s="21"/>
      <c r="LNN25" s="21"/>
      <c r="LNO25" s="21"/>
      <c r="LNP25" s="21"/>
      <c r="LNQ25" s="21"/>
      <c r="LNR25" s="21"/>
      <c r="LNS25" s="21"/>
      <c r="LNT25" s="21"/>
      <c r="LNU25" s="21"/>
      <c r="LNV25" s="21"/>
      <c r="LNW25" s="21"/>
      <c r="LNX25" s="21"/>
      <c r="LNY25" s="21"/>
      <c r="LNZ25" s="21"/>
      <c r="LOA25" s="21"/>
      <c r="LOB25" s="21"/>
      <c r="LOC25" s="21"/>
      <c r="LOD25" s="21"/>
      <c r="LOE25" s="21"/>
      <c r="LOF25" s="21"/>
      <c r="LOG25" s="21"/>
      <c r="LOH25" s="21"/>
      <c r="LOI25" s="21"/>
      <c r="LOJ25" s="21"/>
      <c r="LOK25" s="21"/>
      <c r="LOL25" s="21"/>
      <c r="LOM25" s="21"/>
      <c r="LON25" s="21"/>
      <c r="LOO25" s="21"/>
      <c r="LOP25" s="21"/>
      <c r="LOQ25" s="21"/>
      <c r="LOR25" s="21"/>
      <c r="LOS25" s="21"/>
      <c r="LOT25" s="21"/>
      <c r="LOU25" s="21"/>
      <c r="LOV25" s="21"/>
      <c r="LOW25" s="21"/>
      <c r="LOX25" s="21"/>
      <c r="LOY25" s="21"/>
      <c r="LOZ25" s="21"/>
      <c r="LPA25" s="21"/>
      <c r="LPB25" s="21"/>
      <c r="LPC25" s="21"/>
      <c r="LPD25" s="21"/>
      <c r="LPE25" s="21"/>
      <c r="LPF25" s="21"/>
      <c r="LPG25" s="21"/>
      <c r="LPH25" s="21"/>
      <c r="LPI25" s="21"/>
      <c r="LPJ25" s="21"/>
      <c r="LPK25" s="21"/>
      <c r="LPL25" s="21"/>
      <c r="LPM25" s="21"/>
      <c r="LPN25" s="21"/>
      <c r="LPO25" s="21"/>
      <c r="LPP25" s="21"/>
      <c r="LPQ25" s="21"/>
      <c r="LPR25" s="21"/>
      <c r="LPS25" s="21"/>
      <c r="LPT25" s="21"/>
      <c r="LPU25" s="21"/>
      <c r="LPV25" s="21"/>
      <c r="LPW25" s="21"/>
      <c r="LPX25" s="21"/>
      <c r="LPY25" s="21"/>
      <c r="LPZ25" s="21"/>
      <c r="LQA25" s="21"/>
      <c r="LQB25" s="21"/>
      <c r="LQC25" s="21"/>
      <c r="LQD25" s="21"/>
      <c r="LQE25" s="21"/>
      <c r="LQF25" s="21"/>
      <c r="LQG25" s="21"/>
      <c r="LQH25" s="21"/>
      <c r="LQI25" s="21"/>
      <c r="LQJ25" s="21"/>
      <c r="LQK25" s="21"/>
      <c r="LQL25" s="21"/>
      <c r="LQM25" s="21"/>
      <c r="LQN25" s="21"/>
      <c r="LQO25" s="21"/>
      <c r="LQP25" s="21"/>
      <c r="LQQ25" s="21"/>
      <c r="LQR25" s="21"/>
      <c r="LQS25" s="21"/>
      <c r="LQT25" s="21"/>
      <c r="LQU25" s="21"/>
      <c r="LQV25" s="21"/>
      <c r="LQW25" s="21"/>
      <c r="LQX25" s="21"/>
      <c r="LQY25" s="21"/>
      <c r="LQZ25" s="21"/>
      <c r="LRA25" s="21"/>
      <c r="LRB25" s="21"/>
      <c r="LRC25" s="21"/>
      <c r="LRD25" s="21"/>
      <c r="LRE25" s="21"/>
      <c r="LRF25" s="21"/>
      <c r="LRG25" s="21"/>
      <c r="LRH25" s="21"/>
      <c r="LRI25" s="21"/>
      <c r="LRJ25" s="21"/>
      <c r="LRK25" s="21"/>
      <c r="LRL25" s="21"/>
      <c r="LRM25" s="21"/>
      <c r="LRN25" s="21"/>
      <c r="LRO25" s="21"/>
      <c r="LRP25" s="21"/>
      <c r="LRQ25" s="21"/>
      <c r="LRR25" s="21"/>
      <c r="LRS25" s="21"/>
      <c r="LRT25" s="21"/>
      <c r="LRU25" s="21"/>
      <c r="LRV25" s="21"/>
      <c r="LRW25" s="21"/>
      <c r="LRX25" s="21"/>
      <c r="LRY25" s="21"/>
      <c r="LRZ25" s="21"/>
      <c r="LSA25" s="21"/>
      <c r="LSB25" s="21"/>
      <c r="LSC25" s="21"/>
      <c r="LSD25" s="21"/>
      <c r="LSE25" s="21"/>
      <c r="LSF25" s="21"/>
      <c r="LSG25" s="21"/>
      <c r="LSH25" s="21"/>
      <c r="LSI25" s="21"/>
      <c r="LSJ25" s="21"/>
      <c r="LSK25" s="21"/>
      <c r="LSL25" s="21"/>
      <c r="LSM25" s="21"/>
      <c r="LSN25" s="21"/>
      <c r="LSO25" s="21"/>
      <c r="LSP25" s="21"/>
      <c r="LSQ25" s="21"/>
      <c r="LSR25" s="21"/>
      <c r="LSS25" s="21"/>
      <c r="LST25" s="21"/>
      <c r="LSU25" s="21"/>
      <c r="LSV25" s="21"/>
      <c r="LSW25" s="21"/>
      <c r="LSX25" s="21"/>
      <c r="LSY25" s="21"/>
      <c r="LSZ25" s="21"/>
      <c r="LTA25" s="21"/>
      <c r="LTB25" s="21"/>
      <c r="LTC25" s="21"/>
      <c r="LTD25" s="21"/>
      <c r="LTE25" s="21"/>
      <c r="LTF25" s="21"/>
      <c r="LTG25" s="21"/>
      <c r="LTH25" s="21"/>
      <c r="LTI25" s="21"/>
      <c r="LTJ25" s="21"/>
      <c r="LTK25" s="21"/>
      <c r="LTL25" s="21"/>
      <c r="LTM25" s="21"/>
      <c r="LTN25" s="21"/>
      <c r="LTO25" s="21"/>
      <c r="LTP25" s="21"/>
      <c r="LTQ25" s="21"/>
      <c r="LTR25" s="21"/>
      <c r="LTS25" s="21"/>
      <c r="LTT25" s="21"/>
      <c r="LTU25" s="21"/>
      <c r="LTV25" s="21"/>
      <c r="LTW25" s="21"/>
      <c r="LTX25" s="21"/>
      <c r="LTY25" s="21"/>
      <c r="LTZ25" s="21"/>
      <c r="LUA25" s="21"/>
      <c r="LUB25" s="21"/>
      <c r="LUC25" s="21"/>
      <c r="LUD25" s="21"/>
      <c r="LUE25" s="21"/>
      <c r="LUF25" s="21"/>
      <c r="LUG25" s="21"/>
      <c r="LUH25" s="21"/>
      <c r="LUI25" s="21"/>
      <c r="LUJ25" s="21"/>
      <c r="LUK25" s="21"/>
      <c r="LUL25" s="21"/>
      <c r="LUM25" s="21"/>
      <c r="LUN25" s="21"/>
      <c r="LUO25" s="21"/>
      <c r="LUP25" s="21"/>
      <c r="LUQ25" s="21"/>
      <c r="LUR25" s="21"/>
      <c r="LUS25" s="21"/>
      <c r="LUT25" s="21"/>
      <c r="LUU25" s="21"/>
      <c r="LUV25" s="21"/>
      <c r="LUW25" s="21"/>
      <c r="LUX25" s="21"/>
      <c r="LUY25" s="21"/>
      <c r="LUZ25" s="21"/>
      <c r="LVA25" s="21"/>
      <c r="LVB25" s="21"/>
      <c r="LVC25" s="21"/>
      <c r="LVD25" s="21"/>
      <c r="LVE25" s="21"/>
      <c r="LVF25" s="21"/>
      <c r="LVG25" s="21"/>
      <c r="LVH25" s="21"/>
      <c r="LVI25" s="21"/>
      <c r="LVJ25" s="21"/>
      <c r="LVK25" s="21"/>
      <c r="LVL25" s="21"/>
      <c r="LVM25" s="21"/>
      <c r="LVN25" s="21"/>
      <c r="LVO25" s="21"/>
      <c r="LVP25" s="21"/>
      <c r="LVQ25" s="21"/>
      <c r="LVR25" s="21"/>
      <c r="LVS25" s="21"/>
      <c r="LVT25" s="21"/>
      <c r="LVU25" s="21"/>
      <c r="LVV25" s="21"/>
      <c r="LVW25" s="21"/>
      <c r="LVX25" s="21"/>
      <c r="LVY25" s="21"/>
      <c r="LVZ25" s="21"/>
      <c r="LWA25" s="21"/>
      <c r="LWB25" s="21"/>
      <c r="LWC25" s="21"/>
      <c r="LWD25" s="21"/>
      <c r="LWE25" s="21"/>
      <c r="LWF25" s="21"/>
      <c r="LWG25" s="21"/>
      <c r="LWH25" s="21"/>
      <c r="LWI25" s="21"/>
      <c r="LWJ25" s="21"/>
      <c r="LWK25" s="21"/>
      <c r="LWL25" s="21"/>
      <c r="LWM25" s="21"/>
      <c r="LWN25" s="21"/>
      <c r="LWO25" s="21"/>
      <c r="LWP25" s="21"/>
      <c r="LWQ25" s="21"/>
      <c r="LWR25" s="21"/>
      <c r="LWS25" s="21"/>
      <c r="LWT25" s="21"/>
      <c r="LWU25" s="21"/>
      <c r="LWV25" s="21"/>
      <c r="LWW25" s="21"/>
      <c r="LWX25" s="21"/>
      <c r="LWY25" s="21"/>
      <c r="LWZ25" s="21"/>
      <c r="LXA25" s="21"/>
      <c r="LXB25" s="21"/>
      <c r="LXC25" s="21"/>
      <c r="LXD25" s="21"/>
      <c r="LXE25" s="21"/>
      <c r="LXF25" s="21"/>
      <c r="LXG25" s="21"/>
      <c r="LXH25" s="21"/>
      <c r="LXI25" s="21"/>
      <c r="LXJ25" s="21"/>
      <c r="LXK25" s="21"/>
      <c r="LXL25" s="21"/>
      <c r="LXM25" s="21"/>
      <c r="LXN25" s="21"/>
      <c r="LXO25" s="21"/>
      <c r="LXP25" s="21"/>
      <c r="LXQ25" s="21"/>
      <c r="LXR25" s="21"/>
      <c r="LXS25" s="21"/>
      <c r="LXT25" s="21"/>
      <c r="LXU25" s="21"/>
      <c r="LXV25" s="21"/>
      <c r="LXW25" s="21"/>
      <c r="LXX25" s="21"/>
      <c r="LXY25" s="21"/>
      <c r="LXZ25" s="21"/>
      <c r="LYA25" s="21"/>
      <c r="LYB25" s="21"/>
      <c r="LYC25" s="21"/>
      <c r="LYD25" s="21"/>
      <c r="LYE25" s="21"/>
      <c r="LYF25" s="21"/>
      <c r="LYG25" s="21"/>
      <c r="LYH25" s="21"/>
      <c r="LYI25" s="21"/>
      <c r="LYJ25" s="21"/>
      <c r="LYK25" s="21"/>
      <c r="LYL25" s="21"/>
      <c r="LYM25" s="21"/>
      <c r="LYN25" s="21"/>
      <c r="LYO25" s="21"/>
      <c r="LYP25" s="21"/>
      <c r="LYQ25" s="21"/>
      <c r="LYR25" s="21"/>
      <c r="LYS25" s="21"/>
      <c r="LYT25" s="21"/>
      <c r="LYU25" s="21"/>
      <c r="LYV25" s="21"/>
      <c r="LYW25" s="21"/>
      <c r="LYX25" s="21"/>
      <c r="LYY25" s="21"/>
      <c r="LYZ25" s="21"/>
      <c r="LZA25" s="21"/>
      <c r="LZB25" s="21"/>
      <c r="LZC25" s="21"/>
      <c r="LZD25" s="21"/>
      <c r="LZE25" s="21"/>
      <c r="LZF25" s="21"/>
      <c r="LZG25" s="21"/>
      <c r="LZH25" s="21"/>
      <c r="LZI25" s="21"/>
      <c r="LZJ25" s="21"/>
      <c r="LZK25" s="21"/>
      <c r="LZL25" s="21"/>
      <c r="LZM25" s="21"/>
      <c r="LZN25" s="21"/>
      <c r="LZO25" s="21"/>
      <c r="LZP25" s="21"/>
      <c r="LZQ25" s="21"/>
      <c r="LZR25" s="21"/>
      <c r="LZS25" s="21"/>
      <c r="LZT25" s="21"/>
      <c r="LZU25" s="21"/>
      <c r="LZV25" s="21"/>
      <c r="LZW25" s="21"/>
      <c r="LZX25" s="21"/>
      <c r="LZY25" s="21"/>
      <c r="LZZ25" s="21"/>
      <c r="MAA25" s="21"/>
      <c r="MAB25" s="21"/>
      <c r="MAC25" s="21"/>
      <c r="MAD25" s="21"/>
      <c r="MAE25" s="21"/>
      <c r="MAF25" s="21"/>
      <c r="MAG25" s="21"/>
      <c r="MAH25" s="21"/>
      <c r="MAI25" s="21"/>
      <c r="MAJ25" s="21"/>
      <c r="MAK25" s="21"/>
      <c r="MAL25" s="21"/>
      <c r="MAM25" s="21"/>
      <c r="MAN25" s="21"/>
      <c r="MAO25" s="21"/>
      <c r="MAP25" s="21"/>
      <c r="MAQ25" s="21"/>
      <c r="MAR25" s="21"/>
      <c r="MAS25" s="21"/>
      <c r="MAT25" s="21"/>
      <c r="MAU25" s="21"/>
      <c r="MAV25" s="21"/>
      <c r="MAW25" s="21"/>
      <c r="MAX25" s="21"/>
      <c r="MAY25" s="21"/>
      <c r="MAZ25" s="21"/>
      <c r="MBA25" s="21"/>
      <c r="MBB25" s="21"/>
      <c r="MBC25" s="21"/>
      <c r="MBD25" s="21"/>
      <c r="MBE25" s="21"/>
      <c r="MBF25" s="21"/>
      <c r="MBG25" s="21"/>
      <c r="MBH25" s="21"/>
      <c r="MBI25" s="21"/>
      <c r="MBJ25" s="21"/>
      <c r="MBK25" s="21"/>
      <c r="MBL25" s="21"/>
      <c r="MBM25" s="21"/>
      <c r="MBN25" s="21"/>
      <c r="MBO25" s="21"/>
      <c r="MBP25" s="21"/>
      <c r="MBQ25" s="21"/>
      <c r="MBR25" s="21"/>
      <c r="MBS25" s="21"/>
      <c r="MBT25" s="21"/>
      <c r="MBU25" s="21"/>
      <c r="MBV25" s="21"/>
      <c r="MBW25" s="21"/>
      <c r="MBX25" s="21"/>
      <c r="MBY25" s="21"/>
      <c r="MBZ25" s="21"/>
      <c r="MCA25" s="21"/>
      <c r="MCB25" s="21"/>
      <c r="MCC25" s="21"/>
      <c r="MCD25" s="21"/>
      <c r="MCE25" s="21"/>
      <c r="MCF25" s="21"/>
      <c r="MCG25" s="21"/>
      <c r="MCH25" s="21"/>
      <c r="MCI25" s="21"/>
      <c r="MCJ25" s="21"/>
      <c r="MCK25" s="21"/>
      <c r="MCL25" s="21"/>
      <c r="MCM25" s="21"/>
      <c r="MCN25" s="21"/>
      <c r="MCO25" s="21"/>
      <c r="MCP25" s="21"/>
      <c r="MCQ25" s="21"/>
      <c r="MCR25" s="21"/>
      <c r="MCS25" s="21"/>
      <c r="MCT25" s="21"/>
      <c r="MCU25" s="21"/>
      <c r="MCV25" s="21"/>
      <c r="MCW25" s="21"/>
      <c r="MCX25" s="21"/>
      <c r="MCY25" s="21"/>
      <c r="MCZ25" s="21"/>
      <c r="MDA25" s="21"/>
      <c r="MDB25" s="21"/>
      <c r="MDC25" s="21"/>
      <c r="MDD25" s="21"/>
      <c r="MDE25" s="21"/>
      <c r="MDF25" s="21"/>
      <c r="MDG25" s="21"/>
      <c r="MDH25" s="21"/>
      <c r="MDI25" s="21"/>
      <c r="MDJ25" s="21"/>
      <c r="MDK25" s="21"/>
      <c r="MDL25" s="21"/>
      <c r="MDM25" s="21"/>
      <c r="MDN25" s="21"/>
      <c r="MDO25" s="21"/>
      <c r="MDP25" s="21"/>
      <c r="MDQ25" s="21"/>
      <c r="MDR25" s="21"/>
      <c r="MDS25" s="21"/>
      <c r="MDT25" s="21"/>
      <c r="MDU25" s="21"/>
      <c r="MDV25" s="21"/>
      <c r="MDW25" s="21"/>
      <c r="MDX25" s="21"/>
      <c r="MDY25" s="21"/>
      <c r="MDZ25" s="21"/>
      <c r="MEA25" s="21"/>
      <c r="MEB25" s="21"/>
      <c r="MEC25" s="21"/>
      <c r="MED25" s="21"/>
      <c r="MEE25" s="21"/>
      <c r="MEF25" s="21"/>
      <c r="MEG25" s="21"/>
      <c r="MEH25" s="21"/>
      <c r="MEI25" s="21"/>
      <c r="MEJ25" s="21"/>
      <c r="MEK25" s="21"/>
      <c r="MEL25" s="21"/>
      <c r="MEM25" s="21"/>
      <c r="MEN25" s="21"/>
      <c r="MEO25" s="21"/>
      <c r="MEP25" s="21"/>
      <c r="MEQ25" s="21"/>
      <c r="MER25" s="21"/>
      <c r="MES25" s="21"/>
      <c r="MET25" s="21"/>
      <c r="MEU25" s="21"/>
      <c r="MEV25" s="21"/>
      <c r="MEW25" s="21"/>
      <c r="MEX25" s="21"/>
      <c r="MEY25" s="21"/>
      <c r="MEZ25" s="21"/>
      <c r="MFA25" s="21"/>
      <c r="MFB25" s="21"/>
      <c r="MFC25" s="21"/>
      <c r="MFD25" s="21"/>
      <c r="MFE25" s="21"/>
      <c r="MFF25" s="21"/>
      <c r="MFG25" s="21"/>
      <c r="MFH25" s="21"/>
      <c r="MFI25" s="21"/>
      <c r="MFJ25" s="21"/>
      <c r="MFK25" s="21"/>
      <c r="MFL25" s="21"/>
      <c r="MFM25" s="21"/>
      <c r="MFN25" s="21"/>
      <c r="MFO25" s="21"/>
      <c r="MFP25" s="21"/>
      <c r="MFQ25" s="21"/>
      <c r="MFR25" s="21"/>
      <c r="MFS25" s="21"/>
      <c r="MFT25" s="21"/>
      <c r="MFU25" s="21"/>
      <c r="MFV25" s="21"/>
      <c r="MFW25" s="21"/>
      <c r="MFX25" s="21"/>
      <c r="MFY25" s="21"/>
      <c r="MFZ25" s="21"/>
      <c r="MGA25" s="21"/>
      <c r="MGB25" s="21"/>
      <c r="MGC25" s="21"/>
      <c r="MGD25" s="21"/>
      <c r="MGE25" s="21"/>
      <c r="MGF25" s="21"/>
      <c r="MGG25" s="21"/>
      <c r="MGH25" s="21"/>
      <c r="MGI25" s="21"/>
      <c r="MGJ25" s="21"/>
      <c r="MGK25" s="21"/>
      <c r="MGL25" s="21"/>
      <c r="MGM25" s="21"/>
      <c r="MGN25" s="21"/>
      <c r="MGO25" s="21"/>
      <c r="MGP25" s="21"/>
      <c r="MGQ25" s="21"/>
      <c r="MGR25" s="21"/>
      <c r="MGS25" s="21"/>
      <c r="MGT25" s="21"/>
      <c r="MGU25" s="21"/>
      <c r="MGV25" s="21"/>
      <c r="MGW25" s="21"/>
      <c r="MGX25" s="21"/>
      <c r="MGY25" s="21"/>
      <c r="MGZ25" s="21"/>
      <c r="MHA25" s="21"/>
      <c r="MHB25" s="21"/>
      <c r="MHC25" s="21"/>
      <c r="MHD25" s="21"/>
      <c r="MHE25" s="21"/>
      <c r="MHF25" s="21"/>
      <c r="MHG25" s="21"/>
      <c r="MHH25" s="21"/>
      <c r="MHI25" s="21"/>
      <c r="MHJ25" s="21"/>
      <c r="MHK25" s="21"/>
      <c r="MHL25" s="21"/>
      <c r="MHM25" s="21"/>
      <c r="MHN25" s="21"/>
      <c r="MHO25" s="21"/>
      <c r="MHP25" s="21"/>
      <c r="MHQ25" s="21"/>
      <c r="MHR25" s="21"/>
      <c r="MHS25" s="21"/>
      <c r="MHT25" s="21"/>
      <c r="MHU25" s="21"/>
      <c r="MHV25" s="21"/>
      <c r="MHW25" s="21"/>
      <c r="MHX25" s="21"/>
      <c r="MHY25" s="21"/>
      <c r="MHZ25" s="21"/>
      <c r="MIA25" s="21"/>
      <c r="MIB25" s="21"/>
      <c r="MIC25" s="21"/>
      <c r="MID25" s="21"/>
      <c r="MIE25" s="21"/>
      <c r="MIF25" s="21"/>
      <c r="MIG25" s="21"/>
      <c r="MIH25" s="21"/>
      <c r="MII25" s="21"/>
      <c r="MIJ25" s="21"/>
      <c r="MIK25" s="21"/>
      <c r="MIL25" s="21"/>
      <c r="MIM25" s="21"/>
      <c r="MIN25" s="21"/>
      <c r="MIO25" s="21"/>
      <c r="MIP25" s="21"/>
      <c r="MIQ25" s="21"/>
      <c r="MIR25" s="21"/>
      <c r="MIS25" s="21"/>
      <c r="MIT25" s="21"/>
      <c r="MIU25" s="21"/>
      <c r="MIV25" s="21"/>
      <c r="MIW25" s="21"/>
      <c r="MIX25" s="21"/>
      <c r="MIY25" s="21"/>
      <c r="MIZ25" s="21"/>
      <c r="MJA25" s="21"/>
      <c r="MJB25" s="21"/>
      <c r="MJC25" s="21"/>
      <c r="MJD25" s="21"/>
      <c r="MJE25" s="21"/>
      <c r="MJF25" s="21"/>
      <c r="MJG25" s="21"/>
      <c r="MJH25" s="21"/>
      <c r="MJI25" s="21"/>
      <c r="MJJ25" s="21"/>
      <c r="MJK25" s="21"/>
      <c r="MJL25" s="21"/>
      <c r="MJM25" s="21"/>
      <c r="MJN25" s="21"/>
      <c r="MJO25" s="21"/>
      <c r="MJP25" s="21"/>
      <c r="MJQ25" s="21"/>
      <c r="MJR25" s="21"/>
      <c r="MJS25" s="21"/>
      <c r="MJT25" s="21"/>
      <c r="MJU25" s="21"/>
      <c r="MJV25" s="21"/>
      <c r="MJW25" s="21"/>
      <c r="MJX25" s="21"/>
      <c r="MJY25" s="21"/>
      <c r="MJZ25" s="21"/>
      <c r="MKA25" s="21"/>
      <c r="MKB25" s="21"/>
      <c r="MKC25" s="21"/>
      <c r="MKD25" s="21"/>
      <c r="MKE25" s="21"/>
      <c r="MKF25" s="21"/>
      <c r="MKG25" s="21"/>
      <c r="MKH25" s="21"/>
      <c r="MKI25" s="21"/>
      <c r="MKJ25" s="21"/>
      <c r="MKK25" s="21"/>
      <c r="MKL25" s="21"/>
      <c r="MKM25" s="21"/>
      <c r="MKN25" s="21"/>
      <c r="MKO25" s="21"/>
      <c r="MKP25" s="21"/>
      <c r="MKQ25" s="21"/>
      <c r="MKR25" s="21"/>
      <c r="MKS25" s="21"/>
      <c r="MKT25" s="21"/>
      <c r="MKU25" s="21"/>
      <c r="MKV25" s="21"/>
      <c r="MKW25" s="21"/>
      <c r="MKX25" s="21"/>
      <c r="MKY25" s="21"/>
      <c r="MKZ25" s="21"/>
      <c r="MLA25" s="21"/>
      <c r="MLB25" s="21"/>
      <c r="MLC25" s="21"/>
      <c r="MLD25" s="21"/>
      <c r="MLE25" s="21"/>
      <c r="MLF25" s="21"/>
      <c r="MLG25" s="21"/>
      <c r="MLH25" s="21"/>
      <c r="MLI25" s="21"/>
      <c r="MLJ25" s="21"/>
      <c r="MLK25" s="21"/>
      <c r="MLL25" s="21"/>
      <c r="MLM25" s="21"/>
      <c r="MLN25" s="21"/>
      <c r="MLO25" s="21"/>
      <c r="MLP25" s="21"/>
      <c r="MLQ25" s="21"/>
      <c r="MLR25" s="21"/>
      <c r="MLS25" s="21"/>
      <c r="MLT25" s="21"/>
      <c r="MLU25" s="21"/>
      <c r="MLV25" s="21"/>
      <c r="MLW25" s="21"/>
      <c r="MLX25" s="21"/>
      <c r="MLY25" s="21"/>
      <c r="MLZ25" s="21"/>
      <c r="MMA25" s="21"/>
      <c r="MMB25" s="21"/>
      <c r="MMC25" s="21"/>
      <c r="MMD25" s="21"/>
      <c r="MME25" s="21"/>
      <c r="MMF25" s="21"/>
      <c r="MMG25" s="21"/>
      <c r="MMH25" s="21"/>
      <c r="MMI25" s="21"/>
      <c r="MMJ25" s="21"/>
      <c r="MMK25" s="21"/>
      <c r="MML25" s="21"/>
      <c r="MMM25" s="21"/>
      <c r="MMN25" s="21"/>
      <c r="MMO25" s="21"/>
      <c r="MMP25" s="21"/>
      <c r="MMQ25" s="21"/>
      <c r="MMR25" s="21"/>
      <c r="MMS25" s="21"/>
      <c r="MMT25" s="21"/>
      <c r="MMU25" s="21"/>
      <c r="MMV25" s="21"/>
      <c r="MMW25" s="21"/>
      <c r="MMX25" s="21"/>
      <c r="MMY25" s="21"/>
      <c r="MMZ25" s="21"/>
      <c r="MNA25" s="21"/>
      <c r="MNB25" s="21"/>
      <c r="MNC25" s="21"/>
      <c r="MND25" s="21"/>
      <c r="MNE25" s="21"/>
      <c r="MNF25" s="21"/>
      <c r="MNG25" s="21"/>
      <c r="MNH25" s="21"/>
      <c r="MNI25" s="21"/>
      <c r="MNJ25" s="21"/>
      <c r="MNK25" s="21"/>
      <c r="MNL25" s="21"/>
      <c r="MNM25" s="21"/>
      <c r="MNN25" s="21"/>
      <c r="MNO25" s="21"/>
      <c r="MNP25" s="21"/>
      <c r="MNQ25" s="21"/>
      <c r="MNR25" s="21"/>
      <c r="MNS25" s="21"/>
      <c r="MNT25" s="21"/>
      <c r="MNU25" s="21"/>
      <c r="MNV25" s="21"/>
      <c r="MNW25" s="21"/>
      <c r="MNX25" s="21"/>
      <c r="MNY25" s="21"/>
      <c r="MNZ25" s="21"/>
      <c r="MOA25" s="21"/>
      <c r="MOB25" s="21"/>
      <c r="MOC25" s="21"/>
      <c r="MOD25" s="21"/>
      <c r="MOE25" s="21"/>
      <c r="MOF25" s="21"/>
      <c r="MOG25" s="21"/>
      <c r="MOH25" s="21"/>
      <c r="MOI25" s="21"/>
      <c r="MOJ25" s="21"/>
      <c r="MOK25" s="21"/>
      <c r="MOL25" s="21"/>
      <c r="MOM25" s="21"/>
      <c r="MON25" s="21"/>
      <c r="MOO25" s="21"/>
      <c r="MOP25" s="21"/>
      <c r="MOQ25" s="21"/>
      <c r="MOR25" s="21"/>
      <c r="MOS25" s="21"/>
      <c r="MOT25" s="21"/>
      <c r="MOU25" s="21"/>
      <c r="MOV25" s="21"/>
      <c r="MOW25" s="21"/>
      <c r="MOX25" s="21"/>
      <c r="MOY25" s="21"/>
      <c r="MOZ25" s="21"/>
      <c r="MPA25" s="21"/>
      <c r="MPB25" s="21"/>
      <c r="MPC25" s="21"/>
      <c r="MPD25" s="21"/>
      <c r="MPE25" s="21"/>
      <c r="MPF25" s="21"/>
      <c r="MPG25" s="21"/>
      <c r="MPH25" s="21"/>
      <c r="MPI25" s="21"/>
      <c r="MPJ25" s="21"/>
      <c r="MPK25" s="21"/>
      <c r="MPL25" s="21"/>
      <c r="MPM25" s="21"/>
      <c r="MPN25" s="21"/>
      <c r="MPO25" s="21"/>
      <c r="MPP25" s="21"/>
      <c r="MPQ25" s="21"/>
      <c r="MPR25" s="21"/>
      <c r="MPS25" s="21"/>
      <c r="MPT25" s="21"/>
      <c r="MPU25" s="21"/>
      <c r="MPV25" s="21"/>
      <c r="MPW25" s="21"/>
      <c r="MPX25" s="21"/>
      <c r="MPY25" s="21"/>
      <c r="MPZ25" s="21"/>
      <c r="MQA25" s="21"/>
      <c r="MQB25" s="21"/>
      <c r="MQC25" s="21"/>
      <c r="MQD25" s="21"/>
      <c r="MQE25" s="21"/>
      <c r="MQF25" s="21"/>
      <c r="MQG25" s="21"/>
      <c r="MQH25" s="21"/>
      <c r="MQI25" s="21"/>
      <c r="MQJ25" s="21"/>
      <c r="MQK25" s="21"/>
      <c r="MQL25" s="21"/>
      <c r="MQM25" s="21"/>
      <c r="MQN25" s="21"/>
      <c r="MQO25" s="21"/>
      <c r="MQP25" s="21"/>
      <c r="MQQ25" s="21"/>
      <c r="MQR25" s="21"/>
      <c r="MQS25" s="21"/>
      <c r="MQT25" s="21"/>
      <c r="MQU25" s="21"/>
      <c r="MQV25" s="21"/>
      <c r="MQW25" s="21"/>
      <c r="MQX25" s="21"/>
      <c r="MQY25" s="21"/>
      <c r="MQZ25" s="21"/>
      <c r="MRA25" s="21"/>
      <c r="MRB25" s="21"/>
      <c r="MRC25" s="21"/>
      <c r="MRD25" s="21"/>
      <c r="MRE25" s="21"/>
      <c r="MRF25" s="21"/>
      <c r="MRG25" s="21"/>
      <c r="MRH25" s="21"/>
      <c r="MRI25" s="21"/>
      <c r="MRJ25" s="21"/>
      <c r="MRK25" s="21"/>
      <c r="MRL25" s="21"/>
      <c r="MRM25" s="21"/>
      <c r="MRN25" s="21"/>
      <c r="MRO25" s="21"/>
      <c r="MRP25" s="21"/>
      <c r="MRQ25" s="21"/>
      <c r="MRR25" s="21"/>
      <c r="MRS25" s="21"/>
      <c r="MRT25" s="21"/>
      <c r="MRU25" s="21"/>
      <c r="MRV25" s="21"/>
      <c r="MRW25" s="21"/>
      <c r="MRX25" s="21"/>
      <c r="MRY25" s="21"/>
      <c r="MRZ25" s="21"/>
      <c r="MSA25" s="21"/>
      <c r="MSB25" s="21"/>
      <c r="MSC25" s="21"/>
      <c r="MSD25" s="21"/>
      <c r="MSE25" s="21"/>
      <c r="MSF25" s="21"/>
      <c r="MSG25" s="21"/>
      <c r="MSH25" s="21"/>
      <c r="MSI25" s="21"/>
      <c r="MSJ25" s="21"/>
      <c r="MSK25" s="21"/>
      <c r="MSL25" s="21"/>
      <c r="MSM25" s="21"/>
      <c r="MSN25" s="21"/>
      <c r="MSO25" s="21"/>
      <c r="MSP25" s="21"/>
      <c r="MSQ25" s="21"/>
      <c r="MSR25" s="21"/>
      <c r="MSS25" s="21"/>
      <c r="MST25" s="21"/>
      <c r="MSU25" s="21"/>
      <c r="MSV25" s="21"/>
      <c r="MSW25" s="21"/>
      <c r="MSX25" s="21"/>
      <c r="MSY25" s="21"/>
      <c r="MSZ25" s="21"/>
      <c r="MTA25" s="21"/>
      <c r="MTB25" s="21"/>
      <c r="MTC25" s="21"/>
      <c r="MTD25" s="21"/>
      <c r="MTE25" s="21"/>
      <c r="MTF25" s="21"/>
      <c r="MTG25" s="21"/>
      <c r="MTH25" s="21"/>
      <c r="MTI25" s="21"/>
      <c r="MTJ25" s="21"/>
      <c r="MTK25" s="21"/>
      <c r="MTL25" s="21"/>
      <c r="MTM25" s="21"/>
      <c r="MTN25" s="21"/>
      <c r="MTO25" s="21"/>
      <c r="MTP25" s="21"/>
      <c r="MTQ25" s="21"/>
      <c r="MTR25" s="21"/>
      <c r="MTS25" s="21"/>
      <c r="MTT25" s="21"/>
      <c r="MTU25" s="21"/>
      <c r="MTV25" s="21"/>
      <c r="MTW25" s="21"/>
      <c r="MTX25" s="21"/>
      <c r="MTY25" s="21"/>
      <c r="MTZ25" s="21"/>
      <c r="MUA25" s="21"/>
      <c r="MUB25" s="21"/>
      <c r="MUC25" s="21"/>
      <c r="MUD25" s="21"/>
      <c r="MUE25" s="21"/>
      <c r="MUF25" s="21"/>
      <c r="MUG25" s="21"/>
      <c r="MUH25" s="21"/>
      <c r="MUI25" s="21"/>
      <c r="MUJ25" s="21"/>
      <c r="MUK25" s="21"/>
      <c r="MUL25" s="21"/>
      <c r="MUM25" s="21"/>
      <c r="MUN25" s="21"/>
      <c r="MUO25" s="21"/>
      <c r="MUP25" s="21"/>
      <c r="MUQ25" s="21"/>
      <c r="MUR25" s="21"/>
      <c r="MUS25" s="21"/>
      <c r="MUT25" s="21"/>
      <c r="MUU25" s="21"/>
      <c r="MUV25" s="21"/>
      <c r="MUW25" s="21"/>
      <c r="MUX25" s="21"/>
      <c r="MUY25" s="21"/>
      <c r="MUZ25" s="21"/>
      <c r="MVA25" s="21"/>
      <c r="MVB25" s="21"/>
      <c r="MVC25" s="21"/>
      <c r="MVD25" s="21"/>
      <c r="MVE25" s="21"/>
      <c r="MVF25" s="21"/>
      <c r="MVG25" s="21"/>
      <c r="MVH25" s="21"/>
      <c r="MVI25" s="21"/>
      <c r="MVJ25" s="21"/>
      <c r="MVK25" s="21"/>
      <c r="MVL25" s="21"/>
      <c r="MVM25" s="21"/>
      <c r="MVN25" s="21"/>
      <c r="MVO25" s="21"/>
      <c r="MVP25" s="21"/>
      <c r="MVQ25" s="21"/>
      <c r="MVR25" s="21"/>
      <c r="MVS25" s="21"/>
      <c r="MVT25" s="21"/>
      <c r="MVU25" s="21"/>
      <c r="MVV25" s="21"/>
      <c r="MVW25" s="21"/>
      <c r="MVX25" s="21"/>
      <c r="MVY25" s="21"/>
      <c r="MVZ25" s="21"/>
      <c r="MWA25" s="21"/>
      <c r="MWB25" s="21"/>
      <c r="MWC25" s="21"/>
      <c r="MWD25" s="21"/>
      <c r="MWE25" s="21"/>
      <c r="MWF25" s="21"/>
      <c r="MWG25" s="21"/>
      <c r="MWH25" s="21"/>
      <c r="MWI25" s="21"/>
      <c r="MWJ25" s="21"/>
      <c r="MWK25" s="21"/>
      <c r="MWL25" s="21"/>
      <c r="MWM25" s="21"/>
      <c r="MWN25" s="21"/>
      <c r="MWO25" s="21"/>
      <c r="MWP25" s="21"/>
      <c r="MWQ25" s="21"/>
      <c r="MWR25" s="21"/>
      <c r="MWS25" s="21"/>
      <c r="MWT25" s="21"/>
      <c r="MWU25" s="21"/>
      <c r="MWV25" s="21"/>
      <c r="MWW25" s="21"/>
      <c r="MWX25" s="21"/>
      <c r="MWY25" s="21"/>
      <c r="MWZ25" s="21"/>
      <c r="MXA25" s="21"/>
      <c r="MXB25" s="21"/>
      <c r="MXC25" s="21"/>
      <c r="MXD25" s="21"/>
      <c r="MXE25" s="21"/>
      <c r="MXF25" s="21"/>
      <c r="MXG25" s="21"/>
      <c r="MXH25" s="21"/>
      <c r="MXI25" s="21"/>
      <c r="MXJ25" s="21"/>
      <c r="MXK25" s="21"/>
      <c r="MXL25" s="21"/>
      <c r="MXM25" s="21"/>
      <c r="MXN25" s="21"/>
      <c r="MXO25" s="21"/>
      <c r="MXP25" s="21"/>
      <c r="MXQ25" s="21"/>
      <c r="MXR25" s="21"/>
      <c r="MXS25" s="21"/>
      <c r="MXT25" s="21"/>
      <c r="MXU25" s="21"/>
      <c r="MXV25" s="21"/>
      <c r="MXW25" s="21"/>
      <c r="MXX25" s="21"/>
      <c r="MXY25" s="21"/>
      <c r="MXZ25" s="21"/>
      <c r="MYA25" s="21"/>
      <c r="MYB25" s="21"/>
      <c r="MYC25" s="21"/>
      <c r="MYD25" s="21"/>
      <c r="MYE25" s="21"/>
      <c r="MYF25" s="21"/>
      <c r="MYG25" s="21"/>
      <c r="MYH25" s="21"/>
      <c r="MYI25" s="21"/>
      <c r="MYJ25" s="21"/>
      <c r="MYK25" s="21"/>
      <c r="MYL25" s="21"/>
      <c r="MYM25" s="21"/>
      <c r="MYN25" s="21"/>
      <c r="MYO25" s="21"/>
      <c r="MYP25" s="21"/>
      <c r="MYQ25" s="21"/>
      <c r="MYR25" s="21"/>
      <c r="MYS25" s="21"/>
      <c r="MYT25" s="21"/>
      <c r="MYU25" s="21"/>
      <c r="MYV25" s="21"/>
      <c r="MYW25" s="21"/>
      <c r="MYX25" s="21"/>
      <c r="MYY25" s="21"/>
      <c r="MYZ25" s="21"/>
      <c r="MZA25" s="21"/>
      <c r="MZB25" s="21"/>
      <c r="MZC25" s="21"/>
      <c r="MZD25" s="21"/>
      <c r="MZE25" s="21"/>
      <c r="MZF25" s="21"/>
      <c r="MZG25" s="21"/>
      <c r="MZH25" s="21"/>
      <c r="MZI25" s="21"/>
      <c r="MZJ25" s="21"/>
      <c r="MZK25" s="21"/>
      <c r="MZL25" s="21"/>
      <c r="MZM25" s="21"/>
      <c r="MZN25" s="21"/>
      <c r="MZO25" s="21"/>
      <c r="MZP25" s="21"/>
      <c r="MZQ25" s="21"/>
      <c r="MZR25" s="21"/>
      <c r="MZS25" s="21"/>
      <c r="MZT25" s="21"/>
      <c r="MZU25" s="21"/>
      <c r="MZV25" s="21"/>
      <c r="MZW25" s="21"/>
      <c r="MZX25" s="21"/>
      <c r="MZY25" s="21"/>
      <c r="MZZ25" s="21"/>
      <c r="NAA25" s="21"/>
      <c r="NAB25" s="21"/>
      <c r="NAC25" s="21"/>
      <c r="NAD25" s="21"/>
      <c r="NAE25" s="21"/>
      <c r="NAF25" s="21"/>
      <c r="NAG25" s="21"/>
      <c r="NAH25" s="21"/>
      <c r="NAI25" s="21"/>
      <c r="NAJ25" s="21"/>
      <c r="NAK25" s="21"/>
      <c r="NAL25" s="21"/>
      <c r="NAM25" s="21"/>
      <c r="NAN25" s="21"/>
      <c r="NAO25" s="21"/>
      <c r="NAP25" s="21"/>
      <c r="NAQ25" s="21"/>
      <c r="NAR25" s="21"/>
      <c r="NAS25" s="21"/>
      <c r="NAT25" s="21"/>
      <c r="NAU25" s="21"/>
      <c r="NAV25" s="21"/>
      <c r="NAW25" s="21"/>
      <c r="NAX25" s="21"/>
      <c r="NAY25" s="21"/>
      <c r="NAZ25" s="21"/>
      <c r="NBA25" s="21"/>
      <c r="NBB25" s="21"/>
      <c r="NBC25" s="21"/>
      <c r="NBD25" s="21"/>
      <c r="NBE25" s="21"/>
      <c r="NBF25" s="21"/>
      <c r="NBG25" s="21"/>
      <c r="NBH25" s="21"/>
      <c r="NBI25" s="21"/>
      <c r="NBJ25" s="21"/>
      <c r="NBK25" s="21"/>
      <c r="NBL25" s="21"/>
      <c r="NBM25" s="21"/>
      <c r="NBN25" s="21"/>
      <c r="NBO25" s="21"/>
      <c r="NBP25" s="21"/>
      <c r="NBQ25" s="21"/>
      <c r="NBR25" s="21"/>
      <c r="NBS25" s="21"/>
      <c r="NBT25" s="21"/>
      <c r="NBU25" s="21"/>
      <c r="NBV25" s="21"/>
      <c r="NBW25" s="21"/>
      <c r="NBX25" s="21"/>
      <c r="NBY25" s="21"/>
      <c r="NBZ25" s="21"/>
      <c r="NCA25" s="21"/>
      <c r="NCB25" s="21"/>
      <c r="NCC25" s="21"/>
      <c r="NCD25" s="21"/>
      <c r="NCE25" s="21"/>
      <c r="NCF25" s="21"/>
      <c r="NCG25" s="21"/>
      <c r="NCH25" s="21"/>
      <c r="NCI25" s="21"/>
      <c r="NCJ25" s="21"/>
      <c r="NCK25" s="21"/>
      <c r="NCL25" s="21"/>
      <c r="NCM25" s="21"/>
      <c r="NCN25" s="21"/>
      <c r="NCO25" s="21"/>
      <c r="NCP25" s="21"/>
      <c r="NCQ25" s="21"/>
      <c r="NCR25" s="21"/>
      <c r="NCS25" s="21"/>
      <c r="NCT25" s="21"/>
      <c r="NCU25" s="21"/>
      <c r="NCV25" s="21"/>
      <c r="NCW25" s="21"/>
      <c r="NCX25" s="21"/>
      <c r="NCY25" s="21"/>
      <c r="NCZ25" s="21"/>
      <c r="NDA25" s="21"/>
      <c r="NDB25" s="21"/>
      <c r="NDC25" s="21"/>
      <c r="NDD25" s="21"/>
      <c r="NDE25" s="21"/>
      <c r="NDF25" s="21"/>
      <c r="NDG25" s="21"/>
      <c r="NDH25" s="21"/>
      <c r="NDI25" s="21"/>
      <c r="NDJ25" s="21"/>
      <c r="NDK25" s="21"/>
      <c r="NDL25" s="21"/>
      <c r="NDM25" s="21"/>
      <c r="NDN25" s="21"/>
      <c r="NDO25" s="21"/>
      <c r="NDP25" s="21"/>
      <c r="NDQ25" s="21"/>
      <c r="NDR25" s="21"/>
      <c r="NDS25" s="21"/>
      <c r="NDT25" s="21"/>
      <c r="NDU25" s="21"/>
      <c r="NDV25" s="21"/>
      <c r="NDW25" s="21"/>
      <c r="NDX25" s="21"/>
      <c r="NDY25" s="21"/>
      <c r="NDZ25" s="21"/>
      <c r="NEA25" s="21"/>
      <c r="NEB25" s="21"/>
      <c r="NEC25" s="21"/>
      <c r="NED25" s="21"/>
      <c r="NEE25" s="21"/>
      <c r="NEF25" s="21"/>
      <c r="NEG25" s="21"/>
      <c r="NEH25" s="21"/>
      <c r="NEI25" s="21"/>
      <c r="NEJ25" s="21"/>
      <c r="NEK25" s="21"/>
      <c r="NEL25" s="21"/>
      <c r="NEM25" s="21"/>
      <c r="NEN25" s="21"/>
      <c r="NEO25" s="21"/>
      <c r="NEP25" s="21"/>
      <c r="NEQ25" s="21"/>
      <c r="NER25" s="21"/>
      <c r="NES25" s="21"/>
      <c r="NET25" s="21"/>
      <c r="NEU25" s="21"/>
      <c r="NEV25" s="21"/>
      <c r="NEW25" s="21"/>
      <c r="NEX25" s="21"/>
      <c r="NEY25" s="21"/>
      <c r="NEZ25" s="21"/>
      <c r="NFA25" s="21"/>
      <c r="NFB25" s="21"/>
      <c r="NFC25" s="21"/>
      <c r="NFD25" s="21"/>
      <c r="NFE25" s="21"/>
      <c r="NFF25" s="21"/>
      <c r="NFG25" s="21"/>
      <c r="NFH25" s="21"/>
      <c r="NFI25" s="21"/>
      <c r="NFJ25" s="21"/>
      <c r="NFK25" s="21"/>
      <c r="NFL25" s="21"/>
      <c r="NFM25" s="21"/>
      <c r="NFN25" s="21"/>
      <c r="NFO25" s="21"/>
      <c r="NFP25" s="21"/>
      <c r="NFQ25" s="21"/>
      <c r="NFR25" s="21"/>
      <c r="NFS25" s="21"/>
      <c r="NFT25" s="21"/>
      <c r="NFU25" s="21"/>
      <c r="NFV25" s="21"/>
      <c r="NFW25" s="21"/>
      <c r="NFX25" s="21"/>
      <c r="NFY25" s="21"/>
      <c r="NFZ25" s="21"/>
      <c r="NGA25" s="21"/>
      <c r="NGB25" s="21"/>
      <c r="NGC25" s="21"/>
      <c r="NGD25" s="21"/>
      <c r="NGE25" s="21"/>
      <c r="NGF25" s="21"/>
      <c r="NGG25" s="21"/>
      <c r="NGH25" s="21"/>
      <c r="NGI25" s="21"/>
      <c r="NGJ25" s="21"/>
      <c r="NGK25" s="21"/>
      <c r="NGL25" s="21"/>
      <c r="NGM25" s="21"/>
      <c r="NGN25" s="21"/>
      <c r="NGO25" s="21"/>
      <c r="NGP25" s="21"/>
      <c r="NGQ25" s="21"/>
      <c r="NGR25" s="21"/>
      <c r="NGS25" s="21"/>
      <c r="NGT25" s="21"/>
      <c r="NGU25" s="21"/>
      <c r="NGV25" s="21"/>
      <c r="NGW25" s="21"/>
      <c r="NGX25" s="21"/>
      <c r="NGY25" s="21"/>
      <c r="NGZ25" s="21"/>
      <c r="NHA25" s="21"/>
      <c r="NHB25" s="21"/>
      <c r="NHC25" s="21"/>
      <c r="NHD25" s="21"/>
      <c r="NHE25" s="21"/>
      <c r="NHF25" s="21"/>
      <c r="NHG25" s="21"/>
      <c r="NHH25" s="21"/>
      <c r="NHI25" s="21"/>
      <c r="NHJ25" s="21"/>
      <c r="NHK25" s="21"/>
      <c r="NHL25" s="21"/>
      <c r="NHM25" s="21"/>
      <c r="NHN25" s="21"/>
      <c r="NHO25" s="21"/>
      <c r="NHP25" s="21"/>
      <c r="NHQ25" s="21"/>
      <c r="NHR25" s="21"/>
      <c r="NHS25" s="21"/>
      <c r="NHT25" s="21"/>
      <c r="NHU25" s="21"/>
      <c r="NHV25" s="21"/>
      <c r="NHW25" s="21"/>
      <c r="NHX25" s="21"/>
      <c r="NHY25" s="21"/>
      <c r="NHZ25" s="21"/>
      <c r="NIA25" s="21"/>
      <c r="NIB25" s="21"/>
      <c r="NIC25" s="21"/>
      <c r="NID25" s="21"/>
      <c r="NIE25" s="21"/>
      <c r="NIF25" s="21"/>
      <c r="NIG25" s="21"/>
      <c r="NIH25" s="21"/>
      <c r="NII25" s="21"/>
      <c r="NIJ25" s="21"/>
      <c r="NIK25" s="21"/>
      <c r="NIL25" s="21"/>
      <c r="NIM25" s="21"/>
      <c r="NIN25" s="21"/>
      <c r="NIO25" s="21"/>
      <c r="NIP25" s="21"/>
      <c r="NIQ25" s="21"/>
      <c r="NIR25" s="21"/>
      <c r="NIS25" s="21"/>
      <c r="NIT25" s="21"/>
      <c r="NIU25" s="21"/>
      <c r="NIV25" s="21"/>
      <c r="NIW25" s="21"/>
      <c r="NIX25" s="21"/>
      <c r="NIY25" s="21"/>
      <c r="NIZ25" s="21"/>
      <c r="NJA25" s="21"/>
      <c r="NJB25" s="21"/>
      <c r="NJC25" s="21"/>
      <c r="NJD25" s="21"/>
      <c r="NJE25" s="21"/>
      <c r="NJF25" s="21"/>
      <c r="NJG25" s="21"/>
      <c r="NJH25" s="21"/>
      <c r="NJI25" s="21"/>
      <c r="NJJ25" s="21"/>
      <c r="NJK25" s="21"/>
      <c r="NJL25" s="21"/>
      <c r="NJM25" s="21"/>
      <c r="NJN25" s="21"/>
      <c r="NJO25" s="21"/>
      <c r="NJP25" s="21"/>
      <c r="NJQ25" s="21"/>
      <c r="NJR25" s="21"/>
      <c r="NJS25" s="21"/>
      <c r="NJT25" s="21"/>
      <c r="NJU25" s="21"/>
      <c r="NJV25" s="21"/>
      <c r="NJW25" s="21"/>
      <c r="NJX25" s="21"/>
      <c r="NJY25" s="21"/>
      <c r="NJZ25" s="21"/>
      <c r="NKA25" s="21"/>
      <c r="NKB25" s="21"/>
      <c r="NKC25" s="21"/>
      <c r="NKD25" s="21"/>
      <c r="NKE25" s="21"/>
      <c r="NKF25" s="21"/>
      <c r="NKG25" s="21"/>
      <c r="NKH25" s="21"/>
      <c r="NKI25" s="21"/>
      <c r="NKJ25" s="21"/>
      <c r="NKK25" s="21"/>
      <c r="NKL25" s="21"/>
      <c r="NKM25" s="21"/>
      <c r="NKN25" s="21"/>
      <c r="NKO25" s="21"/>
      <c r="NKP25" s="21"/>
      <c r="NKQ25" s="21"/>
      <c r="NKR25" s="21"/>
      <c r="NKS25" s="21"/>
      <c r="NKT25" s="21"/>
      <c r="NKU25" s="21"/>
      <c r="NKV25" s="21"/>
      <c r="NKW25" s="21"/>
      <c r="NKX25" s="21"/>
      <c r="NKY25" s="21"/>
      <c r="NKZ25" s="21"/>
      <c r="NLA25" s="21"/>
      <c r="NLB25" s="21"/>
      <c r="NLC25" s="21"/>
      <c r="NLD25" s="21"/>
      <c r="NLE25" s="21"/>
      <c r="NLF25" s="21"/>
      <c r="NLG25" s="21"/>
      <c r="NLH25" s="21"/>
      <c r="NLI25" s="21"/>
      <c r="NLJ25" s="21"/>
      <c r="NLK25" s="21"/>
      <c r="NLL25" s="21"/>
      <c r="NLM25" s="21"/>
      <c r="NLN25" s="21"/>
      <c r="NLO25" s="21"/>
      <c r="NLP25" s="21"/>
      <c r="NLQ25" s="21"/>
      <c r="NLR25" s="21"/>
      <c r="NLS25" s="21"/>
      <c r="NLT25" s="21"/>
      <c r="NLU25" s="21"/>
      <c r="NLV25" s="21"/>
      <c r="NLW25" s="21"/>
      <c r="NLX25" s="21"/>
      <c r="NLY25" s="21"/>
      <c r="NLZ25" s="21"/>
      <c r="NMA25" s="21"/>
      <c r="NMB25" s="21"/>
      <c r="NMC25" s="21"/>
      <c r="NMD25" s="21"/>
      <c r="NME25" s="21"/>
      <c r="NMF25" s="21"/>
      <c r="NMG25" s="21"/>
      <c r="NMH25" s="21"/>
      <c r="NMI25" s="21"/>
      <c r="NMJ25" s="21"/>
      <c r="NMK25" s="21"/>
      <c r="NML25" s="21"/>
      <c r="NMM25" s="21"/>
      <c r="NMN25" s="21"/>
      <c r="NMO25" s="21"/>
      <c r="NMP25" s="21"/>
      <c r="NMQ25" s="21"/>
      <c r="NMR25" s="21"/>
      <c r="NMS25" s="21"/>
      <c r="NMT25" s="21"/>
      <c r="NMU25" s="21"/>
      <c r="NMV25" s="21"/>
      <c r="NMW25" s="21"/>
      <c r="NMX25" s="21"/>
      <c r="NMY25" s="21"/>
      <c r="NMZ25" s="21"/>
      <c r="NNA25" s="21"/>
      <c r="NNB25" s="21"/>
      <c r="NNC25" s="21"/>
      <c r="NND25" s="21"/>
      <c r="NNE25" s="21"/>
      <c r="NNF25" s="21"/>
      <c r="NNG25" s="21"/>
      <c r="NNH25" s="21"/>
      <c r="NNI25" s="21"/>
      <c r="NNJ25" s="21"/>
      <c r="NNK25" s="21"/>
      <c r="NNL25" s="21"/>
      <c r="NNM25" s="21"/>
      <c r="NNN25" s="21"/>
      <c r="NNO25" s="21"/>
      <c r="NNP25" s="21"/>
      <c r="NNQ25" s="21"/>
      <c r="NNR25" s="21"/>
      <c r="NNS25" s="21"/>
      <c r="NNT25" s="21"/>
      <c r="NNU25" s="21"/>
      <c r="NNV25" s="21"/>
      <c r="NNW25" s="21"/>
      <c r="NNX25" s="21"/>
      <c r="NNY25" s="21"/>
      <c r="NNZ25" s="21"/>
      <c r="NOA25" s="21"/>
      <c r="NOB25" s="21"/>
      <c r="NOC25" s="21"/>
      <c r="NOD25" s="21"/>
      <c r="NOE25" s="21"/>
      <c r="NOF25" s="21"/>
      <c r="NOG25" s="21"/>
      <c r="NOH25" s="21"/>
      <c r="NOI25" s="21"/>
      <c r="NOJ25" s="21"/>
      <c r="NOK25" s="21"/>
      <c r="NOL25" s="21"/>
      <c r="NOM25" s="21"/>
      <c r="NON25" s="21"/>
      <c r="NOO25" s="21"/>
      <c r="NOP25" s="21"/>
      <c r="NOQ25" s="21"/>
      <c r="NOR25" s="21"/>
      <c r="NOS25" s="21"/>
      <c r="NOT25" s="21"/>
      <c r="NOU25" s="21"/>
      <c r="NOV25" s="21"/>
      <c r="NOW25" s="21"/>
      <c r="NOX25" s="21"/>
      <c r="NOY25" s="21"/>
      <c r="NOZ25" s="21"/>
      <c r="NPA25" s="21"/>
      <c r="NPB25" s="21"/>
      <c r="NPC25" s="21"/>
      <c r="NPD25" s="21"/>
      <c r="NPE25" s="21"/>
      <c r="NPF25" s="21"/>
      <c r="NPG25" s="21"/>
      <c r="NPH25" s="21"/>
      <c r="NPI25" s="21"/>
      <c r="NPJ25" s="21"/>
      <c r="NPK25" s="21"/>
      <c r="NPL25" s="21"/>
      <c r="NPM25" s="21"/>
      <c r="NPN25" s="21"/>
      <c r="NPO25" s="21"/>
      <c r="NPP25" s="21"/>
      <c r="NPQ25" s="21"/>
      <c r="NPR25" s="21"/>
      <c r="NPS25" s="21"/>
      <c r="NPT25" s="21"/>
      <c r="NPU25" s="21"/>
      <c r="NPV25" s="21"/>
      <c r="NPW25" s="21"/>
      <c r="NPX25" s="21"/>
      <c r="NPY25" s="21"/>
      <c r="NPZ25" s="21"/>
      <c r="NQA25" s="21"/>
      <c r="NQB25" s="21"/>
      <c r="NQC25" s="21"/>
      <c r="NQD25" s="21"/>
      <c r="NQE25" s="21"/>
      <c r="NQF25" s="21"/>
      <c r="NQG25" s="21"/>
      <c r="NQH25" s="21"/>
      <c r="NQI25" s="21"/>
      <c r="NQJ25" s="21"/>
      <c r="NQK25" s="21"/>
      <c r="NQL25" s="21"/>
      <c r="NQM25" s="21"/>
      <c r="NQN25" s="21"/>
      <c r="NQO25" s="21"/>
      <c r="NQP25" s="21"/>
      <c r="NQQ25" s="21"/>
      <c r="NQR25" s="21"/>
      <c r="NQS25" s="21"/>
      <c r="NQT25" s="21"/>
      <c r="NQU25" s="21"/>
      <c r="NQV25" s="21"/>
      <c r="NQW25" s="21"/>
      <c r="NQX25" s="21"/>
      <c r="NQY25" s="21"/>
      <c r="NQZ25" s="21"/>
      <c r="NRA25" s="21"/>
      <c r="NRB25" s="21"/>
      <c r="NRC25" s="21"/>
      <c r="NRD25" s="21"/>
      <c r="NRE25" s="21"/>
      <c r="NRF25" s="21"/>
      <c r="NRG25" s="21"/>
      <c r="NRH25" s="21"/>
      <c r="NRI25" s="21"/>
      <c r="NRJ25" s="21"/>
      <c r="NRK25" s="21"/>
      <c r="NRL25" s="21"/>
      <c r="NRM25" s="21"/>
      <c r="NRN25" s="21"/>
      <c r="NRO25" s="21"/>
      <c r="NRP25" s="21"/>
      <c r="NRQ25" s="21"/>
      <c r="NRR25" s="21"/>
      <c r="NRS25" s="21"/>
      <c r="NRT25" s="21"/>
      <c r="NRU25" s="21"/>
      <c r="NRV25" s="21"/>
      <c r="NRW25" s="21"/>
      <c r="NRX25" s="21"/>
      <c r="NRY25" s="21"/>
      <c r="NRZ25" s="21"/>
      <c r="NSA25" s="21"/>
      <c r="NSB25" s="21"/>
      <c r="NSC25" s="21"/>
      <c r="NSD25" s="21"/>
      <c r="NSE25" s="21"/>
      <c r="NSF25" s="21"/>
      <c r="NSG25" s="21"/>
      <c r="NSH25" s="21"/>
      <c r="NSI25" s="21"/>
      <c r="NSJ25" s="21"/>
      <c r="NSK25" s="21"/>
      <c r="NSL25" s="21"/>
      <c r="NSM25" s="21"/>
      <c r="NSN25" s="21"/>
      <c r="NSO25" s="21"/>
      <c r="NSP25" s="21"/>
      <c r="NSQ25" s="21"/>
      <c r="NSR25" s="21"/>
      <c r="NSS25" s="21"/>
      <c r="NST25" s="21"/>
      <c r="NSU25" s="21"/>
      <c r="NSV25" s="21"/>
      <c r="NSW25" s="21"/>
      <c r="NSX25" s="21"/>
      <c r="NSY25" s="21"/>
      <c r="NSZ25" s="21"/>
      <c r="NTA25" s="21"/>
      <c r="NTB25" s="21"/>
      <c r="NTC25" s="21"/>
      <c r="NTD25" s="21"/>
      <c r="NTE25" s="21"/>
      <c r="NTF25" s="21"/>
      <c r="NTG25" s="21"/>
      <c r="NTH25" s="21"/>
      <c r="NTI25" s="21"/>
      <c r="NTJ25" s="21"/>
      <c r="NTK25" s="21"/>
      <c r="NTL25" s="21"/>
      <c r="NTM25" s="21"/>
      <c r="NTN25" s="21"/>
      <c r="NTO25" s="21"/>
      <c r="NTP25" s="21"/>
      <c r="NTQ25" s="21"/>
      <c r="NTR25" s="21"/>
      <c r="NTS25" s="21"/>
      <c r="NTT25" s="21"/>
      <c r="NTU25" s="21"/>
      <c r="NTV25" s="21"/>
      <c r="NTW25" s="21"/>
      <c r="NTX25" s="21"/>
      <c r="NTY25" s="21"/>
      <c r="NTZ25" s="21"/>
      <c r="NUA25" s="21"/>
      <c r="NUB25" s="21"/>
      <c r="NUC25" s="21"/>
      <c r="NUD25" s="21"/>
      <c r="NUE25" s="21"/>
      <c r="NUF25" s="21"/>
      <c r="NUG25" s="21"/>
      <c r="NUH25" s="21"/>
      <c r="NUI25" s="21"/>
      <c r="NUJ25" s="21"/>
      <c r="NUK25" s="21"/>
      <c r="NUL25" s="21"/>
      <c r="NUM25" s="21"/>
      <c r="NUN25" s="21"/>
      <c r="NUO25" s="21"/>
      <c r="NUP25" s="21"/>
      <c r="NUQ25" s="21"/>
      <c r="NUR25" s="21"/>
      <c r="NUS25" s="21"/>
      <c r="NUT25" s="21"/>
      <c r="NUU25" s="21"/>
      <c r="NUV25" s="21"/>
      <c r="NUW25" s="21"/>
      <c r="NUX25" s="21"/>
      <c r="NUY25" s="21"/>
      <c r="NUZ25" s="21"/>
      <c r="NVA25" s="21"/>
      <c r="NVB25" s="21"/>
      <c r="NVC25" s="21"/>
      <c r="NVD25" s="21"/>
      <c r="NVE25" s="21"/>
      <c r="NVF25" s="21"/>
      <c r="NVG25" s="21"/>
      <c r="NVH25" s="21"/>
      <c r="NVI25" s="21"/>
      <c r="NVJ25" s="21"/>
      <c r="NVK25" s="21"/>
      <c r="NVL25" s="21"/>
      <c r="NVM25" s="21"/>
      <c r="NVN25" s="21"/>
      <c r="NVO25" s="21"/>
      <c r="NVP25" s="21"/>
      <c r="NVQ25" s="21"/>
      <c r="NVR25" s="21"/>
      <c r="NVS25" s="21"/>
      <c r="NVT25" s="21"/>
      <c r="NVU25" s="21"/>
      <c r="NVV25" s="21"/>
      <c r="NVW25" s="21"/>
      <c r="NVX25" s="21"/>
      <c r="NVY25" s="21"/>
      <c r="NVZ25" s="21"/>
      <c r="NWA25" s="21"/>
      <c r="NWB25" s="21"/>
      <c r="NWC25" s="21"/>
      <c r="NWD25" s="21"/>
      <c r="NWE25" s="21"/>
      <c r="NWF25" s="21"/>
      <c r="NWG25" s="21"/>
      <c r="NWH25" s="21"/>
      <c r="NWI25" s="21"/>
      <c r="NWJ25" s="21"/>
      <c r="NWK25" s="21"/>
      <c r="NWL25" s="21"/>
      <c r="NWM25" s="21"/>
      <c r="NWN25" s="21"/>
      <c r="NWO25" s="21"/>
      <c r="NWP25" s="21"/>
      <c r="NWQ25" s="21"/>
      <c r="NWR25" s="21"/>
      <c r="NWS25" s="21"/>
      <c r="NWT25" s="21"/>
      <c r="NWU25" s="21"/>
      <c r="NWV25" s="21"/>
      <c r="NWW25" s="21"/>
      <c r="NWX25" s="21"/>
      <c r="NWY25" s="21"/>
      <c r="NWZ25" s="21"/>
      <c r="NXA25" s="21"/>
      <c r="NXB25" s="21"/>
      <c r="NXC25" s="21"/>
      <c r="NXD25" s="21"/>
      <c r="NXE25" s="21"/>
      <c r="NXF25" s="21"/>
      <c r="NXG25" s="21"/>
      <c r="NXH25" s="21"/>
      <c r="NXI25" s="21"/>
      <c r="NXJ25" s="21"/>
      <c r="NXK25" s="21"/>
      <c r="NXL25" s="21"/>
      <c r="NXM25" s="21"/>
      <c r="NXN25" s="21"/>
      <c r="NXO25" s="21"/>
      <c r="NXP25" s="21"/>
      <c r="NXQ25" s="21"/>
      <c r="NXR25" s="21"/>
      <c r="NXS25" s="21"/>
      <c r="NXT25" s="21"/>
      <c r="NXU25" s="21"/>
      <c r="NXV25" s="21"/>
      <c r="NXW25" s="21"/>
      <c r="NXX25" s="21"/>
      <c r="NXY25" s="21"/>
      <c r="NXZ25" s="21"/>
      <c r="NYA25" s="21"/>
      <c r="NYB25" s="21"/>
      <c r="NYC25" s="21"/>
      <c r="NYD25" s="21"/>
      <c r="NYE25" s="21"/>
      <c r="NYF25" s="21"/>
      <c r="NYG25" s="21"/>
      <c r="NYH25" s="21"/>
      <c r="NYI25" s="21"/>
      <c r="NYJ25" s="21"/>
      <c r="NYK25" s="21"/>
      <c r="NYL25" s="21"/>
      <c r="NYM25" s="21"/>
      <c r="NYN25" s="21"/>
      <c r="NYO25" s="21"/>
      <c r="NYP25" s="21"/>
      <c r="NYQ25" s="21"/>
      <c r="NYR25" s="21"/>
      <c r="NYS25" s="21"/>
      <c r="NYT25" s="21"/>
      <c r="NYU25" s="21"/>
      <c r="NYV25" s="21"/>
      <c r="NYW25" s="21"/>
      <c r="NYX25" s="21"/>
      <c r="NYY25" s="21"/>
      <c r="NYZ25" s="21"/>
      <c r="NZA25" s="21"/>
      <c r="NZB25" s="21"/>
      <c r="NZC25" s="21"/>
      <c r="NZD25" s="21"/>
      <c r="NZE25" s="21"/>
      <c r="NZF25" s="21"/>
      <c r="NZG25" s="21"/>
      <c r="NZH25" s="21"/>
      <c r="NZI25" s="21"/>
      <c r="NZJ25" s="21"/>
      <c r="NZK25" s="21"/>
      <c r="NZL25" s="21"/>
      <c r="NZM25" s="21"/>
      <c r="NZN25" s="21"/>
      <c r="NZO25" s="21"/>
      <c r="NZP25" s="21"/>
      <c r="NZQ25" s="21"/>
      <c r="NZR25" s="21"/>
      <c r="NZS25" s="21"/>
      <c r="NZT25" s="21"/>
      <c r="NZU25" s="21"/>
      <c r="NZV25" s="21"/>
      <c r="NZW25" s="21"/>
      <c r="NZX25" s="21"/>
      <c r="NZY25" s="21"/>
      <c r="NZZ25" s="21"/>
      <c r="OAA25" s="21"/>
      <c r="OAB25" s="21"/>
      <c r="OAC25" s="21"/>
      <c r="OAD25" s="21"/>
      <c r="OAE25" s="21"/>
      <c r="OAF25" s="21"/>
      <c r="OAG25" s="21"/>
      <c r="OAH25" s="21"/>
      <c r="OAI25" s="21"/>
      <c r="OAJ25" s="21"/>
      <c r="OAK25" s="21"/>
      <c r="OAL25" s="21"/>
      <c r="OAM25" s="21"/>
      <c r="OAN25" s="21"/>
      <c r="OAO25" s="21"/>
      <c r="OAP25" s="21"/>
      <c r="OAQ25" s="21"/>
      <c r="OAR25" s="21"/>
      <c r="OAS25" s="21"/>
      <c r="OAT25" s="21"/>
      <c r="OAU25" s="21"/>
      <c r="OAV25" s="21"/>
      <c r="OAW25" s="21"/>
      <c r="OAX25" s="21"/>
      <c r="OAY25" s="21"/>
      <c r="OAZ25" s="21"/>
      <c r="OBA25" s="21"/>
      <c r="OBB25" s="21"/>
      <c r="OBC25" s="21"/>
      <c r="OBD25" s="21"/>
      <c r="OBE25" s="21"/>
      <c r="OBF25" s="21"/>
      <c r="OBG25" s="21"/>
      <c r="OBH25" s="21"/>
      <c r="OBI25" s="21"/>
      <c r="OBJ25" s="21"/>
      <c r="OBK25" s="21"/>
      <c r="OBL25" s="21"/>
      <c r="OBM25" s="21"/>
      <c r="OBN25" s="21"/>
      <c r="OBO25" s="21"/>
      <c r="OBP25" s="21"/>
      <c r="OBQ25" s="21"/>
      <c r="OBR25" s="21"/>
      <c r="OBS25" s="21"/>
      <c r="OBT25" s="21"/>
      <c r="OBU25" s="21"/>
      <c r="OBV25" s="21"/>
      <c r="OBW25" s="21"/>
      <c r="OBX25" s="21"/>
      <c r="OBY25" s="21"/>
      <c r="OBZ25" s="21"/>
      <c r="OCA25" s="21"/>
      <c r="OCB25" s="21"/>
      <c r="OCC25" s="21"/>
      <c r="OCD25" s="21"/>
      <c r="OCE25" s="21"/>
      <c r="OCF25" s="21"/>
      <c r="OCG25" s="21"/>
      <c r="OCH25" s="21"/>
      <c r="OCI25" s="21"/>
      <c r="OCJ25" s="21"/>
      <c r="OCK25" s="21"/>
      <c r="OCL25" s="21"/>
      <c r="OCM25" s="21"/>
      <c r="OCN25" s="21"/>
      <c r="OCO25" s="21"/>
      <c r="OCP25" s="21"/>
      <c r="OCQ25" s="21"/>
      <c r="OCR25" s="21"/>
      <c r="OCS25" s="21"/>
      <c r="OCT25" s="21"/>
      <c r="OCU25" s="21"/>
      <c r="OCV25" s="21"/>
      <c r="OCW25" s="21"/>
      <c r="OCX25" s="21"/>
      <c r="OCY25" s="21"/>
      <c r="OCZ25" s="21"/>
      <c r="ODA25" s="21"/>
      <c r="ODB25" s="21"/>
      <c r="ODC25" s="21"/>
      <c r="ODD25" s="21"/>
      <c r="ODE25" s="21"/>
      <c r="ODF25" s="21"/>
      <c r="ODG25" s="21"/>
      <c r="ODH25" s="21"/>
      <c r="ODI25" s="21"/>
      <c r="ODJ25" s="21"/>
      <c r="ODK25" s="21"/>
      <c r="ODL25" s="21"/>
      <c r="ODM25" s="21"/>
      <c r="ODN25" s="21"/>
      <c r="ODO25" s="21"/>
      <c r="ODP25" s="21"/>
      <c r="ODQ25" s="21"/>
      <c r="ODR25" s="21"/>
      <c r="ODS25" s="21"/>
      <c r="ODT25" s="21"/>
      <c r="ODU25" s="21"/>
      <c r="ODV25" s="21"/>
      <c r="ODW25" s="21"/>
      <c r="ODX25" s="21"/>
      <c r="ODY25" s="21"/>
      <c r="ODZ25" s="21"/>
      <c r="OEA25" s="21"/>
      <c r="OEB25" s="21"/>
      <c r="OEC25" s="21"/>
      <c r="OED25" s="21"/>
      <c r="OEE25" s="21"/>
      <c r="OEF25" s="21"/>
      <c r="OEG25" s="21"/>
      <c r="OEH25" s="21"/>
      <c r="OEI25" s="21"/>
      <c r="OEJ25" s="21"/>
      <c r="OEK25" s="21"/>
      <c r="OEL25" s="21"/>
      <c r="OEM25" s="21"/>
      <c r="OEN25" s="21"/>
      <c r="OEO25" s="21"/>
      <c r="OEP25" s="21"/>
      <c r="OEQ25" s="21"/>
      <c r="OER25" s="21"/>
      <c r="OES25" s="21"/>
      <c r="OET25" s="21"/>
      <c r="OEU25" s="21"/>
      <c r="OEV25" s="21"/>
      <c r="OEW25" s="21"/>
      <c r="OEX25" s="21"/>
      <c r="OEY25" s="21"/>
      <c r="OEZ25" s="21"/>
      <c r="OFA25" s="21"/>
      <c r="OFB25" s="21"/>
      <c r="OFC25" s="21"/>
      <c r="OFD25" s="21"/>
      <c r="OFE25" s="21"/>
      <c r="OFF25" s="21"/>
      <c r="OFG25" s="21"/>
      <c r="OFH25" s="21"/>
      <c r="OFI25" s="21"/>
      <c r="OFJ25" s="21"/>
      <c r="OFK25" s="21"/>
      <c r="OFL25" s="21"/>
      <c r="OFM25" s="21"/>
      <c r="OFN25" s="21"/>
      <c r="OFO25" s="21"/>
      <c r="OFP25" s="21"/>
      <c r="OFQ25" s="21"/>
      <c r="OFR25" s="21"/>
      <c r="OFS25" s="21"/>
      <c r="OFT25" s="21"/>
      <c r="OFU25" s="21"/>
      <c r="OFV25" s="21"/>
      <c r="OFW25" s="21"/>
      <c r="OFX25" s="21"/>
      <c r="OFY25" s="21"/>
      <c r="OFZ25" s="21"/>
      <c r="OGA25" s="21"/>
      <c r="OGB25" s="21"/>
      <c r="OGC25" s="21"/>
      <c r="OGD25" s="21"/>
      <c r="OGE25" s="21"/>
      <c r="OGF25" s="21"/>
      <c r="OGG25" s="21"/>
      <c r="OGH25" s="21"/>
      <c r="OGI25" s="21"/>
      <c r="OGJ25" s="21"/>
      <c r="OGK25" s="21"/>
      <c r="OGL25" s="21"/>
      <c r="OGM25" s="21"/>
      <c r="OGN25" s="21"/>
      <c r="OGO25" s="21"/>
      <c r="OGP25" s="21"/>
      <c r="OGQ25" s="21"/>
      <c r="OGR25" s="21"/>
      <c r="OGS25" s="21"/>
      <c r="OGT25" s="21"/>
      <c r="OGU25" s="21"/>
      <c r="OGV25" s="21"/>
      <c r="OGW25" s="21"/>
      <c r="OGX25" s="21"/>
      <c r="OGY25" s="21"/>
      <c r="OGZ25" s="21"/>
      <c r="OHA25" s="21"/>
      <c r="OHB25" s="21"/>
      <c r="OHC25" s="21"/>
      <c r="OHD25" s="21"/>
      <c r="OHE25" s="21"/>
      <c r="OHF25" s="21"/>
      <c r="OHG25" s="21"/>
      <c r="OHH25" s="21"/>
      <c r="OHI25" s="21"/>
      <c r="OHJ25" s="21"/>
      <c r="OHK25" s="21"/>
      <c r="OHL25" s="21"/>
      <c r="OHM25" s="21"/>
      <c r="OHN25" s="21"/>
      <c r="OHO25" s="21"/>
      <c r="OHP25" s="21"/>
      <c r="OHQ25" s="21"/>
      <c r="OHR25" s="21"/>
      <c r="OHS25" s="21"/>
      <c r="OHT25" s="21"/>
      <c r="OHU25" s="21"/>
      <c r="OHV25" s="21"/>
      <c r="OHW25" s="21"/>
      <c r="OHX25" s="21"/>
      <c r="OHY25" s="21"/>
      <c r="OHZ25" s="21"/>
      <c r="OIA25" s="21"/>
      <c r="OIB25" s="21"/>
      <c r="OIC25" s="21"/>
      <c r="OID25" s="21"/>
      <c r="OIE25" s="21"/>
      <c r="OIF25" s="21"/>
      <c r="OIG25" s="21"/>
      <c r="OIH25" s="21"/>
      <c r="OII25" s="21"/>
      <c r="OIJ25" s="21"/>
      <c r="OIK25" s="21"/>
      <c r="OIL25" s="21"/>
      <c r="OIM25" s="21"/>
      <c r="OIN25" s="21"/>
      <c r="OIO25" s="21"/>
      <c r="OIP25" s="21"/>
      <c r="OIQ25" s="21"/>
      <c r="OIR25" s="21"/>
      <c r="OIS25" s="21"/>
      <c r="OIT25" s="21"/>
      <c r="OIU25" s="21"/>
      <c r="OIV25" s="21"/>
      <c r="OIW25" s="21"/>
      <c r="OIX25" s="21"/>
      <c r="OIY25" s="21"/>
      <c r="OIZ25" s="21"/>
      <c r="OJA25" s="21"/>
      <c r="OJB25" s="21"/>
      <c r="OJC25" s="21"/>
      <c r="OJD25" s="21"/>
      <c r="OJE25" s="21"/>
      <c r="OJF25" s="21"/>
      <c r="OJG25" s="21"/>
      <c r="OJH25" s="21"/>
      <c r="OJI25" s="21"/>
      <c r="OJJ25" s="21"/>
      <c r="OJK25" s="21"/>
      <c r="OJL25" s="21"/>
      <c r="OJM25" s="21"/>
      <c r="OJN25" s="21"/>
      <c r="OJO25" s="21"/>
      <c r="OJP25" s="21"/>
      <c r="OJQ25" s="21"/>
      <c r="OJR25" s="21"/>
      <c r="OJS25" s="21"/>
      <c r="OJT25" s="21"/>
      <c r="OJU25" s="21"/>
      <c r="OJV25" s="21"/>
      <c r="OJW25" s="21"/>
      <c r="OJX25" s="21"/>
      <c r="OJY25" s="21"/>
      <c r="OJZ25" s="21"/>
      <c r="OKA25" s="21"/>
      <c r="OKB25" s="21"/>
      <c r="OKC25" s="21"/>
      <c r="OKD25" s="21"/>
      <c r="OKE25" s="21"/>
      <c r="OKF25" s="21"/>
      <c r="OKG25" s="21"/>
      <c r="OKH25" s="21"/>
      <c r="OKI25" s="21"/>
      <c r="OKJ25" s="21"/>
      <c r="OKK25" s="21"/>
      <c r="OKL25" s="21"/>
      <c r="OKM25" s="21"/>
      <c r="OKN25" s="21"/>
      <c r="OKO25" s="21"/>
      <c r="OKP25" s="21"/>
      <c r="OKQ25" s="21"/>
      <c r="OKR25" s="21"/>
      <c r="OKS25" s="21"/>
      <c r="OKT25" s="21"/>
      <c r="OKU25" s="21"/>
      <c r="OKV25" s="21"/>
      <c r="OKW25" s="21"/>
      <c r="OKX25" s="21"/>
      <c r="OKY25" s="21"/>
      <c r="OKZ25" s="21"/>
      <c r="OLA25" s="21"/>
      <c r="OLB25" s="21"/>
      <c r="OLC25" s="21"/>
      <c r="OLD25" s="21"/>
      <c r="OLE25" s="21"/>
      <c r="OLF25" s="21"/>
      <c r="OLG25" s="21"/>
      <c r="OLH25" s="21"/>
      <c r="OLI25" s="21"/>
      <c r="OLJ25" s="21"/>
      <c r="OLK25" s="21"/>
      <c r="OLL25" s="21"/>
      <c r="OLM25" s="21"/>
      <c r="OLN25" s="21"/>
      <c r="OLO25" s="21"/>
      <c r="OLP25" s="21"/>
      <c r="OLQ25" s="21"/>
      <c r="OLR25" s="21"/>
      <c r="OLS25" s="21"/>
      <c r="OLT25" s="21"/>
      <c r="OLU25" s="21"/>
      <c r="OLV25" s="21"/>
      <c r="OLW25" s="21"/>
      <c r="OLX25" s="21"/>
      <c r="OLY25" s="21"/>
      <c r="OLZ25" s="21"/>
      <c r="OMA25" s="21"/>
      <c r="OMB25" s="21"/>
      <c r="OMC25" s="21"/>
      <c r="OMD25" s="21"/>
      <c r="OME25" s="21"/>
      <c r="OMF25" s="21"/>
      <c r="OMG25" s="21"/>
      <c r="OMH25" s="21"/>
      <c r="OMI25" s="21"/>
      <c r="OMJ25" s="21"/>
      <c r="OMK25" s="21"/>
      <c r="OML25" s="21"/>
      <c r="OMM25" s="21"/>
      <c r="OMN25" s="21"/>
      <c r="OMO25" s="21"/>
      <c r="OMP25" s="21"/>
      <c r="OMQ25" s="21"/>
      <c r="OMR25" s="21"/>
      <c r="OMS25" s="21"/>
      <c r="OMT25" s="21"/>
      <c r="OMU25" s="21"/>
      <c r="OMV25" s="21"/>
      <c r="OMW25" s="21"/>
      <c r="OMX25" s="21"/>
      <c r="OMY25" s="21"/>
      <c r="OMZ25" s="21"/>
      <c r="ONA25" s="21"/>
      <c r="ONB25" s="21"/>
      <c r="ONC25" s="21"/>
      <c r="OND25" s="21"/>
      <c r="ONE25" s="21"/>
      <c r="ONF25" s="21"/>
      <c r="ONG25" s="21"/>
      <c r="ONH25" s="21"/>
      <c r="ONI25" s="21"/>
      <c r="ONJ25" s="21"/>
      <c r="ONK25" s="21"/>
      <c r="ONL25" s="21"/>
      <c r="ONM25" s="21"/>
      <c r="ONN25" s="21"/>
      <c r="ONO25" s="21"/>
      <c r="ONP25" s="21"/>
      <c r="ONQ25" s="21"/>
      <c r="ONR25" s="21"/>
      <c r="ONS25" s="21"/>
      <c r="ONT25" s="21"/>
      <c r="ONU25" s="21"/>
      <c r="ONV25" s="21"/>
      <c r="ONW25" s="21"/>
      <c r="ONX25" s="21"/>
      <c r="ONY25" s="21"/>
      <c r="ONZ25" s="21"/>
      <c r="OOA25" s="21"/>
      <c r="OOB25" s="21"/>
      <c r="OOC25" s="21"/>
      <c r="OOD25" s="21"/>
      <c r="OOE25" s="21"/>
      <c r="OOF25" s="21"/>
      <c r="OOG25" s="21"/>
      <c r="OOH25" s="21"/>
      <c r="OOI25" s="21"/>
      <c r="OOJ25" s="21"/>
      <c r="OOK25" s="21"/>
      <c r="OOL25" s="21"/>
      <c r="OOM25" s="21"/>
      <c r="OON25" s="21"/>
      <c r="OOO25" s="21"/>
      <c r="OOP25" s="21"/>
      <c r="OOQ25" s="21"/>
      <c r="OOR25" s="21"/>
      <c r="OOS25" s="21"/>
      <c r="OOT25" s="21"/>
      <c r="OOU25" s="21"/>
      <c r="OOV25" s="21"/>
      <c r="OOW25" s="21"/>
      <c r="OOX25" s="21"/>
      <c r="OOY25" s="21"/>
      <c r="OOZ25" s="21"/>
      <c r="OPA25" s="21"/>
      <c r="OPB25" s="21"/>
      <c r="OPC25" s="21"/>
      <c r="OPD25" s="21"/>
      <c r="OPE25" s="21"/>
      <c r="OPF25" s="21"/>
      <c r="OPG25" s="21"/>
      <c r="OPH25" s="21"/>
      <c r="OPI25" s="21"/>
      <c r="OPJ25" s="21"/>
      <c r="OPK25" s="21"/>
      <c r="OPL25" s="21"/>
      <c r="OPM25" s="21"/>
      <c r="OPN25" s="21"/>
      <c r="OPO25" s="21"/>
      <c r="OPP25" s="21"/>
      <c r="OPQ25" s="21"/>
      <c r="OPR25" s="21"/>
      <c r="OPS25" s="21"/>
      <c r="OPT25" s="21"/>
      <c r="OPU25" s="21"/>
      <c r="OPV25" s="21"/>
      <c r="OPW25" s="21"/>
      <c r="OPX25" s="21"/>
      <c r="OPY25" s="21"/>
      <c r="OPZ25" s="21"/>
      <c r="OQA25" s="21"/>
      <c r="OQB25" s="21"/>
      <c r="OQC25" s="21"/>
      <c r="OQD25" s="21"/>
      <c r="OQE25" s="21"/>
      <c r="OQF25" s="21"/>
      <c r="OQG25" s="21"/>
      <c r="OQH25" s="21"/>
      <c r="OQI25" s="21"/>
      <c r="OQJ25" s="21"/>
      <c r="OQK25" s="21"/>
      <c r="OQL25" s="21"/>
      <c r="OQM25" s="21"/>
      <c r="OQN25" s="21"/>
      <c r="OQO25" s="21"/>
      <c r="OQP25" s="21"/>
      <c r="OQQ25" s="21"/>
      <c r="OQR25" s="21"/>
      <c r="OQS25" s="21"/>
      <c r="OQT25" s="21"/>
      <c r="OQU25" s="21"/>
      <c r="OQV25" s="21"/>
      <c r="OQW25" s="21"/>
      <c r="OQX25" s="21"/>
      <c r="OQY25" s="21"/>
      <c r="OQZ25" s="21"/>
      <c r="ORA25" s="21"/>
      <c r="ORB25" s="21"/>
      <c r="ORC25" s="21"/>
      <c r="ORD25" s="21"/>
      <c r="ORE25" s="21"/>
      <c r="ORF25" s="21"/>
      <c r="ORG25" s="21"/>
      <c r="ORH25" s="21"/>
      <c r="ORI25" s="21"/>
      <c r="ORJ25" s="21"/>
      <c r="ORK25" s="21"/>
      <c r="ORL25" s="21"/>
      <c r="ORM25" s="21"/>
      <c r="ORN25" s="21"/>
      <c r="ORO25" s="21"/>
      <c r="ORP25" s="21"/>
      <c r="ORQ25" s="21"/>
      <c r="ORR25" s="21"/>
      <c r="ORS25" s="21"/>
      <c r="ORT25" s="21"/>
      <c r="ORU25" s="21"/>
      <c r="ORV25" s="21"/>
      <c r="ORW25" s="21"/>
      <c r="ORX25" s="21"/>
      <c r="ORY25" s="21"/>
      <c r="ORZ25" s="21"/>
      <c r="OSA25" s="21"/>
      <c r="OSB25" s="21"/>
      <c r="OSC25" s="21"/>
      <c r="OSD25" s="21"/>
      <c r="OSE25" s="21"/>
      <c r="OSF25" s="21"/>
      <c r="OSG25" s="21"/>
      <c r="OSH25" s="21"/>
      <c r="OSI25" s="21"/>
      <c r="OSJ25" s="21"/>
      <c r="OSK25" s="21"/>
      <c r="OSL25" s="21"/>
      <c r="OSM25" s="21"/>
      <c r="OSN25" s="21"/>
      <c r="OSO25" s="21"/>
      <c r="OSP25" s="21"/>
      <c r="OSQ25" s="21"/>
      <c r="OSR25" s="21"/>
      <c r="OSS25" s="21"/>
      <c r="OST25" s="21"/>
      <c r="OSU25" s="21"/>
      <c r="OSV25" s="21"/>
      <c r="OSW25" s="21"/>
      <c r="OSX25" s="21"/>
      <c r="OSY25" s="21"/>
      <c r="OSZ25" s="21"/>
      <c r="OTA25" s="21"/>
      <c r="OTB25" s="21"/>
      <c r="OTC25" s="21"/>
      <c r="OTD25" s="21"/>
      <c r="OTE25" s="21"/>
      <c r="OTF25" s="21"/>
      <c r="OTG25" s="21"/>
      <c r="OTH25" s="21"/>
      <c r="OTI25" s="21"/>
      <c r="OTJ25" s="21"/>
      <c r="OTK25" s="21"/>
      <c r="OTL25" s="21"/>
      <c r="OTM25" s="21"/>
      <c r="OTN25" s="21"/>
      <c r="OTO25" s="21"/>
      <c r="OTP25" s="21"/>
      <c r="OTQ25" s="21"/>
      <c r="OTR25" s="21"/>
      <c r="OTS25" s="21"/>
      <c r="OTT25" s="21"/>
      <c r="OTU25" s="21"/>
      <c r="OTV25" s="21"/>
      <c r="OTW25" s="21"/>
      <c r="OTX25" s="21"/>
      <c r="OTY25" s="21"/>
      <c r="OTZ25" s="21"/>
      <c r="OUA25" s="21"/>
      <c r="OUB25" s="21"/>
      <c r="OUC25" s="21"/>
      <c r="OUD25" s="21"/>
      <c r="OUE25" s="21"/>
      <c r="OUF25" s="21"/>
      <c r="OUG25" s="21"/>
      <c r="OUH25" s="21"/>
      <c r="OUI25" s="21"/>
      <c r="OUJ25" s="21"/>
      <c r="OUK25" s="21"/>
      <c r="OUL25" s="21"/>
      <c r="OUM25" s="21"/>
      <c r="OUN25" s="21"/>
      <c r="OUO25" s="21"/>
      <c r="OUP25" s="21"/>
      <c r="OUQ25" s="21"/>
      <c r="OUR25" s="21"/>
      <c r="OUS25" s="21"/>
      <c r="OUT25" s="21"/>
      <c r="OUU25" s="21"/>
      <c r="OUV25" s="21"/>
      <c r="OUW25" s="21"/>
      <c r="OUX25" s="21"/>
      <c r="OUY25" s="21"/>
      <c r="OUZ25" s="21"/>
      <c r="OVA25" s="21"/>
      <c r="OVB25" s="21"/>
      <c r="OVC25" s="21"/>
      <c r="OVD25" s="21"/>
      <c r="OVE25" s="21"/>
      <c r="OVF25" s="21"/>
      <c r="OVG25" s="21"/>
      <c r="OVH25" s="21"/>
      <c r="OVI25" s="21"/>
      <c r="OVJ25" s="21"/>
      <c r="OVK25" s="21"/>
      <c r="OVL25" s="21"/>
      <c r="OVM25" s="21"/>
      <c r="OVN25" s="21"/>
      <c r="OVO25" s="21"/>
      <c r="OVP25" s="21"/>
      <c r="OVQ25" s="21"/>
      <c r="OVR25" s="21"/>
      <c r="OVS25" s="21"/>
      <c r="OVT25" s="21"/>
      <c r="OVU25" s="21"/>
      <c r="OVV25" s="21"/>
      <c r="OVW25" s="21"/>
      <c r="OVX25" s="21"/>
      <c r="OVY25" s="21"/>
      <c r="OVZ25" s="21"/>
      <c r="OWA25" s="21"/>
      <c r="OWB25" s="21"/>
      <c r="OWC25" s="21"/>
      <c r="OWD25" s="21"/>
      <c r="OWE25" s="21"/>
      <c r="OWF25" s="21"/>
      <c r="OWG25" s="21"/>
      <c r="OWH25" s="21"/>
      <c r="OWI25" s="21"/>
      <c r="OWJ25" s="21"/>
      <c r="OWK25" s="21"/>
      <c r="OWL25" s="21"/>
      <c r="OWM25" s="21"/>
      <c r="OWN25" s="21"/>
      <c r="OWO25" s="21"/>
      <c r="OWP25" s="21"/>
      <c r="OWQ25" s="21"/>
      <c r="OWR25" s="21"/>
      <c r="OWS25" s="21"/>
      <c r="OWT25" s="21"/>
      <c r="OWU25" s="21"/>
      <c r="OWV25" s="21"/>
      <c r="OWW25" s="21"/>
      <c r="OWX25" s="21"/>
      <c r="OWY25" s="21"/>
      <c r="OWZ25" s="21"/>
      <c r="OXA25" s="21"/>
      <c r="OXB25" s="21"/>
      <c r="OXC25" s="21"/>
      <c r="OXD25" s="21"/>
      <c r="OXE25" s="21"/>
      <c r="OXF25" s="21"/>
      <c r="OXG25" s="21"/>
      <c r="OXH25" s="21"/>
      <c r="OXI25" s="21"/>
      <c r="OXJ25" s="21"/>
      <c r="OXK25" s="21"/>
      <c r="OXL25" s="21"/>
      <c r="OXM25" s="21"/>
      <c r="OXN25" s="21"/>
      <c r="OXO25" s="21"/>
      <c r="OXP25" s="21"/>
      <c r="OXQ25" s="21"/>
      <c r="OXR25" s="21"/>
      <c r="OXS25" s="21"/>
      <c r="OXT25" s="21"/>
      <c r="OXU25" s="21"/>
      <c r="OXV25" s="21"/>
      <c r="OXW25" s="21"/>
      <c r="OXX25" s="21"/>
      <c r="OXY25" s="21"/>
      <c r="OXZ25" s="21"/>
      <c r="OYA25" s="21"/>
      <c r="OYB25" s="21"/>
      <c r="OYC25" s="21"/>
      <c r="OYD25" s="21"/>
      <c r="OYE25" s="21"/>
      <c r="OYF25" s="21"/>
      <c r="OYG25" s="21"/>
      <c r="OYH25" s="21"/>
      <c r="OYI25" s="21"/>
      <c r="OYJ25" s="21"/>
      <c r="OYK25" s="21"/>
      <c r="OYL25" s="21"/>
      <c r="OYM25" s="21"/>
      <c r="OYN25" s="21"/>
      <c r="OYO25" s="21"/>
      <c r="OYP25" s="21"/>
      <c r="OYQ25" s="21"/>
      <c r="OYR25" s="21"/>
      <c r="OYS25" s="21"/>
      <c r="OYT25" s="21"/>
      <c r="OYU25" s="21"/>
      <c r="OYV25" s="21"/>
      <c r="OYW25" s="21"/>
      <c r="OYX25" s="21"/>
      <c r="OYY25" s="21"/>
      <c r="OYZ25" s="21"/>
      <c r="OZA25" s="21"/>
      <c r="OZB25" s="21"/>
      <c r="OZC25" s="21"/>
      <c r="OZD25" s="21"/>
      <c r="OZE25" s="21"/>
      <c r="OZF25" s="21"/>
      <c r="OZG25" s="21"/>
      <c r="OZH25" s="21"/>
      <c r="OZI25" s="21"/>
      <c r="OZJ25" s="21"/>
      <c r="OZK25" s="21"/>
      <c r="OZL25" s="21"/>
      <c r="OZM25" s="21"/>
      <c r="OZN25" s="21"/>
      <c r="OZO25" s="21"/>
      <c r="OZP25" s="21"/>
      <c r="OZQ25" s="21"/>
      <c r="OZR25" s="21"/>
      <c r="OZS25" s="21"/>
      <c r="OZT25" s="21"/>
      <c r="OZU25" s="21"/>
      <c r="OZV25" s="21"/>
      <c r="OZW25" s="21"/>
      <c r="OZX25" s="21"/>
      <c r="OZY25" s="21"/>
      <c r="OZZ25" s="21"/>
      <c r="PAA25" s="21"/>
      <c r="PAB25" s="21"/>
      <c r="PAC25" s="21"/>
      <c r="PAD25" s="21"/>
      <c r="PAE25" s="21"/>
      <c r="PAF25" s="21"/>
      <c r="PAG25" s="21"/>
      <c r="PAH25" s="21"/>
      <c r="PAI25" s="21"/>
      <c r="PAJ25" s="21"/>
      <c r="PAK25" s="21"/>
      <c r="PAL25" s="21"/>
      <c r="PAM25" s="21"/>
      <c r="PAN25" s="21"/>
      <c r="PAO25" s="21"/>
      <c r="PAP25" s="21"/>
      <c r="PAQ25" s="21"/>
      <c r="PAR25" s="21"/>
      <c r="PAS25" s="21"/>
      <c r="PAT25" s="21"/>
      <c r="PAU25" s="21"/>
      <c r="PAV25" s="21"/>
      <c r="PAW25" s="21"/>
      <c r="PAX25" s="21"/>
      <c r="PAY25" s="21"/>
      <c r="PAZ25" s="21"/>
      <c r="PBA25" s="21"/>
      <c r="PBB25" s="21"/>
      <c r="PBC25" s="21"/>
      <c r="PBD25" s="21"/>
      <c r="PBE25" s="21"/>
      <c r="PBF25" s="21"/>
      <c r="PBG25" s="21"/>
      <c r="PBH25" s="21"/>
      <c r="PBI25" s="21"/>
      <c r="PBJ25" s="21"/>
      <c r="PBK25" s="21"/>
      <c r="PBL25" s="21"/>
      <c r="PBM25" s="21"/>
      <c r="PBN25" s="21"/>
      <c r="PBO25" s="21"/>
      <c r="PBP25" s="21"/>
      <c r="PBQ25" s="21"/>
      <c r="PBR25" s="21"/>
      <c r="PBS25" s="21"/>
      <c r="PBT25" s="21"/>
      <c r="PBU25" s="21"/>
      <c r="PBV25" s="21"/>
      <c r="PBW25" s="21"/>
      <c r="PBX25" s="21"/>
      <c r="PBY25" s="21"/>
      <c r="PBZ25" s="21"/>
      <c r="PCA25" s="21"/>
      <c r="PCB25" s="21"/>
      <c r="PCC25" s="21"/>
      <c r="PCD25" s="21"/>
      <c r="PCE25" s="21"/>
      <c r="PCF25" s="21"/>
      <c r="PCG25" s="21"/>
      <c r="PCH25" s="21"/>
      <c r="PCI25" s="21"/>
      <c r="PCJ25" s="21"/>
      <c r="PCK25" s="21"/>
      <c r="PCL25" s="21"/>
      <c r="PCM25" s="21"/>
      <c r="PCN25" s="21"/>
      <c r="PCO25" s="21"/>
      <c r="PCP25" s="21"/>
      <c r="PCQ25" s="21"/>
      <c r="PCR25" s="21"/>
      <c r="PCS25" s="21"/>
      <c r="PCT25" s="21"/>
      <c r="PCU25" s="21"/>
      <c r="PCV25" s="21"/>
      <c r="PCW25" s="21"/>
      <c r="PCX25" s="21"/>
      <c r="PCY25" s="21"/>
      <c r="PCZ25" s="21"/>
      <c r="PDA25" s="21"/>
      <c r="PDB25" s="21"/>
      <c r="PDC25" s="21"/>
      <c r="PDD25" s="21"/>
      <c r="PDE25" s="21"/>
      <c r="PDF25" s="21"/>
      <c r="PDG25" s="21"/>
      <c r="PDH25" s="21"/>
      <c r="PDI25" s="21"/>
      <c r="PDJ25" s="21"/>
      <c r="PDK25" s="21"/>
      <c r="PDL25" s="21"/>
      <c r="PDM25" s="21"/>
      <c r="PDN25" s="21"/>
      <c r="PDO25" s="21"/>
      <c r="PDP25" s="21"/>
      <c r="PDQ25" s="21"/>
      <c r="PDR25" s="21"/>
      <c r="PDS25" s="21"/>
      <c r="PDT25" s="21"/>
      <c r="PDU25" s="21"/>
      <c r="PDV25" s="21"/>
      <c r="PDW25" s="21"/>
      <c r="PDX25" s="21"/>
      <c r="PDY25" s="21"/>
      <c r="PDZ25" s="21"/>
      <c r="PEA25" s="21"/>
      <c r="PEB25" s="21"/>
      <c r="PEC25" s="21"/>
      <c r="PED25" s="21"/>
      <c r="PEE25" s="21"/>
      <c r="PEF25" s="21"/>
      <c r="PEG25" s="21"/>
      <c r="PEH25" s="21"/>
      <c r="PEI25" s="21"/>
      <c r="PEJ25" s="21"/>
      <c r="PEK25" s="21"/>
      <c r="PEL25" s="21"/>
      <c r="PEM25" s="21"/>
      <c r="PEN25" s="21"/>
      <c r="PEO25" s="21"/>
      <c r="PEP25" s="21"/>
      <c r="PEQ25" s="21"/>
      <c r="PER25" s="21"/>
      <c r="PES25" s="21"/>
      <c r="PET25" s="21"/>
      <c r="PEU25" s="21"/>
      <c r="PEV25" s="21"/>
      <c r="PEW25" s="21"/>
      <c r="PEX25" s="21"/>
      <c r="PEY25" s="21"/>
      <c r="PEZ25" s="21"/>
      <c r="PFA25" s="21"/>
      <c r="PFB25" s="21"/>
      <c r="PFC25" s="21"/>
      <c r="PFD25" s="21"/>
      <c r="PFE25" s="21"/>
      <c r="PFF25" s="21"/>
      <c r="PFG25" s="21"/>
      <c r="PFH25" s="21"/>
      <c r="PFI25" s="21"/>
      <c r="PFJ25" s="21"/>
      <c r="PFK25" s="21"/>
      <c r="PFL25" s="21"/>
      <c r="PFM25" s="21"/>
      <c r="PFN25" s="21"/>
      <c r="PFO25" s="21"/>
      <c r="PFP25" s="21"/>
      <c r="PFQ25" s="21"/>
      <c r="PFR25" s="21"/>
      <c r="PFS25" s="21"/>
      <c r="PFT25" s="21"/>
      <c r="PFU25" s="21"/>
      <c r="PFV25" s="21"/>
      <c r="PFW25" s="21"/>
      <c r="PFX25" s="21"/>
      <c r="PFY25" s="21"/>
      <c r="PFZ25" s="21"/>
      <c r="PGA25" s="21"/>
      <c r="PGB25" s="21"/>
      <c r="PGC25" s="21"/>
      <c r="PGD25" s="21"/>
      <c r="PGE25" s="21"/>
      <c r="PGF25" s="21"/>
      <c r="PGG25" s="21"/>
      <c r="PGH25" s="21"/>
      <c r="PGI25" s="21"/>
      <c r="PGJ25" s="21"/>
      <c r="PGK25" s="21"/>
      <c r="PGL25" s="21"/>
      <c r="PGM25" s="21"/>
      <c r="PGN25" s="21"/>
      <c r="PGO25" s="21"/>
      <c r="PGP25" s="21"/>
      <c r="PGQ25" s="21"/>
      <c r="PGR25" s="21"/>
      <c r="PGS25" s="21"/>
      <c r="PGT25" s="21"/>
      <c r="PGU25" s="21"/>
      <c r="PGV25" s="21"/>
      <c r="PGW25" s="21"/>
      <c r="PGX25" s="21"/>
      <c r="PGY25" s="21"/>
      <c r="PGZ25" s="21"/>
      <c r="PHA25" s="21"/>
      <c r="PHB25" s="21"/>
      <c r="PHC25" s="21"/>
      <c r="PHD25" s="21"/>
      <c r="PHE25" s="21"/>
      <c r="PHF25" s="21"/>
      <c r="PHG25" s="21"/>
      <c r="PHH25" s="21"/>
      <c r="PHI25" s="21"/>
      <c r="PHJ25" s="21"/>
      <c r="PHK25" s="21"/>
      <c r="PHL25" s="21"/>
      <c r="PHM25" s="21"/>
      <c r="PHN25" s="21"/>
      <c r="PHO25" s="21"/>
      <c r="PHP25" s="21"/>
      <c r="PHQ25" s="21"/>
      <c r="PHR25" s="21"/>
      <c r="PHS25" s="21"/>
      <c r="PHT25" s="21"/>
      <c r="PHU25" s="21"/>
      <c r="PHV25" s="21"/>
      <c r="PHW25" s="21"/>
      <c r="PHX25" s="21"/>
      <c r="PHY25" s="21"/>
      <c r="PHZ25" s="21"/>
      <c r="PIA25" s="21"/>
      <c r="PIB25" s="21"/>
      <c r="PIC25" s="21"/>
      <c r="PID25" s="21"/>
      <c r="PIE25" s="21"/>
      <c r="PIF25" s="21"/>
      <c r="PIG25" s="21"/>
      <c r="PIH25" s="21"/>
      <c r="PII25" s="21"/>
      <c r="PIJ25" s="21"/>
      <c r="PIK25" s="21"/>
      <c r="PIL25" s="21"/>
      <c r="PIM25" s="21"/>
      <c r="PIN25" s="21"/>
      <c r="PIO25" s="21"/>
      <c r="PIP25" s="21"/>
      <c r="PIQ25" s="21"/>
      <c r="PIR25" s="21"/>
      <c r="PIS25" s="21"/>
      <c r="PIT25" s="21"/>
      <c r="PIU25" s="21"/>
      <c r="PIV25" s="21"/>
      <c r="PIW25" s="21"/>
      <c r="PIX25" s="21"/>
      <c r="PIY25" s="21"/>
      <c r="PIZ25" s="21"/>
      <c r="PJA25" s="21"/>
      <c r="PJB25" s="21"/>
      <c r="PJC25" s="21"/>
      <c r="PJD25" s="21"/>
      <c r="PJE25" s="21"/>
      <c r="PJF25" s="21"/>
      <c r="PJG25" s="21"/>
      <c r="PJH25" s="21"/>
      <c r="PJI25" s="21"/>
      <c r="PJJ25" s="21"/>
      <c r="PJK25" s="21"/>
      <c r="PJL25" s="21"/>
      <c r="PJM25" s="21"/>
      <c r="PJN25" s="21"/>
      <c r="PJO25" s="21"/>
      <c r="PJP25" s="21"/>
      <c r="PJQ25" s="21"/>
      <c r="PJR25" s="21"/>
      <c r="PJS25" s="21"/>
      <c r="PJT25" s="21"/>
      <c r="PJU25" s="21"/>
      <c r="PJV25" s="21"/>
      <c r="PJW25" s="21"/>
      <c r="PJX25" s="21"/>
      <c r="PJY25" s="21"/>
      <c r="PJZ25" s="21"/>
      <c r="PKA25" s="21"/>
      <c r="PKB25" s="21"/>
      <c r="PKC25" s="21"/>
      <c r="PKD25" s="21"/>
      <c r="PKE25" s="21"/>
      <c r="PKF25" s="21"/>
      <c r="PKG25" s="21"/>
      <c r="PKH25" s="21"/>
      <c r="PKI25" s="21"/>
      <c r="PKJ25" s="21"/>
      <c r="PKK25" s="21"/>
      <c r="PKL25" s="21"/>
      <c r="PKM25" s="21"/>
      <c r="PKN25" s="21"/>
      <c r="PKO25" s="21"/>
      <c r="PKP25" s="21"/>
      <c r="PKQ25" s="21"/>
      <c r="PKR25" s="21"/>
      <c r="PKS25" s="21"/>
      <c r="PKT25" s="21"/>
      <c r="PKU25" s="21"/>
      <c r="PKV25" s="21"/>
      <c r="PKW25" s="21"/>
      <c r="PKX25" s="21"/>
      <c r="PKY25" s="21"/>
      <c r="PKZ25" s="21"/>
      <c r="PLA25" s="21"/>
      <c r="PLB25" s="21"/>
      <c r="PLC25" s="21"/>
      <c r="PLD25" s="21"/>
      <c r="PLE25" s="21"/>
      <c r="PLF25" s="21"/>
      <c r="PLG25" s="21"/>
      <c r="PLH25" s="21"/>
      <c r="PLI25" s="21"/>
      <c r="PLJ25" s="21"/>
      <c r="PLK25" s="21"/>
      <c r="PLL25" s="21"/>
      <c r="PLM25" s="21"/>
      <c r="PLN25" s="21"/>
      <c r="PLO25" s="21"/>
      <c r="PLP25" s="21"/>
      <c r="PLQ25" s="21"/>
      <c r="PLR25" s="21"/>
      <c r="PLS25" s="21"/>
      <c r="PLT25" s="21"/>
      <c r="PLU25" s="21"/>
      <c r="PLV25" s="21"/>
      <c r="PLW25" s="21"/>
      <c r="PLX25" s="21"/>
      <c r="PLY25" s="21"/>
      <c r="PLZ25" s="21"/>
      <c r="PMA25" s="21"/>
      <c r="PMB25" s="21"/>
      <c r="PMC25" s="21"/>
      <c r="PMD25" s="21"/>
      <c r="PME25" s="21"/>
      <c r="PMF25" s="21"/>
      <c r="PMG25" s="21"/>
      <c r="PMH25" s="21"/>
      <c r="PMI25" s="21"/>
      <c r="PMJ25" s="21"/>
      <c r="PMK25" s="21"/>
      <c r="PML25" s="21"/>
      <c r="PMM25" s="21"/>
      <c r="PMN25" s="21"/>
      <c r="PMO25" s="21"/>
      <c r="PMP25" s="21"/>
      <c r="PMQ25" s="21"/>
      <c r="PMR25" s="21"/>
      <c r="PMS25" s="21"/>
      <c r="PMT25" s="21"/>
      <c r="PMU25" s="21"/>
      <c r="PMV25" s="21"/>
      <c r="PMW25" s="21"/>
      <c r="PMX25" s="21"/>
      <c r="PMY25" s="21"/>
      <c r="PMZ25" s="21"/>
      <c r="PNA25" s="21"/>
      <c r="PNB25" s="21"/>
      <c r="PNC25" s="21"/>
      <c r="PND25" s="21"/>
      <c r="PNE25" s="21"/>
      <c r="PNF25" s="21"/>
      <c r="PNG25" s="21"/>
      <c r="PNH25" s="21"/>
      <c r="PNI25" s="21"/>
      <c r="PNJ25" s="21"/>
      <c r="PNK25" s="21"/>
      <c r="PNL25" s="21"/>
      <c r="PNM25" s="21"/>
      <c r="PNN25" s="21"/>
      <c r="PNO25" s="21"/>
      <c r="PNP25" s="21"/>
      <c r="PNQ25" s="21"/>
      <c r="PNR25" s="21"/>
      <c r="PNS25" s="21"/>
      <c r="PNT25" s="21"/>
      <c r="PNU25" s="21"/>
      <c r="PNV25" s="21"/>
      <c r="PNW25" s="21"/>
      <c r="PNX25" s="21"/>
      <c r="PNY25" s="21"/>
      <c r="PNZ25" s="21"/>
      <c r="POA25" s="21"/>
      <c r="POB25" s="21"/>
      <c r="POC25" s="21"/>
      <c r="POD25" s="21"/>
      <c r="POE25" s="21"/>
      <c r="POF25" s="21"/>
      <c r="POG25" s="21"/>
      <c r="POH25" s="21"/>
      <c r="POI25" s="21"/>
      <c r="POJ25" s="21"/>
      <c r="POK25" s="21"/>
      <c r="POL25" s="21"/>
      <c r="POM25" s="21"/>
      <c r="PON25" s="21"/>
      <c r="POO25" s="21"/>
      <c r="POP25" s="21"/>
      <c r="POQ25" s="21"/>
      <c r="POR25" s="21"/>
      <c r="POS25" s="21"/>
      <c r="POT25" s="21"/>
      <c r="POU25" s="21"/>
      <c r="POV25" s="21"/>
      <c r="POW25" s="21"/>
      <c r="POX25" s="21"/>
      <c r="POY25" s="21"/>
      <c r="POZ25" s="21"/>
      <c r="PPA25" s="21"/>
      <c r="PPB25" s="21"/>
      <c r="PPC25" s="21"/>
      <c r="PPD25" s="21"/>
      <c r="PPE25" s="21"/>
      <c r="PPF25" s="21"/>
      <c r="PPG25" s="21"/>
      <c r="PPH25" s="21"/>
      <c r="PPI25" s="21"/>
      <c r="PPJ25" s="21"/>
      <c r="PPK25" s="21"/>
      <c r="PPL25" s="21"/>
      <c r="PPM25" s="21"/>
      <c r="PPN25" s="21"/>
      <c r="PPO25" s="21"/>
      <c r="PPP25" s="21"/>
      <c r="PPQ25" s="21"/>
      <c r="PPR25" s="21"/>
      <c r="PPS25" s="21"/>
      <c r="PPT25" s="21"/>
      <c r="PPU25" s="21"/>
      <c r="PPV25" s="21"/>
      <c r="PPW25" s="21"/>
      <c r="PPX25" s="21"/>
      <c r="PPY25" s="21"/>
      <c r="PPZ25" s="21"/>
      <c r="PQA25" s="21"/>
      <c r="PQB25" s="21"/>
      <c r="PQC25" s="21"/>
      <c r="PQD25" s="21"/>
      <c r="PQE25" s="21"/>
      <c r="PQF25" s="21"/>
      <c r="PQG25" s="21"/>
      <c r="PQH25" s="21"/>
      <c r="PQI25" s="21"/>
      <c r="PQJ25" s="21"/>
      <c r="PQK25" s="21"/>
      <c r="PQL25" s="21"/>
      <c r="PQM25" s="21"/>
      <c r="PQN25" s="21"/>
      <c r="PQO25" s="21"/>
      <c r="PQP25" s="21"/>
      <c r="PQQ25" s="21"/>
      <c r="PQR25" s="21"/>
      <c r="PQS25" s="21"/>
      <c r="PQT25" s="21"/>
      <c r="PQU25" s="21"/>
      <c r="PQV25" s="21"/>
      <c r="PQW25" s="21"/>
      <c r="PQX25" s="21"/>
      <c r="PQY25" s="21"/>
      <c r="PQZ25" s="21"/>
      <c r="PRA25" s="21"/>
      <c r="PRB25" s="21"/>
      <c r="PRC25" s="21"/>
      <c r="PRD25" s="21"/>
      <c r="PRE25" s="21"/>
      <c r="PRF25" s="21"/>
      <c r="PRG25" s="21"/>
      <c r="PRH25" s="21"/>
      <c r="PRI25" s="21"/>
      <c r="PRJ25" s="21"/>
      <c r="PRK25" s="21"/>
      <c r="PRL25" s="21"/>
      <c r="PRM25" s="21"/>
      <c r="PRN25" s="21"/>
      <c r="PRO25" s="21"/>
      <c r="PRP25" s="21"/>
      <c r="PRQ25" s="21"/>
      <c r="PRR25" s="21"/>
      <c r="PRS25" s="21"/>
      <c r="PRT25" s="21"/>
      <c r="PRU25" s="21"/>
      <c r="PRV25" s="21"/>
      <c r="PRW25" s="21"/>
      <c r="PRX25" s="21"/>
      <c r="PRY25" s="21"/>
      <c r="PRZ25" s="21"/>
      <c r="PSA25" s="21"/>
      <c r="PSB25" s="21"/>
      <c r="PSC25" s="21"/>
      <c r="PSD25" s="21"/>
      <c r="PSE25" s="21"/>
      <c r="PSF25" s="21"/>
      <c r="PSG25" s="21"/>
      <c r="PSH25" s="21"/>
      <c r="PSI25" s="21"/>
      <c r="PSJ25" s="21"/>
      <c r="PSK25" s="21"/>
      <c r="PSL25" s="21"/>
      <c r="PSM25" s="21"/>
      <c r="PSN25" s="21"/>
      <c r="PSO25" s="21"/>
      <c r="PSP25" s="21"/>
      <c r="PSQ25" s="21"/>
      <c r="PSR25" s="21"/>
      <c r="PSS25" s="21"/>
      <c r="PST25" s="21"/>
      <c r="PSU25" s="21"/>
      <c r="PSV25" s="21"/>
      <c r="PSW25" s="21"/>
      <c r="PSX25" s="21"/>
      <c r="PSY25" s="21"/>
      <c r="PSZ25" s="21"/>
      <c r="PTA25" s="21"/>
      <c r="PTB25" s="21"/>
      <c r="PTC25" s="21"/>
      <c r="PTD25" s="21"/>
      <c r="PTE25" s="21"/>
      <c r="PTF25" s="21"/>
      <c r="PTG25" s="21"/>
      <c r="PTH25" s="21"/>
      <c r="PTI25" s="21"/>
      <c r="PTJ25" s="21"/>
      <c r="PTK25" s="21"/>
      <c r="PTL25" s="21"/>
      <c r="PTM25" s="21"/>
      <c r="PTN25" s="21"/>
      <c r="PTO25" s="21"/>
      <c r="PTP25" s="21"/>
      <c r="PTQ25" s="21"/>
      <c r="PTR25" s="21"/>
      <c r="PTS25" s="21"/>
      <c r="PTT25" s="21"/>
      <c r="PTU25" s="21"/>
      <c r="PTV25" s="21"/>
      <c r="PTW25" s="21"/>
      <c r="PTX25" s="21"/>
      <c r="PTY25" s="21"/>
      <c r="PTZ25" s="21"/>
      <c r="PUA25" s="21"/>
      <c r="PUB25" s="21"/>
      <c r="PUC25" s="21"/>
      <c r="PUD25" s="21"/>
      <c r="PUE25" s="21"/>
      <c r="PUF25" s="21"/>
      <c r="PUG25" s="21"/>
      <c r="PUH25" s="21"/>
      <c r="PUI25" s="21"/>
      <c r="PUJ25" s="21"/>
      <c r="PUK25" s="21"/>
      <c r="PUL25" s="21"/>
      <c r="PUM25" s="21"/>
      <c r="PUN25" s="21"/>
      <c r="PUO25" s="21"/>
      <c r="PUP25" s="21"/>
      <c r="PUQ25" s="21"/>
      <c r="PUR25" s="21"/>
      <c r="PUS25" s="21"/>
      <c r="PUT25" s="21"/>
      <c r="PUU25" s="21"/>
      <c r="PUV25" s="21"/>
      <c r="PUW25" s="21"/>
      <c r="PUX25" s="21"/>
      <c r="PUY25" s="21"/>
      <c r="PUZ25" s="21"/>
      <c r="PVA25" s="21"/>
      <c r="PVB25" s="21"/>
      <c r="PVC25" s="21"/>
      <c r="PVD25" s="21"/>
      <c r="PVE25" s="21"/>
      <c r="PVF25" s="21"/>
      <c r="PVG25" s="21"/>
      <c r="PVH25" s="21"/>
      <c r="PVI25" s="21"/>
      <c r="PVJ25" s="21"/>
      <c r="PVK25" s="21"/>
      <c r="PVL25" s="21"/>
      <c r="PVM25" s="21"/>
      <c r="PVN25" s="21"/>
      <c r="PVO25" s="21"/>
      <c r="PVP25" s="21"/>
      <c r="PVQ25" s="21"/>
      <c r="PVR25" s="21"/>
      <c r="PVS25" s="21"/>
      <c r="PVT25" s="21"/>
      <c r="PVU25" s="21"/>
      <c r="PVV25" s="21"/>
      <c r="PVW25" s="21"/>
      <c r="PVX25" s="21"/>
      <c r="PVY25" s="21"/>
      <c r="PVZ25" s="21"/>
      <c r="PWA25" s="21"/>
      <c r="PWB25" s="21"/>
      <c r="PWC25" s="21"/>
      <c r="PWD25" s="21"/>
      <c r="PWE25" s="21"/>
      <c r="PWF25" s="21"/>
      <c r="PWG25" s="21"/>
      <c r="PWH25" s="21"/>
      <c r="PWI25" s="21"/>
      <c r="PWJ25" s="21"/>
      <c r="PWK25" s="21"/>
      <c r="PWL25" s="21"/>
      <c r="PWM25" s="21"/>
      <c r="PWN25" s="21"/>
      <c r="PWO25" s="21"/>
      <c r="PWP25" s="21"/>
      <c r="PWQ25" s="21"/>
      <c r="PWR25" s="21"/>
      <c r="PWS25" s="21"/>
      <c r="PWT25" s="21"/>
      <c r="PWU25" s="21"/>
      <c r="PWV25" s="21"/>
      <c r="PWW25" s="21"/>
      <c r="PWX25" s="21"/>
      <c r="PWY25" s="21"/>
      <c r="PWZ25" s="21"/>
      <c r="PXA25" s="21"/>
      <c r="PXB25" s="21"/>
      <c r="PXC25" s="21"/>
      <c r="PXD25" s="21"/>
      <c r="PXE25" s="21"/>
      <c r="PXF25" s="21"/>
      <c r="PXG25" s="21"/>
      <c r="PXH25" s="21"/>
      <c r="PXI25" s="21"/>
      <c r="PXJ25" s="21"/>
      <c r="PXK25" s="21"/>
      <c r="PXL25" s="21"/>
      <c r="PXM25" s="21"/>
      <c r="PXN25" s="21"/>
      <c r="PXO25" s="21"/>
      <c r="PXP25" s="21"/>
      <c r="PXQ25" s="21"/>
      <c r="PXR25" s="21"/>
      <c r="PXS25" s="21"/>
      <c r="PXT25" s="21"/>
      <c r="PXU25" s="21"/>
      <c r="PXV25" s="21"/>
      <c r="PXW25" s="21"/>
      <c r="PXX25" s="21"/>
      <c r="PXY25" s="21"/>
      <c r="PXZ25" s="21"/>
      <c r="PYA25" s="21"/>
      <c r="PYB25" s="21"/>
      <c r="PYC25" s="21"/>
      <c r="PYD25" s="21"/>
      <c r="PYE25" s="21"/>
      <c r="PYF25" s="21"/>
      <c r="PYG25" s="21"/>
      <c r="PYH25" s="21"/>
      <c r="PYI25" s="21"/>
      <c r="PYJ25" s="21"/>
      <c r="PYK25" s="21"/>
      <c r="PYL25" s="21"/>
      <c r="PYM25" s="21"/>
      <c r="PYN25" s="21"/>
      <c r="PYO25" s="21"/>
      <c r="PYP25" s="21"/>
      <c r="PYQ25" s="21"/>
      <c r="PYR25" s="21"/>
      <c r="PYS25" s="21"/>
      <c r="PYT25" s="21"/>
      <c r="PYU25" s="21"/>
      <c r="PYV25" s="21"/>
      <c r="PYW25" s="21"/>
      <c r="PYX25" s="21"/>
      <c r="PYY25" s="21"/>
      <c r="PYZ25" s="21"/>
      <c r="PZA25" s="21"/>
      <c r="PZB25" s="21"/>
      <c r="PZC25" s="21"/>
      <c r="PZD25" s="21"/>
      <c r="PZE25" s="21"/>
      <c r="PZF25" s="21"/>
      <c r="PZG25" s="21"/>
      <c r="PZH25" s="21"/>
      <c r="PZI25" s="21"/>
      <c r="PZJ25" s="21"/>
      <c r="PZK25" s="21"/>
      <c r="PZL25" s="21"/>
      <c r="PZM25" s="21"/>
      <c r="PZN25" s="21"/>
      <c r="PZO25" s="21"/>
      <c r="PZP25" s="21"/>
      <c r="PZQ25" s="21"/>
      <c r="PZR25" s="21"/>
      <c r="PZS25" s="21"/>
      <c r="PZT25" s="21"/>
      <c r="PZU25" s="21"/>
      <c r="PZV25" s="21"/>
      <c r="PZW25" s="21"/>
      <c r="PZX25" s="21"/>
      <c r="PZY25" s="21"/>
      <c r="PZZ25" s="21"/>
      <c r="QAA25" s="21"/>
      <c r="QAB25" s="21"/>
      <c r="QAC25" s="21"/>
      <c r="QAD25" s="21"/>
      <c r="QAE25" s="21"/>
      <c r="QAF25" s="21"/>
      <c r="QAG25" s="21"/>
      <c r="QAH25" s="21"/>
      <c r="QAI25" s="21"/>
      <c r="QAJ25" s="21"/>
      <c r="QAK25" s="21"/>
      <c r="QAL25" s="21"/>
      <c r="QAM25" s="21"/>
      <c r="QAN25" s="21"/>
      <c r="QAO25" s="21"/>
      <c r="QAP25" s="21"/>
      <c r="QAQ25" s="21"/>
      <c r="QAR25" s="21"/>
      <c r="QAS25" s="21"/>
      <c r="QAT25" s="21"/>
      <c r="QAU25" s="21"/>
      <c r="QAV25" s="21"/>
      <c r="QAW25" s="21"/>
      <c r="QAX25" s="21"/>
      <c r="QAY25" s="21"/>
      <c r="QAZ25" s="21"/>
      <c r="QBA25" s="21"/>
      <c r="QBB25" s="21"/>
      <c r="QBC25" s="21"/>
      <c r="QBD25" s="21"/>
      <c r="QBE25" s="21"/>
      <c r="QBF25" s="21"/>
      <c r="QBG25" s="21"/>
      <c r="QBH25" s="21"/>
      <c r="QBI25" s="21"/>
      <c r="QBJ25" s="21"/>
      <c r="QBK25" s="21"/>
      <c r="QBL25" s="21"/>
      <c r="QBM25" s="21"/>
      <c r="QBN25" s="21"/>
      <c r="QBO25" s="21"/>
      <c r="QBP25" s="21"/>
      <c r="QBQ25" s="21"/>
      <c r="QBR25" s="21"/>
      <c r="QBS25" s="21"/>
      <c r="QBT25" s="21"/>
      <c r="QBU25" s="21"/>
      <c r="QBV25" s="21"/>
      <c r="QBW25" s="21"/>
      <c r="QBX25" s="21"/>
      <c r="QBY25" s="21"/>
      <c r="QBZ25" s="21"/>
      <c r="QCA25" s="21"/>
      <c r="QCB25" s="21"/>
      <c r="QCC25" s="21"/>
      <c r="QCD25" s="21"/>
      <c r="QCE25" s="21"/>
      <c r="QCF25" s="21"/>
      <c r="QCG25" s="21"/>
      <c r="QCH25" s="21"/>
      <c r="QCI25" s="21"/>
      <c r="QCJ25" s="21"/>
      <c r="QCK25" s="21"/>
      <c r="QCL25" s="21"/>
      <c r="QCM25" s="21"/>
      <c r="QCN25" s="21"/>
      <c r="QCO25" s="21"/>
      <c r="QCP25" s="21"/>
      <c r="QCQ25" s="21"/>
      <c r="QCR25" s="21"/>
      <c r="QCS25" s="21"/>
      <c r="QCT25" s="21"/>
      <c r="QCU25" s="21"/>
      <c r="QCV25" s="21"/>
      <c r="QCW25" s="21"/>
      <c r="QCX25" s="21"/>
      <c r="QCY25" s="21"/>
      <c r="QCZ25" s="21"/>
      <c r="QDA25" s="21"/>
      <c r="QDB25" s="21"/>
      <c r="QDC25" s="21"/>
      <c r="QDD25" s="21"/>
      <c r="QDE25" s="21"/>
      <c r="QDF25" s="21"/>
      <c r="QDG25" s="21"/>
      <c r="QDH25" s="21"/>
      <c r="QDI25" s="21"/>
      <c r="QDJ25" s="21"/>
      <c r="QDK25" s="21"/>
      <c r="QDL25" s="21"/>
      <c r="QDM25" s="21"/>
      <c r="QDN25" s="21"/>
      <c r="QDO25" s="21"/>
      <c r="QDP25" s="21"/>
      <c r="QDQ25" s="21"/>
      <c r="QDR25" s="21"/>
      <c r="QDS25" s="21"/>
      <c r="QDT25" s="21"/>
      <c r="QDU25" s="21"/>
      <c r="QDV25" s="21"/>
      <c r="QDW25" s="21"/>
      <c r="QDX25" s="21"/>
      <c r="QDY25" s="21"/>
      <c r="QDZ25" s="21"/>
      <c r="QEA25" s="21"/>
      <c r="QEB25" s="21"/>
      <c r="QEC25" s="21"/>
      <c r="QED25" s="21"/>
      <c r="QEE25" s="21"/>
      <c r="QEF25" s="21"/>
      <c r="QEG25" s="21"/>
      <c r="QEH25" s="21"/>
      <c r="QEI25" s="21"/>
      <c r="QEJ25" s="21"/>
      <c r="QEK25" s="21"/>
      <c r="QEL25" s="21"/>
      <c r="QEM25" s="21"/>
      <c r="QEN25" s="21"/>
      <c r="QEO25" s="21"/>
      <c r="QEP25" s="21"/>
      <c r="QEQ25" s="21"/>
      <c r="QER25" s="21"/>
      <c r="QES25" s="21"/>
      <c r="QET25" s="21"/>
      <c r="QEU25" s="21"/>
      <c r="QEV25" s="21"/>
      <c r="QEW25" s="21"/>
      <c r="QEX25" s="21"/>
      <c r="QEY25" s="21"/>
      <c r="QEZ25" s="21"/>
      <c r="QFA25" s="21"/>
      <c r="QFB25" s="21"/>
      <c r="QFC25" s="21"/>
      <c r="QFD25" s="21"/>
      <c r="QFE25" s="21"/>
      <c r="QFF25" s="21"/>
      <c r="QFG25" s="21"/>
      <c r="QFH25" s="21"/>
      <c r="QFI25" s="21"/>
      <c r="QFJ25" s="21"/>
      <c r="QFK25" s="21"/>
      <c r="QFL25" s="21"/>
      <c r="QFM25" s="21"/>
      <c r="QFN25" s="21"/>
      <c r="QFO25" s="21"/>
      <c r="QFP25" s="21"/>
      <c r="QFQ25" s="21"/>
      <c r="QFR25" s="21"/>
      <c r="QFS25" s="21"/>
      <c r="QFT25" s="21"/>
      <c r="QFU25" s="21"/>
      <c r="QFV25" s="21"/>
      <c r="QFW25" s="21"/>
      <c r="QFX25" s="21"/>
      <c r="QFY25" s="21"/>
      <c r="QFZ25" s="21"/>
      <c r="QGA25" s="21"/>
      <c r="QGB25" s="21"/>
      <c r="QGC25" s="21"/>
      <c r="QGD25" s="21"/>
      <c r="QGE25" s="21"/>
      <c r="QGF25" s="21"/>
      <c r="QGG25" s="21"/>
      <c r="QGH25" s="21"/>
      <c r="QGI25" s="21"/>
      <c r="QGJ25" s="21"/>
      <c r="QGK25" s="21"/>
      <c r="QGL25" s="21"/>
      <c r="QGM25" s="21"/>
      <c r="QGN25" s="21"/>
      <c r="QGO25" s="21"/>
      <c r="QGP25" s="21"/>
      <c r="QGQ25" s="21"/>
      <c r="QGR25" s="21"/>
      <c r="QGS25" s="21"/>
      <c r="QGT25" s="21"/>
      <c r="QGU25" s="21"/>
      <c r="QGV25" s="21"/>
      <c r="QGW25" s="21"/>
      <c r="QGX25" s="21"/>
      <c r="QGY25" s="21"/>
      <c r="QGZ25" s="21"/>
      <c r="QHA25" s="21"/>
      <c r="QHB25" s="21"/>
      <c r="QHC25" s="21"/>
      <c r="QHD25" s="21"/>
      <c r="QHE25" s="21"/>
      <c r="QHF25" s="21"/>
      <c r="QHG25" s="21"/>
      <c r="QHH25" s="21"/>
      <c r="QHI25" s="21"/>
      <c r="QHJ25" s="21"/>
      <c r="QHK25" s="21"/>
      <c r="QHL25" s="21"/>
      <c r="QHM25" s="21"/>
      <c r="QHN25" s="21"/>
      <c r="QHO25" s="21"/>
      <c r="QHP25" s="21"/>
      <c r="QHQ25" s="21"/>
      <c r="QHR25" s="21"/>
      <c r="QHS25" s="21"/>
      <c r="QHT25" s="21"/>
      <c r="QHU25" s="21"/>
      <c r="QHV25" s="21"/>
      <c r="QHW25" s="21"/>
      <c r="QHX25" s="21"/>
      <c r="QHY25" s="21"/>
      <c r="QHZ25" s="21"/>
      <c r="QIA25" s="21"/>
      <c r="QIB25" s="21"/>
      <c r="QIC25" s="21"/>
      <c r="QID25" s="21"/>
      <c r="QIE25" s="21"/>
      <c r="QIF25" s="21"/>
      <c r="QIG25" s="21"/>
      <c r="QIH25" s="21"/>
      <c r="QII25" s="21"/>
      <c r="QIJ25" s="21"/>
      <c r="QIK25" s="21"/>
      <c r="QIL25" s="21"/>
      <c r="QIM25" s="21"/>
      <c r="QIN25" s="21"/>
      <c r="QIO25" s="21"/>
      <c r="QIP25" s="21"/>
      <c r="QIQ25" s="21"/>
      <c r="QIR25" s="21"/>
      <c r="QIS25" s="21"/>
      <c r="QIT25" s="21"/>
      <c r="QIU25" s="21"/>
      <c r="QIV25" s="21"/>
      <c r="QIW25" s="21"/>
      <c r="QIX25" s="21"/>
      <c r="QIY25" s="21"/>
      <c r="QIZ25" s="21"/>
      <c r="QJA25" s="21"/>
      <c r="QJB25" s="21"/>
      <c r="QJC25" s="21"/>
      <c r="QJD25" s="21"/>
      <c r="QJE25" s="21"/>
      <c r="QJF25" s="21"/>
      <c r="QJG25" s="21"/>
      <c r="QJH25" s="21"/>
      <c r="QJI25" s="21"/>
      <c r="QJJ25" s="21"/>
      <c r="QJK25" s="21"/>
      <c r="QJL25" s="21"/>
      <c r="QJM25" s="21"/>
      <c r="QJN25" s="21"/>
      <c r="QJO25" s="21"/>
      <c r="QJP25" s="21"/>
      <c r="QJQ25" s="21"/>
      <c r="QJR25" s="21"/>
      <c r="QJS25" s="21"/>
      <c r="QJT25" s="21"/>
      <c r="QJU25" s="21"/>
      <c r="QJV25" s="21"/>
      <c r="QJW25" s="21"/>
      <c r="QJX25" s="21"/>
      <c r="QJY25" s="21"/>
      <c r="QJZ25" s="21"/>
      <c r="QKA25" s="21"/>
      <c r="QKB25" s="21"/>
      <c r="QKC25" s="21"/>
      <c r="QKD25" s="21"/>
      <c r="QKE25" s="21"/>
      <c r="QKF25" s="21"/>
      <c r="QKG25" s="21"/>
      <c r="QKH25" s="21"/>
      <c r="QKI25" s="21"/>
      <c r="QKJ25" s="21"/>
      <c r="QKK25" s="21"/>
      <c r="QKL25" s="21"/>
      <c r="QKM25" s="21"/>
      <c r="QKN25" s="21"/>
      <c r="QKO25" s="21"/>
      <c r="QKP25" s="21"/>
      <c r="QKQ25" s="21"/>
      <c r="QKR25" s="21"/>
      <c r="QKS25" s="21"/>
      <c r="QKT25" s="21"/>
      <c r="QKU25" s="21"/>
      <c r="QKV25" s="21"/>
      <c r="QKW25" s="21"/>
      <c r="QKX25" s="21"/>
      <c r="QKY25" s="21"/>
      <c r="QKZ25" s="21"/>
      <c r="QLA25" s="21"/>
      <c r="QLB25" s="21"/>
      <c r="QLC25" s="21"/>
      <c r="QLD25" s="21"/>
      <c r="QLE25" s="21"/>
      <c r="QLF25" s="21"/>
      <c r="QLG25" s="21"/>
      <c r="QLH25" s="21"/>
      <c r="QLI25" s="21"/>
      <c r="QLJ25" s="21"/>
      <c r="QLK25" s="21"/>
      <c r="QLL25" s="21"/>
      <c r="QLM25" s="21"/>
      <c r="QLN25" s="21"/>
      <c r="QLO25" s="21"/>
      <c r="QLP25" s="21"/>
      <c r="QLQ25" s="21"/>
      <c r="QLR25" s="21"/>
      <c r="QLS25" s="21"/>
      <c r="QLT25" s="21"/>
      <c r="QLU25" s="21"/>
      <c r="QLV25" s="21"/>
      <c r="QLW25" s="21"/>
      <c r="QLX25" s="21"/>
      <c r="QLY25" s="21"/>
      <c r="QLZ25" s="21"/>
      <c r="QMA25" s="21"/>
      <c r="QMB25" s="21"/>
      <c r="QMC25" s="21"/>
      <c r="QMD25" s="21"/>
      <c r="QME25" s="21"/>
      <c r="QMF25" s="21"/>
      <c r="QMG25" s="21"/>
      <c r="QMH25" s="21"/>
      <c r="QMI25" s="21"/>
      <c r="QMJ25" s="21"/>
      <c r="QMK25" s="21"/>
      <c r="QML25" s="21"/>
      <c r="QMM25" s="21"/>
      <c r="QMN25" s="21"/>
      <c r="QMO25" s="21"/>
      <c r="QMP25" s="21"/>
      <c r="QMQ25" s="21"/>
      <c r="QMR25" s="21"/>
      <c r="QMS25" s="21"/>
      <c r="QMT25" s="21"/>
      <c r="QMU25" s="21"/>
      <c r="QMV25" s="21"/>
      <c r="QMW25" s="21"/>
      <c r="QMX25" s="21"/>
      <c r="QMY25" s="21"/>
      <c r="QMZ25" s="21"/>
      <c r="QNA25" s="21"/>
      <c r="QNB25" s="21"/>
      <c r="QNC25" s="21"/>
      <c r="QND25" s="21"/>
      <c r="QNE25" s="21"/>
      <c r="QNF25" s="21"/>
      <c r="QNG25" s="21"/>
      <c r="QNH25" s="21"/>
      <c r="QNI25" s="21"/>
      <c r="QNJ25" s="21"/>
      <c r="QNK25" s="21"/>
      <c r="QNL25" s="21"/>
      <c r="QNM25" s="21"/>
      <c r="QNN25" s="21"/>
      <c r="QNO25" s="21"/>
      <c r="QNP25" s="21"/>
      <c r="QNQ25" s="21"/>
      <c r="QNR25" s="21"/>
      <c r="QNS25" s="21"/>
      <c r="QNT25" s="21"/>
      <c r="QNU25" s="21"/>
      <c r="QNV25" s="21"/>
      <c r="QNW25" s="21"/>
      <c r="QNX25" s="21"/>
      <c r="QNY25" s="21"/>
      <c r="QNZ25" s="21"/>
      <c r="QOA25" s="21"/>
      <c r="QOB25" s="21"/>
      <c r="QOC25" s="21"/>
      <c r="QOD25" s="21"/>
      <c r="QOE25" s="21"/>
      <c r="QOF25" s="21"/>
      <c r="QOG25" s="21"/>
      <c r="QOH25" s="21"/>
      <c r="QOI25" s="21"/>
      <c r="QOJ25" s="21"/>
      <c r="QOK25" s="21"/>
      <c r="QOL25" s="21"/>
      <c r="QOM25" s="21"/>
      <c r="QON25" s="21"/>
      <c r="QOO25" s="21"/>
      <c r="QOP25" s="21"/>
      <c r="QOQ25" s="21"/>
      <c r="QOR25" s="21"/>
      <c r="QOS25" s="21"/>
      <c r="QOT25" s="21"/>
      <c r="QOU25" s="21"/>
      <c r="QOV25" s="21"/>
      <c r="QOW25" s="21"/>
      <c r="QOX25" s="21"/>
      <c r="QOY25" s="21"/>
      <c r="QOZ25" s="21"/>
      <c r="QPA25" s="21"/>
      <c r="QPB25" s="21"/>
      <c r="QPC25" s="21"/>
      <c r="QPD25" s="21"/>
      <c r="QPE25" s="21"/>
      <c r="QPF25" s="21"/>
      <c r="QPG25" s="21"/>
      <c r="QPH25" s="21"/>
      <c r="QPI25" s="21"/>
      <c r="QPJ25" s="21"/>
      <c r="QPK25" s="21"/>
      <c r="QPL25" s="21"/>
      <c r="QPM25" s="21"/>
      <c r="QPN25" s="21"/>
      <c r="QPO25" s="21"/>
      <c r="QPP25" s="21"/>
      <c r="QPQ25" s="21"/>
      <c r="QPR25" s="21"/>
      <c r="QPS25" s="21"/>
      <c r="QPT25" s="21"/>
      <c r="QPU25" s="21"/>
      <c r="QPV25" s="21"/>
      <c r="QPW25" s="21"/>
      <c r="QPX25" s="21"/>
      <c r="QPY25" s="21"/>
      <c r="QPZ25" s="21"/>
      <c r="QQA25" s="21"/>
      <c r="QQB25" s="21"/>
      <c r="QQC25" s="21"/>
      <c r="QQD25" s="21"/>
      <c r="QQE25" s="21"/>
      <c r="QQF25" s="21"/>
      <c r="QQG25" s="21"/>
      <c r="QQH25" s="21"/>
      <c r="QQI25" s="21"/>
      <c r="QQJ25" s="21"/>
      <c r="QQK25" s="21"/>
      <c r="QQL25" s="21"/>
      <c r="QQM25" s="21"/>
      <c r="QQN25" s="21"/>
      <c r="QQO25" s="21"/>
      <c r="QQP25" s="21"/>
      <c r="QQQ25" s="21"/>
      <c r="QQR25" s="21"/>
      <c r="QQS25" s="21"/>
      <c r="QQT25" s="21"/>
      <c r="QQU25" s="21"/>
      <c r="QQV25" s="21"/>
      <c r="QQW25" s="21"/>
      <c r="QQX25" s="21"/>
      <c r="QQY25" s="21"/>
      <c r="QQZ25" s="21"/>
      <c r="QRA25" s="21"/>
      <c r="QRB25" s="21"/>
      <c r="QRC25" s="21"/>
      <c r="QRD25" s="21"/>
      <c r="QRE25" s="21"/>
      <c r="QRF25" s="21"/>
      <c r="QRG25" s="21"/>
      <c r="QRH25" s="21"/>
      <c r="QRI25" s="21"/>
      <c r="QRJ25" s="21"/>
      <c r="QRK25" s="21"/>
      <c r="QRL25" s="21"/>
      <c r="QRM25" s="21"/>
      <c r="QRN25" s="21"/>
      <c r="QRO25" s="21"/>
      <c r="QRP25" s="21"/>
      <c r="QRQ25" s="21"/>
      <c r="QRR25" s="21"/>
      <c r="QRS25" s="21"/>
      <c r="QRT25" s="21"/>
      <c r="QRU25" s="21"/>
      <c r="QRV25" s="21"/>
      <c r="QRW25" s="21"/>
      <c r="QRX25" s="21"/>
      <c r="QRY25" s="21"/>
      <c r="QRZ25" s="21"/>
      <c r="QSA25" s="21"/>
      <c r="QSB25" s="21"/>
      <c r="QSC25" s="21"/>
      <c r="QSD25" s="21"/>
      <c r="QSE25" s="21"/>
      <c r="QSF25" s="21"/>
      <c r="QSG25" s="21"/>
      <c r="QSH25" s="21"/>
      <c r="QSI25" s="21"/>
      <c r="QSJ25" s="21"/>
      <c r="QSK25" s="21"/>
      <c r="QSL25" s="21"/>
      <c r="QSM25" s="21"/>
      <c r="QSN25" s="21"/>
      <c r="QSO25" s="21"/>
      <c r="QSP25" s="21"/>
      <c r="QSQ25" s="21"/>
      <c r="QSR25" s="21"/>
      <c r="QSS25" s="21"/>
      <c r="QST25" s="21"/>
      <c r="QSU25" s="21"/>
      <c r="QSV25" s="21"/>
      <c r="QSW25" s="21"/>
      <c r="QSX25" s="21"/>
      <c r="QSY25" s="21"/>
      <c r="QSZ25" s="21"/>
      <c r="QTA25" s="21"/>
      <c r="QTB25" s="21"/>
      <c r="QTC25" s="21"/>
      <c r="QTD25" s="21"/>
      <c r="QTE25" s="21"/>
      <c r="QTF25" s="21"/>
      <c r="QTG25" s="21"/>
      <c r="QTH25" s="21"/>
      <c r="QTI25" s="21"/>
      <c r="QTJ25" s="21"/>
      <c r="QTK25" s="21"/>
      <c r="QTL25" s="21"/>
      <c r="QTM25" s="21"/>
      <c r="QTN25" s="21"/>
      <c r="QTO25" s="21"/>
      <c r="QTP25" s="21"/>
      <c r="QTQ25" s="21"/>
      <c r="QTR25" s="21"/>
      <c r="QTS25" s="21"/>
      <c r="QTT25" s="21"/>
      <c r="QTU25" s="21"/>
      <c r="QTV25" s="21"/>
      <c r="QTW25" s="21"/>
      <c r="QTX25" s="21"/>
      <c r="QTY25" s="21"/>
      <c r="QTZ25" s="21"/>
      <c r="QUA25" s="21"/>
      <c r="QUB25" s="21"/>
      <c r="QUC25" s="21"/>
      <c r="QUD25" s="21"/>
      <c r="QUE25" s="21"/>
      <c r="QUF25" s="21"/>
      <c r="QUG25" s="21"/>
      <c r="QUH25" s="21"/>
      <c r="QUI25" s="21"/>
      <c r="QUJ25" s="21"/>
      <c r="QUK25" s="21"/>
      <c r="QUL25" s="21"/>
      <c r="QUM25" s="21"/>
      <c r="QUN25" s="21"/>
      <c r="QUO25" s="21"/>
      <c r="QUP25" s="21"/>
      <c r="QUQ25" s="21"/>
      <c r="QUR25" s="21"/>
      <c r="QUS25" s="21"/>
      <c r="QUT25" s="21"/>
      <c r="QUU25" s="21"/>
      <c r="QUV25" s="21"/>
      <c r="QUW25" s="21"/>
      <c r="QUX25" s="21"/>
      <c r="QUY25" s="21"/>
      <c r="QUZ25" s="21"/>
      <c r="QVA25" s="21"/>
      <c r="QVB25" s="21"/>
      <c r="QVC25" s="21"/>
      <c r="QVD25" s="21"/>
      <c r="QVE25" s="21"/>
      <c r="QVF25" s="21"/>
      <c r="QVG25" s="21"/>
      <c r="QVH25" s="21"/>
      <c r="QVI25" s="21"/>
      <c r="QVJ25" s="21"/>
      <c r="QVK25" s="21"/>
      <c r="QVL25" s="21"/>
      <c r="QVM25" s="21"/>
      <c r="QVN25" s="21"/>
      <c r="QVO25" s="21"/>
      <c r="QVP25" s="21"/>
      <c r="QVQ25" s="21"/>
      <c r="QVR25" s="21"/>
      <c r="QVS25" s="21"/>
      <c r="QVT25" s="21"/>
      <c r="QVU25" s="21"/>
      <c r="QVV25" s="21"/>
      <c r="QVW25" s="21"/>
      <c r="QVX25" s="21"/>
      <c r="QVY25" s="21"/>
      <c r="QVZ25" s="21"/>
      <c r="QWA25" s="21"/>
      <c r="QWB25" s="21"/>
      <c r="QWC25" s="21"/>
      <c r="QWD25" s="21"/>
      <c r="QWE25" s="21"/>
      <c r="QWF25" s="21"/>
      <c r="QWG25" s="21"/>
      <c r="QWH25" s="21"/>
      <c r="QWI25" s="21"/>
      <c r="QWJ25" s="21"/>
      <c r="QWK25" s="21"/>
      <c r="QWL25" s="21"/>
      <c r="QWM25" s="21"/>
      <c r="QWN25" s="21"/>
      <c r="QWO25" s="21"/>
      <c r="QWP25" s="21"/>
      <c r="QWQ25" s="21"/>
      <c r="QWR25" s="21"/>
      <c r="QWS25" s="21"/>
      <c r="QWT25" s="21"/>
      <c r="QWU25" s="21"/>
      <c r="QWV25" s="21"/>
      <c r="QWW25" s="21"/>
      <c r="QWX25" s="21"/>
      <c r="QWY25" s="21"/>
      <c r="QWZ25" s="21"/>
      <c r="QXA25" s="21"/>
      <c r="QXB25" s="21"/>
      <c r="QXC25" s="21"/>
      <c r="QXD25" s="21"/>
      <c r="QXE25" s="21"/>
      <c r="QXF25" s="21"/>
      <c r="QXG25" s="21"/>
      <c r="QXH25" s="21"/>
      <c r="QXI25" s="21"/>
      <c r="QXJ25" s="21"/>
      <c r="QXK25" s="21"/>
      <c r="QXL25" s="21"/>
      <c r="QXM25" s="21"/>
      <c r="QXN25" s="21"/>
      <c r="QXO25" s="21"/>
      <c r="QXP25" s="21"/>
      <c r="QXQ25" s="21"/>
      <c r="QXR25" s="21"/>
      <c r="QXS25" s="21"/>
      <c r="QXT25" s="21"/>
      <c r="QXU25" s="21"/>
      <c r="QXV25" s="21"/>
      <c r="QXW25" s="21"/>
      <c r="QXX25" s="21"/>
      <c r="QXY25" s="21"/>
      <c r="QXZ25" s="21"/>
      <c r="QYA25" s="21"/>
      <c r="QYB25" s="21"/>
      <c r="QYC25" s="21"/>
      <c r="QYD25" s="21"/>
      <c r="QYE25" s="21"/>
      <c r="QYF25" s="21"/>
      <c r="QYG25" s="21"/>
      <c r="QYH25" s="21"/>
      <c r="QYI25" s="21"/>
      <c r="QYJ25" s="21"/>
      <c r="QYK25" s="21"/>
      <c r="QYL25" s="21"/>
      <c r="QYM25" s="21"/>
      <c r="QYN25" s="21"/>
      <c r="QYO25" s="21"/>
      <c r="QYP25" s="21"/>
      <c r="QYQ25" s="21"/>
      <c r="QYR25" s="21"/>
      <c r="QYS25" s="21"/>
      <c r="QYT25" s="21"/>
      <c r="QYU25" s="21"/>
      <c r="QYV25" s="21"/>
      <c r="QYW25" s="21"/>
      <c r="QYX25" s="21"/>
      <c r="QYY25" s="21"/>
      <c r="QYZ25" s="21"/>
      <c r="QZA25" s="21"/>
      <c r="QZB25" s="21"/>
      <c r="QZC25" s="21"/>
      <c r="QZD25" s="21"/>
      <c r="QZE25" s="21"/>
      <c r="QZF25" s="21"/>
      <c r="QZG25" s="21"/>
      <c r="QZH25" s="21"/>
      <c r="QZI25" s="21"/>
      <c r="QZJ25" s="21"/>
      <c r="QZK25" s="21"/>
      <c r="QZL25" s="21"/>
      <c r="QZM25" s="21"/>
      <c r="QZN25" s="21"/>
      <c r="QZO25" s="21"/>
      <c r="QZP25" s="21"/>
      <c r="QZQ25" s="21"/>
      <c r="QZR25" s="21"/>
      <c r="QZS25" s="21"/>
      <c r="QZT25" s="21"/>
      <c r="QZU25" s="21"/>
      <c r="QZV25" s="21"/>
      <c r="QZW25" s="21"/>
      <c r="QZX25" s="21"/>
      <c r="QZY25" s="21"/>
      <c r="QZZ25" s="21"/>
      <c r="RAA25" s="21"/>
      <c r="RAB25" s="21"/>
      <c r="RAC25" s="21"/>
      <c r="RAD25" s="21"/>
      <c r="RAE25" s="21"/>
      <c r="RAF25" s="21"/>
      <c r="RAG25" s="21"/>
      <c r="RAH25" s="21"/>
      <c r="RAI25" s="21"/>
      <c r="RAJ25" s="21"/>
      <c r="RAK25" s="21"/>
      <c r="RAL25" s="21"/>
      <c r="RAM25" s="21"/>
      <c r="RAN25" s="21"/>
      <c r="RAO25" s="21"/>
      <c r="RAP25" s="21"/>
      <c r="RAQ25" s="21"/>
      <c r="RAR25" s="21"/>
      <c r="RAS25" s="21"/>
      <c r="RAT25" s="21"/>
      <c r="RAU25" s="21"/>
      <c r="RAV25" s="21"/>
      <c r="RAW25" s="21"/>
      <c r="RAX25" s="21"/>
      <c r="RAY25" s="21"/>
      <c r="RAZ25" s="21"/>
      <c r="RBA25" s="21"/>
      <c r="RBB25" s="21"/>
      <c r="RBC25" s="21"/>
      <c r="RBD25" s="21"/>
      <c r="RBE25" s="21"/>
      <c r="RBF25" s="21"/>
      <c r="RBG25" s="21"/>
      <c r="RBH25" s="21"/>
      <c r="RBI25" s="21"/>
      <c r="RBJ25" s="21"/>
      <c r="RBK25" s="21"/>
      <c r="RBL25" s="21"/>
      <c r="RBM25" s="21"/>
      <c r="RBN25" s="21"/>
      <c r="RBO25" s="21"/>
      <c r="RBP25" s="21"/>
      <c r="RBQ25" s="21"/>
      <c r="RBR25" s="21"/>
      <c r="RBS25" s="21"/>
      <c r="RBT25" s="21"/>
      <c r="RBU25" s="21"/>
      <c r="RBV25" s="21"/>
      <c r="RBW25" s="21"/>
      <c r="RBX25" s="21"/>
      <c r="RBY25" s="21"/>
      <c r="RBZ25" s="21"/>
      <c r="RCA25" s="21"/>
      <c r="RCB25" s="21"/>
      <c r="RCC25" s="21"/>
      <c r="RCD25" s="21"/>
      <c r="RCE25" s="21"/>
      <c r="RCF25" s="21"/>
      <c r="RCG25" s="21"/>
      <c r="RCH25" s="21"/>
      <c r="RCI25" s="21"/>
      <c r="RCJ25" s="21"/>
      <c r="RCK25" s="21"/>
      <c r="RCL25" s="21"/>
      <c r="RCM25" s="21"/>
      <c r="RCN25" s="21"/>
      <c r="RCO25" s="21"/>
      <c r="RCP25" s="21"/>
      <c r="RCQ25" s="21"/>
      <c r="RCR25" s="21"/>
      <c r="RCS25" s="21"/>
      <c r="RCT25" s="21"/>
      <c r="RCU25" s="21"/>
      <c r="RCV25" s="21"/>
      <c r="RCW25" s="21"/>
      <c r="RCX25" s="21"/>
      <c r="RCY25" s="21"/>
      <c r="RCZ25" s="21"/>
      <c r="RDA25" s="21"/>
      <c r="RDB25" s="21"/>
      <c r="RDC25" s="21"/>
      <c r="RDD25" s="21"/>
      <c r="RDE25" s="21"/>
      <c r="RDF25" s="21"/>
      <c r="RDG25" s="21"/>
      <c r="RDH25" s="21"/>
      <c r="RDI25" s="21"/>
      <c r="RDJ25" s="21"/>
      <c r="RDK25" s="21"/>
      <c r="RDL25" s="21"/>
      <c r="RDM25" s="21"/>
      <c r="RDN25" s="21"/>
      <c r="RDO25" s="21"/>
      <c r="RDP25" s="21"/>
      <c r="RDQ25" s="21"/>
      <c r="RDR25" s="21"/>
      <c r="RDS25" s="21"/>
      <c r="RDT25" s="21"/>
      <c r="RDU25" s="21"/>
      <c r="RDV25" s="21"/>
      <c r="RDW25" s="21"/>
      <c r="RDX25" s="21"/>
      <c r="RDY25" s="21"/>
      <c r="RDZ25" s="21"/>
      <c r="REA25" s="21"/>
      <c r="REB25" s="21"/>
      <c r="REC25" s="21"/>
      <c r="RED25" s="21"/>
      <c r="REE25" s="21"/>
      <c r="REF25" s="21"/>
      <c r="REG25" s="21"/>
      <c r="REH25" s="21"/>
      <c r="REI25" s="21"/>
      <c r="REJ25" s="21"/>
      <c r="REK25" s="21"/>
      <c r="REL25" s="21"/>
      <c r="REM25" s="21"/>
      <c r="REN25" s="21"/>
      <c r="REO25" s="21"/>
      <c r="REP25" s="21"/>
      <c r="REQ25" s="21"/>
      <c r="RER25" s="21"/>
      <c r="RES25" s="21"/>
      <c r="RET25" s="21"/>
      <c r="REU25" s="21"/>
      <c r="REV25" s="21"/>
      <c r="REW25" s="21"/>
      <c r="REX25" s="21"/>
      <c r="REY25" s="21"/>
      <c r="REZ25" s="21"/>
      <c r="RFA25" s="21"/>
      <c r="RFB25" s="21"/>
      <c r="RFC25" s="21"/>
      <c r="RFD25" s="21"/>
      <c r="RFE25" s="21"/>
      <c r="RFF25" s="21"/>
      <c r="RFG25" s="21"/>
      <c r="RFH25" s="21"/>
      <c r="RFI25" s="21"/>
      <c r="RFJ25" s="21"/>
      <c r="RFK25" s="21"/>
      <c r="RFL25" s="21"/>
      <c r="RFM25" s="21"/>
      <c r="RFN25" s="21"/>
      <c r="RFO25" s="21"/>
      <c r="RFP25" s="21"/>
      <c r="RFQ25" s="21"/>
      <c r="RFR25" s="21"/>
      <c r="RFS25" s="21"/>
      <c r="RFT25" s="21"/>
      <c r="RFU25" s="21"/>
      <c r="RFV25" s="21"/>
      <c r="RFW25" s="21"/>
      <c r="RFX25" s="21"/>
      <c r="RFY25" s="21"/>
      <c r="RFZ25" s="21"/>
      <c r="RGA25" s="21"/>
      <c r="RGB25" s="21"/>
      <c r="RGC25" s="21"/>
      <c r="RGD25" s="21"/>
      <c r="RGE25" s="21"/>
      <c r="RGF25" s="21"/>
      <c r="RGG25" s="21"/>
      <c r="RGH25" s="21"/>
      <c r="RGI25" s="21"/>
      <c r="RGJ25" s="21"/>
      <c r="RGK25" s="21"/>
      <c r="RGL25" s="21"/>
      <c r="RGM25" s="21"/>
      <c r="RGN25" s="21"/>
      <c r="RGO25" s="21"/>
      <c r="RGP25" s="21"/>
      <c r="RGQ25" s="21"/>
      <c r="RGR25" s="21"/>
      <c r="RGS25" s="21"/>
      <c r="RGT25" s="21"/>
      <c r="RGU25" s="21"/>
      <c r="RGV25" s="21"/>
      <c r="RGW25" s="21"/>
      <c r="RGX25" s="21"/>
      <c r="RGY25" s="21"/>
      <c r="RGZ25" s="21"/>
      <c r="RHA25" s="21"/>
      <c r="RHB25" s="21"/>
      <c r="RHC25" s="21"/>
      <c r="RHD25" s="21"/>
      <c r="RHE25" s="21"/>
      <c r="RHF25" s="21"/>
      <c r="RHG25" s="21"/>
      <c r="RHH25" s="21"/>
      <c r="RHI25" s="21"/>
      <c r="RHJ25" s="21"/>
      <c r="RHK25" s="21"/>
      <c r="RHL25" s="21"/>
      <c r="RHM25" s="21"/>
      <c r="RHN25" s="21"/>
      <c r="RHO25" s="21"/>
      <c r="RHP25" s="21"/>
      <c r="RHQ25" s="21"/>
      <c r="RHR25" s="21"/>
      <c r="RHS25" s="21"/>
      <c r="RHT25" s="21"/>
      <c r="RHU25" s="21"/>
      <c r="RHV25" s="21"/>
      <c r="RHW25" s="21"/>
      <c r="RHX25" s="21"/>
      <c r="RHY25" s="21"/>
      <c r="RHZ25" s="21"/>
      <c r="RIA25" s="21"/>
      <c r="RIB25" s="21"/>
      <c r="RIC25" s="21"/>
      <c r="RID25" s="21"/>
      <c r="RIE25" s="21"/>
      <c r="RIF25" s="21"/>
      <c r="RIG25" s="21"/>
      <c r="RIH25" s="21"/>
      <c r="RII25" s="21"/>
      <c r="RIJ25" s="21"/>
      <c r="RIK25" s="21"/>
      <c r="RIL25" s="21"/>
      <c r="RIM25" s="21"/>
      <c r="RIN25" s="21"/>
      <c r="RIO25" s="21"/>
      <c r="RIP25" s="21"/>
      <c r="RIQ25" s="21"/>
      <c r="RIR25" s="21"/>
      <c r="RIS25" s="21"/>
      <c r="RIT25" s="21"/>
      <c r="RIU25" s="21"/>
      <c r="RIV25" s="21"/>
      <c r="RIW25" s="21"/>
      <c r="RIX25" s="21"/>
      <c r="RIY25" s="21"/>
      <c r="RIZ25" s="21"/>
      <c r="RJA25" s="21"/>
      <c r="RJB25" s="21"/>
      <c r="RJC25" s="21"/>
      <c r="RJD25" s="21"/>
      <c r="RJE25" s="21"/>
      <c r="RJF25" s="21"/>
      <c r="RJG25" s="21"/>
      <c r="RJH25" s="21"/>
      <c r="RJI25" s="21"/>
      <c r="RJJ25" s="21"/>
      <c r="RJK25" s="21"/>
      <c r="RJL25" s="21"/>
      <c r="RJM25" s="21"/>
      <c r="RJN25" s="21"/>
      <c r="RJO25" s="21"/>
      <c r="RJP25" s="21"/>
      <c r="RJQ25" s="21"/>
      <c r="RJR25" s="21"/>
      <c r="RJS25" s="21"/>
      <c r="RJT25" s="21"/>
      <c r="RJU25" s="21"/>
      <c r="RJV25" s="21"/>
      <c r="RJW25" s="21"/>
      <c r="RJX25" s="21"/>
      <c r="RJY25" s="21"/>
      <c r="RJZ25" s="21"/>
      <c r="RKA25" s="21"/>
      <c r="RKB25" s="21"/>
      <c r="RKC25" s="21"/>
      <c r="RKD25" s="21"/>
      <c r="RKE25" s="21"/>
      <c r="RKF25" s="21"/>
      <c r="RKG25" s="21"/>
      <c r="RKH25" s="21"/>
      <c r="RKI25" s="21"/>
      <c r="RKJ25" s="21"/>
      <c r="RKK25" s="21"/>
      <c r="RKL25" s="21"/>
      <c r="RKM25" s="21"/>
      <c r="RKN25" s="21"/>
      <c r="RKO25" s="21"/>
      <c r="RKP25" s="21"/>
      <c r="RKQ25" s="21"/>
      <c r="RKR25" s="21"/>
      <c r="RKS25" s="21"/>
      <c r="RKT25" s="21"/>
      <c r="RKU25" s="21"/>
      <c r="RKV25" s="21"/>
      <c r="RKW25" s="21"/>
      <c r="RKX25" s="21"/>
      <c r="RKY25" s="21"/>
      <c r="RKZ25" s="21"/>
      <c r="RLA25" s="21"/>
      <c r="RLB25" s="21"/>
      <c r="RLC25" s="21"/>
      <c r="RLD25" s="21"/>
      <c r="RLE25" s="21"/>
      <c r="RLF25" s="21"/>
      <c r="RLG25" s="21"/>
      <c r="RLH25" s="21"/>
      <c r="RLI25" s="21"/>
      <c r="RLJ25" s="21"/>
      <c r="RLK25" s="21"/>
      <c r="RLL25" s="21"/>
      <c r="RLM25" s="21"/>
      <c r="RLN25" s="21"/>
      <c r="RLO25" s="21"/>
      <c r="RLP25" s="21"/>
      <c r="RLQ25" s="21"/>
      <c r="RLR25" s="21"/>
      <c r="RLS25" s="21"/>
      <c r="RLT25" s="21"/>
      <c r="RLU25" s="21"/>
      <c r="RLV25" s="21"/>
      <c r="RLW25" s="21"/>
      <c r="RLX25" s="21"/>
      <c r="RLY25" s="21"/>
      <c r="RLZ25" s="21"/>
      <c r="RMA25" s="21"/>
      <c r="RMB25" s="21"/>
      <c r="RMC25" s="21"/>
      <c r="RMD25" s="21"/>
      <c r="RME25" s="21"/>
      <c r="RMF25" s="21"/>
      <c r="RMG25" s="21"/>
      <c r="RMH25" s="21"/>
      <c r="RMI25" s="21"/>
      <c r="RMJ25" s="21"/>
      <c r="RMK25" s="21"/>
      <c r="RML25" s="21"/>
      <c r="RMM25" s="21"/>
      <c r="RMN25" s="21"/>
      <c r="RMO25" s="21"/>
      <c r="RMP25" s="21"/>
      <c r="RMQ25" s="21"/>
      <c r="RMR25" s="21"/>
      <c r="RMS25" s="21"/>
      <c r="RMT25" s="21"/>
      <c r="RMU25" s="21"/>
      <c r="RMV25" s="21"/>
      <c r="RMW25" s="21"/>
      <c r="RMX25" s="21"/>
      <c r="RMY25" s="21"/>
      <c r="RMZ25" s="21"/>
      <c r="RNA25" s="21"/>
      <c r="RNB25" s="21"/>
      <c r="RNC25" s="21"/>
      <c r="RND25" s="21"/>
      <c r="RNE25" s="21"/>
      <c r="RNF25" s="21"/>
      <c r="RNG25" s="21"/>
      <c r="RNH25" s="21"/>
      <c r="RNI25" s="21"/>
      <c r="RNJ25" s="21"/>
      <c r="RNK25" s="21"/>
      <c r="RNL25" s="21"/>
      <c r="RNM25" s="21"/>
      <c r="RNN25" s="21"/>
      <c r="RNO25" s="21"/>
      <c r="RNP25" s="21"/>
      <c r="RNQ25" s="21"/>
      <c r="RNR25" s="21"/>
      <c r="RNS25" s="21"/>
      <c r="RNT25" s="21"/>
      <c r="RNU25" s="21"/>
      <c r="RNV25" s="21"/>
      <c r="RNW25" s="21"/>
      <c r="RNX25" s="21"/>
      <c r="RNY25" s="21"/>
      <c r="RNZ25" s="21"/>
      <c r="ROA25" s="21"/>
      <c r="ROB25" s="21"/>
      <c r="ROC25" s="21"/>
      <c r="ROD25" s="21"/>
      <c r="ROE25" s="21"/>
      <c r="ROF25" s="21"/>
      <c r="ROG25" s="21"/>
      <c r="ROH25" s="21"/>
      <c r="ROI25" s="21"/>
      <c r="ROJ25" s="21"/>
      <c r="ROK25" s="21"/>
      <c r="ROL25" s="21"/>
      <c r="ROM25" s="21"/>
      <c r="RON25" s="21"/>
      <c r="ROO25" s="21"/>
      <c r="ROP25" s="21"/>
      <c r="ROQ25" s="21"/>
      <c r="ROR25" s="21"/>
      <c r="ROS25" s="21"/>
      <c r="ROT25" s="21"/>
      <c r="ROU25" s="21"/>
      <c r="ROV25" s="21"/>
      <c r="ROW25" s="21"/>
      <c r="ROX25" s="21"/>
      <c r="ROY25" s="21"/>
      <c r="ROZ25" s="21"/>
      <c r="RPA25" s="21"/>
      <c r="RPB25" s="21"/>
      <c r="RPC25" s="21"/>
      <c r="RPD25" s="21"/>
      <c r="RPE25" s="21"/>
      <c r="RPF25" s="21"/>
      <c r="RPG25" s="21"/>
      <c r="RPH25" s="21"/>
      <c r="RPI25" s="21"/>
      <c r="RPJ25" s="21"/>
      <c r="RPK25" s="21"/>
      <c r="RPL25" s="21"/>
      <c r="RPM25" s="21"/>
      <c r="RPN25" s="21"/>
      <c r="RPO25" s="21"/>
      <c r="RPP25" s="21"/>
      <c r="RPQ25" s="21"/>
      <c r="RPR25" s="21"/>
      <c r="RPS25" s="21"/>
      <c r="RPT25" s="21"/>
      <c r="RPU25" s="21"/>
      <c r="RPV25" s="21"/>
      <c r="RPW25" s="21"/>
      <c r="RPX25" s="21"/>
      <c r="RPY25" s="21"/>
      <c r="RPZ25" s="21"/>
      <c r="RQA25" s="21"/>
      <c r="RQB25" s="21"/>
      <c r="RQC25" s="21"/>
      <c r="RQD25" s="21"/>
      <c r="RQE25" s="21"/>
      <c r="RQF25" s="21"/>
      <c r="RQG25" s="21"/>
      <c r="RQH25" s="21"/>
      <c r="RQI25" s="21"/>
      <c r="RQJ25" s="21"/>
      <c r="RQK25" s="21"/>
      <c r="RQL25" s="21"/>
      <c r="RQM25" s="21"/>
      <c r="RQN25" s="21"/>
      <c r="RQO25" s="21"/>
      <c r="RQP25" s="21"/>
      <c r="RQQ25" s="21"/>
      <c r="RQR25" s="21"/>
      <c r="RQS25" s="21"/>
      <c r="RQT25" s="21"/>
      <c r="RQU25" s="21"/>
      <c r="RQV25" s="21"/>
      <c r="RQW25" s="21"/>
      <c r="RQX25" s="21"/>
      <c r="RQY25" s="21"/>
      <c r="RQZ25" s="21"/>
      <c r="RRA25" s="21"/>
      <c r="RRB25" s="21"/>
      <c r="RRC25" s="21"/>
      <c r="RRD25" s="21"/>
      <c r="RRE25" s="21"/>
      <c r="RRF25" s="21"/>
      <c r="RRG25" s="21"/>
      <c r="RRH25" s="21"/>
      <c r="RRI25" s="21"/>
      <c r="RRJ25" s="21"/>
      <c r="RRK25" s="21"/>
      <c r="RRL25" s="21"/>
      <c r="RRM25" s="21"/>
      <c r="RRN25" s="21"/>
      <c r="RRO25" s="21"/>
      <c r="RRP25" s="21"/>
      <c r="RRQ25" s="21"/>
      <c r="RRR25" s="21"/>
      <c r="RRS25" s="21"/>
      <c r="RRT25" s="21"/>
      <c r="RRU25" s="21"/>
      <c r="RRV25" s="21"/>
      <c r="RRW25" s="21"/>
      <c r="RRX25" s="21"/>
      <c r="RRY25" s="21"/>
      <c r="RRZ25" s="21"/>
      <c r="RSA25" s="21"/>
      <c r="RSB25" s="21"/>
      <c r="RSC25" s="21"/>
      <c r="RSD25" s="21"/>
      <c r="RSE25" s="21"/>
      <c r="RSF25" s="21"/>
      <c r="RSG25" s="21"/>
      <c r="RSH25" s="21"/>
      <c r="RSI25" s="21"/>
      <c r="RSJ25" s="21"/>
      <c r="RSK25" s="21"/>
      <c r="RSL25" s="21"/>
      <c r="RSM25" s="21"/>
      <c r="RSN25" s="21"/>
      <c r="RSO25" s="21"/>
      <c r="RSP25" s="21"/>
      <c r="RSQ25" s="21"/>
      <c r="RSR25" s="21"/>
      <c r="RSS25" s="21"/>
      <c r="RST25" s="21"/>
      <c r="RSU25" s="21"/>
      <c r="RSV25" s="21"/>
      <c r="RSW25" s="21"/>
      <c r="RSX25" s="21"/>
      <c r="RSY25" s="21"/>
      <c r="RSZ25" s="21"/>
      <c r="RTA25" s="21"/>
      <c r="RTB25" s="21"/>
      <c r="RTC25" s="21"/>
      <c r="RTD25" s="21"/>
      <c r="RTE25" s="21"/>
      <c r="RTF25" s="21"/>
      <c r="RTG25" s="21"/>
      <c r="RTH25" s="21"/>
      <c r="RTI25" s="21"/>
      <c r="RTJ25" s="21"/>
      <c r="RTK25" s="21"/>
      <c r="RTL25" s="21"/>
      <c r="RTM25" s="21"/>
      <c r="RTN25" s="21"/>
      <c r="RTO25" s="21"/>
      <c r="RTP25" s="21"/>
      <c r="RTQ25" s="21"/>
      <c r="RTR25" s="21"/>
      <c r="RTS25" s="21"/>
      <c r="RTT25" s="21"/>
      <c r="RTU25" s="21"/>
      <c r="RTV25" s="21"/>
      <c r="RTW25" s="21"/>
      <c r="RTX25" s="21"/>
      <c r="RTY25" s="21"/>
      <c r="RTZ25" s="21"/>
      <c r="RUA25" s="21"/>
      <c r="RUB25" s="21"/>
      <c r="RUC25" s="21"/>
      <c r="RUD25" s="21"/>
      <c r="RUE25" s="21"/>
      <c r="RUF25" s="21"/>
      <c r="RUG25" s="21"/>
      <c r="RUH25" s="21"/>
      <c r="RUI25" s="21"/>
      <c r="RUJ25" s="21"/>
      <c r="RUK25" s="21"/>
      <c r="RUL25" s="21"/>
      <c r="RUM25" s="21"/>
      <c r="RUN25" s="21"/>
      <c r="RUO25" s="21"/>
      <c r="RUP25" s="21"/>
      <c r="RUQ25" s="21"/>
      <c r="RUR25" s="21"/>
      <c r="RUS25" s="21"/>
      <c r="RUT25" s="21"/>
      <c r="RUU25" s="21"/>
      <c r="RUV25" s="21"/>
      <c r="RUW25" s="21"/>
      <c r="RUX25" s="21"/>
      <c r="RUY25" s="21"/>
      <c r="RUZ25" s="21"/>
      <c r="RVA25" s="21"/>
      <c r="RVB25" s="21"/>
      <c r="RVC25" s="21"/>
      <c r="RVD25" s="21"/>
      <c r="RVE25" s="21"/>
      <c r="RVF25" s="21"/>
      <c r="RVG25" s="21"/>
      <c r="RVH25" s="21"/>
      <c r="RVI25" s="21"/>
      <c r="RVJ25" s="21"/>
      <c r="RVK25" s="21"/>
      <c r="RVL25" s="21"/>
      <c r="RVM25" s="21"/>
      <c r="RVN25" s="21"/>
      <c r="RVO25" s="21"/>
      <c r="RVP25" s="21"/>
      <c r="RVQ25" s="21"/>
      <c r="RVR25" s="21"/>
      <c r="RVS25" s="21"/>
      <c r="RVT25" s="21"/>
      <c r="RVU25" s="21"/>
      <c r="RVV25" s="21"/>
      <c r="RVW25" s="21"/>
      <c r="RVX25" s="21"/>
      <c r="RVY25" s="21"/>
      <c r="RVZ25" s="21"/>
      <c r="RWA25" s="21"/>
      <c r="RWB25" s="21"/>
      <c r="RWC25" s="21"/>
      <c r="RWD25" s="21"/>
      <c r="RWE25" s="21"/>
      <c r="RWF25" s="21"/>
      <c r="RWG25" s="21"/>
      <c r="RWH25" s="21"/>
      <c r="RWI25" s="21"/>
      <c r="RWJ25" s="21"/>
      <c r="RWK25" s="21"/>
      <c r="RWL25" s="21"/>
      <c r="RWM25" s="21"/>
      <c r="RWN25" s="21"/>
      <c r="RWO25" s="21"/>
      <c r="RWP25" s="21"/>
      <c r="RWQ25" s="21"/>
      <c r="RWR25" s="21"/>
      <c r="RWS25" s="21"/>
      <c r="RWT25" s="21"/>
      <c r="RWU25" s="21"/>
      <c r="RWV25" s="21"/>
      <c r="RWW25" s="21"/>
      <c r="RWX25" s="21"/>
      <c r="RWY25" s="21"/>
      <c r="RWZ25" s="21"/>
      <c r="RXA25" s="21"/>
      <c r="RXB25" s="21"/>
      <c r="RXC25" s="21"/>
      <c r="RXD25" s="21"/>
      <c r="RXE25" s="21"/>
      <c r="RXF25" s="21"/>
      <c r="RXG25" s="21"/>
      <c r="RXH25" s="21"/>
      <c r="RXI25" s="21"/>
      <c r="RXJ25" s="21"/>
      <c r="RXK25" s="21"/>
      <c r="RXL25" s="21"/>
      <c r="RXM25" s="21"/>
      <c r="RXN25" s="21"/>
      <c r="RXO25" s="21"/>
      <c r="RXP25" s="21"/>
      <c r="RXQ25" s="21"/>
      <c r="RXR25" s="21"/>
      <c r="RXS25" s="21"/>
      <c r="RXT25" s="21"/>
      <c r="RXU25" s="21"/>
      <c r="RXV25" s="21"/>
      <c r="RXW25" s="21"/>
      <c r="RXX25" s="21"/>
      <c r="RXY25" s="21"/>
      <c r="RXZ25" s="21"/>
      <c r="RYA25" s="21"/>
      <c r="RYB25" s="21"/>
      <c r="RYC25" s="21"/>
      <c r="RYD25" s="21"/>
      <c r="RYE25" s="21"/>
      <c r="RYF25" s="21"/>
      <c r="RYG25" s="21"/>
      <c r="RYH25" s="21"/>
      <c r="RYI25" s="21"/>
      <c r="RYJ25" s="21"/>
      <c r="RYK25" s="21"/>
      <c r="RYL25" s="21"/>
      <c r="RYM25" s="21"/>
      <c r="RYN25" s="21"/>
      <c r="RYO25" s="21"/>
      <c r="RYP25" s="21"/>
      <c r="RYQ25" s="21"/>
      <c r="RYR25" s="21"/>
      <c r="RYS25" s="21"/>
      <c r="RYT25" s="21"/>
      <c r="RYU25" s="21"/>
      <c r="RYV25" s="21"/>
      <c r="RYW25" s="21"/>
      <c r="RYX25" s="21"/>
      <c r="RYY25" s="21"/>
      <c r="RYZ25" s="21"/>
      <c r="RZA25" s="21"/>
      <c r="RZB25" s="21"/>
      <c r="RZC25" s="21"/>
      <c r="RZD25" s="21"/>
      <c r="RZE25" s="21"/>
      <c r="RZF25" s="21"/>
      <c r="RZG25" s="21"/>
      <c r="RZH25" s="21"/>
      <c r="RZI25" s="21"/>
      <c r="RZJ25" s="21"/>
      <c r="RZK25" s="21"/>
      <c r="RZL25" s="21"/>
      <c r="RZM25" s="21"/>
      <c r="RZN25" s="21"/>
      <c r="RZO25" s="21"/>
      <c r="RZP25" s="21"/>
      <c r="RZQ25" s="21"/>
      <c r="RZR25" s="21"/>
      <c r="RZS25" s="21"/>
      <c r="RZT25" s="21"/>
      <c r="RZU25" s="21"/>
      <c r="RZV25" s="21"/>
      <c r="RZW25" s="21"/>
      <c r="RZX25" s="21"/>
      <c r="RZY25" s="21"/>
      <c r="RZZ25" s="21"/>
      <c r="SAA25" s="21"/>
      <c r="SAB25" s="21"/>
      <c r="SAC25" s="21"/>
      <c r="SAD25" s="21"/>
      <c r="SAE25" s="21"/>
      <c r="SAF25" s="21"/>
      <c r="SAG25" s="21"/>
      <c r="SAH25" s="21"/>
      <c r="SAI25" s="21"/>
      <c r="SAJ25" s="21"/>
      <c r="SAK25" s="21"/>
      <c r="SAL25" s="21"/>
      <c r="SAM25" s="21"/>
      <c r="SAN25" s="21"/>
      <c r="SAO25" s="21"/>
      <c r="SAP25" s="21"/>
      <c r="SAQ25" s="21"/>
      <c r="SAR25" s="21"/>
      <c r="SAS25" s="21"/>
      <c r="SAT25" s="21"/>
      <c r="SAU25" s="21"/>
      <c r="SAV25" s="21"/>
      <c r="SAW25" s="21"/>
      <c r="SAX25" s="21"/>
      <c r="SAY25" s="21"/>
      <c r="SAZ25" s="21"/>
      <c r="SBA25" s="21"/>
      <c r="SBB25" s="21"/>
      <c r="SBC25" s="21"/>
      <c r="SBD25" s="21"/>
      <c r="SBE25" s="21"/>
      <c r="SBF25" s="21"/>
      <c r="SBG25" s="21"/>
      <c r="SBH25" s="21"/>
      <c r="SBI25" s="21"/>
      <c r="SBJ25" s="21"/>
      <c r="SBK25" s="21"/>
      <c r="SBL25" s="21"/>
      <c r="SBM25" s="21"/>
      <c r="SBN25" s="21"/>
      <c r="SBO25" s="21"/>
      <c r="SBP25" s="21"/>
      <c r="SBQ25" s="21"/>
      <c r="SBR25" s="21"/>
      <c r="SBS25" s="21"/>
      <c r="SBT25" s="21"/>
      <c r="SBU25" s="21"/>
      <c r="SBV25" s="21"/>
      <c r="SBW25" s="21"/>
      <c r="SBX25" s="21"/>
      <c r="SBY25" s="21"/>
      <c r="SBZ25" s="21"/>
      <c r="SCA25" s="21"/>
      <c r="SCB25" s="21"/>
      <c r="SCC25" s="21"/>
      <c r="SCD25" s="21"/>
      <c r="SCE25" s="21"/>
      <c r="SCF25" s="21"/>
      <c r="SCG25" s="21"/>
      <c r="SCH25" s="21"/>
      <c r="SCI25" s="21"/>
      <c r="SCJ25" s="21"/>
      <c r="SCK25" s="21"/>
      <c r="SCL25" s="21"/>
      <c r="SCM25" s="21"/>
      <c r="SCN25" s="21"/>
      <c r="SCO25" s="21"/>
      <c r="SCP25" s="21"/>
      <c r="SCQ25" s="21"/>
      <c r="SCR25" s="21"/>
      <c r="SCS25" s="21"/>
      <c r="SCT25" s="21"/>
      <c r="SCU25" s="21"/>
      <c r="SCV25" s="21"/>
      <c r="SCW25" s="21"/>
      <c r="SCX25" s="21"/>
      <c r="SCY25" s="21"/>
      <c r="SCZ25" s="21"/>
      <c r="SDA25" s="21"/>
      <c r="SDB25" s="21"/>
      <c r="SDC25" s="21"/>
      <c r="SDD25" s="21"/>
      <c r="SDE25" s="21"/>
      <c r="SDF25" s="21"/>
      <c r="SDG25" s="21"/>
      <c r="SDH25" s="21"/>
      <c r="SDI25" s="21"/>
      <c r="SDJ25" s="21"/>
      <c r="SDK25" s="21"/>
      <c r="SDL25" s="21"/>
      <c r="SDM25" s="21"/>
      <c r="SDN25" s="21"/>
      <c r="SDO25" s="21"/>
      <c r="SDP25" s="21"/>
      <c r="SDQ25" s="21"/>
      <c r="SDR25" s="21"/>
      <c r="SDS25" s="21"/>
      <c r="SDT25" s="21"/>
      <c r="SDU25" s="21"/>
      <c r="SDV25" s="21"/>
      <c r="SDW25" s="21"/>
      <c r="SDX25" s="21"/>
      <c r="SDY25" s="21"/>
      <c r="SDZ25" s="21"/>
      <c r="SEA25" s="21"/>
      <c r="SEB25" s="21"/>
      <c r="SEC25" s="21"/>
      <c r="SED25" s="21"/>
      <c r="SEE25" s="21"/>
      <c r="SEF25" s="21"/>
      <c r="SEG25" s="21"/>
      <c r="SEH25" s="21"/>
      <c r="SEI25" s="21"/>
      <c r="SEJ25" s="21"/>
      <c r="SEK25" s="21"/>
      <c r="SEL25" s="21"/>
      <c r="SEM25" s="21"/>
      <c r="SEN25" s="21"/>
      <c r="SEO25" s="21"/>
      <c r="SEP25" s="21"/>
      <c r="SEQ25" s="21"/>
      <c r="SER25" s="21"/>
      <c r="SES25" s="21"/>
      <c r="SET25" s="21"/>
      <c r="SEU25" s="21"/>
      <c r="SEV25" s="21"/>
      <c r="SEW25" s="21"/>
      <c r="SEX25" s="21"/>
      <c r="SEY25" s="21"/>
      <c r="SEZ25" s="21"/>
      <c r="SFA25" s="21"/>
      <c r="SFB25" s="21"/>
      <c r="SFC25" s="21"/>
      <c r="SFD25" s="21"/>
      <c r="SFE25" s="21"/>
      <c r="SFF25" s="21"/>
      <c r="SFG25" s="21"/>
      <c r="SFH25" s="21"/>
      <c r="SFI25" s="21"/>
      <c r="SFJ25" s="21"/>
      <c r="SFK25" s="21"/>
      <c r="SFL25" s="21"/>
      <c r="SFM25" s="21"/>
      <c r="SFN25" s="21"/>
      <c r="SFO25" s="21"/>
      <c r="SFP25" s="21"/>
      <c r="SFQ25" s="21"/>
      <c r="SFR25" s="21"/>
      <c r="SFS25" s="21"/>
      <c r="SFT25" s="21"/>
      <c r="SFU25" s="21"/>
      <c r="SFV25" s="21"/>
      <c r="SFW25" s="21"/>
      <c r="SFX25" s="21"/>
      <c r="SFY25" s="21"/>
      <c r="SFZ25" s="21"/>
      <c r="SGA25" s="21"/>
      <c r="SGB25" s="21"/>
      <c r="SGC25" s="21"/>
      <c r="SGD25" s="21"/>
      <c r="SGE25" s="21"/>
      <c r="SGF25" s="21"/>
      <c r="SGG25" s="21"/>
      <c r="SGH25" s="21"/>
      <c r="SGI25" s="21"/>
      <c r="SGJ25" s="21"/>
      <c r="SGK25" s="21"/>
      <c r="SGL25" s="21"/>
      <c r="SGM25" s="21"/>
      <c r="SGN25" s="21"/>
      <c r="SGO25" s="21"/>
      <c r="SGP25" s="21"/>
      <c r="SGQ25" s="21"/>
      <c r="SGR25" s="21"/>
      <c r="SGS25" s="21"/>
      <c r="SGT25" s="21"/>
      <c r="SGU25" s="21"/>
      <c r="SGV25" s="21"/>
      <c r="SGW25" s="21"/>
      <c r="SGX25" s="21"/>
      <c r="SGY25" s="21"/>
      <c r="SGZ25" s="21"/>
      <c r="SHA25" s="21"/>
      <c r="SHB25" s="21"/>
      <c r="SHC25" s="21"/>
      <c r="SHD25" s="21"/>
      <c r="SHE25" s="21"/>
      <c r="SHF25" s="21"/>
      <c r="SHG25" s="21"/>
      <c r="SHH25" s="21"/>
      <c r="SHI25" s="21"/>
      <c r="SHJ25" s="21"/>
      <c r="SHK25" s="21"/>
      <c r="SHL25" s="21"/>
      <c r="SHM25" s="21"/>
      <c r="SHN25" s="21"/>
      <c r="SHO25" s="21"/>
      <c r="SHP25" s="21"/>
      <c r="SHQ25" s="21"/>
      <c r="SHR25" s="21"/>
      <c r="SHS25" s="21"/>
      <c r="SHT25" s="21"/>
      <c r="SHU25" s="21"/>
      <c r="SHV25" s="21"/>
      <c r="SHW25" s="21"/>
      <c r="SHX25" s="21"/>
      <c r="SHY25" s="21"/>
      <c r="SHZ25" s="21"/>
      <c r="SIA25" s="21"/>
      <c r="SIB25" s="21"/>
      <c r="SIC25" s="21"/>
      <c r="SID25" s="21"/>
      <c r="SIE25" s="21"/>
      <c r="SIF25" s="21"/>
      <c r="SIG25" s="21"/>
      <c r="SIH25" s="21"/>
      <c r="SII25" s="21"/>
      <c r="SIJ25" s="21"/>
      <c r="SIK25" s="21"/>
      <c r="SIL25" s="21"/>
      <c r="SIM25" s="21"/>
      <c r="SIN25" s="21"/>
      <c r="SIO25" s="21"/>
      <c r="SIP25" s="21"/>
      <c r="SIQ25" s="21"/>
      <c r="SIR25" s="21"/>
      <c r="SIS25" s="21"/>
      <c r="SIT25" s="21"/>
      <c r="SIU25" s="21"/>
      <c r="SIV25" s="21"/>
      <c r="SIW25" s="21"/>
      <c r="SIX25" s="21"/>
      <c r="SIY25" s="21"/>
      <c r="SIZ25" s="21"/>
      <c r="SJA25" s="21"/>
      <c r="SJB25" s="21"/>
      <c r="SJC25" s="21"/>
      <c r="SJD25" s="21"/>
      <c r="SJE25" s="21"/>
      <c r="SJF25" s="21"/>
      <c r="SJG25" s="21"/>
      <c r="SJH25" s="21"/>
      <c r="SJI25" s="21"/>
      <c r="SJJ25" s="21"/>
      <c r="SJK25" s="21"/>
      <c r="SJL25" s="21"/>
      <c r="SJM25" s="21"/>
      <c r="SJN25" s="21"/>
      <c r="SJO25" s="21"/>
      <c r="SJP25" s="21"/>
      <c r="SJQ25" s="21"/>
      <c r="SJR25" s="21"/>
      <c r="SJS25" s="21"/>
      <c r="SJT25" s="21"/>
      <c r="SJU25" s="21"/>
      <c r="SJV25" s="21"/>
      <c r="SJW25" s="21"/>
      <c r="SJX25" s="21"/>
      <c r="SJY25" s="21"/>
      <c r="SJZ25" s="21"/>
      <c r="SKA25" s="21"/>
      <c r="SKB25" s="21"/>
      <c r="SKC25" s="21"/>
      <c r="SKD25" s="21"/>
      <c r="SKE25" s="21"/>
      <c r="SKF25" s="21"/>
      <c r="SKG25" s="21"/>
      <c r="SKH25" s="21"/>
      <c r="SKI25" s="21"/>
      <c r="SKJ25" s="21"/>
      <c r="SKK25" s="21"/>
      <c r="SKL25" s="21"/>
      <c r="SKM25" s="21"/>
      <c r="SKN25" s="21"/>
      <c r="SKO25" s="21"/>
      <c r="SKP25" s="21"/>
      <c r="SKQ25" s="21"/>
      <c r="SKR25" s="21"/>
      <c r="SKS25" s="21"/>
      <c r="SKT25" s="21"/>
      <c r="SKU25" s="21"/>
      <c r="SKV25" s="21"/>
      <c r="SKW25" s="21"/>
      <c r="SKX25" s="21"/>
      <c r="SKY25" s="21"/>
      <c r="SKZ25" s="21"/>
      <c r="SLA25" s="21"/>
      <c r="SLB25" s="21"/>
      <c r="SLC25" s="21"/>
      <c r="SLD25" s="21"/>
      <c r="SLE25" s="21"/>
      <c r="SLF25" s="21"/>
      <c r="SLG25" s="21"/>
      <c r="SLH25" s="21"/>
      <c r="SLI25" s="21"/>
      <c r="SLJ25" s="21"/>
      <c r="SLK25" s="21"/>
      <c r="SLL25" s="21"/>
      <c r="SLM25" s="21"/>
      <c r="SLN25" s="21"/>
      <c r="SLO25" s="21"/>
      <c r="SLP25" s="21"/>
      <c r="SLQ25" s="21"/>
      <c r="SLR25" s="21"/>
      <c r="SLS25" s="21"/>
      <c r="SLT25" s="21"/>
      <c r="SLU25" s="21"/>
      <c r="SLV25" s="21"/>
      <c r="SLW25" s="21"/>
      <c r="SLX25" s="21"/>
      <c r="SLY25" s="21"/>
      <c r="SLZ25" s="21"/>
      <c r="SMA25" s="21"/>
      <c r="SMB25" s="21"/>
      <c r="SMC25" s="21"/>
      <c r="SMD25" s="21"/>
      <c r="SME25" s="21"/>
      <c r="SMF25" s="21"/>
      <c r="SMG25" s="21"/>
      <c r="SMH25" s="21"/>
      <c r="SMI25" s="21"/>
      <c r="SMJ25" s="21"/>
      <c r="SMK25" s="21"/>
      <c r="SML25" s="21"/>
      <c r="SMM25" s="21"/>
      <c r="SMN25" s="21"/>
      <c r="SMO25" s="21"/>
      <c r="SMP25" s="21"/>
      <c r="SMQ25" s="21"/>
      <c r="SMR25" s="21"/>
      <c r="SMS25" s="21"/>
      <c r="SMT25" s="21"/>
      <c r="SMU25" s="21"/>
      <c r="SMV25" s="21"/>
      <c r="SMW25" s="21"/>
      <c r="SMX25" s="21"/>
      <c r="SMY25" s="21"/>
      <c r="SMZ25" s="21"/>
      <c r="SNA25" s="21"/>
      <c r="SNB25" s="21"/>
      <c r="SNC25" s="21"/>
      <c r="SND25" s="21"/>
      <c r="SNE25" s="21"/>
      <c r="SNF25" s="21"/>
      <c r="SNG25" s="21"/>
      <c r="SNH25" s="21"/>
      <c r="SNI25" s="21"/>
      <c r="SNJ25" s="21"/>
      <c r="SNK25" s="21"/>
      <c r="SNL25" s="21"/>
      <c r="SNM25" s="21"/>
      <c r="SNN25" s="21"/>
      <c r="SNO25" s="21"/>
      <c r="SNP25" s="21"/>
      <c r="SNQ25" s="21"/>
      <c r="SNR25" s="21"/>
      <c r="SNS25" s="21"/>
      <c r="SNT25" s="21"/>
      <c r="SNU25" s="21"/>
      <c r="SNV25" s="21"/>
      <c r="SNW25" s="21"/>
      <c r="SNX25" s="21"/>
      <c r="SNY25" s="21"/>
      <c r="SNZ25" s="21"/>
      <c r="SOA25" s="21"/>
      <c r="SOB25" s="21"/>
      <c r="SOC25" s="21"/>
      <c r="SOD25" s="21"/>
      <c r="SOE25" s="21"/>
      <c r="SOF25" s="21"/>
      <c r="SOG25" s="21"/>
      <c r="SOH25" s="21"/>
      <c r="SOI25" s="21"/>
      <c r="SOJ25" s="21"/>
      <c r="SOK25" s="21"/>
      <c r="SOL25" s="21"/>
      <c r="SOM25" s="21"/>
      <c r="SON25" s="21"/>
      <c r="SOO25" s="21"/>
      <c r="SOP25" s="21"/>
      <c r="SOQ25" s="21"/>
      <c r="SOR25" s="21"/>
      <c r="SOS25" s="21"/>
      <c r="SOT25" s="21"/>
      <c r="SOU25" s="21"/>
      <c r="SOV25" s="21"/>
      <c r="SOW25" s="21"/>
      <c r="SOX25" s="21"/>
      <c r="SOY25" s="21"/>
      <c r="SOZ25" s="21"/>
      <c r="SPA25" s="21"/>
      <c r="SPB25" s="21"/>
      <c r="SPC25" s="21"/>
      <c r="SPD25" s="21"/>
      <c r="SPE25" s="21"/>
      <c r="SPF25" s="21"/>
      <c r="SPG25" s="21"/>
      <c r="SPH25" s="21"/>
      <c r="SPI25" s="21"/>
      <c r="SPJ25" s="21"/>
      <c r="SPK25" s="21"/>
      <c r="SPL25" s="21"/>
      <c r="SPM25" s="21"/>
      <c r="SPN25" s="21"/>
      <c r="SPO25" s="21"/>
      <c r="SPP25" s="21"/>
      <c r="SPQ25" s="21"/>
      <c r="SPR25" s="21"/>
      <c r="SPS25" s="21"/>
      <c r="SPT25" s="21"/>
      <c r="SPU25" s="21"/>
      <c r="SPV25" s="21"/>
      <c r="SPW25" s="21"/>
      <c r="SPX25" s="21"/>
      <c r="SPY25" s="21"/>
      <c r="SPZ25" s="21"/>
      <c r="SQA25" s="21"/>
      <c r="SQB25" s="21"/>
      <c r="SQC25" s="21"/>
      <c r="SQD25" s="21"/>
      <c r="SQE25" s="21"/>
      <c r="SQF25" s="21"/>
      <c r="SQG25" s="21"/>
      <c r="SQH25" s="21"/>
      <c r="SQI25" s="21"/>
      <c r="SQJ25" s="21"/>
      <c r="SQK25" s="21"/>
      <c r="SQL25" s="21"/>
      <c r="SQM25" s="21"/>
      <c r="SQN25" s="21"/>
      <c r="SQO25" s="21"/>
      <c r="SQP25" s="21"/>
      <c r="SQQ25" s="21"/>
      <c r="SQR25" s="21"/>
      <c r="SQS25" s="21"/>
      <c r="SQT25" s="21"/>
      <c r="SQU25" s="21"/>
      <c r="SQV25" s="21"/>
      <c r="SQW25" s="21"/>
      <c r="SQX25" s="21"/>
      <c r="SQY25" s="21"/>
      <c r="SQZ25" s="21"/>
      <c r="SRA25" s="21"/>
      <c r="SRB25" s="21"/>
      <c r="SRC25" s="21"/>
      <c r="SRD25" s="21"/>
      <c r="SRE25" s="21"/>
      <c r="SRF25" s="21"/>
      <c r="SRG25" s="21"/>
      <c r="SRH25" s="21"/>
      <c r="SRI25" s="21"/>
      <c r="SRJ25" s="21"/>
      <c r="SRK25" s="21"/>
      <c r="SRL25" s="21"/>
      <c r="SRM25" s="21"/>
      <c r="SRN25" s="21"/>
      <c r="SRO25" s="21"/>
      <c r="SRP25" s="21"/>
      <c r="SRQ25" s="21"/>
      <c r="SRR25" s="21"/>
      <c r="SRS25" s="21"/>
      <c r="SRT25" s="21"/>
      <c r="SRU25" s="21"/>
      <c r="SRV25" s="21"/>
      <c r="SRW25" s="21"/>
      <c r="SRX25" s="21"/>
      <c r="SRY25" s="21"/>
      <c r="SRZ25" s="21"/>
      <c r="SSA25" s="21"/>
      <c r="SSB25" s="21"/>
      <c r="SSC25" s="21"/>
      <c r="SSD25" s="21"/>
      <c r="SSE25" s="21"/>
      <c r="SSF25" s="21"/>
      <c r="SSG25" s="21"/>
      <c r="SSH25" s="21"/>
      <c r="SSI25" s="21"/>
      <c r="SSJ25" s="21"/>
      <c r="SSK25" s="21"/>
      <c r="SSL25" s="21"/>
      <c r="SSM25" s="21"/>
      <c r="SSN25" s="21"/>
      <c r="SSO25" s="21"/>
      <c r="SSP25" s="21"/>
      <c r="SSQ25" s="21"/>
      <c r="SSR25" s="21"/>
      <c r="SSS25" s="21"/>
      <c r="SST25" s="21"/>
      <c r="SSU25" s="21"/>
      <c r="SSV25" s="21"/>
      <c r="SSW25" s="21"/>
      <c r="SSX25" s="21"/>
      <c r="SSY25" s="21"/>
      <c r="SSZ25" s="21"/>
      <c r="STA25" s="21"/>
      <c r="STB25" s="21"/>
      <c r="STC25" s="21"/>
      <c r="STD25" s="21"/>
      <c r="STE25" s="21"/>
      <c r="STF25" s="21"/>
      <c r="STG25" s="21"/>
      <c r="STH25" s="21"/>
      <c r="STI25" s="21"/>
      <c r="STJ25" s="21"/>
      <c r="STK25" s="21"/>
      <c r="STL25" s="21"/>
      <c r="STM25" s="21"/>
      <c r="STN25" s="21"/>
      <c r="STO25" s="21"/>
      <c r="STP25" s="21"/>
      <c r="STQ25" s="21"/>
      <c r="STR25" s="21"/>
      <c r="STS25" s="21"/>
      <c r="STT25" s="21"/>
      <c r="STU25" s="21"/>
      <c r="STV25" s="21"/>
      <c r="STW25" s="21"/>
      <c r="STX25" s="21"/>
      <c r="STY25" s="21"/>
      <c r="STZ25" s="21"/>
      <c r="SUA25" s="21"/>
      <c r="SUB25" s="21"/>
      <c r="SUC25" s="21"/>
      <c r="SUD25" s="21"/>
      <c r="SUE25" s="21"/>
      <c r="SUF25" s="21"/>
      <c r="SUG25" s="21"/>
      <c r="SUH25" s="21"/>
      <c r="SUI25" s="21"/>
      <c r="SUJ25" s="21"/>
      <c r="SUK25" s="21"/>
      <c r="SUL25" s="21"/>
      <c r="SUM25" s="21"/>
      <c r="SUN25" s="21"/>
      <c r="SUO25" s="21"/>
      <c r="SUP25" s="21"/>
      <c r="SUQ25" s="21"/>
      <c r="SUR25" s="21"/>
      <c r="SUS25" s="21"/>
      <c r="SUT25" s="21"/>
      <c r="SUU25" s="21"/>
      <c r="SUV25" s="21"/>
      <c r="SUW25" s="21"/>
      <c r="SUX25" s="21"/>
      <c r="SUY25" s="21"/>
      <c r="SUZ25" s="21"/>
      <c r="SVA25" s="21"/>
      <c r="SVB25" s="21"/>
      <c r="SVC25" s="21"/>
      <c r="SVD25" s="21"/>
      <c r="SVE25" s="21"/>
      <c r="SVF25" s="21"/>
      <c r="SVG25" s="21"/>
      <c r="SVH25" s="21"/>
      <c r="SVI25" s="21"/>
      <c r="SVJ25" s="21"/>
      <c r="SVK25" s="21"/>
      <c r="SVL25" s="21"/>
      <c r="SVM25" s="21"/>
      <c r="SVN25" s="21"/>
      <c r="SVO25" s="21"/>
      <c r="SVP25" s="21"/>
      <c r="SVQ25" s="21"/>
      <c r="SVR25" s="21"/>
      <c r="SVS25" s="21"/>
      <c r="SVT25" s="21"/>
      <c r="SVU25" s="21"/>
      <c r="SVV25" s="21"/>
      <c r="SVW25" s="21"/>
      <c r="SVX25" s="21"/>
      <c r="SVY25" s="21"/>
      <c r="SVZ25" s="21"/>
      <c r="SWA25" s="21"/>
      <c r="SWB25" s="21"/>
      <c r="SWC25" s="21"/>
      <c r="SWD25" s="21"/>
      <c r="SWE25" s="21"/>
      <c r="SWF25" s="21"/>
      <c r="SWG25" s="21"/>
      <c r="SWH25" s="21"/>
      <c r="SWI25" s="21"/>
      <c r="SWJ25" s="21"/>
      <c r="SWK25" s="21"/>
      <c r="SWL25" s="21"/>
      <c r="SWM25" s="21"/>
      <c r="SWN25" s="21"/>
      <c r="SWO25" s="21"/>
      <c r="SWP25" s="21"/>
      <c r="SWQ25" s="21"/>
      <c r="SWR25" s="21"/>
      <c r="SWS25" s="21"/>
      <c r="SWT25" s="21"/>
      <c r="SWU25" s="21"/>
      <c r="SWV25" s="21"/>
      <c r="SWW25" s="21"/>
      <c r="SWX25" s="21"/>
      <c r="SWY25" s="21"/>
      <c r="SWZ25" s="21"/>
      <c r="SXA25" s="21"/>
      <c r="SXB25" s="21"/>
      <c r="SXC25" s="21"/>
      <c r="SXD25" s="21"/>
      <c r="SXE25" s="21"/>
      <c r="SXF25" s="21"/>
      <c r="SXG25" s="21"/>
      <c r="SXH25" s="21"/>
      <c r="SXI25" s="21"/>
      <c r="SXJ25" s="21"/>
      <c r="SXK25" s="21"/>
      <c r="SXL25" s="21"/>
      <c r="SXM25" s="21"/>
      <c r="SXN25" s="21"/>
      <c r="SXO25" s="21"/>
      <c r="SXP25" s="21"/>
      <c r="SXQ25" s="21"/>
      <c r="SXR25" s="21"/>
      <c r="SXS25" s="21"/>
      <c r="SXT25" s="21"/>
      <c r="SXU25" s="21"/>
      <c r="SXV25" s="21"/>
      <c r="SXW25" s="21"/>
      <c r="SXX25" s="21"/>
      <c r="SXY25" s="21"/>
      <c r="SXZ25" s="21"/>
      <c r="SYA25" s="21"/>
      <c r="SYB25" s="21"/>
      <c r="SYC25" s="21"/>
      <c r="SYD25" s="21"/>
      <c r="SYE25" s="21"/>
      <c r="SYF25" s="21"/>
      <c r="SYG25" s="21"/>
      <c r="SYH25" s="21"/>
      <c r="SYI25" s="21"/>
      <c r="SYJ25" s="21"/>
      <c r="SYK25" s="21"/>
      <c r="SYL25" s="21"/>
      <c r="SYM25" s="21"/>
      <c r="SYN25" s="21"/>
      <c r="SYO25" s="21"/>
      <c r="SYP25" s="21"/>
      <c r="SYQ25" s="21"/>
      <c r="SYR25" s="21"/>
      <c r="SYS25" s="21"/>
      <c r="SYT25" s="21"/>
      <c r="SYU25" s="21"/>
      <c r="SYV25" s="21"/>
      <c r="SYW25" s="21"/>
      <c r="SYX25" s="21"/>
      <c r="SYY25" s="21"/>
      <c r="SYZ25" s="21"/>
      <c r="SZA25" s="21"/>
      <c r="SZB25" s="21"/>
      <c r="SZC25" s="21"/>
      <c r="SZD25" s="21"/>
      <c r="SZE25" s="21"/>
      <c r="SZF25" s="21"/>
      <c r="SZG25" s="21"/>
      <c r="SZH25" s="21"/>
      <c r="SZI25" s="21"/>
      <c r="SZJ25" s="21"/>
      <c r="SZK25" s="21"/>
      <c r="SZL25" s="21"/>
      <c r="SZM25" s="21"/>
      <c r="SZN25" s="21"/>
      <c r="SZO25" s="21"/>
      <c r="SZP25" s="21"/>
      <c r="SZQ25" s="21"/>
      <c r="SZR25" s="21"/>
      <c r="SZS25" s="21"/>
      <c r="SZT25" s="21"/>
      <c r="SZU25" s="21"/>
      <c r="SZV25" s="21"/>
      <c r="SZW25" s="21"/>
      <c r="SZX25" s="21"/>
      <c r="SZY25" s="21"/>
      <c r="SZZ25" s="21"/>
      <c r="TAA25" s="21"/>
      <c r="TAB25" s="21"/>
      <c r="TAC25" s="21"/>
      <c r="TAD25" s="21"/>
      <c r="TAE25" s="21"/>
      <c r="TAF25" s="21"/>
      <c r="TAG25" s="21"/>
      <c r="TAH25" s="21"/>
      <c r="TAI25" s="21"/>
      <c r="TAJ25" s="21"/>
      <c r="TAK25" s="21"/>
      <c r="TAL25" s="21"/>
      <c r="TAM25" s="21"/>
      <c r="TAN25" s="21"/>
      <c r="TAO25" s="21"/>
      <c r="TAP25" s="21"/>
      <c r="TAQ25" s="21"/>
      <c r="TAR25" s="21"/>
      <c r="TAS25" s="21"/>
      <c r="TAT25" s="21"/>
      <c r="TAU25" s="21"/>
      <c r="TAV25" s="21"/>
      <c r="TAW25" s="21"/>
      <c r="TAX25" s="21"/>
      <c r="TAY25" s="21"/>
      <c r="TAZ25" s="21"/>
      <c r="TBA25" s="21"/>
      <c r="TBB25" s="21"/>
      <c r="TBC25" s="21"/>
      <c r="TBD25" s="21"/>
      <c r="TBE25" s="21"/>
      <c r="TBF25" s="21"/>
      <c r="TBG25" s="21"/>
      <c r="TBH25" s="21"/>
      <c r="TBI25" s="21"/>
      <c r="TBJ25" s="21"/>
      <c r="TBK25" s="21"/>
      <c r="TBL25" s="21"/>
      <c r="TBM25" s="21"/>
      <c r="TBN25" s="21"/>
      <c r="TBO25" s="21"/>
      <c r="TBP25" s="21"/>
      <c r="TBQ25" s="21"/>
      <c r="TBR25" s="21"/>
      <c r="TBS25" s="21"/>
      <c r="TBT25" s="21"/>
      <c r="TBU25" s="21"/>
      <c r="TBV25" s="21"/>
      <c r="TBW25" s="21"/>
      <c r="TBX25" s="21"/>
      <c r="TBY25" s="21"/>
      <c r="TBZ25" s="21"/>
      <c r="TCA25" s="21"/>
      <c r="TCB25" s="21"/>
      <c r="TCC25" s="21"/>
      <c r="TCD25" s="21"/>
      <c r="TCE25" s="21"/>
      <c r="TCF25" s="21"/>
      <c r="TCG25" s="21"/>
      <c r="TCH25" s="21"/>
      <c r="TCI25" s="21"/>
      <c r="TCJ25" s="21"/>
      <c r="TCK25" s="21"/>
      <c r="TCL25" s="21"/>
      <c r="TCM25" s="21"/>
      <c r="TCN25" s="21"/>
      <c r="TCO25" s="21"/>
      <c r="TCP25" s="21"/>
      <c r="TCQ25" s="21"/>
      <c r="TCR25" s="21"/>
      <c r="TCS25" s="21"/>
      <c r="TCT25" s="21"/>
      <c r="TCU25" s="21"/>
      <c r="TCV25" s="21"/>
      <c r="TCW25" s="21"/>
      <c r="TCX25" s="21"/>
      <c r="TCY25" s="21"/>
      <c r="TCZ25" s="21"/>
      <c r="TDA25" s="21"/>
      <c r="TDB25" s="21"/>
      <c r="TDC25" s="21"/>
      <c r="TDD25" s="21"/>
      <c r="TDE25" s="21"/>
      <c r="TDF25" s="21"/>
      <c r="TDG25" s="21"/>
      <c r="TDH25" s="21"/>
      <c r="TDI25" s="21"/>
      <c r="TDJ25" s="21"/>
      <c r="TDK25" s="21"/>
      <c r="TDL25" s="21"/>
      <c r="TDM25" s="21"/>
      <c r="TDN25" s="21"/>
      <c r="TDO25" s="21"/>
      <c r="TDP25" s="21"/>
      <c r="TDQ25" s="21"/>
      <c r="TDR25" s="21"/>
      <c r="TDS25" s="21"/>
      <c r="TDT25" s="21"/>
      <c r="TDU25" s="21"/>
      <c r="TDV25" s="21"/>
      <c r="TDW25" s="21"/>
      <c r="TDX25" s="21"/>
      <c r="TDY25" s="21"/>
      <c r="TDZ25" s="21"/>
      <c r="TEA25" s="21"/>
      <c r="TEB25" s="21"/>
      <c r="TEC25" s="21"/>
      <c r="TED25" s="21"/>
      <c r="TEE25" s="21"/>
      <c r="TEF25" s="21"/>
      <c r="TEG25" s="21"/>
      <c r="TEH25" s="21"/>
      <c r="TEI25" s="21"/>
      <c r="TEJ25" s="21"/>
      <c r="TEK25" s="21"/>
      <c r="TEL25" s="21"/>
      <c r="TEM25" s="21"/>
      <c r="TEN25" s="21"/>
      <c r="TEO25" s="21"/>
      <c r="TEP25" s="21"/>
      <c r="TEQ25" s="21"/>
      <c r="TER25" s="21"/>
      <c r="TES25" s="21"/>
      <c r="TET25" s="21"/>
      <c r="TEU25" s="21"/>
      <c r="TEV25" s="21"/>
      <c r="TEW25" s="21"/>
      <c r="TEX25" s="21"/>
      <c r="TEY25" s="21"/>
      <c r="TEZ25" s="21"/>
      <c r="TFA25" s="21"/>
      <c r="TFB25" s="21"/>
      <c r="TFC25" s="21"/>
      <c r="TFD25" s="21"/>
      <c r="TFE25" s="21"/>
      <c r="TFF25" s="21"/>
      <c r="TFG25" s="21"/>
      <c r="TFH25" s="21"/>
      <c r="TFI25" s="21"/>
      <c r="TFJ25" s="21"/>
      <c r="TFK25" s="21"/>
      <c r="TFL25" s="21"/>
      <c r="TFM25" s="21"/>
      <c r="TFN25" s="21"/>
      <c r="TFO25" s="21"/>
      <c r="TFP25" s="21"/>
      <c r="TFQ25" s="21"/>
      <c r="TFR25" s="21"/>
      <c r="TFS25" s="21"/>
      <c r="TFT25" s="21"/>
      <c r="TFU25" s="21"/>
      <c r="TFV25" s="21"/>
      <c r="TFW25" s="21"/>
      <c r="TFX25" s="21"/>
      <c r="TFY25" s="21"/>
      <c r="TFZ25" s="21"/>
      <c r="TGA25" s="21"/>
      <c r="TGB25" s="21"/>
      <c r="TGC25" s="21"/>
      <c r="TGD25" s="21"/>
      <c r="TGE25" s="21"/>
      <c r="TGF25" s="21"/>
      <c r="TGG25" s="21"/>
      <c r="TGH25" s="21"/>
      <c r="TGI25" s="21"/>
      <c r="TGJ25" s="21"/>
      <c r="TGK25" s="21"/>
      <c r="TGL25" s="21"/>
      <c r="TGM25" s="21"/>
      <c r="TGN25" s="21"/>
      <c r="TGO25" s="21"/>
      <c r="TGP25" s="21"/>
      <c r="TGQ25" s="21"/>
      <c r="TGR25" s="21"/>
      <c r="TGS25" s="21"/>
      <c r="TGT25" s="21"/>
      <c r="TGU25" s="21"/>
      <c r="TGV25" s="21"/>
      <c r="TGW25" s="21"/>
      <c r="TGX25" s="21"/>
      <c r="TGY25" s="21"/>
      <c r="TGZ25" s="21"/>
      <c r="THA25" s="21"/>
      <c r="THB25" s="21"/>
      <c r="THC25" s="21"/>
      <c r="THD25" s="21"/>
      <c r="THE25" s="21"/>
      <c r="THF25" s="21"/>
      <c r="THG25" s="21"/>
      <c r="THH25" s="21"/>
      <c r="THI25" s="21"/>
      <c r="THJ25" s="21"/>
      <c r="THK25" s="21"/>
      <c r="THL25" s="21"/>
      <c r="THM25" s="21"/>
      <c r="THN25" s="21"/>
      <c r="THO25" s="21"/>
      <c r="THP25" s="21"/>
      <c r="THQ25" s="21"/>
      <c r="THR25" s="21"/>
      <c r="THS25" s="21"/>
      <c r="THT25" s="21"/>
      <c r="THU25" s="21"/>
      <c r="THV25" s="21"/>
      <c r="THW25" s="21"/>
      <c r="THX25" s="21"/>
      <c r="THY25" s="21"/>
      <c r="THZ25" s="21"/>
      <c r="TIA25" s="21"/>
      <c r="TIB25" s="21"/>
      <c r="TIC25" s="21"/>
      <c r="TID25" s="21"/>
      <c r="TIE25" s="21"/>
      <c r="TIF25" s="21"/>
      <c r="TIG25" s="21"/>
      <c r="TIH25" s="21"/>
      <c r="TII25" s="21"/>
      <c r="TIJ25" s="21"/>
      <c r="TIK25" s="21"/>
      <c r="TIL25" s="21"/>
      <c r="TIM25" s="21"/>
      <c r="TIN25" s="21"/>
      <c r="TIO25" s="21"/>
      <c r="TIP25" s="21"/>
      <c r="TIQ25" s="21"/>
      <c r="TIR25" s="21"/>
      <c r="TIS25" s="21"/>
      <c r="TIT25" s="21"/>
      <c r="TIU25" s="21"/>
      <c r="TIV25" s="21"/>
      <c r="TIW25" s="21"/>
      <c r="TIX25" s="21"/>
      <c r="TIY25" s="21"/>
      <c r="TIZ25" s="21"/>
      <c r="TJA25" s="21"/>
      <c r="TJB25" s="21"/>
      <c r="TJC25" s="21"/>
      <c r="TJD25" s="21"/>
      <c r="TJE25" s="21"/>
      <c r="TJF25" s="21"/>
      <c r="TJG25" s="21"/>
      <c r="TJH25" s="21"/>
      <c r="TJI25" s="21"/>
      <c r="TJJ25" s="21"/>
      <c r="TJK25" s="21"/>
      <c r="TJL25" s="21"/>
      <c r="TJM25" s="21"/>
      <c r="TJN25" s="21"/>
      <c r="TJO25" s="21"/>
      <c r="TJP25" s="21"/>
      <c r="TJQ25" s="21"/>
      <c r="TJR25" s="21"/>
      <c r="TJS25" s="21"/>
      <c r="TJT25" s="21"/>
      <c r="TJU25" s="21"/>
      <c r="TJV25" s="21"/>
      <c r="TJW25" s="21"/>
      <c r="TJX25" s="21"/>
      <c r="TJY25" s="21"/>
      <c r="TJZ25" s="21"/>
      <c r="TKA25" s="21"/>
      <c r="TKB25" s="21"/>
      <c r="TKC25" s="21"/>
      <c r="TKD25" s="21"/>
      <c r="TKE25" s="21"/>
      <c r="TKF25" s="21"/>
      <c r="TKG25" s="21"/>
      <c r="TKH25" s="21"/>
      <c r="TKI25" s="21"/>
      <c r="TKJ25" s="21"/>
      <c r="TKK25" s="21"/>
      <c r="TKL25" s="21"/>
      <c r="TKM25" s="21"/>
      <c r="TKN25" s="21"/>
      <c r="TKO25" s="21"/>
      <c r="TKP25" s="21"/>
      <c r="TKQ25" s="21"/>
      <c r="TKR25" s="21"/>
      <c r="TKS25" s="21"/>
      <c r="TKT25" s="21"/>
      <c r="TKU25" s="21"/>
      <c r="TKV25" s="21"/>
      <c r="TKW25" s="21"/>
      <c r="TKX25" s="21"/>
      <c r="TKY25" s="21"/>
      <c r="TKZ25" s="21"/>
      <c r="TLA25" s="21"/>
      <c r="TLB25" s="21"/>
      <c r="TLC25" s="21"/>
      <c r="TLD25" s="21"/>
      <c r="TLE25" s="21"/>
      <c r="TLF25" s="21"/>
      <c r="TLG25" s="21"/>
      <c r="TLH25" s="21"/>
      <c r="TLI25" s="21"/>
      <c r="TLJ25" s="21"/>
      <c r="TLK25" s="21"/>
      <c r="TLL25" s="21"/>
      <c r="TLM25" s="21"/>
      <c r="TLN25" s="21"/>
      <c r="TLO25" s="21"/>
      <c r="TLP25" s="21"/>
      <c r="TLQ25" s="21"/>
      <c r="TLR25" s="21"/>
      <c r="TLS25" s="21"/>
      <c r="TLT25" s="21"/>
      <c r="TLU25" s="21"/>
      <c r="TLV25" s="21"/>
      <c r="TLW25" s="21"/>
      <c r="TLX25" s="21"/>
      <c r="TLY25" s="21"/>
      <c r="TLZ25" s="21"/>
      <c r="TMA25" s="21"/>
      <c r="TMB25" s="21"/>
      <c r="TMC25" s="21"/>
      <c r="TMD25" s="21"/>
      <c r="TME25" s="21"/>
      <c r="TMF25" s="21"/>
      <c r="TMG25" s="21"/>
      <c r="TMH25" s="21"/>
      <c r="TMI25" s="21"/>
      <c r="TMJ25" s="21"/>
      <c r="TMK25" s="21"/>
      <c r="TML25" s="21"/>
      <c r="TMM25" s="21"/>
      <c r="TMN25" s="21"/>
      <c r="TMO25" s="21"/>
      <c r="TMP25" s="21"/>
      <c r="TMQ25" s="21"/>
      <c r="TMR25" s="21"/>
      <c r="TMS25" s="21"/>
      <c r="TMT25" s="21"/>
      <c r="TMU25" s="21"/>
      <c r="TMV25" s="21"/>
      <c r="TMW25" s="21"/>
      <c r="TMX25" s="21"/>
      <c r="TMY25" s="21"/>
      <c r="TMZ25" s="21"/>
      <c r="TNA25" s="21"/>
      <c r="TNB25" s="21"/>
      <c r="TNC25" s="21"/>
      <c r="TND25" s="21"/>
      <c r="TNE25" s="21"/>
      <c r="TNF25" s="21"/>
      <c r="TNG25" s="21"/>
      <c r="TNH25" s="21"/>
      <c r="TNI25" s="21"/>
      <c r="TNJ25" s="21"/>
      <c r="TNK25" s="21"/>
      <c r="TNL25" s="21"/>
      <c r="TNM25" s="21"/>
      <c r="TNN25" s="21"/>
      <c r="TNO25" s="21"/>
      <c r="TNP25" s="21"/>
      <c r="TNQ25" s="21"/>
      <c r="TNR25" s="21"/>
      <c r="TNS25" s="21"/>
      <c r="TNT25" s="21"/>
      <c r="TNU25" s="21"/>
      <c r="TNV25" s="21"/>
      <c r="TNW25" s="21"/>
      <c r="TNX25" s="21"/>
      <c r="TNY25" s="21"/>
      <c r="TNZ25" s="21"/>
      <c r="TOA25" s="21"/>
      <c r="TOB25" s="21"/>
      <c r="TOC25" s="21"/>
      <c r="TOD25" s="21"/>
      <c r="TOE25" s="21"/>
      <c r="TOF25" s="21"/>
      <c r="TOG25" s="21"/>
      <c r="TOH25" s="21"/>
      <c r="TOI25" s="21"/>
      <c r="TOJ25" s="21"/>
      <c r="TOK25" s="21"/>
      <c r="TOL25" s="21"/>
      <c r="TOM25" s="21"/>
      <c r="TON25" s="21"/>
      <c r="TOO25" s="21"/>
      <c r="TOP25" s="21"/>
      <c r="TOQ25" s="21"/>
      <c r="TOR25" s="21"/>
      <c r="TOS25" s="21"/>
      <c r="TOT25" s="21"/>
      <c r="TOU25" s="21"/>
      <c r="TOV25" s="21"/>
      <c r="TOW25" s="21"/>
      <c r="TOX25" s="21"/>
      <c r="TOY25" s="21"/>
      <c r="TOZ25" s="21"/>
      <c r="TPA25" s="21"/>
      <c r="TPB25" s="21"/>
      <c r="TPC25" s="21"/>
      <c r="TPD25" s="21"/>
      <c r="TPE25" s="21"/>
      <c r="TPF25" s="21"/>
      <c r="TPG25" s="21"/>
      <c r="TPH25" s="21"/>
      <c r="TPI25" s="21"/>
      <c r="TPJ25" s="21"/>
      <c r="TPK25" s="21"/>
      <c r="TPL25" s="21"/>
      <c r="TPM25" s="21"/>
      <c r="TPN25" s="21"/>
      <c r="TPO25" s="21"/>
      <c r="TPP25" s="21"/>
      <c r="TPQ25" s="21"/>
      <c r="TPR25" s="21"/>
      <c r="TPS25" s="21"/>
      <c r="TPT25" s="21"/>
      <c r="TPU25" s="21"/>
      <c r="TPV25" s="21"/>
      <c r="TPW25" s="21"/>
      <c r="TPX25" s="21"/>
      <c r="TPY25" s="21"/>
      <c r="TPZ25" s="21"/>
      <c r="TQA25" s="21"/>
      <c r="TQB25" s="21"/>
      <c r="TQC25" s="21"/>
      <c r="TQD25" s="21"/>
      <c r="TQE25" s="21"/>
      <c r="TQF25" s="21"/>
      <c r="TQG25" s="21"/>
      <c r="TQH25" s="21"/>
      <c r="TQI25" s="21"/>
      <c r="TQJ25" s="21"/>
      <c r="TQK25" s="21"/>
      <c r="TQL25" s="21"/>
      <c r="TQM25" s="21"/>
      <c r="TQN25" s="21"/>
      <c r="TQO25" s="21"/>
      <c r="TQP25" s="21"/>
      <c r="TQQ25" s="21"/>
      <c r="TQR25" s="21"/>
      <c r="TQS25" s="21"/>
      <c r="TQT25" s="21"/>
      <c r="TQU25" s="21"/>
      <c r="TQV25" s="21"/>
      <c r="TQW25" s="21"/>
      <c r="TQX25" s="21"/>
      <c r="TQY25" s="21"/>
      <c r="TQZ25" s="21"/>
      <c r="TRA25" s="21"/>
      <c r="TRB25" s="21"/>
      <c r="TRC25" s="21"/>
      <c r="TRD25" s="21"/>
      <c r="TRE25" s="21"/>
      <c r="TRF25" s="21"/>
      <c r="TRG25" s="21"/>
      <c r="TRH25" s="21"/>
      <c r="TRI25" s="21"/>
      <c r="TRJ25" s="21"/>
      <c r="TRK25" s="21"/>
      <c r="TRL25" s="21"/>
      <c r="TRM25" s="21"/>
      <c r="TRN25" s="21"/>
      <c r="TRO25" s="21"/>
      <c r="TRP25" s="21"/>
      <c r="TRQ25" s="21"/>
      <c r="TRR25" s="21"/>
      <c r="TRS25" s="21"/>
      <c r="TRT25" s="21"/>
      <c r="TRU25" s="21"/>
      <c r="TRV25" s="21"/>
      <c r="TRW25" s="21"/>
      <c r="TRX25" s="21"/>
      <c r="TRY25" s="21"/>
      <c r="TRZ25" s="21"/>
      <c r="TSA25" s="21"/>
      <c r="TSB25" s="21"/>
      <c r="TSC25" s="21"/>
      <c r="TSD25" s="21"/>
      <c r="TSE25" s="21"/>
      <c r="TSF25" s="21"/>
      <c r="TSG25" s="21"/>
      <c r="TSH25" s="21"/>
      <c r="TSI25" s="21"/>
      <c r="TSJ25" s="21"/>
      <c r="TSK25" s="21"/>
      <c r="TSL25" s="21"/>
      <c r="TSM25" s="21"/>
      <c r="TSN25" s="21"/>
      <c r="TSO25" s="21"/>
      <c r="TSP25" s="21"/>
      <c r="TSQ25" s="21"/>
      <c r="TSR25" s="21"/>
      <c r="TSS25" s="21"/>
      <c r="TST25" s="21"/>
      <c r="TSU25" s="21"/>
      <c r="TSV25" s="21"/>
      <c r="TSW25" s="21"/>
      <c r="TSX25" s="21"/>
      <c r="TSY25" s="21"/>
      <c r="TSZ25" s="21"/>
      <c r="TTA25" s="21"/>
      <c r="TTB25" s="21"/>
      <c r="TTC25" s="21"/>
      <c r="TTD25" s="21"/>
      <c r="TTE25" s="21"/>
      <c r="TTF25" s="21"/>
      <c r="TTG25" s="21"/>
      <c r="TTH25" s="21"/>
      <c r="TTI25" s="21"/>
      <c r="TTJ25" s="21"/>
      <c r="TTK25" s="21"/>
      <c r="TTL25" s="21"/>
      <c r="TTM25" s="21"/>
      <c r="TTN25" s="21"/>
      <c r="TTO25" s="21"/>
      <c r="TTP25" s="21"/>
      <c r="TTQ25" s="21"/>
      <c r="TTR25" s="21"/>
      <c r="TTS25" s="21"/>
      <c r="TTT25" s="21"/>
      <c r="TTU25" s="21"/>
      <c r="TTV25" s="21"/>
      <c r="TTW25" s="21"/>
      <c r="TTX25" s="21"/>
      <c r="TTY25" s="21"/>
      <c r="TTZ25" s="21"/>
      <c r="TUA25" s="21"/>
      <c r="TUB25" s="21"/>
      <c r="TUC25" s="21"/>
      <c r="TUD25" s="21"/>
      <c r="TUE25" s="21"/>
      <c r="TUF25" s="21"/>
      <c r="TUG25" s="21"/>
      <c r="TUH25" s="21"/>
      <c r="TUI25" s="21"/>
      <c r="TUJ25" s="21"/>
      <c r="TUK25" s="21"/>
      <c r="TUL25" s="21"/>
      <c r="TUM25" s="21"/>
      <c r="TUN25" s="21"/>
      <c r="TUO25" s="21"/>
      <c r="TUP25" s="21"/>
      <c r="TUQ25" s="21"/>
      <c r="TUR25" s="21"/>
      <c r="TUS25" s="21"/>
      <c r="TUT25" s="21"/>
      <c r="TUU25" s="21"/>
      <c r="TUV25" s="21"/>
      <c r="TUW25" s="21"/>
      <c r="TUX25" s="21"/>
      <c r="TUY25" s="21"/>
      <c r="TUZ25" s="21"/>
      <c r="TVA25" s="21"/>
      <c r="TVB25" s="21"/>
      <c r="TVC25" s="21"/>
      <c r="TVD25" s="21"/>
      <c r="TVE25" s="21"/>
      <c r="TVF25" s="21"/>
      <c r="TVG25" s="21"/>
      <c r="TVH25" s="21"/>
      <c r="TVI25" s="21"/>
      <c r="TVJ25" s="21"/>
      <c r="TVK25" s="21"/>
      <c r="TVL25" s="21"/>
      <c r="TVM25" s="21"/>
      <c r="TVN25" s="21"/>
      <c r="TVO25" s="21"/>
      <c r="TVP25" s="21"/>
      <c r="TVQ25" s="21"/>
      <c r="TVR25" s="21"/>
      <c r="TVS25" s="21"/>
      <c r="TVT25" s="21"/>
      <c r="TVU25" s="21"/>
      <c r="TVV25" s="21"/>
      <c r="TVW25" s="21"/>
      <c r="TVX25" s="21"/>
      <c r="TVY25" s="21"/>
      <c r="TVZ25" s="21"/>
      <c r="TWA25" s="21"/>
      <c r="TWB25" s="21"/>
      <c r="TWC25" s="21"/>
      <c r="TWD25" s="21"/>
      <c r="TWE25" s="21"/>
      <c r="TWF25" s="21"/>
      <c r="TWG25" s="21"/>
      <c r="TWH25" s="21"/>
      <c r="TWI25" s="21"/>
      <c r="TWJ25" s="21"/>
      <c r="TWK25" s="21"/>
      <c r="TWL25" s="21"/>
      <c r="TWM25" s="21"/>
      <c r="TWN25" s="21"/>
      <c r="TWO25" s="21"/>
      <c r="TWP25" s="21"/>
      <c r="TWQ25" s="21"/>
      <c r="TWR25" s="21"/>
      <c r="TWS25" s="21"/>
      <c r="TWT25" s="21"/>
      <c r="TWU25" s="21"/>
      <c r="TWV25" s="21"/>
      <c r="TWW25" s="21"/>
      <c r="TWX25" s="21"/>
      <c r="TWY25" s="21"/>
      <c r="TWZ25" s="21"/>
      <c r="TXA25" s="21"/>
      <c r="TXB25" s="21"/>
      <c r="TXC25" s="21"/>
      <c r="TXD25" s="21"/>
      <c r="TXE25" s="21"/>
      <c r="TXF25" s="21"/>
      <c r="TXG25" s="21"/>
      <c r="TXH25" s="21"/>
      <c r="TXI25" s="21"/>
      <c r="TXJ25" s="21"/>
      <c r="TXK25" s="21"/>
      <c r="TXL25" s="21"/>
      <c r="TXM25" s="21"/>
      <c r="TXN25" s="21"/>
      <c r="TXO25" s="21"/>
      <c r="TXP25" s="21"/>
      <c r="TXQ25" s="21"/>
      <c r="TXR25" s="21"/>
      <c r="TXS25" s="21"/>
      <c r="TXT25" s="21"/>
      <c r="TXU25" s="21"/>
      <c r="TXV25" s="21"/>
      <c r="TXW25" s="21"/>
      <c r="TXX25" s="21"/>
      <c r="TXY25" s="21"/>
      <c r="TXZ25" s="21"/>
      <c r="TYA25" s="21"/>
      <c r="TYB25" s="21"/>
      <c r="TYC25" s="21"/>
      <c r="TYD25" s="21"/>
      <c r="TYE25" s="21"/>
      <c r="TYF25" s="21"/>
      <c r="TYG25" s="21"/>
      <c r="TYH25" s="21"/>
      <c r="TYI25" s="21"/>
      <c r="TYJ25" s="21"/>
      <c r="TYK25" s="21"/>
      <c r="TYL25" s="21"/>
      <c r="TYM25" s="21"/>
      <c r="TYN25" s="21"/>
      <c r="TYO25" s="21"/>
      <c r="TYP25" s="21"/>
      <c r="TYQ25" s="21"/>
      <c r="TYR25" s="21"/>
      <c r="TYS25" s="21"/>
      <c r="TYT25" s="21"/>
      <c r="TYU25" s="21"/>
      <c r="TYV25" s="21"/>
      <c r="TYW25" s="21"/>
      <c r="TYX25" s="21"/>
      <c r="TYY25" s="21"/>
      <c r="TYZ25" s="21"/>
      <c r="TZA25" s="21"/>
      <c r="TZB25" s="21"/>
      <c r="TZC25" s="21"/>
      <c r="TZD25" s="21"/>
      <c r="TZE25" s="21"/>
      <c r="TZF25" s="21"/>
      <c r="TZG25" s="21"/>
      <c r="TZH25" s="21"/>
      <c r="TZI25" s="21"/>
      <c r="TZJ25" s="21"/>
      <c r="TZK25" s="21"/>
      <c r="TZL25" s="21"/>
      <c r="TZM25" s="21"/>
      <c r="TZN25" s="21"/>
      <c r="TZO25" s="21"/>
      <c r="TZP25" s="21"/>
      <c r="TZQ25" s="21"/>
      <c r="TZR25" s="21"/>
      <c r="TZS25" s="21"/>
      <c r="TZT25" s="21"/>
      <c r="TZU25" s="21"/>
      <c r="TZV25" s="21"/>
      <c r="TZW25" s="21"/>
      <c r="TZX25" s="21"/>
      <c r="TZY25" s="21"/>
      <c r="TZZ25" s="21"/>
      <c r="UAA25" s="21"/>
      <c r="UAB25" s="21"/>
      <c r="UAC25" s="21"/>
      <c r="UAD25" s="21"/>
      <c r="UAE25" s="21"/>
      <c r="UAF25" s="21"/>
      <c r="UAG25" s="21"/>
      <c r="UAH25" s="21"/>
      <c r="UAI25" s="21"/>
      <c r="UAJ25" s="21"/>
      <c r="UAK25" s="21"/>
      <c r="UAL25" s="21"/>
      <c r="UAM25" s="21"/>
      <c r="UAN25" s="21"/>
      <c r="UAO25" s="21"/>
      <c r="UAP25" s="21"/>
      <c r="UAQ25" s="21"/>
      <c r="UAR25" s="21"/>
      <c r="UAS25" s="21"/>
      <c r="UAT25" s="21"/>
      <c r="UAU25" s="21"/>
      <c r="UAV25" s="21"/>
      <c r="UAW25" s="21"/>
      <c r="UAX25" s="21"/>
      <c r="UAY25" s="21"/>
      <c r="UAZ25" s="21"/>
      <c r="UBA25" s="21"/>
      <c r="UBB25" s="21"/>
      <c r="UBC25" s="21"/>
      <c r="UBD25" s="21"/>
      <c r="UBE25" s="21"/>
      <c r="UBF25" s="21"/>
      <c r="UBG25" s="21"/>
      <c r="UBH25" s="21"/>
      <c r="UBI25" s="21"/>
      <c r="UBJ25" s="21"/>
      <c r="UBK25" s="21"/>
      <c r="UBL25" s="21"/>
      <c r="UBM25" s="21"/>
      <c r="UBN25" s="21"/>
      <c r="UBO25" s="21"/>
      <c r="UBP25" s="21"/>
      <c r="UBQ25" s="21"/>
      <c r="UBR25" s="21"/>
      <c r="UBS25" s="21"/>
      <c r="UBT25" s="21"/>
      <c r="UBU25" s="21"/>
      <c r="UBV25" s="21"/>
      <c r="UBW25" s="21"/>
      <c r="UBX25" s="21"/>
      <c r="UBY25" s="21"/>
      <c r="UBZ25" s="21"/>
      <c r="UCA25" s="21"/>
      <c r="UCB25" s="21"/>
      <c r="UCC25" s="21"/>
      <c r="UCD25" s="21"/>
      <c r="UCE25" s="21"/>
      <c r="UCF25" s="21"/>
      <c r="UCG25" s="21"/>
      <c r="UCH25" s="21"/>
      <c r="UCI25" s="21"/>
      <c r="UCJ25" s="21"/>
      <c r="UCK25" s="21"/>
      <c r="UCL25" s="21"/>
      <c r="UCM25" s="21"/>
      <c r="UCN25" s="21"/>
      <c r="UCO25" s="21"/>
      <c r="UCP25" s="21"/>
      <c r="UCQ25" s="21"/>
      <c r="UCR25" s="21"/>
      <c r="UCS25" s="21"/>
      <c r="UCT25" s="21"/>
      <c r="UCU25" s="21"/>
      <c r="UCV25" s="21"/>
      <c r="UCW25" s="21"/>
      <c r="UCX25" s="21"/>
      <c r="UCY25" s="21"/>
      <c r="UCZ25" s="21"/>
      <c r="UDA25" s="21"/>
      <c r="UDB25" s="21"/>
      <c r="UDC25" s="21"/>
      <c r="UDD25" s="21"/>
      <c r="UDE25" s="21"/>
      <c r="UDF25" s="21"/>
      <c r="UDG25" s="21"/>
      <c r="UDH25" s="21"/>
      <c r="UDI25" s="21"/>
      <c r="UDJ25" s="21"/>
      <c r="UDK25" s="21"/>
      <c r="UDL25" s="21"/>
      <c r="UDM25" s="21"/>
      <c r="UDN25" s="21"/>
      <c r="UDO25" s="21"/>
      <c r="UDP25" s="21"/>
      <c r="UDQ25" s="21"/>
      <c r="UDR25" s="21"/>
      <c r="UDS25" s="21"/>
      <c r="UDT25" s="21"/>
      <c r="UDU25" s="21"/>
      <c r="UDV25" s="21"/>
      <c r="UDW25" s="21"/>
      <c r="UDX25" s="21"/>
      <c r="UDY25" s="21"/>
      <c r="UDZ25" s="21"/>
      <c r="UEA25" s="21"/>
      <c r="UEB25" s="21"/>
      <c r="UEC25" s="21"/>
      <c r="UED25" s="21"/>
      <c r="UEE25" s="21"/>
      <c r="UEF25" s="21"/>
      <c r="UEG25" s="21"/>
      <c r="UEH25" s="21"/>
      <c r="UEI25" s="21"/>
      <c r="UEJ25" s="21"/>
      <c r="UEK25" s="21"/>
      <c r="UEL25" s="21"/>
      <c r="UEM25" s="21"/>
      <c r="UEN25" s="21"/>
      <c r="UEO25" s="21"/>
      <c r="UEP25" s="21"/>
      <c r="UEQ25" s="21"/>
      <c r="UER25" s="21"/>
      <c r="UES25" s="21"/>
      <c r="UET25" s="21"/>
      <c r="UEU25" s="21"/>
      <c r="UEV25" s="21"/>
      <c r="UEW25" s="21"/>
      <c r="UEX25" s="21"/>
      <c r="UEY25" s="21"/>
      <c r="UEZ25" s="21"/>
      <c r="UFA25" s="21"/>
      <c r="UFB25" s="21"/>
      <c r="UFC25" s="21"/>
      <c r="UFD25" s="21"/>
      <c r="UFE25" s="21"/>
      <c r="UFF25" s="21"/>
      <c r="UFG25" s="21"/>
      <c r="UFH25" s="21"/>
      <c r="UFI25" s="21"/>
      <c r="UFJ25" s="21"/>
      <c r="UFK25" s="21"/>
      <c r="UFL25" s="21"/>
      <c r="UFM25" s="21"/>
      <c r="UFN25" s="21"/>
      <c r="UFO25" s="21"/>
      <c r="UFP25" s="21"/>
      <c r="UFQ25" s="21"/>
      <c r="UFR25" s="21"/>
      <c r="UFS25" s="21"/>
      <c r="UFT25" s="21"/>
      <c r="UFU25" s="21"/>
      <c r="UFV25" s="21"/>
      <c r="UFW25" s="21"/>
      <c r="UFX25" s="21"/>
      <c r="UFY25" s="21"/>
      <c r="UFZ25" s="21"/>
      <c r="UGA25" s="21"/>
      <c r="UGB25" s="21"/>
      <c r="UGC25" s="21"/>
      <c r="UGD25" s="21"/>
      <c r="UGE25" s="21"/>
      <c r="UGF25" s="21"/>
      <c r="UGG25" s="21"/>
      <c r="UGH25" s="21"/>
      <c r="UGI25" s="21"/>
      <c r="UGJ25" s="21"/>
      <c r="UGK25" s="21"/>
      <c r="UGL25" s="21"/>
      <c r="UGM25" s="21"/>
      <c r="UGN25" s="21"/>
      <c r="UGO25" s="21"/>
      <c r="UGP25" s="21"/>
      <c r="UGQ25" s="21"/>
      <c r="UGR25" s="21"/>
      <c r="UGS25" s="21"/>
      <c r="UGT25" s="21"/>
      <c r="UGU25" s="21"/>
      <c r="UGV25" s="21"/>
      <c r="UGW25" s="21"/>
      <c r="UGX25" s="21"/>
      <c r="UGY25" s="21"/>
      <c r="UGZ25" s="21"/>
      <c r="UHA25" s="21"/>
      <c r="UHB25" s="21"/>
      <c r="UHC25" s="21"/>
      <c r="UHD25" s="21"/>
      <c r="UHE25" s="21"/>
      <c r="UHF25" s="21"/>
      <c r="UHG25" s="21"/>
      <c r="UHH25" s="21"/>
      <c r="UHI25" s="21"/>
      <c r="UHJ25" s="21"/>
      <c r="UHK25" s="21"/>
      <c r="UHL25" s="21"/>
      <c r="UHM25" s="21"/>
      <c r="UHN25" s="21"/>
      <c r="UHO25" s="21"/>
      <c r="UHP25" s="21"/>
      <c r="UHQ25" s="21"/>
      <c r="UHR25" s="21"/>
      <c r="UHS25" s="21"/>
      <c r="UHT25" s="21"/>
      <c r="UHU25" s="21"/>
      <c r="UHV25" s="21"/>
      <c r="UHW25" s="21"/>
      <c r="UHX25" s="21"/>
      <c r="UHY25" s="21"/>
      <c r="UHZ25" s="21"/>
      <c r="UIA25" s="21"/>
      <c r="UIB25" s="21"/>
      <c r="UIC25" s="21"/>
      <c r="UID25" s="21"/>
      <c r="UIE25" s="21"/>
      <c r="UIF25" s="21"/>
      <c r="UIG25" s="21"/>
      <c r="UIH25" s="21"/>
      <c r="UII25" s="21"/>
      <c r="UIJ25" s="21"/>
      <c r="UIK25" s="21"/>
      <c r="UIL25" s="21"/>
      <c r="UIM25" s="21"/>
      <c r="UIN25" s="21"/>
      <c r="UIO25" s="21"/>
      <c r="UIP25" s="21"/>
      <c r="UIQ25" s="21"/>
      <c r="UIR25" s="21"/>
      <c r="UIS25" s="21"/>
      <c r="UIT25" s="21"/>
      <c r="UIU25" s="21"/>
      <c r="UIV25" s="21"/>
      <c r="UIW25" s="21"/>
      <c r="UIX25" s="21"/>
      <c r="UIY25" s="21"/>
      <c r="UIZ25" s="21"/>
      <c r="UJA25" s="21"/>
      <c r="UJB25" s="21"/>
      <c r="UJC25" s="21"/>
      <c r="UJD25" s="21"/>
      <c r="UJE25" s="21"/>
      <c r="UJF25" s="21"/>
      <c r="UJG25" s="21"/>
      <c r="UJH25" s="21"/>
      <c r="UJI25" s="21"/>
      <c r="UJJ25" s="21"/>
      <c r="UJK25" s="21"/>
      <c r="UJL25" s="21"/>
      <c r="UJM25" s="21"/>
      <c r="UJN25" s="21"/>
      <c r="UJO25" s="21"/>
      <c r="UJP25" s="21"/>
      <c r="UJQ25" s="21"/>
      <c r="UJR25" s="21"/>
      <c r="UJS25" s="21"/>
      <c r="UJT25" s="21"/>
      <c r="UJU25" s="21"/>
      <c r="UJV25" s="21"/>
      <c r="UJW25" s="21"/>
      <c r="UJX25" s="21"/>
      <c r="UJY25" s="21"/>
      <c r="UJZ25" s="21"/>
      <c r="UKA25" s="21"/>
      <c r="UKB25" s="21"/>
      <c r="UKC25" s="21"/>
      <c r="UKD25" s="21"/>
      <c r="UKE25" s="21"/>
      <c r="UKF25" s="21"/>
      <c r="UKG25" s="21"/>
      <c r="UKH25" s="21"/>
      <c r="UKI25" s="21"/>
      <c r="UKJ25" s="21"/>
      <c r="UKK25" s="21"/>
      <c r="UKL25" s="21"/>
      <c r="UKM25" s="21"/>
      <c r="UKN25" s="21"/>
      <c r="UKO25" s="21"/>
      <c r="UKP25" s="21"/>
      <c r="UKQ25" s="21"/>
      <c r="UKR25" s="21"/>
      <c r="UKS25" s="21"/>
      <c r="UKT25" s="21"/>
      <c r="UKU25" s="21"/>
      <c r="UKV25" s="21"/>
      <c r="UKW25" s="21"/>
      <c r="UKX25" s="21"/>
      <c r="UKY25" s="21"/>
      <c r="UKZ25" s="21"/>
      <c r="ULA25" s="21"/>
      <c r="ULB25" s="21"/>
      <c r="ULC25" s="21"/>
      <c r="ULD25" s="21"/>
      <c r="ULE25" s="21"/>
      <c r="ULF25" s="21"/>
      <c r="ULG25" s="21"/>
      <c r="ULH25" s="21"/>
      <c r="ULI25" s="21"/>
      <c r="ULJ25" s="21"/>
      <c r="ULK25" s="21"/>
      <c r="ULL25" s="21"/>
      <c r="ULM25" s="21"/>
      <c r="ULN25" s="21"/>
      <c r="ULO25" s="21"/>
      <c r="ULP25" s="21"/>
      <c r="ULQ25" s="21"/>
      <c r="ULR25" s="21"/>
      <c r="ULS25" s="21"/>
      <c r="ULT25" s="21"/>
      <c r="ULU25" s="21"/>
      <c r="ULV25" s="21"/>
      <c r="ULW25" s="21"/>
      <c r="ULX25" s="21"/>
      <c r="ULY25" s="21"/>
      <c r="ULZ25" s="21"/>
      <c r="UMA25" s="21"/>
      <c r="UMB25" s="21"/>
      <c r="UMC25" s="21"/>
      <c r="UMD25" s="21"/>
      <c r="UME25" s="21"/>
      <c r="UMF25" s="21"/>
      <c r="UMG25" s="21"/>
      <c r="UMH25" s="21"/>
      <c r="UMI25" s="21"/>
      <c r="UMJ25" s="21"/>
      <c r="UMK25" s="21"/>
      <c r="UML25" s="21"/>
      <c r="UMM25" s="21"/>
      <c r="UMN25" s="21"/>
      <c r="UMO25" s="21"/>
      <c r="UMP25" s="21"/>
      <c r="UMQ25" s="21"/>
      <c r="UMR25" s="21"/>
      <c r="UMS25" s="21"/>
      <c r="UMT25" s="21"/>
      <c r="UMU25" s="21"/>
      <c r="UMV25" s="21"/>
      <c r="UMW25" s="21"/>
      <c r="UMX25" s="21"/>
      <c r="UMY25" s="21"/>
      <c r="UMZ25" s="21"/>
      <c r="UNA25" s="21"/>
      <c r="UNB25" s="21"/>
      <c r="UNC25" s="21"/>
      <c r="UND25" s="21"/>
      <c r="UNE25" s="21"/>
      <c r="UNF25" s="21"/>
      <c r="UNG25" s="21"/>
      <c r="UNH25" s="21"/>
      <c r="UNI25" s="21"/>
      <c r="UNJ25" s="21"/>
      <c r="UNK25" s="21"/>
      <c r="UNL25" s="21"/>
      <c r="UNM25" s="21"/>
      <c r="UNN25" s="21"/>
      <c r="UNO25" s="21"/>
      <c r="UNP25" s="21"/>
      <c r="UNQ25" s="21"/>
      <c r="UNR25" s="21"/>
      <c r="UNS25" s="21"/>
      <c r="UNT25" s="21"/>
      <c r="UNU25" s="21"/>
      <c r="UNV25" s="21"/>
      <c r="UNW25" s="21"/>
      <c r="UNX25" s="21"/>
      <c r="UNY25" s="21"/>
      <c r="UNZ25" s="21"/>
      <c r="UOA25" s="21"/>
      <c r="UOB25" s="21"/>
      <c r="UOC25" s="21"/>
      <c r="UOD25" s="21"/>
      <c r="UOE25" s="21"/>
      <c r="UOF25" s="21"/>
      <c r="UOG25" s="21"/>
      <c r="UOH25" s="21"/>
      <c r="UOI25" s="21"/>
      <c r="UOJ25" s="21"/>
      <c r="UOK25" s="21"/>
      <c r="UOL25" s="21"/>
      <c r="UOM25" s="21"/>
      <c r="UON25" s="21"/>
      <c r="UOO25" s="21"/>
      <c r="UOP25" s="21"/>
      <c r="UOQ25" s="21"/>
      <c r="UOR25" s="21"/>
      <c r="UOS25" s="21"/>
      <c r="UOT25" s="21"/>
      <c r="UOU25" s="21"/>
      <c r="UOV25" s="21"/>
      <c r="UOW25" s="21"/>
      <c r="UOX25" s="21"/>
      <c r="UOY25" s="21"/>
      <c r="UOZ25" s="21"/>
      <c r="UPA25" s="21"/>
      <c r="UPB25" s="21"/>
      <c r="UPC25" s="21"/>
      <c r="UPD25" s="21"/>
      <c r="UPE25" s="21"/>
      <c r="UPF25" s="21"/>
      <c r="UPG25" s="21"/>
      <c r="UPH25" s="21"/>
      <c r="UPI25" s="21"/>
      <c r="UPJ25" s="21"/>
      <c r="UPK25" s="21"/>
      <c r="UPL25" s="21"/>
      <c r="UPM25" s="21"/>
      <c r="UPN25" s="21"/>
      <c r="UPO25" s="21"/>
      <c r="UPP25" s="21"/>
      <c r="UPQ25" s="21"/>
      <c r="UPR25" s="21"/>
      <c r="UPS25" s="21"/>
      <c r="UPT25" s="21"/>
      <c r="UPU25" s="21"/>
      <c r="UPV25" s="21"/>
      <c r="UPW25" s="21"/>
      <c r="UPX25" s="21"/>
      <c r="UPY25" s="21"/>
      <c r="UPZ25" s="21"/>
      <c r="UQA25" s="21"/>
      <c r="UQB25" s="21"/>
      <c r="UQC25" s="21"/>
      <c r="UQD25" s="21"/>
      <c r="UQE25" s="21"/>
      <c r="UQF25" s="21"/>
      <c r="UQG25" s="21"/>
      <c r="UQH25" s="21"/>
      <c r="UQI25" s="21"/>
      <c r="UQJ25" s="21"/>
      <c r="UQK25" s="21"/>
      <c r="UQL25" s="21"/>
      <c r="UQM25" s="21"/>
      <c r="UQN25" s="21"/>
      <c r="UQO25" s="21"/>
      <c r="UQP25" s="21"/>
      <c r="UQQ25" s="21"/>
      <c r="UQR25" s="21"/>
      <c r="UQS25" s="21"/>
      <c r="UQT25" s="21"/>
      <c r="UQU25" s="21"/>
      <c r="UQV25" s="21"/>
      <c r="UQW25" s="21"/>
      <c r="UQX25" s="21"/>
      <c r="UQY25" s="21"/>
      <c r="UQZ25" s="21"/>
      <c r="URA25" s="21"/>
      <c r="URB25" s="21"/>
      <c r="URC25" s="21"/>
      <c r="URD25" s="21"/>
      <c r="URE25" s="21"/>
      <c r="URF25" s="21"/>
      <c r="URG25" s="21"/>
      <c r="URH25" s="21"/>
      <c r="URI25" s="21"/>
      <c r="URJ25" s="21"/>
      <c r="URK25" s="21"/>
      <c r="URL25" s="21"/>
      <c r="URM25" s="21"/>
      <c r="URN25" s="21"/>
      <c r="URO25" s="21"/>
      <c r="URP25" s="21"/>
      <c r="URQ25" s="21"/>
      <c r="URR25" s="21"/>
      <c r="URS25" s="21"/>
      <c r="URT25" s="21"/>
      <c r="URU25" s="21"/>
      <c r="URV25" s="21"/>
      <c r="URW25" s="21"/>
      <c r="URX25" s="21"/>
      <c r="URY25" s="21"/>
      <c r="URZ25" s="21"/>
      <c r="USA25" s="21"/>
      <c r="USB25" s="21"/>
      <c r="USC25" s="21"/>
      <c r="USD25" s="21"/>
      <c r="USE25" s="21"/>
      <c r="USF25" s="21"/>
      <c r="USG25" s="21"/>
      <c r="USH25" s="21"/>
      <c r="USI25" s="21"/>
      <c r="USJ25" s="21"/>
      <c r="USK25" s="21"/>
      <c r="USL25" s="21"/>
      <c r="USM25" s="21"/>
      <c r="USN25" s="21"/>
      <c r="USO25" s="21"/>
      <c r="USP25" s="21"/>
      <c r="USQ25" s="21"/>
      <c r="USR25" s="21"/>
      <c r="USS25" s="21"/>
      <c r="UST25" s="21"/>
      <c r="USU25" s="21"/>
      <c r="USV25" s="21"/>
      <c r="USW25" s="21"/>
      <c r="USX25" s="21"/>
      <c r="USY25" s="21"/>
      <c r="USZ25" s="21"/>
      <c r="UTA25" s="21"/>
      <c r="UTB25" s="21"/>
      <c r="UTC25" s="21"/>
      <c r="UTD25" s="21"/>
      <c r="UTE25" s="21"/>
      <c r="UTF25" s="21"/>
      <c r="UTG25" s="21"/>
      <c r="UTH25" s="21"/>
      <c r="UTI25" s="21"/>
      <c r="UTJ25" s="21"/>
      <c r="UTK25" s="21"/>
      <c r="UTL25" s="21"/>
      <c r="UTM25" s="21"/>
      <c r="UTN25" s="21"/>
      <c r="UTO25" s="21"/>
      <c r="UTP25" s="21"/>
      <c r="UTQ25" s="21"/>
      <c r="UTR25" s="21"/>
      <c r="UTS25" s="21"/>
      <c r="UTT25" s="21"/>
      <c r="UTU25" s="21"/>
      <c r="UTV25" s="21"/>
      <c r="UTW25" s="21"/>
      <c r="UTX25" s="21"/>
      <c r="UTY25" s="21"/>
      <c r="UTZ25" s="21"/>
      <c r="UUA25" s="21"/>
      <c r="UUB25" s="21"/>
      <c r="UUC25" s="21"/>
      <c r="UUD25" s="21"/>
      <c r="UUE25" s="21"/>
      <c r="UUF25" s="21"/>
      <c r="UUG25" s="21"/>
      <c r="UUH25" s="21"/>
      <c r="UUI25" s="21"/>
      <c r="UUJ25" s="21"/>
      <c r="UUK25" s="21"/>
      <c r="UUL25" s="21"/>
      <c r="UUM25" s="21"/>
      <c r="UUN25" s="21"/>
      <c r="UUO25" s="21"/>
      <c r="UUP25" s="21"/>
      <c r="UUQ25" s="21"/>
      <c r="UUR25" s="21"/>
      <c r="UUS25" s="21"/>
      <c r="UUT25" s="21"/>
      <c r="UUU25" s="21"/>
      <c r="UUV25" s="21"/>
      <c r="UUW25" s="21"/>
      <c r="UUX25" s="21"/>
      <c r="UUY25" s="21"/>
      <c r="UUZ25" s="21"/>
      <c r="UVA25" s="21"/>
      <c r="UVB25" s="21"/>
      <c r="UVC25" s="21"/>
      <c r="UVD25" s="21"/>
      <c r="UVE25" s="21"/>
      <c r="UVF25" s="21"/>
      <c r="UVG25" s="21"/>
      <c r="UVH25" s="21"/>
      <c r="UVI25" s="21"/>
      <c r="UVJ25" s="21"/>
      <c r="UVK25" s="21"/>
      <c r="UVL25" s="21"/>
      <c r="UVM25" s="21"/>
      <c r="UVN25" s="21"/>
      <c r="UVO25" s="21"/>
      <c r="UVP25" s="21"/>
      <c r="UVQ25" s="21"/>
      <c r="UVR25" s="21"/>
      <c r="UVS25" s="21"/>
      <c r="UVT25" s="21"/>
      <c r="UVU25" s="21"/>
      <c r="UVV25" s="21"/>
      <c r="UVW25" s="21"/>
      <c r="UVX25" s="21"/>
      <c r="UVY25" s="21"/>
      <c r="UVZ25" s="21"/>
      <c r="UWA25" s="21"/>
      <c r="UWB25" s="21"/>
      <c r="UWC25" s="21"/>
      <c r="UWD25" s="21"/>
      <c r="UWE25" s="21"/>
      <c r="UWF25" s="21"/>
      <c r="UWG25" s="21"/>
      <c r="UWH25" s="21"/>
      <c r="UWI25" s="21"/>
      <c r="UWJ25" s="21"/>
      <c r="UWK25" s="21"/>
      <c r="UWL25" s="21"/>
      <c r="UWM25" s="21"/>
      <c r="UWN25" s="21"/>
      <c r="UWO25" s="21"/>
      <c r="UWP25" s="21"/>
      <c r="UWQ25" s="21"/>
      <c r="UWR25" s="21"/>
      <c r="UWS25" s="21"/>
      <c r="UWT25" s="21"/>
      <c r="UWU25" s="21"/>
      <c r="UWV25" s="21"/>
      <c r="UWW25" s="21"/>
      <c r="UWX25" s="21"/>
      <c r="UWY25" s="21"/>
      <c r="UWZ25" s="21"/>
      <c r="UXA25" s="21"/>
      <c r="UXB25" s="21"/>
      <c r="UXC25" s="21"/>
      <c r="UXD25" s="21"/>
      <c r="UXE25" s="21"/>
      <c r="UXF25" s="21"/>
      <c r="UXG25" s="21"/>
      <c r="UXH25" s="21"/>
      <c r="UXI25" s="21"/>
      <c r="UXJ25" s="21"/>
      <c r="UXK25" s="21"/>
      <c r="UXL25" s="21"/>
      <c r="UXM25" s="21"/>
      <c r="UXN25" s="21"/>
      <c r="UXO25" s="21"/>
      <c r="UXP25" s="21"/>
      <c r="UXQ25" s="21"/>
      <c r="UXR25" s="21"/>
      <c r="UXS25" s="21"/>
      <c r="UXT25" s="21"/>
      <c r="UXU25" s="21"/>
      <c r="UXV25" s="21"/>
      <c r="UXW25" s="21"/>
      <c r="UXX25" s="21"/>
      <c r="UXY25" s="21"/>
      <c r="UXZ25" s="21"/>
      <c r="UYA25" s="21"/>
      <c r="UYB25" s="21"/>
      <c r="UYC25" s="21"/>
      <c r="UYD25" s="21"/>
      <c r="UYE25" s="21"/>
      <c r="UYF25" s="21"/>
      <c r="UYG25" s="21"/>
      <c r="UYH25" s="21"/>
      <c r="UYI25" s="21"/>
      <c r="UYJ25" s="21"/>
      <c r="UYK25" s="21"/>
      <c r="UYL25" s="21"/>
      <c r="UYM25" s="21"/>
      <c r="UYN25" s="21"/>
      <c r="UYO25" s="21"/>
      <c r="UYP25" s="21"/>
      <c r="UYQ25" s="21"/>
      <c r="UYR25" s="21"/>
      <c r="UYS25" s="21"/>
      <c r="UYT25" s="21"/>
      <c r="UYU25" s="21"/>
      <c r="UYV25" s="21"/>
      <c r="UYW25" s="21"/>
      <c r="UYX25" s="21"/>
      <c r="UYY25" s="21"/>
      <c r="UYZ25" s="21"/>
      <c r="UZA25" s="21"/>
      <c r="UZB25" s="21"/>
      <c r="UZC25" s="21"/>
      <c r="UZD25" s="21"/>
      <c r="UZE25" s="21"/>
      <c r="UZF25" s="21"/>
      <c r="UZG25" s="21"/>
      <c r="UZH25" s="21"/>
      <c r="UZI25" s="21"/>
      <c r="UZJ25" s="21"/>
      <c r="UZK25" s="21"/>
      <c r="UZL25" s="21"/>
      <c r="UZM25" s="21"/>
      <c r="UZN25" s="21"/>
      <c r="UZO25" s="21"/>
      <c r="UZP25" s="21"/>
      <c r="UZQ25" s="21"/>
      <c r="UZR25" s="21"/>
      <c r="UZS25" s="21"/>
      <c r="UZT25" s="21"/>
      <c r="UZU25" s="21"/>
      <c r="UZV25" s="21"/>
      <c r="UZW25" s="21"/>
      <c r="UZX25" s="21"/>
      <c r="UZY25" s="21"/>
      <c r="UZZ25" s="21"/>
      <c r="VAA25" s="21"/>
      <c r="VAB25" s="21"/>
      <c r="VAC25" s="21"/>
      <c r="VAD25" s="21"/>
      <c r="VAE25" s="21"/>
      <c r="VAF25" s="21"/>
      <c r="VAG25" s="21"/>
      <c r="VAH25" s="21"/>
      <c r="VAI25" s="21"/>
      <c r="VAJ25" s="21"/>
      <c r="VAK25" s="21"/>
      <c r="VAL25" s="21"/>
      <c r="VAM25" s="21"/>
      <c r="VAN25" s="21"/>
      <c r="VAO25" s="21"/>
      <c r="VAP25" s="21"/>
      <c r="VAQ25" s="21"/>
      <c r="VAR25" s="21"/>
      <c r="VAS25" s="21"/>
      <c r="VAT25" s="21"/>
      <c r="VAU25" s="21"/>
      <c r="VAV25" s="21"/>
      <c r="VAW25" s="21"/>
      <c r="VAX25" s="21"/>
      <c r="VAY25" s="21"/>
      <c r="VAZ25" s="21"/>
      <c r="VBA25" s="21"/>
      <c r="VBB25" s="21"/>
      <c r="VBC25" s="21"/>
      <c r="VBD25" s="21"/>
      <c r="VBE25" s="21"/>
      <c r="VBF25" s="21"/>
      <c r="VBG25" s="21"/>
      <c r="VBH25" s="21"/>
      <c r="VBI25" s="21"/>
      <c r="VBJ25" s="21"/>
      <c r="VBK25" s="21"/>
      <c r="VBL25" s="21"/>
      <c r="VBM25" s="21"/>
      <c r="VBN25" s="21"/>
      <c r="VBO25" s="21"/>
      <c r="VBP25" s="21"/>
      <c r="VBQ25" s="21"/>
      <c r="VBR25" s="21"/>
      <c r="VBS25" s="21"/>
      <c r="VBT25" s="21"/>
      <c r="VBU25" s="21"/>
      <c r="VBV25" s="21"/>
      <c r="VBW25" s="21"/>
      <c r="VBX25" s="21"/>
      <c r="VBY25" s="21"/>
      <c r="VBZ25" s="21"/>
      <c r="VCA25" s="21"/>
      <c r="VCB25" s="21"/>
      <c r="VCC25" s="21"/>
      <c r="VCD25" s="21"/>
      <c r="VCE25" s="21"/>
      <c r="VCF25" s="21"/>
      <c r="VCG25" s="21"/>
      <c r="VCH25" s="21"/>
      <c r="VCI25" s="21"/>
      <c r="VCJ25" s="21"/>
      <c r="VCK25" s="21"/>
      <c r="VCL25" s="21"/>
      <c r="VCM25" s="21"/>
      <c r="VCN25" s="21"/>
      <c r="VCO25" s="21"/>
      <c r="VCP25" s="21"/>
      <c r="VCQ25" s="21"/>
      <c r="VCR25" s="21"/>
      <c r="VCS25" s="21"/>
      <c r="VCT25" s="21"/>
      <c r="VCU25" s="21"/>
      <c r="VCV25" s="21"/>
      <c r="VCW25" s="21"/>
      <c r="VCX25" s="21"/>
      <c r="VCY25" s="21"/>
      <c r="VCZ25" s="21"/>
      <c r="VDA25" s="21"/>
      <c r="VDB25" s="21"/>
      <c r="VDC25" s="21"/>
      <c r="VDD25" s="21"/>
      <c r="VDE25" s="21"/>
      <c r="VDF25" s="21"/>
      <c r="VDG25" s="21"/>
      <c r="VDH25" s="21"/>
      <c r="VDI25" s="21"/>
      <c r="VDJ25" s="21"/>
      <c r="VDK25" s="21"/>
      <c r="VDL25" s="21"/>
      <c r="VDM25" s="21"/>
      <c r="VDN25" s="21"/>
      <c r="VDO25" s="21"/>
      <c r="VDP25" s="21"/>
      <c r="VDQ25" s="21"/>
      <c r="VDR25" s="21"/>
      <c r="VDS25" s="21"/>
      <c r="VDT25" s="21"/>
      <c r="VDU25" s="21"/>
      <c r="VDV25" s="21"/>
      <c r="VDW25" s="21"/>
      <c r="VDX25" s="21"/>
      <c r="VDY25" s="21"/>
      <c r="VDZ25" s="21"/>
      <c r="VEA25" s="21"/>
      <c r="VEB25" s="21"/>
      <c r="VEC25" s="21"/>
      <c r="VED25" s="21"/>
      <c r="VEE25" s="21"/>
      <c r="VEF25" s="21"/>
      <c r="VEG25" s="21"/>
      <c r="VEH25" s="21"/>
      <c r="VEI25" s="21"/>
      <c r="VEJ25" s="21"/>
      <c r="VEK25" s="21"/>
      <c r="VEL25" s="21"/>
      <c r="VEM25" s="21"/>
      <c r="VEN25" s="21"/>
      <c r="VEO25" s="21"/>
      <c r="VEP25" s="21"/>
      <c r="VEQ25" s="21"/>
      <c r="VER25" s="21"/>
      <c r="VES25" s="21"/>
      <c r="VET25" s="21"/>
      <c r="VEU25" s="21"/>
      <c r="VEV25" s="21"/>
      <c r="VEW25" s="21"/>
      <c r="VEX25" s="21"/>
      <c r="VEY25" s="21"/>
      <c r="VEZ25" s="21"/>
      <c r="VFA25" s="21"/>
      <c r="VFB25" s="21"/>
      <c r="VFC25" s="21"/>
      <c r="VFD25" s="21"/>
      <c r="VFE25" s="21"/>
      <c r="VFF25" s="21"/>
      <c r="VFG25" s="21"/>
      <c r="VFH25" s="21"/>
      <c r="VFI25" s="21"/>
      <c r="VFJ25" s="21"/>
      <c r="VFK25" s="21"/>
      <c r="VFL25" s="21"/>
      <c r="VFM25" s="21"/>
      <c r="VFN25" s="21"/>
      <c r="VFO25" s="21"/>
      <c r="VFP25" s="21"/>
      <c r="VFQ25" s="21"/>
      <c r="VFR25" s="21"/>
      <c r="VFS25" s="21"/>
      <c r="VFT25" s="21"/>
      <c r="VFU25" s="21"/>
      <c r="VFV25" s="21"/>
      <c r="VFW25" s="21"/>
      <c r="VFX25" s="21"/>
      <c r="VFY25" s="21"/>
      <c r="VFZ25" s="21"/>
      <c r="VGA25" s="21"/>
      <c r="VGB25" s="21"/>
      <c r="VGC25" s="21"/>
      <c r="VGD25" s="21"/>
      <c r="VGE25" s="21"/>
      <c r="VGF25" s="21"/>
      <c r="VGG25" s="21"/>
      <c r="VGH25" s="21"/>
      <c r="VGI25" s="21"/>
      <c r="VGJ25" s="21"/>
      <c r="VGK25" s="21"/>
      <c r="VGL25" s="21"/>
      <c r="VGM25" s="21"/>
      <c r="VGN25" s="21"/>
      <c r="VGO25" s="21"/>
      <c r="VGP25" s="21"/>
      <c r="VGQ25" s="21"/>
      <c r="VGR25" s="21"/>
      <c r="VGS25" s="21"/>
      <c r="VGT25" s="21"/>
      <c r="VGU25" s="21"/>
      <c r="VGV25" s="21"/>
      <c r="VGW25" s="21"/>
      <c r="VGX25" s="21"/>
      <c r="VGY25" s="21"/>
      <c r="VGZ25" s="21"/>
      <c r="VHA25" s="21"/>
      <c r="VHB25" s="21"/>
      <c r="VHC25" s="21"/>
      <c r="VHD25" s="21"/>
      <c r="VHE25" s="21"/>
      <c r="VHF25" s="21"/>
      <c r="VHG25" s="21"/>
      <c r="VHH25" s="21"/>
      <c r="VHI25" s="21"/>
      <c r="VHJ25" s="21"/>
      <c r="VHK25" s="21"/>
      <c r="VHL25" s="21"/>
      <c r="VHM25" s="21"/>
      <c r="VHN25" s="21"/>
      <c r="VHO25" s="21"/>
      <c r="VHP25" s="21"/>
      <c r="VHQ25" s="21"/>
      <c r="VHR25" s="21"/>
      <c r="VHS25" s="21"/>
      <c r="VHT25" s="21"/>
      <c r="VHU25" s="21"/>
      <c r="VHV25" s="21"/>
      <c r="VHW25" s="21"/>
      <c r="VHX25" s="21"/>
      <c r="VHY25" s="21"/>
      <c r="VHZ25" s="21"/>
      <c r="VIA25" s="21"/>
      <c r="VIB25" s="21"/>
      <c r="VIC25" s="21"/>
      <c r="VID25" s="21"/>
      <c r="VIE25" s="21"/>
      <c r="VIF25" s="21"/>
      <c r="VIG25" s="21"/>
      <c r="VIH25" s="21"/>
      <c r="VII25" s="21"/>
      <c r="VIJ25" s="21"/>
      <c r="VIK25" s="21"/>
      <c r="VIL25" s="21"/>
      <c r="VIM25" s="21"/>
      <c r="VIN25" s="21"/>
      <c r="VIO25" s="21"/>
      <c r="VIP25" s="21"/>
      <c r="VIQ25" s="21"/>
    </row>
    <row r="26" spans="1:15171" s="1" customFormat="1">
      <c r="B26" s="65"/>
      <c r="C26" s="229" t="s">
        <v>29</v>
      </c>
      <c r="D26" s="74">
        <v>0.5</v>
      </c>
      <c r="E26" s="75" t="s">
        <v>13</v>
      </c>
      <c r="F26" s="73">
        <v>0.38</v>
      </c>
      <c r="G26" s="73">
        <v>0.38</v>
      </c>
      <c r="H26" s="73">
        <v>0.38</v>
      </c>
      <c r="I26" s="73">
        <v>0.36</v>
      </c>
      <c r="J26" s="73">
        <v>0.39</v>
      </c>
      <c r="K26" s="73">
        <v>0.37</v>
      </c>
      <c r="L26" s="73">
        <v>0.37</v>
      </c>
      <c r="M26" s="73">
        <v>0.39</v>
      </c>
      <c r="N26" s="73">
        <v>0.38</v>
      </c>
      <c r="O26" s="73">
        <v>0.36</v>
      </c>
      <c r="P26" s="73">
        <v>0.38</v>
      </c>
      <c r="Q26" s="73">
        <v>0.37</v>
      </c>
      <c r="R26" s="73">
        <v>0.37</v>
      </c>
      <c r="S26" s="73">
        <v>0.37</v>
      </c>
      <c r="T26" s="73">
        <v>0.37</v>
      </c>
      <c r="U26" s="73">
        <v>0.36</v>
      </c>
      <c r="V26" s="73">
        <v>0.37</v>
      </c>
      <c r="W26" s="73">
        <v>0.37</v>
      </c>
      <c r="X26" s="73">
        <v>0.37</v>
      </c>
      <c r="Y26" s="73">
        <v>0.37</v>
      </c>
      <c r="Z26" s="73">
        <v>0.37</v>
      </c>
      <c r="AA26" s="73">
        <v>0.35</v>
      </c>
      <c r="AB26" s="73">
        <v>0.37</v>
      </c>
      <c r="AC26" s="73">
        <v>0.38</v>
      </c>
      <c r="AD26" s="73">
        <v>0.36</v>
      </c>
      <c r="AE26" s="73">
        <v>0.38</v>
      </c>
      <c r="AF26" s="73">
        <v>0.37</v>
      </c>
      <c r="AG26" s="73">
        <v>0.36</v>
      </c>
      <c r="AH26" s="73">
        <v>0.37</v>
      </c>
      <c r="AI26" s="73">
        <v>0.37</v>
      </c>
      <c r="AJ26" s="126"/>
      <c r="AK26" s="128">
        <f>AVERAGE(F26:AI26)</f>
        <v>0.37133333333333329</v>
      </c>
      <c r="AL26" s="130"/>
      <c r="AM26" s="127"/>
      <c r="AN26" s="265">
        <f t="shared" ref="AN26:AN27" si="4">AVERAGE(P26:U26)</f>
        <v>0.37000000000000005</v>
      </c>
      <c r="AO26" s="265"/>
      <c r="AQ26" s="273">
        <f>AQ23/AQ25</f>
        <v>201.5994166666666</v>
      </c>
    </row>
    <row r="27" spans="1:15171" s="1" customFormat="1">
      <c r="B27" s="65"/>
      <c r="C27" s="229" t="s">
        <v>30</v>
      </c>
      <c r="D27" s="76" t="s">
        <v>31</v>
      </c>
      <c r="E27" s="75" t="s">
        <v>13</v>
      </c>
      <c r="F27" s="73">
        <v>2.25</v>
      </c>
      <c r="G27" s="77">
        <v>2.2400000000000002</v>
      </c>
      <c r="H27" s="73">
        <v>2.23</v>
      </c>
      <c r="I27" s="73">
        <v>2.2400000000000002</v>
      </c>
      <c r="J27" s="73">
        <v>2.21</v>
      </c>
      <c r="K27" s="77">
        <v>2.2200000000000002</v>
      </c>
      <c r="L27" s="77">
        <v>2.21</v>
      </c>
      <c r="M27" s="73">
        <v>2.2400000000000002</v>
      </c>
      <c r="N27" s="73">
        <v>2.25</v>
      </c>
      <c r="O27" s="77">
        <v>2.23</v>
      </c>
      <c r="P27" s="77">
        <v>2.23</v>
      </c>
      <c r="Q27" s="77">
        <v>2.2200000000000002</v>
      </c>
      <c r="R27" s="73">
        <v>2.23</v>
      </c>
      <c r="S27" s="73">
        <v>2.23</v>
      </c>
      <c r="T27" s="73">
        <v>2.2200000000000002</v>
      </c>
      <c r="U27" s="77">
        <v>2.23</v>
      </c>
      <c r="V27" s="73">
        <v>2.23</v>
      </c>
      <c r="W27" s="73">
        <v>2.23</v>
      </c>
      <c r="X27" s="73">
        <v>2.2400000000000002</v>
      </c>
      <c r="Y27" s="73">
        <v>2.21</v>
      </c>
      <c r="Z27" s="73">
        <v>2.23</v>
      </c>
      <c r="AA27" s="73">
        <v>2.2400000000000002</v>
      </c>
      <c r="AB27" s="73">
        <v>2.23</v>
      </c>
      <c r="AC27" s="73">
        <v>2.2400000000000002</v>
      </c>
      <c r="AD27" s="73">
        <v>2.2200000000000002</v>
      </c>
      <c r="AE27" s="73">
        <v>2.21</v>
      </c>
      <c r="AF27" s="73">
        <v>2.2400000000000002</v>
      </c>
      <c r="AG27" s="73">
        <v>2.2200000000000002</v>
      </c>
      <c r="AH27" s="73">
        <v>2.2000000000000002</v>
      </c>
      <c r="AI27" s="73">
        <v>2.2200000000000002</v>
      </c>
      <c r="AJ27" s="126"/>
      <c r="AK27" s="128">
        <f>AVERAGE(F27:AI27)</f>
        <v>2.2279999999999998</v>
      </c>
      <c r="AL27" s="130"/>
      <c r="AM27" s="127"/>
      <c r="AN27" s="265">
        <f t="shared" si="4"/>
        <v>2.226666666666667</v>
      </c>
      <c r="AO27" s="265"/>
    </row>
    <row r="28" spans="1:15171" s="1" customFormat="1">
      <c r="B28" s="65"/>
      <c r="C28" s="78" t="s">
        <v>32</v>
      </c>
      <c r="D28" s="79"/>
      <c r="E28" s="80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131"/>
      <c r="AK28" s="132" t="s">
        <v>32</v>
      </c>
      <c r="AL28" s="127"/>
      <c r="AM28" s="127"/>
    </row>
    <row r="29" spans="1:15171" s="3" customFormat="1">
      <c r="B29" s="81"/>
      <c r="C29" s="230" t="s">
        <v>33</v>
      </c>
      <c r="D29" s="67">
        <f>D47%*D23</f>
        <v>1884000.0000000002</v>
      </c>
      <c r="E29" s="231" t="s">
        <v>10</v>
      </c>
      <c r="F29" s="69">
        <v>1508900</v>
      </c>
      <c r="G29" s="69">
        <v>1592200</v>
      </c>
      <c r="H29" s="69">
        <v>1567700</v>
      </c>
      <c r="I29" s="69">
        <v>1372600</v>
      </c>
      <c r="J29" s="69">
        <v>1377700</v>
      </c>
      <c r="K29" s="69">
        <v>1372400</v>
      </c>
      <c r="L29" s="69">
        <v>1372400</v>
      </c>
      <c r="M29" s="69">
        <v>1416800</v>
      </c>
      <c r="N29" s="69">
        <v>1463600</v>
      </c>
      <c r="O29" s="69">
        <v>1487000</v>
      </c>
      <c r="P29" s="69">
        <v>1460900</v>
      </c>
      <c r="Q29" s="69">
        <v>1497700</v>
      </c>
      <c r="R29" s="69">
        <v>1474800</v>
      </c>
      <c r="S29" s="69">
        <v>1577000</v>
      </c>
      <c r="T29" s="69">
        <v>1640600</v>
      </c>
      <c r="U29" s="69">
        <v>1699000</v>
      </c>
      <c r="V29" s="69">
        <v>1791300</v>
      </c>
      <c r="W29" s="69">
        <v>1744000</v>
      </c>
      <c r="X29" s="69">
        <v>1707000</v>
      </c>
      <c r="Y29" s="69">
        <v>1287200</v>
      </c>
      <c r="Z29" s="69">
        <v>1848000</v>
      </c>
      <c r="AA29" s="69">
        <v>1616300</v>
      </c>
      <c r="AB29" s="69">
        <v>1881700</v>
      </c>
      <c r="AC29" s="69">
        <v>1706600</v>
      </c>
      <c r="AD29" s="69">
        <v>1723400</v>
      </c>
      <c r="AE29" s="69">
        <v>1532700</v>
      </c>
      <c r="AF29" s="69">
        <v>1761200</v>
      </c>
      <c r="AG29" s="69">
        <v>1860500</v>
      </c>
      <c r="AH29" s="69">
        <v>1534200</v>
      </c>
      <c r="AI29" s="69">
        <v>1533000</v>
      </c>
      <c r="AJ29" s="133"/>
      <c r="AK29" s="125">
        <f>SUM(F29:AI29)</f>
        <v>47408400</v>
      </c>
      <c r="AL29" s="33"/>
      <c r="AM29" s="33"/>
      <c r="AN29" s="116">
        <f t="shared" ref="AN29:AN30" si="5">SUM(W29:AC29)</f>
        <v>11790800</v>
      </c>
      <c r="AO29" s="116"/>
      <c r="BV29" s="270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</row>
    <row r="30" spans="1:15171" s="3" customFormat="1">
      <c r="B30" s="81"/>
      <c r="C30" s="230" t="s">
        <v>34</v>
      </c>
      <c r="D30" s="67">
        <f>D48%*D23</f>
        <v>100000</v>
      </c>
      <c r="E30" s="231" t="s">
        <v>10</v>
      </c>
      <c r="F30" s="69">
        <v>63412</v>
      </c>
      <c r="G30" s="69">
        <v>67818</v>
      </c>
      <c r="H30" s="69">
        <v>65795</v>
      </c>
      <c r="I30" s="69">
        <v>57002</v>
      </c>
      <c r="J30" s="69">
        <v>58954</v>
      </c>
      <c r="K30" s="69">
        <v>58671</v>
      </c>
      <c r="L30" s="69">
        <v>57708</v>
      </c>
      <c r="M30" s="69">
        <v>59551</v>
      </c>
      <c r="N30" s="69">
        <v>61886</v>
      </c>
      <c r="O30" s="69">
        <v>62607</v>
      </c>
      <c r="P30" s="69">
        <v>61482</v>
      </c>
      <c r="Q30" s="69">
        <v>63051</v>
      </c>
      <c r="R30" s="69">
        <v>62522</v>
      </c>
      <c r="S30" s="69">
        <v>66607</v>
      </c>
      <c r="T30" s="69">
        <v>69027</v>
      </c>
      <c r="U30" s="69">
        <v>71310</v>
      </c>
      <c r="V30" s="69">
        <v>76145</v>
      </c>
      <c r="W30" s="69">
        <v>73486</v>
      </c>
      <c r="X30" s="69">
        <v>72105</v>
      </c>
      <c r="Y30" s="69">
        <v>54362</v>
      </c>
      <c r="Z30" s="69">
        <v>82291</v>
      </c>
      <c r="AA30" s="69">
        <v>68449</v>
      </c>
      <c r="AB30" s="69">
        <v>79779</v>
      </c>
      <c r="AC30" s="69">
        <v>75318</v>
      </c>
      <c r="AD30" s="69">
        <v>79608</v>
      </c>
      <c r="AE30" s="69">
        <v>67793</v>
      </c>
      <c r="AF30" s="69">
        <v>75281</v>
      </c>
      <c r="AG30" s="69">
        <v>83195</v>
      </c>
      <c r="AH30" s="69">
        <v>65590</v>
      </c>
      <c r="AI30" s="69">
        <v>61299</v>
      </c>
      <c r="AJ30" s="133"/>
      <c r="AK30" s="125">
        <f>SUM(F30:AI30)</f>
        <v>2022104</v>
      </c>
      <c r="AL30" s="33"/>
      <c r="AM30" s="33"/>
      <c r="AN30" s="116">
        <f t="shared" si="5"/>
        <v>505790</v>
      </c>
      <c r="AO30" s="116"/>
      <c r="BV30" s="27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</row>
    <row r="31" spans="1:15171">
      <c r="B31" s="81"/>
      <c r="C31" s="82" t="s">
        <v>35</v>
      </c>
      <c r="D31" s="83"/>
      <c r="E31" s="84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133"/>
      <c r="AK31" s="134" t="s">
        <v>36</v>
      </c>
      <c r="AL31" s="33"/>
    </row>
    <row r="32" spans="1:15171" s="1" customFormat="1" ht="14.25">
      <c r="B32" s="75"/>
      <c r="C32" s="230" t="s">
        <v>37</v>
      </c>
      <c r="D32" s="79"/>
      <c r="E32" s="231" t="s">
        <v>10</v>
      </c>
      <c r="F32" s="69">
        <f>SUM(F33:F34)</f>
        <v>2006290</v>
      </c>
      <c r="G32" s="69">
        <f>SUM(G33:G34)</f>
        <v>1916440</v>
      </c>
      <c r="H32" s="69">
        <f>SUM(H33:H34)</f>
        <v>1700641</v>
      </c>
      <c r="I32" s="69">
        <f>SUM(I33:I34)</f>
        <v>1400360</v>
      </c>
      <c r="J32" s="69">
        <f t="shared" ref="J32:AI32" si="6">SUM(J33:J34)</f>
        <v>690519</v>
      </c>
      <c r="K32" s="69">
        <f t="shared" si="6"/>
        <v>0</v>
      </c>
      <c r="L32" s="69">
        <f t="shared" si="6"/>
        <v>0</v>
      </c>
      <c r="M32" s="69">
        <f t="shared" si="6"/>
        <v>1001425</v>
      </c>
      <c r="N32" s="69">
        <f t="shared" si="6"/>
        <v>1855740</v>
      </c>
      <c r="O32" s="69">
        <f t="shared" si="6"/>
        <v>2069480</v>
      </c>
      <c r="P32" s="69">
        <f t="shared" si="6"/>
        <v>745571</v>
      </c>
      <c r="Q32" s="69">
        <f t="shared" si="6"/>
        <v>1197360</v>
      </c>
      <c r="R32" s="69">
        <f t="shared" si="6"/>
        <v>0</v>
      </c>
      <c r="S32" s="69">
        <f t="shared" si="6"/>
        <v>551494</v>
      </c>
      <c r="T32" s="69">
        <f t="shared" si="6"/>
        <v>2231403</v>
      </c>
      <c r="U32" s="69">
        <f t="shared" si="6"/>
        <v>1896261</v>
      </c>
      <c r="V32" s="69">
        <f t="shared" si="6"/>
        <v>1951617</v>
      </c>
      <c r="W32" s="69">
        <f t="shared" si="6"/>
        <v>2011724</v>
      </c>
      <c r="X32" s="69">
        <f t="shared" si="6"/>
        <v>1768963</v>
      </c>
      <c r="Y32" s="69">
        <f t="shared" si="6"/>
        <v>1297978</v>
      </c>
      <c r="Z32" s="69">
        <f t="shared" si="6"/>
        <v>1832355</v>
      </c>
      <c r="AA32" s="69">
        <f t="shared" si="6"/>
        <v>1594613</v>
      </c>
      <c r="AB32" s="69">
        <f t="shared" si="6"/>
        <v>1907383</v>
      </c>
      <c r="AC32" s="69">
        <f t="shared" si="6"/>
        <v>1105815</v>
      </c>
      <c r="AD32" s="69">
        <f t="shared" si="6"/>
        <v>0</v>
      </c>
      <c r="AE32" s="69">
        <f t="shared" si="6"/>
        <v>0</v>
      </c>
      <c r="AF32" s="69">
        <f t="shared" si="6"/>
        <v>999123</v>
      </c>
      <c r="AG32" s="69">
        <f t="shared" si="6"/>
        <v>2204539</v>
      </c>
      <c r="AH32" s="69">
        <f t="shared" si="6"/>
        <v>2140955</v>
      </c>
      <c r="AI32" s="69">
        <f t="shared" si="6"/>
        <v>2292846</v>
      </c>
      <c r="AJ32" s="126"/>
      <c r="AK32" s="125">
        <f>SUM(F32:AI32)</f>
        <v>40370895</v>
      </c>
      <c r="AL32" s="127"/>
      <c r="AM32" s="127"/>
      <c r="AN32" s="116">
        <f t="shared" ref="AN32:AN34" si="7">SUM(W32:AC32)</f>
        <v>11518831</v>
      </c>
      <c r="AO32" s="116"/>
      <c r="BV32" s="270"/>
    </row>
    <row r="33" spans="1:15123">
      <c r="B33" s="81"/>
      <c r="C33" s="230" t="s">
        <v>38</v>
      </c>
      <c r="D33" s="79"/>
      <c r="E33" s="231" t="s">
        <v>10</v>
      </c>
      <c r="F33" s="69">
        <v>1703829</v>
      </c>
      <c r="G33" s="69">
        <v>1599238</v>
      </c>
      <c r="H33" s="69">
        <v>1408964</v>
      </c>
      <c r="I33" s="69">
        <v>1152278</v>
      </c>
      <c r="J33" s="69">
        <v>567268</v>
      </c>
      <c r="K33" s="69">
        <v>0</v>
      </c>
      <c r="L33" s="69">
        <v>0</v>
      </c>
      <c r="M33" s="69">
        <v>821542</v>
      </c>
      <c r="N33" s="69">
        <v>1522019</v>
      </c>
      <c r="O33" s="69">
        <v>1716254</v>
      </c>
      <c r="P33" s="69">
        <v>617526</v>
      </c>
      <c r="Q33" s="69">
        <v>982488</v>
      </c>
      <c r="R33" s="69">
        <v>0</v>
      </c>
      <c r="S33" s="69">
        <v>452473</v>
      </c>
      <c r="T33" s="69">
        <v>1831267</v>
      </c>
      <c r="U33" s="69">
        <v>1555815</v>
      </c>
      <c r="V33" s="69">
        <v>1613867</v>
      </c>
      <c r="W33" s="69">
        <v>1659337</v>
      </c>
      <c r="X33" s="69">
        <v>1467774</v>
      </c>
      <c r="Y33" s="69">
        <v>1074963</v>
      </c>
      <c r="Z33" s="69">
        <v>1513789</v>
      </c>
      <c r="AA33" s="69">
        <v>1323129</v>
      </c>
      <c r="AB33" s="69">
        <v>1581303</v>
      </c>
      <c r="AC33" s="69">
        <v>906839</v>
      </c>
      <c r="AD33" s="69">
        <v>0</v>
      </c>
      <c r="AE33" s="69">
        <v>0</v>
      </c>
      <c r="AF33" s="69">
        <v>820371</v>
      </c>
      <c r="AG33" s="69">
        <v>1820164</v>
      </c>
      <c r="AH33" s="69">
        <v>1784979</v>
      </c>
      <c r="AI33" s="69">
        <v>1915229</v>
      </c>
      <c r="AJ33" s="133"/>
      <c r="AK33" s="125">
        <f>SUM(F33:AI33)</f>
        <v>33412705</v>
      </c>
      <c r="AL33" s="33"/>
      <c r="AN33" s="116">
        <f t="shared" si="7"/>
        <v>9527134</v>
      </c>
      <c r="AO33" s="116"/>
      <c r="BV33" s="270"/>
    </row>
    <row r="34" spans="1:15123">
      <c r="B34" s="81"/>
      <c r="C34" s="230" t="s">
        <v>39</v>
      </c>
      <c r="D34" s="79"/>
      <c r="E34" s="231" t="s">
        <v>10</v>
      </c>
      <c r="F34" s="69">
        <v>302461</v>
      </c>
      <c r="G34" s="69">
        <v>317202</v>
      </c>
      <c r="H34" s="69">
        <v>291677</v>
      </c>
      <c r="I34" s="69">
        <v>248082</v>
      </c>
      <c r="J34" s="69">
        <v>123251</v>
      </c>
      <c r="K34" s="69">
        <v>0</v>
      </c>
      <c r="L34" s="69">
        <v>0</v>
      </c>
      <c r="M34" s="69">
        <f>328483-M45</f>
        <v>179883</v>
      </c>
      <c r="N34" s="69">
        <v>333721</v>
      </c>
      <c r="O34" s="69">
        <v>353226</v>
      </c>
      <c r="P34" s="69">
        <f>234545-P39</f>
        <v>128045</v>
      </c>
      <c r="Q34" s="69">
        <f>225472-Q39</f>
        <v>214872</v>
      </c>
      <c r="R34" s="69">
        <v>0</v>
      </c>
      <c r="S34" s="69">
        <f>344121-S45</f>
        <v>99021</v>
      </c>
      <c r="T34" s="69">
        <v>400136</v>
      </c>
      <c r="U34" s="69">
        <v>340446</v>
      </c>
      <c r="V34" s="69">
        <v>337750</v>
      </c>
      <c r="W34" s="69">
        <v>352387</v>
      </c>
      <c r="X34" s="69">
        <v>301189</v>
      </c>
      <c r="Y34" s="69">
        <v>223015</v>
      </c>
      <c r="Z34" s="69">
        <v>318566</v>
      </c>
      <c r="AA34" s="69">
        <v>271484</v>
      </c>
      <c r="AB34" s="69">
        <v>326080</v>
      </c>
      <c r="AC34" s="69">
        <v>198976</v>
      </c>
      <c r="AD34" s="69">
        <v>0</v>
      </c>
      <c r="AE34" s="69">
        <v>0</v>
      </c>
      <c r="AF34" s="69">
        <f>362452-AF45</f>
        <v>178752</v>
      </c>
      <c r="AG34" s="69">
        <v>384375</v>
      </c>
      <c r="AH34" s="69">
        <v>355976</v>
      </c>
      <c r="AI34" s="69">
        <v>377617</v>
      </c>
      <c r="AJ34" s="133"/>
      <c r="AK34" s="125">
        <f>SUM(F34:AI34)</f>
        <v>6958190</v>
      </c>
      <c r="AL34" s="33"/>
      <c r="AN34" s="116">
        <f t="shared" si="7"/>
        <v>1991697</v>
      </c>
      <c r="AO34" s="116"/>
      <c r="BV34" s="270"/>
    </row>
    <row r="35" spans="1:15123">
      <c r="B35" s="81"/>
      <c r="C35" s="82" t="s">
        <v>40</v>
      </c>
      <c r="D35" s="83"/>
      <c r="E35" s="84"/>
      <c r="F35" s="63"/>
      <c r="G35" s="63"/>
      <c r="H35" s="63"/>
      <c r="I35" s="107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33"/>
      <c r="AK35" s="134" t="s">
        <v>41</v>
      </c>
    </row>
    <row r="36" spans="1:15123" s="4" customFormat="1" hidden="1">
      <c r="A36" s="9"/>
      <c r="B36" s="46"/>
      <c r="C36" s="85" t="s">
        <v>26</v>
      </c>
      <c r="D36" s="86"/>
      <c r="E36" s="87" t="s">
        <v>10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v>0</v>
      </c>
      <c r="P36" s="69">
        <f>(P37+Q37)/P47%</f>
        <v>421179.11040317611</v>
      </c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114"/>
      <c r="AD36" s="114"/>
      <c r="AE36" s="114"/>
      <c r="AF36" s="114"/>
      <c r="AG36" s="114"/>
      <c r="AH36" s="114"/>
      <c r="AI36" s="114"/>
      <c r="AJ36" s="135"/>
      <c r="AK36" s="136">
        <f t="shared" ref="AK36:AK39" si="8">SUM(F36:AI36)</f>
        <v>421179.11040317611</v>
      </c>
      <c r="AL36" s="9"/>
      <c r="AM36" s="137"/>
      <c r="AN36" s="116">
        <f t="shared" ref="AN36" si="9">SUM(P36:V36)</f>
        <v>421179.11040317611</v>
      </c>
      <c r="AO36" s="116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  <c r="VHP36" s="9"/>
      <c r="VHQ36" s="9"/>
      <c r="VHR36" s="9"/>
      <c r="VHS36" s="9"/>
      <c r="VHT36" s="9"/>
      <c r="VHU36" s="9"/>
      <c r="VHV36" s="9"/>
      <c r="VHW36" s="9"/>
      <c r="VHX36" s="9"/>
      <c r="VHY36" s="9"/>
      <c r="VHZ36" s="9"/>
      <c r="VIA36" s="9"/>
      <c r="VIB36" s="9"/>
      <c r="VIC36" s="9"/>
      <c r="VID36" s="9"/>
      <c r="VIE36" s="9"/>
      <c r="VIF36" s="9"/>
      <c r="VIG36" s="9"/>
      <c r="VIH36" s="9"/>
      <c r="VII36" s="9"/>
      <c r="VIJ36" s="9"/>
      <c r="VIK36" s="9"/>
      <c r="VIL36" s="9"/>
      <c r="VIM36" s="9"/>
      <c r="VIN36" s="9"/>
      <c r="VIO36" s="9"/>
      <c r="VIP36" s="9"/>
      <c r="VIQ36" s="9"/>
    </row>
    <row r="37" spans="1:15123" s="1" customFormat="1" ht="14.25">
      <c r="B37" s="75"/>
      <c r="C37" s="230" t="s">
        <v>42</v>
      </c>
      <c r="D37" s="79"/>
      <c r="E37" s="231" t="s">
        <v>10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69">
        <v>0</v>
      </c>
      <c r="O37" s="69">
        <v>0</v>
      </c>
      <c r="P37" s="69">
        <f>SUM(P38:P39)</f>
        <v>365966</v>
      </c>
      <c r="Q37" s="69">
        <f t="shared" ref="Q37:S37" si="10">SUM(Q38:Q39)</f>
        <v>35742</v>
      </c>
      <c r="R37" s="69">
        <f t="shared" si="10"/>
        <v>0</v>
      </c>
      <c r="S37" s="69">
        <f t="shared" si="10"/>
        <v>0</v>
      </c>
      <c r="T37" s="69">
        <f t="shared" ref="T37:U37" si="11">SUM(T38:T39)</f>
        <v>0</v>
      </c>
      <c r="U37" s="69">
        <f t="shared" si="11"/>
        <v>0</v>
      </c>
      <c r="V37" s="69">
        <f t="shared" ref="V37:W37" si="12">SUM(V38:V39)</f>
        <v>0</v>
      </c>
      <c r="W37" s="69">
        <f t="shared" si="12"/>
        <v>0</v>
      </c>
      <c r="X37" s="69">
        <f t="shared" ref="X37:Z37" si="13">SUM(X38:X39)</f>
        <v>0</v>
      </c>
      <c r="Y37" s="69">
        <f t="shared" si="13"/>
        <v>0</v>
      </c>
      <c r="Z37" s="69">
        <f t="shared" si="13"/>
        <v>0</v>
      </c>
      <c r="AA37" s="69">
        <f t="shared" ref="AA37:AB37" si="14">SUM(AA38:AA39)</f>
        <v>0</v>
      </c>
      <c r="AB37" s="69">
        <f t="shared" si="14"/>
        <v>0</v>
      </c>
      <c r="AC37" s="69">
        <f t="shared" ref="AC37:AD37" si="15">SUM(AC38:AC39)</f>
        <v>0</v>
      </c>
      <c r="AD37" s="69">
        <f t="shared" si="15"/>
        <v>0</v>
      </c>
      <c r="AE37" s="69">
        <f t="shared" ref="AE37:AF37" si="16">SUM(AE38:AE39)</f>
        <v>0</v>
      </c>
      <c r="AF37" s="69">
        <f t="shared" si="16"/>
        <v>0</v>
      </c>
      <c r="AG37" s="69">
        <f t="shared" ref="AG37:AH37" si="17">SUM(AG38:AG39)</f>
        <v>0</v>
      </c>
      <c r="AH37" s="69">
        <f t="shared" si="17"/>
        <v>0</v>
      </c>
      <c r="AI37" s="69">
        <f t="shared" ref="AI37" si="18">SUM(AI38:AI39)</f>
        <v>0</v>
      </c>
      <c r="AJ37" s="126"/>
      <c r="AK37" s="136">
        <f t="shared" si="8"/>
        <v>401708</v>
      </c>
      <c r="AM37" s="127"/>
      <c r="AN37" s="116">
        <f t="shared" ref="AN37:AN39" si="19">SUM(W37:AC37)</f>
        <v>0</v>
      </c>
      <c r="AO37" s="116"/>
      <c r="AP37" s="263">
        <v>41128</v>
      </c>
      <c r="AQ37" s="3"/>
      <c r="BV37" s="270"/>
    </row>
    <row r="38" spans="1:15123" s="1" customFormat="1" ht="14.25">
      <c r="B38" s="75"/>
      <c r="C38" s="230" t="s">
        <v>43</v>
      </c>
      <c r="D38" s="79"/>
      <c r="E38" s="231" t="s">
        <v>10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259466</v>
      </c>
      <c r="Q38" s="69">
        <v>25142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69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  <c r="AJ38" s="126"/>
      <c r="AK38" s="138">
        <f t="shared" si="8"/>
        <v>284608</v>
      </c>
      <c r="AM38" s="127"/>
      <c r="AN38" s="116">
        <f t="shared" si="19"/>
        <v>0</v>
      </c>
      <c r="AO38" s="116"/>
      <c r="AP38" s="274">
        <f>SUM(AK32,AK37,AK42)/1000</f>
        <v>46463.784</v>
      </c>
      <c r="AQ38" s="276">
        <f>AP37-AP38</f>
        <v>-5335.7839999999997</v>
      </c>
      <c r="BV38" s="270"/>
    </row>
    <row r="39" spans="1:15123" s="1" customFormat="1" ht="14.25">
      <c r="B39" s="75"/>
      <c r="C39" s="66" t="s">
        <v>39</v>
      </c>
      <c r="D39" s="79"/>
      <c r="E39" s="231" t="s">
        <v>10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0</v>
      </c>
      <c r="P39" s="69">
        <v>106500</v>
      </c>
      <c r="Q39" s="69">
        <v>10600</v>
      </c>
      <c r="R39" s="69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  <c r="AJ39" s="126"/>
      <c r="AK39" s="136">
        <f t="shared" si="8"/>
        <v>117100</v>
      </c>
      <c r="AM39" s="127"/>
      <c r="AN39" s="116">
        <f t="shared" si="19"/>
        <v>0</v>
      </c>
      <c r="AO39" s="116"/>
      <c r="AP39" s="275">
        <f>AP38/AP37*100</f>
        <v>112.97360435712895</v>
      </c>
      <c r="AQ39" s="1">
        <v>12</v>
      </c>
      <c r="BV39" s="270"/>
    </row>
    <row r="40" spans="1:15123">
      <c r="B40" s="81"/>
      <c r="C40" s="82" t="s">
        <v>44</v>
      </c>
      <c r="D40" s="83"/>
      <c r="E40" s="84"/>
      <c r="F40" s="63"/>
      <c r="G40" s="63"/>
      <c r="H40" s="63"/>
      <c r="I40" s="107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113"/>
      <c r="AE40" s="113"/>
      <c r="AF40" s="113"/>
      <c r="AG40" s="113"/>
      <c r="AH40" s="113"/>
      <c r="AI40" s="113"/>
      <c r="AJ40" s="133"/>
      <c r="AK40" s="134" t="s">
        <v>45</v>
      </c>
      <c r="AP40" s="1"/>
      <c r="AQ40" s="273">
        <f>AQ38/AQ39</f>
        <v>-444.64866666666666</v>
      </c>
    </row>
    <row r="41" spans="1:15123" s="4" customFormat="1">
      <c r="A41" s="9"/>
      <c r="B41" s="46"/>
      <c r="C41" s="85" t="s">
        <v>26</v>
      </c>
      <c r="D41" s="86"/>
      <c r="E41" s="87" t="s">
        <v>10</v>
      </c>
      <c r="F41" s="69"/>
      <c r="G41" s="69"/>
      <c r="H41" s="69"/>
      <c r="I41" s="69"/>
      <c r="J41" s="69">
        <f>K42/J47%</f>
        <v>689900.87809682812</v>
      </c>
      <c r="K41" s="69">
        <f>L42/K47%</f>
        <v>1045430.5389828038</v>
      </c>
      <c r="L41" s="69">
        <f>M42/L47%</f>
        <v>390133.88789274264</v>
      </c>
      <c r="M41" s="69"/>
      <c r="N41" s="69"/>
      <c r="O41" s="69"/>
      <c r="P41" s="69"/>
      <c r="Q41" s="69">
        <f>R42/Q47%</f>
        <v>926609.65764038207</v>
      </c>
      <c r="R41" s="69">
        <f>S42/R47%</f>
        <v>643920.70131543267</v>
      </c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>
        <f>AD42/AC47%</f>
        <v>879356.22176432668</v>
      </c>
      <c r="AD41" s="114">
        <f>AE42/AD47%</f>
        <v>915909.05293257511</v>
      </c>
      <c r="AE41" s="114">
        <f>AF42/AE47%</f>
        <v>483017.82938409341</v>
      </c>
      <c r="AF41" s="114">
        <v>0</v>
      </c>
      <c r="AG41" s="114">
        <v>0</v>
      </c>
      <c r="AH41" s="114">
        <v>0</v>
      </c>
      <c r="AI41" s="114">
        <v>0</v>
      </c>
      <c r="AJ41" s="135"/>
      <c r="AK41" s="136">
        <f>SUM(F41:AI41)</f>
        <v>5974278.7680091849</v>
      </c>
      <c r="AL41" s="9"/>
      <c r="AM41" s="137"/>
      <c r="AN41" s="116">
        <f t="shared" ref="AN41:AN45" si="20">SUM(W41:AC41)</f>
        <v>879356.22176432668</v>
      </c>
      <c r="AO41" s="116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287"/>
      <c r="CA41" s="287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9"/>
      <c r="AMC41" s="9"/>
      <c r="AMD41" s="9"/>
      <c r="AME41" s="9"/>
      <c r="AMF41" s="9"/>
      <c r="AMG41" s="9"/>
      <c r="AMH41" s="9"/>
      <c r="AMI41" s="9"/>
      <c r="AMJ41" s="9"/>
      <c r="AMK41" s="9"/>
      <c r="AML41" s="9"/>
      <c r="AMM41" s="9"/>
      <c r="AMN41" s="9"/>
      <c r="AMO41" s="9"/>
      <c r="AMP41" s="9"/>
      <c r="AMQ41" s="9"/>
      <c r="AMR41" s="9"/>
      <c r="AMS41" s="9"/>
      <c r="AMT41" s="9"/>
      <c r="AMU41" s="9"/>
      <c r="AMV41" s="9"/>
      <c r="AMW41" s="9"/>
      <c r="AMX41" s="9"/>
      <c r="AMY41" s="9"/>
      <c r="AMZ41" s="9"/>
      <c r="ANA41" s="9"/>
      <c r="ANB41" s="9"/>
      <c r="ANC41" s="9"/>
      <c r="AND41" s="9"/>
      <c r="ANE41" s="9"/>
      <c r="ANF41" s="9"/>
      <c r="ANG41" s="9"/>
      <c r="ANH41" s="9"/>
      <c r="ANI41" s="9"/>
      <c r="ANJ41" s="9"/>
      <c r="ANK41" s="9"/>
      <c r="ANL41" s="9"/>
      <c r="ANM41" s="9"/>
      <c r="ANN41" s="9"/>
      <c r="ANO41" s="9"/>
      <c r="ANP41" s="9"/>
      <c r="ANQ41" s="9"/>
      <c r="ANR41" s="9"/>
      <c r="ANS41" s="9"/>
      <c r="ANT41" s="9"/>
      <c r="ANU41" s="9"/>
      <c r="ANV41" s="9"/>
      <c r="ANW41" s="9"/>
      <c r="ANX41" s="9"/>
      <c r="ANY41" s="9"/>
      <c r="ANZ41" s="9"/>
      <c r="AOA41" s="9"/>
      <c r="AOB41" s="9"/>
      <c r="AOC41" s="9"/>
      <c r="AOD41" s="9"/>
      <c r="AOE41" s="9"/>
      <c r="AOF41" s="9"/>
      <c r="AOG41" s="9"/>
      <c r="AOH41" s="9"/>
      <c r="AOI41" s="9"/>
      <c r="AOJ41" s="9"/>
      <c r="AOK41" s="9"/>
      <c r="AOL41" s="9"/>
      <c r="AOM41" s="9"/>
      <c r="AON41" s="9"/>
      <c r="AOO41" s="9"/>
      <c r="AOP41" s="9"/>
      <c r="AOQ41" s="9"/>
      <c r="AOR41" s="9"/>
      <c r="AOS41" s="9"/>
      <c r="AOT41" s="9"/>
      <c r="AOU41" s="9"/>
      <c r="AOV41" s="9"/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/>
      <c r="APJ41" s="9"/>
      <c r="APK41" s="9"/>
      <c r="APL41" s="9"/>
      <c r="APM41" s="9"/>
      <c r="APN41" s="9"/>
      <c r="APO41" s="9"/>
      <c r="APP41" s="9"/>
      <c r="APQ41" s="9"/>
      <c r="APR41" s="9"/>
      <c r="APS41" s="9"/>
      <c r="APT41" s="9"/>
      <c r="APU41" s="9"/>
      <c r="APV41" s="9"/>
      <c r="APW41" s="9"/>
      <c r="APX41" s="9"/>
      <c r="APY41" s="9"/>
      <c r="APZ41" s="9"/>
      <c r="AQA41" s="9"/>
      <c r="AQB41" s="9"/>
      <c r="AQC41" s="9"/>
      <c r="AQD41" s="9"/>
      <c r="AQE41" s="9"/>
      <c r="AQF41" s="9"/>
      <c r="AQG41" s="9"/>
      <c r="AQH41" s="9"/>
      <c r="AQI41" s="9"/>
      <c r="AQJ41" s="9"/>
      <c r="AQK41" s="9"/>
      <c r="AQL41" s="9"/>
      <c r="AQM41" s="9"/>
      <c r="AQN41" s="9"/>
      <c r="AQO41" s="9"/>
      <c r="AQP41" s="9"/>
      <c r="AQQ41" s="9"/>
      <c r="AQR41" s="9"/>
      <c r="AQS41" s="9"/>
      <c r="AQT41" s="9"/>
      <c r="AQU41" s="9"/>
      <c r="AQV41" s="9"/>
      <c r="AQW41" s="9"/>
      <c r="AQX41" s="9"/>
      <c r="AQY41" s="9"/>
      <c r="AQZ41" s="9"/>
      <c r="ARA41" s="9"/>
      <c r="ARB41" s="9"/>
      <c r="ARC41" s="9"/>
      <c r="ARD41" s="9"/>
      <c r="ARE41" s="9"/>
      <c r="ARF41" s="9"/>
      <c r="ARG41" s="9"/>
      <c r="ARH41" s="9"/>
      <c r="ARI41" s="9"/>
      <c r="ARJ41" s="9"/>
      <c r="ARK41" s="9"/>
      <c r="ARL41" s="9"/>
      <c r="ARM41" s="9"/>
      <c r="ARN41" s="9"/>
      <c r="ARO41" s="9"/>
      <c r="ARP41" s="9"/>
      <c r="ARQ41" s="9"/>
      <c r="ARR41" s="9"/>
      <c r="ARS41" s="9"/>
      <c r="ART41" s="9"/>
      <c r="ARU41" s="9"/>
      <c r="ARV41" s="9"/>
      <c r="ARW41" s="9"/>
      <c r="ARX41" s="9"/>
      <c r="ARY41" s="9"/>
      <c r="ARZ41" s="9"/>
      <c r="ASA41" s="9"/>
      <c r="ASB41" s="9"/>
      <c r="ASC41" s="9"/>
      <c r="ASD41" s="9"/>
      <c r="ASE41" s="9"/>
      <c r="ASF41" s="9"/>
      <c r="ASG41" s="9"/>
      <c r="ASH41" s="9"/>
      <c r="ASI41" s="9"/>
      <c r="ASJ41" s="9"/>
      <c r="ASK41" s="9"/>
      <c r="ASL41" s="9"/>
      <c r="ASM41" s="9"/>
      <c r="ASN41" s="9"/>
      <c r="ASO41" s="9"/>
      <c r="ASP41" s="9"/>
      <c r="ASQ41" s="9"/>
      <c r="ASR41" s="9"/>
      <c r="ASS41" s="9"/>
      <c r="AST41" s="9"/>
      <c r="ASU41" s="9"/>
      <c r="ASV41" s="9"/>
      <c r="ASW41" s="9"/>
      <c r="ASX41" s="9"/>
      <c r="ASY41" s="9"/>
      <c r="ASZ41" s="9"/>
      <c r="ATA41" s="9"/>
      <c r="ATB41" s="9"/>
      <c r="ATC41" s="9"/>
      <c r="ATD41" s="9"/>
      <c r="ATE41" s="9"/>
      <c r="ATF41" s="9"/>
      <c r="ATG41" s="9"/>
      <c r="ATH41" s="9"/>
      <c r="ATI41" s="9"/>
      <c r="ATJ41" s="9"/>
      <c r="ATK41" s="9"/>
      <c r="ATL41" s="9"/>
      <c r="ATM41" s="9"/>
      <c r="ATN41" s="9"/>
      <c r="ATO41" s="9"/>
      <c r="ATP41" s="9"/>
      <c r="ATQ41" s="9"/>
      <c r="ATR41" s="9"/>
      <c r="ATS41" s="9"/>
      <c r="ATT41" s="9"/>
      <c r="ATU41" s="9"/>
      <c r="ATV41" s="9"/>
      <c r="ATW41" s="9"/>
      <c r="ATX41" s="9"/>
      <c r="ATY41" s="9"/>
      <c r="ATZ41" s="9"/>
      <c r="AUA41" s="9"/>
      <c r="AUB41" s="9"/>
      <c r="AUC41" s="9"/>
      <c r="AUD41" s="9"/>
      <c r="AUE41" s="9"/>
      <c r="AUF41" s="9"/>
      <c r="AUG41" s="9"/>
      <c r="AUH41" s="9"/>
      <c r="AUI41" s="9"/>
      <c r="AUJ41" s="9"/>
      <c r="AUK41" s="9"/>
      <c r="AUL41" s="9"/>
      <c r="AUM41" s="9"/>
      <c r="AUN41" s="9"/>
      <c r="AUO41" s="9"/>
      <c r="AUP41" s="9"/>
      <c r="AUQ41" s="9"/>
      <c r="AUR41" s="9"/>
      <c r="AUS41" s="9"/>
      <c r="AUT41" s="9"/>
      <c r="AUU41" s="9"/>
      <c r="AUV41" s="9"/>
      <c r="AUW41" s="9"/>
      <c r="AUX41" s="9"/>
      <c r="AUY41" s="9"/>
      <c r="AUZ41" s="9"/>
      <c r="AVA41" s="9"/>
      <c r="AVB41" s="9"/>
      <c r="AVC41" s="9"/>
      <c r="AVD41" s="9"/>
      <c r="AVE41" s="9"/>
      <c r="AVF41" s="9"/>
      <c r="AVG41" s="9"/>
      <c r="AVH41" s="9"/>
      <c r="AVI41" s="9"/>
      <c r="AVJ41" s="9"/>
      <c r="AVK41" s="9"/>
      <c r="AVL41" s="9"/>
      <c r="AVM41" s="9"/>
      <c r="AVN41" s="9"/>
      <c r="AVO41" s="9"/>
      <c r="AVP41" s="9"/>
      <c r="AVQ41" s="9"/>
      <c r="AVR41" s="9"/>
      <c r="AVS41" s="9"/>
      <c r="AVT41" s="9"/>
      <c r="AVU41" s="9"/>
      <c r="AVV41" s="9"/>
      <c r="AVW41" s="9"/>
      <c r="AVX41" s="9"/>
      <c r="AVY41" s="9"/>
      <c r="AVZ41" s="9"/>
      <c r="AWA41" s="9"/>
      <c r="AWB41" s="9"/>
      <c r="AWC41" s="9"/>
      <c r="AWD41" s="9"/>
      <c r="AWE41" s="9"/>
      <c r="AWF41" s="9"/>
      <c r="AWG41" s="9"/>
      <c r="AWH41" s="9"/>
      <c r="AWI41" s="9"/>
      <c r="AWJ41" s="9"/>
      <c r="AWK41" s="9"/>
      <c r="AWL41" s="9"/>
      <c r="AWM41" s="9"/>
      <c r="AWN41" s="9"/>
      <c r="AWO41" s="9"/>
      <c r="AWP41" s="9"/>
      <c r="AWQ41" s="9"/>
      <c r="AWR41" s="9"/>
      <c r="AWS41" s="9"/>
      <c r="AWT41" s="9"/>
      <c r="AWU41" s="9"/>
      <c r="AWV41" s="9"/>
      <c r="AWW41" s="9"/>
      <c r="AWX41" s="9"/>
      <c r="AWY41" s="9"/>
      <c r="AWZ41" s="9"/>
      <c r="AXA41" s="9"/>
      <c r="AXB41" s="9"/>
      <c r="AXC41" s="9"/>
      <c r="AXD41" s="9"/>
      <c r="AXE41" s="9"/>
      <c r="AXF41" s="9"/>
      <c r="AXG41" s="9"/>
      <c r="AXH41" s="9"/>
      <c r="AXI41" s="9"/>
      <c r="AXJ41" s="9"/>
      <c r="AXK41" s="9"/>
      <c r="AXL41" s="9"/>
      <c r="AXM41" s="9"/>
      <c r="AXN41" s="9"/>
      <c r="AXO41" s="9"/>
      <c r="AXP41" s="9"/>
      <c r="AXQ41" s="9"/>
      <c r="AXR41" s="9"/>
      <c r="AXS41" s="9"/>
      <c r="AXT41" s="9"/>
      <c r="AXU41" s="9"/>
      <c r="AXV41" s="9"/>
      <c r="AXW41" s="9"/>
      <c r="AXX41" s="9"/>
      <c r="AXY41" s="9"/>
      <c r="AXZ41" s="9"/>
      <c r="AYA41" s="9"/>
      <c r="AYB41" s="9"/>
      <c r="AYC41" s="9"/>
      <c r="AYD41" s="9"/>
      <c r="AYE41" s="9"/>
      <c r="AYF41" s="9"/>
      <c r="AYG41" s="9"/>
      <c r="AYH41" s="9"/>
      <c r="AYI41" s="9"/>
      <c r="AYJ41" s="9"/>
      <c r="AYK41" s="9"/>
      <c r="AYL41" s="9"/>
      <c r="AYM41" s="9"/>
      <c r="AYN41" s="9"/>
      <c r="AYO41" s="9"/>
      <c r="AYP41" s="9"/>
      <c r="AYQ41" s="9"/>
      <c r="AYR41" s="9"/>
      <c r="AYS41" s="9"/>
      <c r="AYT41" s="9"/>
      <c r="AYU41" s="9"/>
      <c r="AYV41" s="9"/>
      <c r="AYW41" s="9"/>
      <c r="AYX41" s="9"/>
      <c r="AYY41" s="9"/>
      <c r="AYZ41" s="9"/>
      <c r="AZA41" s="9"/>
      <c r="AZB41" s="9"/>
      <c r="AZC41" s="9"/>
      <c r="AZD41" s="9"/>
      <c r="AZE41" s="9"/>
      <c r="AZF41" s="9"/>
      <c r="AZG41" s="9"/>
      <c r="AZH41" s="9"/>
      <c r="AZI41" s="9"/>
      <c r="AZJ41" s="9"/>
      <c r="AZK41" s="9"/>
      <c r="AZL41" s="9"/>
      <c r="AZM41" s="9"/>
      <c r="AZN41" s="9"/>
      <c r="AZO41" s="9"/>
      <c r="AZP41" s="9"/>
      <c r="AZQ41" s="9"/>
      <c r="AZR41" s="9"/>
      <c r="AZS41" s="9"/>
      <c r="AZT41" s="9"/>
      <c r="AZU41" s="9"/>
      <c r="AZV41" s="9"/>
      <c r="AZW41" s="9"/>
      <c r="AZX41" s="9"/>
      <c r="AZY41" s="9"/>
      <c r="AZZ41" s="9"/>
      <c r="BAA41" s="9"/>
      <c r="BAB41" s="9"/>
      <c r="BAC41" s="9"/>
      <c r="BAD41" s="9"/>
      <c r="BAE41" s="9"/>
      <c r="BAF41" s="9"/>
      <c r="BAG41" s="9"/>
      <c r="BAH41" s="9"/>
      <c r="BAI41" s="9"/>
      <c r="BAJ41" s="9"/>
      <c r="BAK41" s="9"/>
      <c r="BAL41" s="9"/>
      <c r="BAM41" s="9"/>
      <c r="BAN41" s="9"/>
      <c r="BAO41" s="9"/>
      <c r="BAP41" s="9"/>
      <c r="BAQ41" s="9"/>
      <c r="BAR41" s="9"/>
      <c r="BAS41" s="9"/>
      <c r="BAT41" s="9"/>
      <c r="BAU41" s="9"/>
      <c r="BAV41" s="9"/>
      <c r="BAW41" s="9"/>
      <c r="BAX41" s="9"/>
      <c r="BAY41" s="9"/>
      <c r="BAZ41" s="9"/>
      <c r="BBA41" s="9"/>
      <c r="BBB41" s="9"/>
      <c r="BBC41" s="9"/>
      <c r="BBD41" s="9"/>
      <c r="BBE41" s="9"/>
      <c r="BBF41" s="9"/>
      <c r="BBG41" s="9"/>
      <c r="BBH41" s="9"/>
      <c r="BBI41" s="9"/>
      <c r="BBJ41" s="9"/>
      <c r="BBK41" s="9"/>
      <c r="BBL41" s="9"/>
      <c r="BBM41" s="9"/>
      <c r="BBN41" s="9"/>
      <c r="BBO41" s="9"/>
      <c r="BBP41" s="9"/>
      <c r="BBQ41" s="9"/>
      <c r="BBR41" s="9"/>
      <c r="BBS41" s="9"/>
      <c r="BBT41" s="9"/>
      <c r="BBU41" s="9"/>
      <c r="BBV41" s="9"/>
      <c r="BBW41" s="9"/>
      <c r="BBX41" s="9"/>
      <c r="BBY41" s="9"/>
      <c r="BBZ41" s="9"/>
      <c r="BCA41" s="9"/>
      <c r="BCB41" s="9"/>
      <c r="BCC41" s="9"/>
      <c r="BCD41" s="9"/>
      <c r="BCE41" s="9"/>
      <c r="BCF41" s="9"/>
      <c r="BCG41" s="9"/>
      <c r="BCH41" s="9"/>
      <c r="BCI41" s="9"/>
      <c r="BCJ41" s="9"/>
      <c r="BCK41" s="9"/>
      <c r="BCL41" s="9"/>
      <c r="BCM41" s="9"/>
      <c r="BCN41" s="9"/>
      <c r="BCO41" s="9"/>
      <c r="BCP41" s="9"/>
      <c r="BCQ41" s="9"/>
      <c r="BCR41" s="9"/>
      <c r="BCS41" s="9"/>
      <c r="BCT41" s="9"/>
      <c r="BCU41" s="9"/>
      <c r="BCV41" s="9"/>
      <c r="BCW41" s="9"/>
      <c r="BCX41" s="9"/>
      <c r="BCY41" s="9"/>
      <c r="BCZ41" s="9"/>
      <c r="BDA41" s="9"/>
      <c r="BDB41" s="9"/>
      <c r="BDC41" s="9"/>
      <c r="BDD41" s="9"/>
      <c r="BDE41" s="9"/>
      <c r="BDF41" s="9"/>
      <c r="BDG41" s="9"/>
      <c r="BDH41" s="9"/>
      <c r="BDI41" s="9"/>
      <c r="BDJ41" s="9"/>
      <c r="BDK41" s="9"/>
      <c r="BDL41" s="9"/>
      <c r="BDM41" s="9"/>
      <c r="BDN41" s="9"/>
      <c r="BDO41" s="9"/>
      <c r="BDP41" s="9"/>
      <c r="BDQ41" s="9"/>
      <c r="BDR41" s="9"/>
      <c r="BDS41" s="9"/>
      <c r="BDT41" s="9"/>
      <c r="BDU41" s="9"/>
      <c r="BDV41" s="9"/>
      <c r="BDW41" s="9"/>
      <c r="BDX41" s="9"/>
      <c r="BDY41" s="9"/>
      <c r="BDZ41" s="9"/>
      <c r="BEA41" s="9"/>
      <c r="BEB41" s="9"/>
      <c r="BEC41" s="9"/>
      <c r="BED41" s="9"/>
      <c r="BEE41" s="9"/>
      <c r="BEF41" s="9"/>
      <c r="BEG41" s="9"/>
      <c r="BEH41" s="9"/>
      <c r="BEI41" s="9"/>
      <c r="BEJ41" s="9"/>
      <c r="BEK41" s="9"/>
      <c r="BEL41" s="9"/>
      <c r="BEM41" s="9"/>
      <c r="BEN41" s="9"/>
      <c r="BEO41" s="9"/>
      <c r="BEP41" s="9"/>
      <c r="BEQ41" s="9"/>
      <c r="BER41" s="9"/>
      <c r="BES41" s="9"/>
      <c r="BET41" s="9"/>
      <c r="BEU41" s="9"/>
      <c r="BEV41" s="9"/>
      <c r="BEW41" s="9"/>
      <c r="BEX41" s="9"/>
      <c r="BEY41" s="9"/>
      <c r="BEZ41" s="9"/>
      <c r="BFA41" s="9"/>
      <c r="BFB41" s="9"/>
      <c r="BFC41" s="9"/>
      <c r="BFD41" s="9"/>
      <c r="BFE41" s="9"/>
      <c r="BFF41" s="9"/>
      <c r="BFG41" s="9"/>
      <c r="BFH41" s="9"/>
      <c r="BFI41" s="9"/>
      <c r="BFJ41" s="9"/>
      <c r="BFK41" s="9"/>
      <c r="BFL41" s="9"/>
      <c r="BFM41" s="9"/>
      <c r="BFN41" s="9"/>
      <c r="BFO41" s="9"/>
      <c r="BFP41" s="9"/>
      <c r="BFQ41" s="9"/>
      <c r="BFR41" s="9"/>
      <c r="BFS41" s="9"/>
      <c r="BFT41" s="9"/>
      <c r="BFU41" s="9"/>
      <c r="BFV41" s="9"/>
      <c r="BFW41" s="9"/>
      <c r="BFX41" s="9"/>
      <c r="BFY41" s="9"/>
      <c r="BFZ41" s="9"/>
      <c r="BGA41" s="9"/>
      <c r="BGB41" s="9"/>
      <c r="BGC41" s="9"/>
      <c r="BGD41" s="9"/>
      <c r="BGE41" s="9"/>
      <c r="BGF41" s="9"/>
      <c r="BGG41" s="9"/>
      <c r="BGH41" s="9"/>
      <c r="BGI41" s="9"/>
      <c r="BGJ41" s="9"/>
      <c r="BGK41" s="9"/>
      <c r="BGL41" s="9"/>
      <c r="BGM41" s="9"/>
      <c r="BGN41" s="9"/>
      <c r="BGO41" s="9"/>
      <c r="BGP41" s="9"/>
      <c r="BGQ41" s="9"/>
      <c r="BGR41" s="9"/>
      <c r="BGS41" s="9"/>
      <c r="BGT41" s="9"/>
      <c r="BGU41" s="9"/>
      <c r="BGV41" s="9"/>
      <c r="BGW41" s="9"/>
      <c r="BGX41" s="9"/>
      <c r="BGY41" s="9"/>
      <c r="BGZ41" s="9"/>
      <c r="BHA41" s="9"/>
      <c r="BHB41" s="9"/>
      <c r="BHC41" s="9"/>
      <c r="BHD41" s="9"/>
      <c r="BHE41" s="9"/>
      <c r="BHF41" s="9"/>
      <c r="BHG41" s="9"/>
      <c r="BHH41" s="9"/>
      <c r="BHI41" s="9"/>
      <c r="BHJ41" s="9"/>
      <c r="BHK41" s="9"/>
      <c r="BHL41" s="9"/>
      <c r="BHM41" s="9"/>
      <c r="BHN41" s="9"/>
      <c r="BHO41" s="9"/>
      <c r="BHP41" s="9"/>
      <c r="BHQ41" s="9"/>
      <c r="BHR41" s="9"/>
      <c r="BHS41" s="9"/>
      <c r="BHT41" s="9"/>
      <c r="BHU41" s="9"/>
      <c r="BHV41" s="9"/>
      <c r="BHW41" s="9"/>
      <c r="BHX41" s="9"/>
      <c r="BHY41" s="9"/>
      <c r="BHZ41" s="9"/>
      <c r="BIA41" s="9"/>
      <c r="BIB41" s="9"/>
      <c r="BIC41" s="9"/>
      <c r="BID41" s="9"/>
      <c r="BIE41" s="9"/>
      <c r="BIF41" s="9"/>
      <c r="BIG41" s="9"/>
      <c r="BIH41" s="9"/>
      <c r="BII41" s="9"/>
      <c r="BIJ41" s="9"/>
      <c r="BIK41" s="9"/>
      <c r="BIL41" s="9"/>
      <c r="BIM41" s="9"/>
      <c r="BIN41" s="9"/>
      <c r="BIO41" s="9"/>
      <c r="BIP41" s="9"/>
      <c r="BIQ41" s="9"/>
      <c r="BIR41" s="9"/>
      <c r="BIS41" s="9"/>
      <c r="BIT41" s="9"/>
      <c r="BIU41" s="9"/>
      <c r="BIV41" s="9"/>
      <c r="BIW41" s="9"/>
      <c r="BIX41" s="9"/>
      <c r="BIY41" s="9"/>
      <c r="BIZ41" s="9"/>
      <c r="BJA41" s="9"/>
      <c r="BJB41" s="9"/>
      <c r="BJC41" s="9"/>
      <c r="BJD41" s="9"/>
      <c r="BJE41" s="9"/>
      <c r="BJF41" s="9"/>
      <c r="BJG41" s="9"/>
      <c r="BJH41" s="9"/>
      <c r="BJI41" s="9"/>
      <c r="BJJ41" s="9"/>
      <c r="BJK41" s="9"/>
      <c r="BJL41" s="9"/>
      <c r="BJM41" s="9"/>
      <c r="BJN41" s="9"/>
      <c r="BJO41" s="9"/>
      <c r="BJP41" s="9"/>
      <c r="BJQ41" s="9"/>
      <c r="BJR41" s="9"/>
      <c r="BJS41" s="9"/>
      <c r="BJT41" s="9"/>
      <c r="BJU41" s="9"/>
      <c r="BJV41" s="9"/>
      <c r="BJW41" s="9"/>
      <c r="BJX41" s="9"/>
      <c r="BJY41" s="9"/>
      <c r="BJZ41" s="9"/>
      <c r="BKA41" s="9"/>
      <c r="BKB41" s="9"/>
      <c r="BKC41" s="9"/>
      <c r="BKD41" s="9"/>
      <c r="BKE41" s="9"/>
      <c r="BKF41" s="9"/>
      <c r="BKG41" s="9"/>
      <c r="BKH41" s="9"/>
      <c r="BKI41" s="9"/>
      <c r="BKJ41" s="9"/>
      <c r="BKK41" s="9"/>
      <c r="BKL41" s="9"/>
      <c r="BKM41" s="9"/>
      <c r="BKN41" s="9"/>
      <c r="BKO41" s="9"/>
      <c r="BKP41" s="9"/>
      <c r="BKQ41" s="9"/>
      <c r="BKR41" s="9"/>
      <c r="BKS41" s="9"/>
      <c r="BKT41" s="9"/>
      <c r="BKU41" s="9"/>
      <c r="BKV41" s="9"/>
      <c r="BKW41" s="9"/>
      <c r="BKX41" s="9"/>
      <c r="BKY41" s="9"/>
      <c r="BKZ41" s="9"/>
      <c r="BLA41" s="9"/>
      <c r="BLB41" s="9"/>
      <c r="BLC41" s="9"/>
      <c r="BLD41" s="9"/>
      <c r="BLE41" s="9"/>
      <c r="BLF41" s="9"/>
      <c r="BLG41" s="9"/>
      <c r="BLH41" s="9"/>
      <c r="BLI41" s="9"/>
      <c r="BLJ41" s="9"/>
      <c r="BLK41" s="9"/>
      <c r="BLL41" s="9"/>
      <c r="BLM41" s="9"/>
      <c r="BLN41" s="9"/>
      <c r="BLO41" s="9"/>
      <c r="BLP41" s="9"/>
      <c r="BLQ41" s="9"/>
      <c r="BLR41" s="9"/>
      <c r="BLS41" s="9"/>
      <c r="BLT41" s="9"/>
      <c r="BLU41" s="9"/>
      <c r="BLV41" s="9"/>
      <c r="BLW41" s="9"/>
      <c r="BLX41" s="9"/>
      <c r="BLY41" s="9"/>
      <c r="BLZ41" s="9"/>
      <c r="BMA41" s="9"/>
      <c r="BMB41" s="9"/>
      <c r="BMC41" s="9"/>
      <c r="BMD41" s="9"/>
      <c r="BME41" s="9"/>
      <c r="BMF41" s="9"/>
      <c r="BMG41" s="9"/>
      <c r="BMH41" s="9"/>
      <c r="BMI41" s="9"/>
      <c r="BMJ41" s="9"/>
      <c r="BMK41" s="9"/>
      <c r="BML41" s="9"/>
      <c r="BMM41" s="9"/>
      <c r="BMN41" s="9"/>
      <c r="BMO41" s="9"/>
      <c r="BMP41" s="9"/>
      <c r="BMQ41" s="9"/>
      <c r="BMR41" s="9"/>
      <c r="BMS41" s="9"/>
      <c r="BMT41" s="9"/>
      <c r="BMU41" s="9"/>
      <c r="BMV41" s="9"/>
      <c r="BMW41" s="9"/>
      <c r="BMX41" s="9"/>
      <c r="BMY41" s="9"/>
      <c r="BMZ41" s="9"/>
      <c r="BNA41" s="9"/>
      <c r="BNB41" s="9"/>
      <c r="BNC41" s="9"/>
      <c r="BND41" s="9"/>
      <c r="BNE41" s="9"/>
      <c r="BNF41" s="9"/>
      <c r="BNG41" s="9"/>
      <c r="BNH41" s="9"/>
      <c r="BNI41" s="9"/>
      <c r="BNJ41" s="9"/>
      <c r="BNK41" s="9"/>
      <c r="BNL41" s="9"/>
      <c r="BNM41" s="9"/>
      <c r="BNN41" s="9"/>
      <c r="BNO41" s="9"/>
      <c r="BNP41" s="9"/>
      <c r="BNQ41" s="9"/>
      <c r="BNR41" s="9"/>
      <c r="BNS41" s="9"/>
      <c r="BNT41" s="9"/>
      <c r="BNU41" s="9"/>
      <c r="BNV41" s="9"/>
      <c r="BNW41" s="9"/>
      <c r="BNX41" s="9"/>
      <c r="BNY41" s="9"/>
      <c r="BNZ41" s="9"/>
      <c r="BOA41" s="9"/>
      <c r="BOB41" s="9"/>
      <c r="BOC41" s="9"/>
      <c r="BOD41" s="9"/>
      <c r="BOE41" s="9"/>
      <c r="BOF41" s="9"/>
      <c r="BOG41" s="9"/>
      <c r="BOH41" s="9"/>
      <c r="BOI41" s="9"/>
      <c r="BOJ41" s="9"/>
      <c r="BOK41" s="9"/>
      <c r="BOL41" s="9"/>
      <c r="BOM41" s="9"/>
      <c r="BON41" s="9"/>
      <c r="BOO41" s="9"/>
      <c r="BOP41" s="9"/>
      <c r="BOQ41" s="9"/>
      <c r="BOR41" s="9"/>
      <c r="BOS41" s="9"/>
      <c r="BOT41" s="9"/>
      <c r="BOU41" s="9"/>
      <c r="BOV41" s="9"/>
      <c r="BOW41" s="9"/>
      <c r="BOX41" s="9"/>
      <c r="BOY41" s="9"/>
      <c r="BOZ41" s="9"/>
      <c r="BPA41" s="9"/>
      <c r="BPB41" s="9"/>
      <c r="BPC41" s="9"/>
      <c r="BPD41" s="9"/>
      <c r="BPE41" s="9"/>
      <c r="BPF41" s="9"/>
      <c r="BPG41" s="9"/>
      <c r="BPH41" s="9"/>
      <c r="BPI41" s="9"/>
      <c r="BPJ41" s="9"/>
      <c r="BPK41" s="9"/>
      <c r="BPL41" s="9"/>
      <c r="BPM41" s="9"/>
      <c r="BPN41" s="9"/>
      <c r="BPO41" s="9"/>
      <c r="BPP41" s="9"/>
      <c r="BPQ41" s="9"/>
      <c r="BPR41" s="9"/>
      <c r="BPS41" s="9"/>
      <c r="BPT41" s="9"/>
      <c r="BPU41" s="9"/>
      <c r="BPV41" s="9"/>
      <c r="BPW41" s="9"/>
      <c r="BPX41" s="9"/>
      <c r="BPY41" s="9"/>
      <c r="BPZ41" s="9"/>
      <c r="BQA41" s="9"/>
      <c r="BQB41" s="9"/>
      <c r="BQC41" s="9"/>
      <c r="BQD41" s="9"/>
      <c r="BQE41" s="9"/>
      <c r="BQF41" s="9"/>
      <c r="BQG41" s="9"/>
      <c r="BQH41" s="9"/>
      <c r="BQI41" s="9"/>
      <c r="BQJ41" s="9"/>
      <c r="BQK41" s="9"/>
      <c r="BQL41" s="9"/>
      <c r="BQM41" s="9"/>
      <c r="BQN41" s="9"/>
      <c r="BQO41" s="9"/>
      <c r="BQP41" s="9"/>
      <c r="BQQ41" s="9"/>
      <c r="BQR41" s="9"/>
      <c r="BQS41" s="9"/>
      <c r="BQT41" s="9"/>
      <c r="BQU41" s="9"/>
      <c r="BQV41" s="9"/>
      <c r="BQW41" s="9"/>
      <c r="BQX41" s="9"/>
      <c r="BQY41" s="9"/>
      <c r="BQZ41" s="9"/>
      <c r="BRA41" s="9"/>
      <c r="BRB41" s="9"/>
      <c r="BRC41" s="9"/>
      <c r="BRD41" s="9"/>
      <c r="BRE41" s="9"/>
      <c r="BRF41" s="9"/>
      <c r="BRG41" s="9"/>
      <c r="BRH41" s="9"/>
      <c r="BRI41" s="9"/>
      <c r="BRJ41" s="9"/>
      <c r="BRK41" s="9"/>
      <c r="BRL41" s="9"/>
      <c r="BRM41" s="9"/>
      <c r="BRN41" s="9"/>
      <c r="BRO41" s="9"/>
      <c r="BRP41" s="9"/>
      <c r="BRQ41" s="9"/>
      <c r="BRR41" s="9"/>
      <c r="BRS41" s="9"/>
      <c r="BRT41" s="9"/>
      <c r="BRU41" s="9"/>
      <c r="BRV41" s="9"/>
      <c r="BRW41" s="9"/>
      <c r="BRX41" s="9"/>
      <c r="BRY41" s="9"/>
      <c r="BRZ41" s="9"/>
      <c r="BSA41" s="9"/>
      <c r="BSB41" s="9"/>
      <c r="BSC41" s="9"/>
      <c r="BSD41" s="9"/>
      <c r="BSE41" s="9"/>
      <c r="BSF41" s="9"/>
      <c r="BSG41" s="9"/>
      <c r="BSH41" s="9"/>
      <c r="BSI41" s="9"/>
      <c r="BSJ41" s="9"/>
      <c r="BSK41" s="9"/>
      <c r="BSL41" s="9"/>
      <c r="BSM41" s="9"/>
      <c r="BSN41" s="9"/>
      <c r="BSO41" s="9"/>
      <c r="BSP41" s="9"/>
      <c r="BSQ41" s="9"/>
      <c r="BSR41" s="9"/>
      <c r="BSS41" s="9"/>
      <c r="BST41" s="9"/>
      <c r="BSU41" s="9"/>
      <c r="BSV41" s="9"/>
      <c r="BSW41" s="9"/>
      <c r="BSX41" s="9"/>
      <c r="BSY41" s="9"/>
      <c r="BSZ41" s="9"/>
      <c r="BTA41" s="9"/>
      <c r="BTB41" s="9"/>
      <c r="BTC41" s="9"/>
      <c r="BTD41" s="9"/>
      <c r="BTE41" s="9"/>
      <c r="BTF41" s="9"/>
      <c r="BTG41" s="9"/>
      <c r="BTH41" s="9"/>
      <c r="BTI41" s="9"/>
      <c r="BTJ41" s="9"/>
      <c r="BTK41" s="9"/>
      <c r="BTL41" s="9"/>
      <c r="BTM41" s="9"/>
      <c r="BTN41" s="9"/>
      <c r="BTO41" s="9"/>
      <c r="BTP41" s="9"/>
      <c r="BTQ41" s="9"/>
      <c r="BTR41" s="9"/>
      <c r="BTS41" s="9"/>
      <c r="BTT41" s="9"/>
      <c r="BTU41" s="9"/>
      <c r="BTV41" s="9"/>
      <c r="BTW41" s="9"/>
      <c r="BTX41" s="9"/>
      <c r="BTY41" s="9"/>
      <c r="BTZ41" s="9"/>
      <c r="BUA41" s="9"/>
      <c r="BUB41" s="9"/>
      <c r="BUC41" s="9"/>
      <c r="BUD41" s="9"/>
      <c r="BUE41" s="9"/>
      <c r="BUF41" s="9"/>
      <c r="BUG41" s="9"/>
      <c r="BUH41" s="9"/>
      <c r="BUI41" s="9"/>
      <c r="BUJ41" s="9"/>
      <c r="BUK41" s="9"/>
      <c r="BUL41" s="9"/>
      <c r="BUM41" s="9"/>
      <c r="BUN41" s="9"/>
      <c r="BUO41" s="9"/>
      <c r="BUP41" s="9"/>
      <c r="BUQ41" s="9"/>
      <c r="BUR41" s="9"/>
      <c r="BUS41" s="9"/>
      <c r="BUT41" s="9"/>
      <c r="BUU41" s="9"/>
      <c r="BUV41" s="9"/>
      <c r="BUW41" s="9"/>
      <c r="BUX41" s="9"/>
      <c r="BUY41" s="9"/>
      <c r="BUZ41" s="9"/>
      <c r="BVA41" s="9"/>
      <c r="BVB41" s="9"/>
      <c r="BVC41" s="9"/>
      <c r="BVD41" s="9"/>
      <c r="BVE41" s="9"/>
      <c r="BVF41" s="9"/>
      <c r="BVG41" s="9"/>
      <c r="BVH41" s="9"/>
      <c r="BVI41" s="9"/>
      <c r="BVJ41" s="9"/>
      <c r="BVK41" s="9"/>
      <c r="BVL41" s="9"/>
      <c r="BVM41" s="9"/>
      <c r="BVN41" s="9"/>
      <c r="BVO41" s="9"/>
      <c r="BVP41" s="9"/>
      <c r="BVQ41" s="9"/>
      <c r="BVR41" s="9"/>
      <c r="BVS41" s="9"/>
      <c r="BVT41" s="9"/>
      <c r="BVU41" s="9"/>
      <c r="BVV41" s="9"/>
      <c r="BVW41" s="9"/>
      <c r="BVX41" s="9"/>
      <c r="BVY41" s="9"/>
      <c r="BVZ41" s="9"/>
      <c r="BWA41" s="9"/>
      <c r="BWB41" s="9"/>
      <c r="BWC41" s="9"/>
      <c r="BWD41" s="9"/>
      <c r="BWE41" s="9"/>
      <c r="BWF41" s="9"/>
      <c r="BWG41" s="9"/>
      <c r="BWH41" s="9"/>
      <c r="BWI41" s="9"/>
      <c r="BWJ41" s="9"/>
      <c r="BWK41" s="9"/>
      <c r="BWL41" s="9"/>
      <c r="BWM41" s="9"/>
      <c r="BWN41" s="9"/>
      <c r="BWO41" s="9"/>
      <c r="BWP41" s="9"/>
      <c r="BWQ41" s="9"/>
      <c r="BWR41" s="9"/>
      <c r="BWS41" s="9"/>
      <c r="BWT41" s="9"/>
      <c r="BWU41" s="9"/>
      <c r="BWV41" s="9"/>
      <c r="BWW41" s="9"/>
      <c r="BWX41" s="9"/>
      <c r="BWY41" s="9"/>
      <c r="BWZ41" s="9"/>
      <c r="BXA41" s="9"/>
      <c r="BXB41" s="9"/>
      <c r="BXC41" s="9"/>
      <c r="BXD41" s="9"/>
      <c r="BXE41" s="9"/>
      <c r="BXF41" s="9"/>
      <c r="BXG41" s="9"/>
      <c r="BXH41" s="9"/>
      <c r="BXI41" s="9"/>
      <c r="BXJ41" s="9"/>
      <c r="BXK41" s="9"/>
      <c r="BXL41" s="9"/>
      <c r="BXM41" s="9"/>
      <c r="BXN41" s="9"/>
      <c r="BXO41" s="9"/>
      <c r="BXP41" s="9"/>
      <c r="BXQ41" s="9"/>
      <c r="BXR41" s="9"/>
      <c r="BXS41" s="9"/>
      <c r="BXT41" s="9"/>
      <c r="BXU41" s="9"/>
      <c r="BXV41" s="9"/>
      <c r="BXW41" s="9"/>
      <c r="BXX41" s="9"/>
      <c r="BXY41" s="9"/>
      <c r="BXZ41" s="9"/>
      <c r="BYA41" s="9"/>
      <c r="BYB41" s="9"/>
      <c r="BYC41" s="9"/>
      <c r="BYD41" s="9"/>
      <c r="BYE41" s="9"/>
      <c r="BYF41" s="9"/>
      <c r="BYG41" s="9"/>
      <c r="BYH41" s="9"/>
      <c r="BYI41" s="9"/>
      <c r="BYJ41" s="9"/>
      <c r="BYK41" s="9"/>
      <c r="BYL41" s="9"/>
      <c r="BYM41" s="9"/>
      <c r="BYN41" s="9"/>
      <c r="BYO41" s="9"/>
      <c r="BYP41" s="9"/>
      <c r="BYQ41" s="9"/>
      <c r="BYR41" s="9"/>
      <c r="BYS41" s="9"/>
      <c r="BYT41" s="9"/>
      <c r="BYU41" s="9"/>
      <c r="BYV41" s="9"/>
      <c r="BYW41" s="9"/>
      <c r="BYX41" s="9"/>
      <c r="BYY41" s="9"/>
      <c r="BYZ41" s="9"/>
      <c r="BZA41" s="9"/>
      <c r="BZB41" s="9"/>
      <c r="BZC41" s="9"/>
      <c r="BZD41" s="9"/>
      <c r="BZE41" s="9"/>
      <c r="BZF41" s="9"/>
      <c r="BZG41" s="9"/>
      <c r="BZH41" s="9"/>
      <c r="BZI41" s="9"/>
      <c r="BZJ41" s="9"/>
      <c r="BZK41" s="9"/>
      <c r="BZL41" s="9"/>
      <c r="BZM41" s="9"/>
      <c r="BZN41" s="9"/>
      <c r="BZO41" s="9"/>
      <c r="BZP41" s="9"/>
      <c r="BZQ41" s="9"/>
      <c r="BZR41" s="9"/>
      <c r="BZS41" s="9"/>
      <c r="BZT41" s="9"/>
      <c r="BZU41" s="9"/>
      <c r="BZV41" s="9"/>
      <c r="BZW41" s="9"/>
      <c r="BZX41" s="9"/>
      <c r="BZY41" s="9"/>
      <c r="BZZ41" s="9"/>
      <c r="CAA41" s="9"/>
      <c r="CAB41" s="9"/>
      <c r="CAC41" s="9"/>
      <c r="CAD41" s="9"/>
      <c r="CAE41" s="9"/>
      <c r="CAF41" s="9"/>
      <c r="CAG41" s="9"/>
      <c r="CAH41" s="9"/>
      <c r="CAI41" s="9"/>
      <c r="CAJ41" s="9"/>
      <c r="CAK41" s="9"/>
      <c r="CAL41" s="9"/>
      <c r="CAM41" s="9"/>
      <c r="CAN41" s="9"/>
      <c r="CAO41" s="9"/>
      <c r="CAP41" s="9"/>
      <c r="CAQ41" s="9"/>
      <c r="CAR41" s="9"/>
      <c r="CAS41" s="9"/>
      <c r="CAT41" s="9"/>
      <c r="CAU41" s="9"/>
      <c r="CAV41" s="9"/>
      <c r="CAW41" s="9"/>
      <c r="CAX41" s="9"/>
      <c r="CAY41" s="9"/>
      <c r="CAZ41" s="9"/>
      <c r="CBA41" s="9"/>
      <c r="CBB41" s="9"/>
      <c r="CBC41" s="9"/>
      <c r="CBD41" s="9"/>
      <c r="CBE41" s="9"/>
      <c r="CBF41" s="9"/>
      <c r="CBG41" s="9"/>
      <c r="CBH41" s="9"/>
      <c r="CBI41" s="9"/>
      <c r="CBJ41" s="9"/>
      <c r="CBK41" s="9"/>
      <c r="CBL41" s="9"/>
      <c r="CBM41" s="9"/>
      <c r="CBN41" s="9"/>
      <c r="CBO41" s="9"/>
      <c r="CBP41" s="9"/>
      <c r="CBQ41" s="9"/>
      <c r="CBR41" s="9"/>
      <c r="CBS41" s="9"/>
      <c r="CBT41" s="9"/>
      <c r="CBU41" s="9"/>
      <c r="CBV41" s="9"/>
      <c r="CBW41" s="9"/>
      <c r="CBX41" s="9"/>
      <c r="CBY41" s="9"/>
      <c r="CBZ41" s="9"/>
      <c r="CCA41" s="9"/>
      <c r="CCB41" s="9"/>
      <c r="CCC41" s="9"/>
      <c r="CCD41" s="9"/>
      <c r="CCE41" s="9"/>
      <c r="CCF41" s="9"/>
      <c r="CCG41" s="9"/>
      <c r="CCH41" s="9"/>
      <c r="CCI41" s="9"/>
      <c r="CCJ41" s="9"/>
      <c r="CCK41" s="9"/>
      <c r="CCL41" s="9"/>
      <c r="CCM41" s="9"/>
      <c r="CCN41" s="9"/>
      <c r="CCO41" s="9"/>
      <c r="CCP41" s="9"/>
      <c r="CCQ41" s="9"/>
      <c r="CCR41" s="9"/>
      <c r="CCS41" s="9"/>
      <c r="CCT41" s="9"/>
      <c r="CCU41" s="9"/>
      <c r="CCV41" s="9"/>
      <c r="CCW41" s="9"/>
      <c r="CCX41" s="9"/>
      <c r="CCY41" s="9"/>
      <c r="CCZ41" s="9"/>
      <c r="CDA41" s="9"/>
      <c r="CDB41" s="9"/>
      <c r="CDC41" s="9"/>
      <c r="CDD41" s="9"/>
      <c r="CDE41" s="9"/>
      <c r="CDF41" s="9"/>
      <c r="CDG41" s="9"/>
      <c r="CDH41" s="9"/>
      <c r="CDI41" s="9"/>
      <c r="CDJ41" s="9"/>
      <c r="CDK41" s="9"/>
      <c r="CDL41" s="9"/>
      <c r="CDM41" s="9"/>
      <c r="CDN41" s="9"/>
      <c r="CDO41" s="9"/>
      <c r="CDP41" s="9"/>
      <c r="CDQ41" s="9"/>
      <c r="CDR41" s="9"/>
      <c r="CDS41" s="9"/>
      <c r="CDT41" s="9"/>
      <c r="CDU41" s="9"/>
      <c r="CDV41" s="9"/>
      <c r="CDW41" s="9"/>
      <c r="CDX41" s="9"/>
      <c r="CDY41" s="9"/>
      <c r="CDZ41" s="9"/>
      <c r="CEA41" s="9"/>
      <c r="CEB41" s="9"/>
      <c r="CEC41" s="9"/>
      <c r="CED41" s="9"/>
      <c r="CEE41" s="9"/>
      <c r="CEF41" s="9"/>
      <c r="CEG41" s="9"/>
      <c r="CEH41" s="9"/>
      <c r="CEI41" s="9"/>
      <c r="CEJ41" s="9"/>
      <c r="CEK41" s="9"/>
      <c r="CEL41" s="9"/>
      <c r="CEM41" s="9"/>
      <c r="CEN41" s="9"/>
      <c r="CEO41" s="9"/>
      <c r="CEP41" s="9"/>
      <c r="CEQ41" s="9"/>
      <c r="CER41" s="9"/>
      <c r="CES41" s="9"/>
      <c r="CET41" s="9"/>
      <c r="CEU41" s="9"/>
      <c r="CEV41" s="9"/>
      <c r="CEW41" s="9"/>
      <c r="CEX41" s="9"/>
      <c r="CEY41" s="9"/>
      <c r="CEZ41" s="9"/>
      <c r="CFA41" s="9"/>
      <c r="CFB41" s="9"/>
      <c r="CFC41" s="9"/>
      <c r="CFD41" s="9"/>
      <c r="CFE41" s="9"/>
      <c r="CFF41" s="9"/>
      <c r="CFG41" s="9"/>
      <c r="CFH41" s="9"/>
      <c r="CFI41" s="9"/>
      <c r="CFJ41" s="9"/>
      <c r="CFK41" s="9"/>
      <c r="CFL41" s="9"/>
      <c r="CFM41" s="9"/>
      <c r="CFN41" s="9"/>
      <c r="CFO41" s="9"/>
      <c r="CFP41" s="9"/>
      <c r="CFQ41" s="9"/>
      <c r="CFR41" s="9"/>
      <c r="CFS41" s="9"/>
      <c r="CFT41" s="9"/>
      <c r="CFU41" s="9"/>
      <c r="CFV41" s="9"/>
      <c r="CFW41" s="9"/>
      <c r="CFX41" s="9"/>
      <c r="CFY41" s="9"/>
      <c r="CFZ41" s="9"/>
      <c r="CGA41" s="9"/>
      <c r="CGB41" s="9"/>
      <c r="CGC41" s="9"/>
      <c r="CGD41" s="9"/>
      <c r="CGE41" s="9"/>
      <c r="CGF41" s="9"/>
      <c r="CGG41" s="9"/>
      <c r="CGH41" s="9"/>
      <c r="CGI41" s="9"/>
      <c r="CGJ41" s="9"/>
      <c r="CGK41" s="9"/>
      <c r="CGL41" s="9"/>
      <c r="CGM41" s="9"/>
      <c r="CGN41" s="9"/>
      <c r="CGO41" s="9"/>
      <c r="CGP41" s="9"/>
      <c r="CGQ41" s="9"/>
      <c r="CGR41" s="9"/>
      <c r="CGS41" s="9"/>
      <c r="CGT41" s="9"/>
      <c r="CGU41" s="9"/>
      <c r="CGV41" s="9"/>
      <c r="CGW41" s="9"/>
      <c r="CGX41" s="9"/>
      <c r="CGY41" s="9"/>
      <c r="CGZ41" s="9"/>
      <c r="CHA41" s="9"/>
      <c r="CHB41" s="9"/>
      <c r="CHC41" s="9"/>
      <c r="CHD41" s="9"/>
      <c r="CHE41" s="9"/>
      <c r="CHF41" s="9"/>
      <c r="CHG41" s="9"/>
      <c r="CHH41" s="9"/>
      <c r="CHI41" s="9"/>
      <c r="CHJ41" s="9"/>
      <c r="CHK41" s="9"/>
      <c r="CHL41" s="9"/>
      <c r="CHM41" s="9"/>
      <c r="CHN41" s="9"/>
      <c r="CHO41" s="9"/>
      <c r="CHP41" s="9"/>
      <c r="CHQ41" s="9"/>
      <c r="CHR41" s="9"/>
      <c r="CHS41" s="9"/>
      <c r="CHT41" s="9"/>
      <c r="CHU41" s="9"/>
      <c r="CHV41" s="9"/>
      <c r="CHW41" s="9"/>
      <c r="CHX41" s="9"/>
      <c r="CHY41" s="9"/>
      <c r="CHZ41" s="9"/>
      <c r="CIA41" s="9"/>
      <c r="CIB41" s="9"/>
      <c r="CIC41" s="9"/>
      <c r="CID41" s="9"/>
      <c r="CIE41" s="9"/>
      <c r="CIF41" s="9"/>
      <c r="CIG41" s="9"/>
      <c r="CIH41" s="9"/>
      <c r="CII41" s="9"/>
      <c r="CIJ41" s="9"/>
      <c r="CIK41" s="9"/>
      <c r="CIL41" s="9"/>
      <c r="CIM41" s="9"/>
      <c r="CIN41" s="9"/>
      <c r="CIO41" s="9"/>
      <c r="CIP41" s="9"/>
      <c r="CIQ41" s="9"/>
      <c r="CIR41" s="9"/>
      <c r="CIS41" s="9"/>
      <c r="CIT41" s="9"/>
      <c r="CIU41" s="9"/>
      <c r="CIV41" s="9"/>
      <c r="CIW41" s="9"/>
      <c r="CIX41" s="9"/>
      <c r="CIY41" s="9"/>
      <c r="CIZ41" s="9"/>
      <c r="CJA41" s="9"/>
      <c r="CJB41" s="9"/>
      <c r="CJC41" s="9"/>
      <c r="CJD41" s="9"/>
      <c r="CJE41" s="9"/>
      <c r="CJF41" s="9"/>
      <c r="CJG41" s="9"/>
      <c r="CJH41" s="9"/>
      <c r="CJI41" s="9"/>
      <c r="CJJ41" s="9"/>
      <c r="CJK41" s="9"/>
      <c r="CJL41" s="9"/>
      <c r="CJM41" s="9"/>
      <c r="CJN41" s="9"/>
      <c r="CJO41" s="9"/>
      <c r="CJP41" s="9"/>
      <c r="CJQ41" s="9"/>
      <c r="CJR41" s="9"/>
      <c r="CJS41" s="9"/>
      <c r="CJT41" s="9"/>
      <c r="CJU41" s="9"/>
      <c r="CJV41" s="9"/>
      <c r="CJW41" s="9"/>
      <c r="CJX41" s="9"/>
      <c r="CJY41" s="9"/>
      <c r="CJZ41" s="9"/>
      <c r="CKA41" s="9"/>
      <c r="CKB41" s="9"/>
      <c r="CKC41" s="9"/>
      <c r="CKD41" s="9"/>
      <c r="CKE41" s="9"/>
      <c r="CKF41" s="9"/>
      <c r="CKG41" s="9"/>
      <c r="CKH41" s="9"/>
      <c r="CKI41" s="9"/>
      <c r="CKJ41" s="9"/>
      <c r="CKK41" s="9"/>
      <c r="CKL41" s="9"/>
      <c r="CKM41" s="9"/>
      <c r="CKN41" s="9"/>
      <c r="CKO41" s="9"/>
      <c r="CKP41" s="9"/>
      <c r="CKQ41" s="9"/>
      <c r="CKR41" s="9"/>
      <c r="CKS41" s="9"/>
      <c r="CKT41" s="9"/>
      <c r="CKU41" s="9"/>
      <c r="CKV41" s="9"/>
      <c r="CKW41" s="9"/>
      <c r="CKX41" s="9"/>
      <c r="CKY41" s="9"/>
      <c r="CKZ41" s="9"/>
      <c r="CLA41" s="9"/>
      <c r="CLB41" s="9"/>
      <c r="CLC41" s="9"/>
      <c r="CLD41" s="9"/>
      <c r="CLE41" s="9"/>
      <c r="CLF41" s="9"/>
      <c r="CLG41" s="9"/>
      <c r="CLH41" s="9"/>
      <c r="CLI41" s="9"/>
      <c r="CLJ41" s="9"/>
      <c r="CLK41" s="9"/>
      <c r="CLL41" s="9"/>
      <c r="CLM41" s="9"/>
      <c r="CLN41" s="9"/>
      <c r="CLO41" s="9"/>
      <c r="CLP41" s="9"/>
      <c r="CLQ41" s="9"/>
      <c r="CLR41" s="9"/>
      <c r="CLS41" s="9"/>
      <c r="CLT41" s="9"/>
      <c r="CLU41" s="9"/>
      <c r="CLV41" s="9"/>
      <c r="CLW41" s="9"/>
      <c r="CLX41" s="9"/>
      <c r="CLY41" s="9"/>
      <c r="CLZ41" s="9"/>
      <c r="CMA41" s="9"/>
      <c r="CMB41" s="9"/>
      <c r="CMC41" s="9"/>
      <c r="CMD41" s="9"/>
      <c r="CME41" s="9"/>
      <c r="CMF41" s="9"/>
      <c r="CMG41" s="9"/>
      <c r="CMH41" s="9"/>
      <c r="CMI41" s="9"/>
      <c r="CMJ41" s="9"/>
      <c r="CMK41" s="9"/>
      <c r="CML41" s="9"/>
      <c r="CMM41" s="9"/>
      <c r="CMN41" s="9"/>
      <c r="CMO41" s="9"/>
      <c r="CMP41" s="9"/>
      <c r="CMQ41" s="9"/>
      <c r="CMR41" s="9"/>
      <c r="CMS41" s="9"/>
      <c r="CMT41" s="9"/>
      <c r="CMU41" s="9"/>
      <c r="CMV41" s="9"/>
      <c r="CMW41" s="9"/>
      <c r="CMX41" s="9"/>
      <c r="CMY41" s="9"/>
      <c r="CMZ41" s="9"/>
      <c r="CNA41" s="9"/>
      <c r="CNB41" s="9"/>
      <c r="CNC41" s="9"/>
      <c r="CND41" s="9"/>
      <c r="CNE41" s="9"/>
      <c r="CNF41" s="9"/>
      <c r="CNG41" s="9"/>
      <c r="CNH41" s="9"/>
      <c r="CNI41" s="9"/>
      <c r="CNJ41" s="9"/>
      <c r="CNK41" s="9"/>
      <c r="CNL41" s="9"/>
      <c r="CNM41" s="9"/>
      <c r="CNN41" s="9"/>
      <c r="CNO41" s="9"/>
      <c r="CNP41" s="9"/>
      <c r="CNQ41" s="9"/>
      <c r="CNR41" s="9"/>
      <c r="CNS41" s="9"/>
      <c r="CNT41" s="9"/>
      <c r="CNU41" s="9"/>
      <c r="CNV41" s="9"/>
      <c r="CNW41" s="9"/>
      <c r="CNX41" s="9"/>
      <c r="CNY41" s="9"/>
      <c r="CNZ41" s="9"/>
      <c r="COA41" s="9"/>
      <c r="COB41" s="9"/>
      <c r="COC41" s="9"/>
      <c r="COD41" s="9"/>
      <c r="COE41" s="9"/>
      <c r="COF41" s="9"/>
      <c r="COG41" s="9"/>
      <c r="COH41" s="9"/>
      <c r="COI41" s="9"/>
      <c r="COJ41" s="9"/>
      <c r="COK41" s="9"/>
      <c r="COL41" s="9"/>
      <c r="COM41" s="9"/>
      <c r="CON41" s="9"/>
      <c r="COO41" s="9"/>
      <c r="COP41" s="9"/>
      <c r="COQ41" s="9"/>
      <c r="COR41" s="9"/>
      <c r="COS41" s="9"/>
      <c r="COT41" s="9"/>
      <c r="COU41" s="9"/>
      <c r="COV41" s="9"/>
      <c r="COW41" s="9"/>
      <c r="COX41" s="9"/>
      <c r="COY41" s="9"/>
      <c r="COZ41" s="9"/>
      <c r="CPA41" s="9"/>
      <c r="CPB41" s="9"/>
      <c r="CPC41" s="9"/>
      <c r="CPD41" s="9"/>
      <c r="CPE41" s="9"/>
      <c r="CPF41" s="9"/>
      <c r="CPG41" s="9"/>
      <c r="CPH41" s="9"/>
      <c r="CPI41" s="9"/>
      <c r="CPJ41" s="9"/>
      <c r="CPK41" s="9"/>
      <c r="CPL41" s="9"/>
      <c r="CPM41" s="9"/>
      <c r="CPN41" s="9"/>
      <c r="CPO41" s="9"/>
      <c r="CPP41" s="9"/>
      <c r="CPQ41" s="9"/>
      <c r="CPR41" s="9"/>
      <c r="CPS41" s="9"/>
      <c r="CPT41" s="9"/>
      <c r="CPU41" s="9"/>
      <c r="CPV41" s="9"/>
      <c r="CPW41" s="9"/>
      <c r="CPX41" s="9"/>
      <c r="CPY41" s="9"/>
      <c r="CPZ41" s="9"/>
      <c r="CQA41" s="9"/>
      <c r="CQB41" s="9"/>
      <c r="CQC41" s="9"/>
      <c r="CQD41" s="9"/>
      <c r="CQE41" s="9"/>
      <c r="CQF41" s="9"/>
      <c r="CQG41" s="9"/>
      <c r="CQH41" s="9"/>
      <c r="CQI41" s="9"/>
      <c r="CQJ41" s="9"/>
      <c r="CQK41" s="9"/>
      <c r="CQL41" s="9"/>
      <c r="CQM41" s="9"/>
      <c r="CQN41" s="9"/>
      <c r="CQO41" s="9"/>
      <c r="CQP41" s="9"/>
      <c r="CQQ41" s="9"/>
      <c r="CQR41" s="9"/>
      <c r="CQS41" s="9"/>
      <c r="CQT41" s="9"/>
      <c r="CQU41" s="9"/>
      <c r="CQV41" s="9"/>
      <c r="CQW41" s="9"/>
      <c r="CQX41" s="9"/>
      <c r="CQY41" s="9"/>
      <c r="CQZ41" s="9"/>
      <c r="CRA41" s="9"/>
      <c r="CRB41" s="9"/>
      <c r="CRC41" s="9"/>
      <c r="CRD41" s="9"/>
      <c r="CRE41" s="9"/>
      <c r="CRF41" s="9"/>
      <c r="CRG41" s="9"/>
      <c r="CRH41" s="9"/>
      <c r="CRI41" s="9"/>
      <c r="CRJ41" s="9"/>
      <c r="CRK41" s="9"/>
      <c r="CRL41" s="9"/>
      <c r="CRM41" s="9"/>
      <c r="CRN41" s="9"/>
      <c r="CRO41" s="9"/>
      <c r="CRP41" s="9"/>
      <c r="CRQ41" s="9"/>
      <c r="CRR41" s="9"/>
      <c r="CRS41" s="9"/>
      <c r="CRT41" s="9"/>
      <c r="CRU41" s="9"/>
      <c r="CRV41" s="9"/>
      <c r="CRW41" s="9"/>
      <c r="CRX41" s="9"/>
      <c r="CRY41" s="9"/>
      <c r="CRZ41" s="9"/>
      <c r="CSA41" s="9"/>
      <c r="CSB41" s="9"/>
      <c r="CSC41" s="9"/>
      <c r="CSD41" s="9"/>
      <c r="CSE41" s="9"/>
      <c r="CSF41" s="9"/>
      <c r="CSG41" s="9"/>
      <c r="CSH41" s="9"/>
      <c r="CSI41" s="9"/>
      <c r="CSJ41" s="9"/>
      <c r="CSK41" s="9"/>
      <c r="CSL41" s="9"/>
      <c r="CSM41" s="9"/>
      <c r="CSN41" s="9"/>
      <c r="CSO41" s="9"/>
      <c r="CSP41" s="9"/>
      <c r="CSQ41" s="9"/>
      <c r="CSR41" s="9"/>
      <c r="CSS41" s="9"/>
      <c r="CST41" s="9"/>
      <c r="CSU41" s="9"/>
      <c r="CSV41" s="9"/>
      <c r="CSW41" s="9"/>
      <c r="CSX41" s="9"/>
      <c r="CSY41" s="9"/>
      <c r="CSZ41" s="9"/>
      <c r="CTA41" s="9"/>
      <c r="CTB41" s="9"/>
      <c r="CTC41" s="9"/>
      <c r="CTD41" s="9"/>
      <c r="CTE41" s="9"/>
      <c r="CTF41" s="9"/>
      <c r="CTG41" s="9"/>
      <c r="CTH41" s="9"/>
      <c r="CTI41" s="9"/>
      <c r="CTJ41" s="9"/>
      <c r="CTK41" s="9"/>
      <c r="CTL41" s="9"/>
      <c r="CTM41" s="9"/>
      <c r="CTN41" s="9"/>
      <c r="CTO41" s="9"/>
      <c r="CTP41" s="9"/>
      <c r="CTQ41" s="9"/>
      <c r="CTR41" s="9"/>
      <c r="CTS41" s="9"/>
      <c r="CTT41" s="9"/>
      <c r="CTU41" s="9"/>
      <c r="CTV41" s="9"/>
      <c r="CTW41" s="9"/>
      <c r="CTX41" s="9"/>
      <c r="CTY41" s="9"/>
      <c r="CTZ41" s="9"/>
      <c r="CUA41" s="9"/>
      <c r="CUB41" s="9"/>
      <c r="CUC41" s="9"/>
      <c r="CUD41" s="9"/>
      <c r="CUE41" s="9"/>
      <c r="CUF41" s="9"/>
      <c r="CUG41" s="9"/>
      <c r="CUH41" s="9"/>
      <c r="CUI41" s="9"/>
      <c r="CUJ41" s="9"/>
      <c r="CUK41" s="9"/>
      <c r="CUL41" s="9"/>
      <c r="CUM41" s="9"/>
      <c r="CUN41" s="9"/>
      <c r="CUO41" s="9"/>
      <c r="CUP41" s="9"/>
      <c r="CUQ41" s="9"/>
      <c r="CUR41" s="9"/>
      <c r="CUS41" s="9"/>
      <c r="CUT41" s="9"/>
      <c r="CUU41" s="9"/>
      <c r="CUV41" s="9"/>
      <c r="CUW41" s="9"/>
      <c r="CUX41" s="9"/>
      <c r="CUY41" s="9"/>
      <c r="CUZ41" s="9"/>
      <c r="CVA41" s="9"/>
      <c r="CVB41" s="9"/>
      <c r="CVC41" s="9"/>
      <c r="CVD41" s="9"/>
      <c r="CVE41" s="9"/>
      <c r="CVF41" s="9"/>
      <c r="CVG41" s="9"/>
      <c r="CVH41" s="9"/>
      <c r="CVI41" s="9"/>
      <c r="CVJ41" s="9"/>
      <c r="CVK41" s="9"/>
      <c r="CVL41" s="9"/>
      <c r="CVM41" s="9"/>
      <c r="CVN41" s="9"/>
      <c r="CVO41" s="9"/>
      <c r="CVP41" s="9"/>
      <c r="CVQ41" s="9"/>
      <c r="CVR41" s="9"/>
      <c r="CVS41" s="9"/>
      <c r="CVT41" s="9"/>
      <c r="CVU41" s="9"/>
      <c r="CVV41" s="9"/>
      <c r="CVW41" s="9"/>
      <c r="CVX41" s="9"/>
      <c r="CVY41" s="9"/>
      <c r="CVZ41" s="9"/>
      <c r="CWA41" s="9"/>
      <c r="CWB41" s="9"/>
      <c r="CWC41" s="9"/>
      <c r="CWD41" s="9"/>
      <c r="CWE41" s="9"/>
      <c r="CWF41" s="9"/>
      <c r="CWG41" s="9"/>
      <c r="CWH41" s="9"/>
      <c r="CWI41" s="9"/>
      <c r="CWJ41" s="9"/>
      <c r="CWK41" s="9"/>
      <c r="CWL41" s="9"/>
      <c r="CWM41" s="9"/>
      <c r="CWN41" s="9"/>
      <c r="CWO41" s="9"/>
      <c r="CWP41" s="9"/>
      <c r="CWQ41" s="9"/>
      <c r="CWR41" s="9"/>
      <c r="CWS41" s="9"/>
      <c r="CWT41" s="9"/>
      <c r="CWU41" s="9"/>
      <c r="CWV41" s="9"/>
      <c r="CWW41" s="9"/>
      <c r="CWX41" s="9"/>
      <c r="CWY41" s="9"/>
      <c r="CWZ41" s="9"/>
      <c r="CXA41" s="9"/>
      <c r="CXB41" s="9"/>
      <c r="CXC41" s="9"/>
      <c r="CXD41" s="9"/>
      <c r="CXE41" s="9"/>
      <c r="CXF41" s="9"/>
      <c r="CXG41" s="9"/>
      <c r="CXH41" s="9"/>
      <c r="CXI41" s="9"/>
      <c r="CXJ41" s="9"/>
      <c r="CXK41" s="9"/>
      <c r="CXL41" s="9"/>
      <c r="CXM41" s="9"/>
      <c r="CXN41" s="9"/>
      <c r="CXO41" s="9"/>
      <c r="CXP41" s="9"/>
      <c r="CXQ41" s="9"/>
      <c r="CXR41" s="9"/>
      <c r="CXS41" s="9"/>
      <c r="CXT41" s="9"/>
      <c r="CXU41" s="9"/>
      <c r="CXV41" s="9"/>
      <c r="CXW41" s="9"/>
      <c r="CXX41" s="9"/>
      <c r="CXY41" s="9"/>
      <c r="CXZ41" s="9"/>
      <c r="CYA41" s="9"/>
      <c r="CYB41" s="9"/>
      <c r="CYC41" s="9"/>
      <c r="CYD41" s="9"/>
      <c r="CYE41" s="9"/>
      <c r="CYF41" s="9"/>
      <c r="CYG41" s="9"/>
      <c r="CYH41" s="9"/>
      <c r="CYI41" s="9"/>
      <c r="CYJ41" s="9"/>
      <c r="CYK41" s="9"/>
      <c r="CYL41" s="9"/>
      <c r="CYM41" s="9"/>
      <c r="CYN41" s="9"/>
      <c r="CYO41" s="9"/>
      <c r="CYP41" s="9"/>
      <c r="CYQ41" s="9"/>
      <c r="CYR41" s="9"/>
      <c r="CYS41" s="9"/>
      <c r="CYT41" s="9"/>
      <c r="CYU41" s="9"/>
      <c r="CYV41" s="9"/>
      <c r="CYW41" s="9"/>
      <c r="CYX41" s="9"/>
      <c r="CYY41" s="9"/>
      <c r="CYZ41" s="9"/>
      <c r="CZA41" s="9"/>
      <c r="CZB41" s="9"/>
      <c r="CZC41" s="9"/>
      <c r="CZD41" s="9"/>
      <c r="CZE41" s="9"/>
      <c r="CZF41" s="9"/>
      <c r="CZG41" s="9"/>
      <c r="CZH41" s="9"/>
      <c r="CZI41" s="9"/>
      <c r="CZJ41" s="9"/>
      <c r="CZK41" s="9"/>
      <c r="CZL41" s="9"/>
      <c r="CZM41" s="9"/>
      <c r="CZN41" s="9"/>
      <c r="CZO41" s="9"/>
      <c r="CZP41" s="9"/>
      <c r="CZQ41" s="9"/>
      <c r="CZR41" s="9"/>
      <c r="CZS41" s="9"/>
      <c r="CZT41" s="9"/>
      <c r="CZU41" s="9"/>
      <c r="CZV41" s="9"/>
      <c r="CZW41" s="9"/>
      <c r="CZX41" s="9"/>
      <c r="CZY41" s="9"/>
      <c r="CZZ41" s="9"/>
      <c r="DAA41" s="9"/>
      <c r="DAB41" s="9"/>
      <c r="DAC41" s="9"/>
      <c r="DAD41" s="9"/>
      <c r="DAE41" s="9"/>
      <c r="DAF41" s="9"/>
      <c r="DAG41" s="9"/>
      <c r="DAH41" s="9"/>
      <c r="DAI41" s="9"/>
      <c r="DAJ41" s="9"/>
      <c r="DAK41" s="9"/>
      <c r="DAL41" s="9"/>
      <c r="DAM41" s="9"/>
      <c r="DAN41" s="9"/>
      <c r="DAO41" s="9"/>
      <c r="DAP41" s="9"/>
      <c r="DAQ41" s="9"/>
      <c r="DAR41" s="9"/>
      <c r="DAS41" s="9"/>
      <c r="DAT41" s="9"/>
      <c r="DAU41" s="9"/>
      <c r="DAV41" s="9"/>
      <c r="DAW41" s="9"/>
      <c r="DAX41" s="9"/>
      <c r="DAY41" s="9"/>
      <c r="DAZ41" s="9"/>
      <c r="DBA41" s="9"/>
      <c r="DBB41" s="9"/>
      <c r="DBC41" s="9"/>
      <c r="DBD41" s="9"/>
      <c r="DBE41" s="9"/>
      <c r="DBF41" s="9"/>
      <c r="DBG41" s="9"/>
      <c r="DBH41" s="9"/>
      <c r="DBI41" s="9"/>
      <c r="DBJ41" s="9"/>
      <c r="DBK41" s="9"/>
      <c r="DBL41" s="9"/>
      <c r="DBM41" s="9"/>
      <c r="DBN41" s="9"/>
      <c r="DBO41" s="9"/>
      <c r="DBP41" s="9"/>
      <c r="DBQ41" s="9"/>
      <c r="DBR41" s="9"/>
      <c r="DBS41" s="9"/>
      <c r="DBT41" s="9"/>
      <c r="DBU41" s="9"/>
      <c r="DBV41" s="9"/>
      <c r="DBW41" s="9"/>
      <c r="DBX41" s="9"/>
      <c r="DBY41" s="9"/>
      <c r="DBZ41" s="9"/>
      <c r="DCA41" s="9"/>
      <c r="DCB41" s="9"/>
      <c r="DCC41" s="9"/>
      <c r="DCD41" s="9"/>
      <c r="DCE41" s="9"/>
      <c r="DCF41" s="9"/>
      <c r="DCG41" s="9"/>
      <c r="DCH41" s="9"/>
      <c r="DCI41" s="9"/>
      <c r="DCJ41" s="9"/>
      <c r="DCK41" s="9"/>
      <c r="DCL41" s="9"/>
      <c r="DCM41" s="9"/>
      <c r="DCN41" s="9"/>
      <c r="DCO41" s="9"/>
      <c r="DCP41" s="9"/>
      <c r="DCQ41" s="9"/>
      <c r="DCR41" s="9"/>
      <c r="DCS41" s="9"/>
      <c r="DCT41" s="9"/>
      <c r="DCU41" s="9"/>
      <c r="DCV41" s="9"/>
      <c r="DCW41" s="9"/>
      <c r="DCX41" s="9"/>
      <c r="DCY41" s="9"/>
      <c r="DCZ41" s="9"/>
      <c r="DDA41" s="9"/>
      <c r="DDB41" s="9"/>
      <c r="DDC41" s="9"/>
      <c r="DDD41" s="9"/>
      <c r="DDE41" s="9"/>
      <c r="DDF41" s="9"/>
      <c r="DDG41" s="9"/>
      <c r="DDH41" s="9"/>
      <c r="DDI41" s="9"/>
      <c r="DDJ41" s="9"/>
      <c r="DDK41" s="9"/>
      <c r="DDL41" s="9"/>
      <c r="DDM41" s="9"/>
      <c r="DDN41" s="9"/>
      <c r="DDO41" s="9"/>
      <c r="DDP41" s="9"/>
      <c r="DDQ41" s="9"/>
      <c r="DDR41" s="9"/>
      <c r="DDS41" s="9"/>
      <c r="DDT41" s="9"/>
      <c r="DDU41" s="9"/>
      <c r="DDV41" s="9"/>
      <c r="DDW41" s="9"/>
      <c r="DDX41" s="9"/>
      <c r="DDY41" s="9"/>
      <c r="DDZ41" s="9"/>
      <c r="DEA41" s="9"/>
      <c r="DEB41" s="9"/>
      <c r="DEC41" s="9"/>
      <c r="DED41" s="9"/>
      <c r="DEE41" s="9"/>
      <c r="DEF41" s="9"/>
      <c r="DEG41" s="9"/>
      <c r="DEH41" s="9"/>
      <c r="DEI41" s="9"/>
      <c r="DEJ41" s="9"/>
      <c r="DEK41" s="9"/>
      <c r="DEL41" s="9"/>
      <c r="DEM41" s="9"/>
      <c r="DEN41" s="9"/>
      <c r="DEO41" s="9"/>
      <c r="DEP41" s="9"/>
      <c r="DEQ41" s="9"/>
      <c r="DER41" s="9"/>
      <c r="DES41" s="9"/>
      <c r="DET41" s="9"/>
      <c r="DEU41" s="9"/>
      <c r="DEV41" s="9"/>
      <c r="DEW41" s="9"/>
      <c r="DEX41" s="9"/>
      <c r="DEY41" s="9"/>
      <c r="DEZ41" s="9"/>
      <c r="DFA41" s="9"/>
      <c r="DFB41" s="9"/>
      <c r="DFC41" s="9"/>
      <c r="DFD41" s="9"/>
      <c r="DFE41" s="9"/>
      <c r="DFF41" s="9"/>
      <c r="DFG41" s="9"/>
      <c r="DFH41" s="9"/>
      <c r="DFI41" s="9"/>
      <c r="DFJ41" s="9"/>
      <c r="DFK41" s="9"/>
      <c r="DFL41" s="9"/>
      <c r="DFM41" s="9"/>
      <c r="DFN41" s="9"/>
      <c r="DFO41" s="9"/>
      <c r="DFP41" s="9"/>
      <c r="DFQ41" s="9"/>
      <c r="DFR41" s="9"/>
      <c r="DFS41" s="9"/>
      <c r="DFT41" s="9"/>
      <c r="DFU41" s="9"/>
      <c r="DFV41" s="9"/>
      <c r="DFW41" s="9"/>
      <c r="DFX41" s="9"/>
      <c r="DFY41" s="9"/>
      <c r="DFZ41" s="9"/>
      <c r="DGA41" s="9"/>
      <c r="DGB41" s="9"/>
      <c r="DGC41" s="9"/>
      <c r="DGD41" s="9"/>
      <c r="DGE41" s="9"/>
      <c r="DGF41" s="9"/>
      <c r="DGG41" s="9"/>
      <c r="DGH41" s="9"/>
      <c r="DGI41" s="9"/>
      <c r="DGJ41" s="9"/>
      <c r="DGK41" s="9"/>
      <c r="DGL41" s="9"/>
      <c r="DGM41" s="9"/>
      <c r="DGN41" s="9"/>
      <c r="DGO41" s="9"/>
      <c r="DGP41" s="9"/>
      <c r="DGQ41" s="9"/>
      <c r="DGR41" s="9"/>
      <c r="DGS41" s="9"/>
      <c r="DGT41" s="9"/>
      <c r="DGU41" s="9"/>
      <c r="DGV41" s="9"/>
      <c r="DGW41" s="9"/>
      <c r="DGX41" s="9"/>
      <c r="DGY41" s="9"/>
      <c r="DGZ41" s="9"/>
      <c r="DHA41" s="9"/>
      <c r="DHB41" s="9"/>
      <c r="DHC41" s="9"/>
      <c r="DHD41" s="9"/>
      <c r="DHE41" s="9"/>
      <c r="DHF41" s="9"/>
      <c r="DHG41" s="9"/>
      <c r="DHH41" s="9"/>
      <c r="DHI41" s="9"/>
      <c r="DHJ41" s="9"/>
      <c r="DHK41" s="9"/>
      <c r="DHL41" s="9"/>
      <c r="DHM41" s="9"/>
      <c r="DHN41" s="9"/>
      <c r="DHO41" s="9"/>
      <c r="DHP41" s="9"/>
      <c r="DHQ41" s="9"/>
      <c r="DHR41" s="9"/>
      <c r="DHS41" s="9"/>
      <c r="DHT41" s="9"/>
      <c r="DHU41" s="9"/>
      <c r="DHV41" s="9"/>
      <c r="DHW41" s="9"/>
      <c r="DHX41" s="9"/>
      <c r="DHY41" s="9"/>
      <c r="DHZ41" s="9"/>
      <c r="DIA41" s="9"/>
      <c r="DIB41" s="9"/>
      <c r="DIC41" s="9"/>
      <c r="DID41" s="9"/>
      <c r="DIE41" s="9"/>
      <c r="DIF41" s="9"/>
      <c r="DIG41" s="9"/>
      <c r="DIH41" s="9"/>
      <c r="DII41" s="9"/>
      <c r="DIJ41" s="9"/>
      <c r="DIK41" s="9"/>
      <c r="DIL41" s="9"/>
      <c r="DIM41" s="9"/>
      <c r="DIN41" s="9"/>
      <c r="DIO41" s="9"/>
      <c r="DIP41" s="9"/>
      <c r="DIQ41" s="9"/>
      <c r="DIR41" s="9"/>
      <c r="DIS41" s="9"/>
      <c r="DIT41" s="9"/>
      <c r="DIU41" s="9"/>
      <c r="DIV41" s="9"/>
      <c r="DIW41" s="9"/>
      <c r="DIX41" s="9"/>
      <c r="DIY41" s="9"/>
      <c r="DIZ41" s="9"/>
      <c r="DJA41" s="9"/>
      <c r="DJB41" s="9"/>
      <c r="DJC41" s="9"/>
      <c r="DJD41" s="9"/>
      <c r="DJE41" s="9"/>
      <c r="DJF41" s="9"/>
      <c r="DJG41" s="9"/>
      <c r="DJH41" s="9"/>
      <c r="DJI41" s="9"/>
      <c r="DJJ41" s="9"/>
      <c r="DJK41" s="9"/>
      <c r="DJL41" s="9"/>
      <c r="DJM41" s="9"/>
      <c r="DJN41" s="9"/>
      <c r="DJO41" s="9"/>
      <c r="DJP41" s="9"/>
      <c r="DJQ41" s="9"/>
      <c r="DJR41" s="9"/>
      <c r="DJS41" s="9"/>
      <c r="DJT41" s="9"/>
      <c r="DJU41" s="9"/>
      <c r="DJV41" s="9"/>
      <c r="DJW41" s="9"/>
      <c r="DJX41" s="9"/>
      <c r="DJY41" s="9"/>
      <c r="DJZ41" s="9"/>
      <c r="DKA41" s="9"/>
      <c r="DKB41" s="9"/>
      <c r="DKC41" s="9"/>
      <c r="DKD41" s="9"/>
      <c r="DKE41" s="9"/>
      <c r="DKF41" s="9"/>
      <c r="DKG41" s="9"/>
      <c r="DKH41" s="9"/>
      <c r="DKI41" s="9"/>
      <c r="DKJ41" s="9"/>
      <c r="DKK41" s="9"/>
      <c r="DKL41" s="9"/>
      <c r="DKM41" s="9"/>
      <c r="DKN41" s="9"/>
      <c r="DKO41" s="9"/>
      <c r="DKP41" s="9"/>
      <c r="DKQ41" s="9"/>
      <c r="DKR41" s="9"/>
      <c r="DKS41" s="9"/>
      <c r="DKT41" s="9"/>
      <c r="DKU41" s="9"/>
      <c r="DKV41" s="9"/>
      <c r="DKW41" s="9"/>
      <c r="DKX41" s="9"/>
      <c r="DKY41" s="9"/>
      <c r="DKZ41" s="9"/>
      <c r="DLA41" s="9"/>
      <c r="DLB41" s="9"/>
      <c r="DLC41" s="9"/>
      <c r="DLD41" s="9"/>
      <c r="DLE41" s="9"/>
      <c r="DLF41" s="9"/>
      <c r="DLG41" s="9"/>
      <c r="DLH41" s="9"/>
      <c r="DLI41" s="9"/>
      <c r="DLJ41" s="9"/>
      <c r="DLK41" s="9"/>
      <c r="DLL41" s="9"/>
      <c r="DLM41" s="9"/>
      <c r="DLN41" s="9"/>
      <c r="DLO41" s="9"/>
      <c r="DLP41" s="9"/>
      <c r="DLQ41" s="9"/>
      <c r="DLR41" s="9"/>
      <c r="DLS41" s="9"/>
      <c r="DLT41" s="9"/>
      <c r="DLU41" s="9"/>
      <c r="DLV41" s="9"/>
      <c r="DLW41" s="9"/>
      <c r="DLX41" s="9"/>
      <c r="DLY41" s="9"/>
      <c r="DLZ41" s="9"/>
      <c r="DMA41" s="9"/>
      <c r="DMB41" s="9"/>
      <c r="DMC41" s="9"/>
      <c r="DMD41" s="9"/>
      <c r="DME41" s="9"/>
      <c r="DMF41" s="9"/>
      <c r="DMG41" s="9"/>
      <c r="DMH41" s="9"/>
      <c r="DMI41" s="9"/>
      <c r="DMJ41" s="9"/>
      <c r="DMK41" s="9"/>
      <c r="DML41" s="9"/>
      <c r="DMM41" s="9"/>
      <c r="DMN41" s="9"/>
      <c r="DMO41" s="9"/>
      <c r="DMP41" s="9"/>
      <c r="DMQ41" s="9"/>
      <c r="DMR41" s="9"/>
      <c r="DMS41" s="9"/>
      <c r="DMT41" s="9"/>
      <c r="DMU41" s="9"/>
      <c r="DMV41" s="9"/>
      <c r="DMW41" s="9"/>
      <c r="DMX41" s="9"/>
      <c r="DMY41" s="9"/>
      <c r="DMZ41" s="9"/>
      <c r="DNA41" s="9"/>
      <c r="DNB41" s="9"/>
      <c r="DNC41" s="9"/>
      <c r="DND41" s="9"/>
      <c r="DNE41" s="9"/>
      <c r="DNF41" s="9"/>
      <c r="DNG41" s="9"/>
      <c r="DNH41" s="9"/>
      <c r="DNI41" s="9"/>
      <c r="DNJ41" s="9"/>
      <c r="DNK41" s="9"/>
      <c r="DNL41" s="9"/>
      <c r="DNM41" s="9"/>
      <c r="DNN41" s="9"/>
      <c r="DNO41" s="9"/>
      <c r="DNP41" s="9"/>
      <c r="DNQ41" s="9"/>
      <c r="DNR41" s="9"/>
      <c r="DNS41" s="9"/>
      <c r="DNT41" s="9"/>
      <c r="DNU41" s="9"/>
      <c r="DNV41" s="9"/>
      <c r="DNW41" s="9"/>
      <c r="DNX41" s="9"/>
      <c r="DNY41" s="9"/>
      <c r="DNZ41" s="9"/>
      <c r="DOA41" s="9"/>
      <c r="DOB41" s="9"/>
      <c r="DOC41" s="9"/>
      <c r="DOD41" s="9"/>
      <c r="DOE41" s="9"/>
      <c r="DOF41" s="9"/>
      <c r="DOG41" s="9"/>
      <c r="DOH41" s="9"/>
      <c r="DOI41" s="9"/>
      <c r="DOJ41" s="9"/>
      <c r="DOK41" s="9"/>
      <c r="DOL41" s="9"/>
      <c r="DOM41" s="9"/>
      <c r="DON41" s="9"/>
      <c r="DOO41" s="9"/>
      <c r="DOP41" s="9"/>
      <c r="DOQ41" s="9"/>
      <c r="DOR41" s="9"/>
      <c r="DOS41" s="9"/>
      <c r="DOT41" s="9"/>
      <c r="DOU41" s="9"/>
      <c r="DOV41" s="9"/>
      <c r="DOW41" s="9"/>
      <c r="DOX41" s="9"/>
      <c r="DOY41" s="9"/>
      <c r="DOZ41" s="9"/>
      <c r="DPA41" s="9"/>
      <c r="DPB41" s="9"/>
      <c r="DPC41" s="9"/>
      <c r="DPD41" s="9"/>
      <c r="DPE41" s="9"/>
      <c r="DPF41" s="9"/>
      <c r="DPG41" s="9"/>
      <c r="DPH41" s="9"/>
      <c r="DPI41" s="9"/>
      <c r="DPJ41" s="9"/>
      <c r="DPK41" s="9"/>
      <c r="DPL41" s="9"/>
      <c r="DPM41" s="9"/>
      <c r="DPN41" s="9"/>
      <c r="DPO41" s="9"/>
      <c r="DPP41" s="9"/>
      <c r="DPQ41" s="9"/>
      <c r="DPR41" s="9"/>
      <c r="DPS41" s="9"/>
      <c r="DPT41" s="9"/>
      <c r="DPU41" s="9"/>
      <c r="DPV41" s="9"/>
      <c r="DPW41" s="9"/>
      <c r="DPX41" s="9"/>
      <c r="DPY41" s="9"/>
      <c r="DPZ41" s="9"/>
      <c r="DQA41" s="9"/>
      <c r="DQB41" s="9"/>
      <c r="DQC41" s="9"/>
      <c r="DQD41" s="9"/>
      <c r="DQE41" s="9"/>
      <c r="DQF41" s="9"/>
      <c r="DQG41" s="9"/>
      <c r="DQH41" s="9"/>
      <c r="DQI41" s="9"/>
      <c r="DQJ41" s="9"/>
      <c r="DQK41" s="9"/>
      <c r="DQL41" s="9"/>
      <c r="DQM41" s="9"/>
      <c r="DQN41" s="9"/>
      <c r="DQO41" s="9"/>
      <c r="DQP41" s="9"/>
      <c r="DQQ41" s="9"/>
      <c r="DQR41" s="9"/>
      <c r="DQS41" s="9"/>
      <c r="DQT41" s="9"/>
      <c r="DQU41" s="9"/>
      <c r="DQV41" s="9"/>
      <c r="DQW41" s="9"/>
      <c r="DQX41" s="9"/>
      <c r="DQY41" s="9"/>
      <c r="DQZ41" s="9"/>
      <c r="DRA41" s="9"/>
      <c r="DRB41" s="9"/>
      <c r="DRC41" s="9"/>
      <c r="DRD41" s="9"/>
      <c r="DRE41" s="9"/>
      <c r="DRF41" s="9"/>
      <c r="DRG41" s="9"/>
      <c r="DRH41" s="9"/>
      <c r="DRI41" s="9"/>
      <c r="DRJ41" s="9"/>
      <c r="DRK41" s="9"/>
      <c r="DRL41" s="9"/>
      <c r="DRM41" s="9"/>
      <c r="DRN41" s="9"/>
      <c r="DRO41" s="9"/>
      <c r="DRP41" s="9"/>
      <c r="DRQ41" s="9"/>
      <c r="DRR41" s="9"/>
      <c r="DRS41" s="9"/>
      <c r="DRT41" s="9"/>
      <c r="DRU41" s="9"/>
      <c r="DRV41" s="9"/>
      <c r="DRW41" s="9"/>
      <c r="DRX41" s="9"/>
      <c r="DRY41" s="9"/>
      <c r="DRZ41" s="9"/>
      <c r="DSA41" s="9"/>
      <c r="DSB41" s="9"/>
      <c r="DSC41" s="9"/>
      <c r="DSD41" s="9"/>
      <c r="DSE41" s="9"/>
      <c r="DSF41" s="9"/>
      <c r="DSG41" s="9"/>
      <c r="DSH41" s="9"/>
      <c r="DSI41" s="9"/>
      <c r="DSJ41" s="9"/>
      <c r="DSK41" s="9"/>
      <c r="DSL41" s="9"/>
      <c r="DSM41" s="9"/>
      <c r="DSN41" s="9"/>
      <c r="DSO41" s="9"/>
      <c r="DSP41" s="9"/>
      <c r="DSQ41" s="9"/>
      <c r="DSR41" s="9"/>
      <c r="DSS41" s="9"/>
      <c r="DST41" s="9"/>
      <c r="DSU41" s="9"/>
      <c r="DSV41" s="9"/>
      <c r="DSW41" s="9"/>
      <c r="DSX41" s="9"/>
      <c r="DSY41" s="9"/>
      <c r="DSZ41" s="9"/>
      <c r="DTA41" s="9"/>
      <c r="DTB41" s="9"/>
      <c r="DTC41" s="9"/>
      <c r="DTD41" s="9"/>
      <c r="DTE41" s="9"/>
      <c r="DTF41" s="9"/>
      <c r="DTG41" s="9"/>
      <c r="DTH41" s="9"/>
      <c r="DTI41" s="9"/>
      <c r="DTJ41" s="9"/>
      <c r="DTK41" s="9"/>
      <c r="DTL41" s="9"/>
      <c r="DTM41" s="9"/>
      <c r="DTN41" s="9"/>
      <c r="DTO41" s="9"/>
      <c r="DTP41" s="9"/>
      <c r="DTQ41" s="9"/>
      <c r="DTR41" s="9"/>
      <c r="DTS41" s="9"/>
      <c r="DTT41" s="9"/>
      <c r="DTU41" s="9"/>
      <c r="DTV41" s="9"/>
      <c r="DTW41" s="9"/>
      <c r="DTX41" s="9"/>
      <c r="DTY41" s="9"/>
      <c r="DTZ41" s="9"/>
      <c r="DUA41" s="9"/>
      <c r="DUB41" s="9"/>
      <c r="DUC41" s="9"/>
      <c r="DUD41" s="9"/>
      <c r="DUE41" s="9"/>
      <c r="DUF41" s="9"/>
      <c r="DUG41" s="9"/>
      <c r="DUH41" s="9"/>
      <c r="DUI41" s="9"/>
      <c r="DUJ41" s="9"/>
      <c r="DUK41" s="9"/>
      <c r="DUL41" s="9"/>
      <c r="DUM41" s="9"/>
      <c r="DUN41" s="9"/>
      <c r="DUO41" s="9"/>
      <c r="DUP41" s="9"/>
      <c r="DUQ41" s="9"/>
      <c r="DUR41" s="9"/>
      <c r="DUS41" s="9"/>
      <c r="DUT41" s="9"/>
      <c r="DUU41" s="9"/>
      <c r="DUV41" s="9"/>
      <c r="DUW41" s="9"/>
      <c r="DUX41" s="9"/>
      <c r="DUY41" s="9"/>
      <c r="DUZ41" s="9"/>
      <c r="DVA41" s="9"/>
      <c r="DVB41" s="9"/>
      <c r="DVC41" s="9"/>
      <c r="DVD41" s="9"/>
      <c r="DVE41" s="9"/>
      <c r="DVF41" s="9"/>
      <c r="DVG41" s="9"/>
      <c r="DVH41" s="9"/>
      <c r="DVI41" s="9"/>
      <c r="DVJ41" s="9"/>
      <c r="DVK41" s="9"/>
      <c r="DVL41" s="9"/>
      <c r="DVM41" s="9"/>
      <c r="DVN41" s="9"/>
      <c r="DVO41" s="9"/>
      <c r="DVP41" s="9"/>
      <c r="DVQ41" s="9"/>
      <c r="DVR41" s="9"/>
      <c r="DVS41" s="9"/>
      <c r="DVT41" s="9"/>
      <c r="DVU41" s="9"/>
      <c r="DVV41" s="9"/>
      <c r="DVW41" s="9"/>
      <c r="DVX41" s="9"/>
      <c r="DVY41" s="9"/>
      <c r="DVZ41" s="9"/>
      <c r="DWA41" s="9"/>
      <c r="DWB41" s="9"/>
      <c r="DWC41" s="9"/>
      <c r="DWD41" s="9"/>
      <c r="DWE41" s="9"/>
      <c r="DWF41" s="9"/>
      <c r="DWG41" s="9"/>
      <c r="DWH41" s="9"/>
      <c r="DWI41" s="9"/>
      <c r="DWJ41" s="9"/>
      <c r="DWK41" s="9"/>
      <c r="DWL41" s="9"/>
      <c r="DWM41" s="9"/>
      <c r="DWN41" s="9"/>
      <c r="DWO41" s="9"/>
      <c r="DWP41" s="9"/>
      <c r="DWQ41" s="9"/>
      <c r="DWR41" s="9"/>
      <c r="DWS41" s="9"/>
      <c r="DWT41" s="9"/>
      <c r="DWU41" s="9"/>
      <c r="DWV41" s="9"/>
      <c r="DWW41" s="9"/>
      <c r="DWX41" s="9"/>
      <c r="DWY41" s="9"/>
      <c r="DWZ41" s="9"/>
      <c r="DXA41" s="9"/>
      <c r="DXB41" s="9"/>
      <c r="DXC41" s="9"/>
      <c r="DXD41" s="9"/>
      <c r="DXE41" s="9"/>
      <c r="DXF41" s="9"/>
      <c r="DXG41" s="9"/>
      <c r="DXH41" s="9"/>
      <c r="DXI41" s="9"/>
      <c r="DXJ41" s="9"/>
      <c r="DXK41" s="9"/>
      <c r="DXL41" s="9"/>
      <c r="DXM41" s="9"/>
      <c r="DXN41" s="9"/>
      <c r="DXO41" s="9"/>
      <c r="DXP41" s="9"/>
      <c r="DXQ41" s="9"/>
      <c r="DXR41" s="9"/>
      <c r="DXS41" s="9"/>
      <c r="DXT41" s="9"/>
      <c r="DXU41" s="9"/>
      <c r="DXV41" s="9"/>
      <c r="DXW41" s="9"/>
      <c r="DXX41" s="9"/>
      <c r="DXY41" s="9"/>
      <c r="DXZ41" s="9"/>
      <c r="DYA41" s="9"/>
      <c r="DYB41" s="9"/>
      <c r="DYC41" s="9"/>
      <c r="DYD41" s="9"/>
      <c r="DYE41" s="9"/>
      <c r="DYF41" s="9"/>
      <c r="DYG41" s="9"/>
      <c r="DYH41" s="9"/>
      <c r="DYI41" s="9"/>
      <c r="DYJ41" s="9"/>
      <c r="DYK41" s="9"/>
      <c r="DYL41" s="9"/>
      <c r="DYM41" s="9"/>
      <c r="DYN41" s="9"/>
      <c r="DYO41" s="9"/>
      <c r="DYP41" s="9"/>
      <c r="DYQ41" s="9"/>
      <c r="DYR41" s="9"/>
      <c r="DYS41" s="9"/>
      <c r="DYT41" s="9"/>
      <c r="DYU41" s="9"/>
      <c r="DYV41" s="9"/>
      <c r="DYW41" s="9"/>
      <c r="DYX41" s="9"/>
      <c r="DYY41" s="9"/>
      <c r="DYZ41" s="9"/>
      <c r="DZA41" s="9"/>
      <c r="DZB41" s="9"/>
      <c r="DZC41" s="9"/>
      <c r="DZD41" s="9"/>
      <c r="DZE41" s="9"/>
      <c r="DZF41" s="9"/>
      <c r="DZG41" s="9"/>
      <c r="DZH41" s="9"/>
      <c r="DZI41" s="9"/>
      <c r="DZJ41" s="9"/>
      <c r="DZK41" s="9"/>
      <c r="DZL41" s="9"/>
      <c r="DZM41" s="9"/>
      <c r="DZN41" s="9"/>
      <c r="DZO41" s="9"/>
      <c r="DZP41" s="9"/>
      <c r="DZQ41" s="9"/>
      <c r="DZR41" s="9"/>
      <c r="DZS41" s="9"/>
      <c r="DZT41" s="9"/>
      <c r="DZU41" s="9"/>
      <c r="DZV41" s="9"/>
      <c r="DZW41" s="9"/>
      <c r="DZX41" s="9"/>
      <c r="DZY41" s="9"/>
      <c r="DZZ41" s="9"/>
      <c r="EAA41" s="9"/>
      <c r="EAB41" s="9"/>
      <c r="EAC41" s="9"/>
      <c r="EAD41" s="9"/>
      <c r="EAE41" s="9"/>
      <c r="EAF41" s="9"/>
      <c r="EAG41" s="9"/>
      <c r="EAH41" s="9"/>
      <c r="EAI41" s="9"/>
      <c r="EAJ41" s="9"/>
      <c r="EAK41" s="9"/>
      <c r="EAL41" s="9"/>
      <c r="EAM41" s="9"/>
      <c r="EAN41" s="9"/>
      <c r="EAO41" s="9"/>
      <c r="EAP41" s="9"/>
      <c r="EAQ41" s="9"/>
      <c r="EAR41" s="9"/>
      <c r="EAS41" s="9"/>
      <c r="EAT41" s="9"/>
      <c r="EAU41" s="9"/>
      <c r="EAV41" s="9"/>
      <c r="EAW41" s="9"/>
      <c r="EAX41" s="9"/>
      <c r="EAY41" s="9"/>
      <c r="EAZ41" s="9"/>
      <c r="EBA41" s="9"/>
      <c r="EBB41" s="9"/>
      <c r="EBC41" s="9"/>
      <c r="EBD41" s="9"/>
      <c r="EBE41" s="9"/>
      <c r="EBF41" s="9"/>
      <c r="EBG41" s="9"/>
      <c r="EBH41" s="9"/>
      <c r="EBI41" s="9"/>
      <c r="EBJ41" s="9"/>
      <c r="EBK41" s="9"/>
      <c r="EBL41" s="9"/>
      <c r="EBM41" s="9"/>
      <c r="EBN41" s="9"/>
      <c r="EBO41" s="9"/>
      <c r="EBP41" s="9"/>
      <c r="EBQ41" s="9"/>
      <c r="EBR41" s="9"/>
      <c r="EBS41" s="9"/>
      <c r="EBT41" s="9"/>
      <c r="EBU41" s="9"/>
      <c r="EBV41" s="9"/>
      <c r="EBW41" s="9"/>
      <c r="EBX41" s="9"/>
      <c r="EBY41" s="9"/>
      <c r="EBZ41" s="9"/>
      <c r="ECA41" s="9"/>
      <c r="ECB41" s="9"/>
      <c r="ECC41" s="9"/>
      <c r="ECD41" s="9"/>
      <c r="ECE41" s="9"/>
      <c r="ECF41" s="9"/>
      <c r="ECG41" s="9"/>
      <c r="ECH41" s="9"/>
      <c r="ECI41" s="9"/>
      <c r="ECJ41" s="9"/>
      <c r="ECK41" s="9"/>
      <c r="ECL41" s="9"/>
      <c r="ECM41" s="9"/>
      <c r="ECN41" s="9"/>
      <c r="ECO41" s="9"/>
      <c r="ECP41" s="9"/>
      <c r="ECQ41" s="9"/>
      <c r="ECR41" s="9"/>
      <c r="ECS41" s="9"/>
      <c r="ECT41" s="9"/>
      <c r="ECU41" s="9"/>
      <c r="ECV41" s="9"/>
      <c r="ECW41" s="9"/>
      <c r="ECX41" s="9"/>
      <c r="ECY41" s="9"/>
      <c r="ECZ41" s="9"/>
      <c r="EDA41" s="9"/>
      <c r="EDB41" s="9"/>
      <c r="EDC41" s="9"/>
      <c r="EDD41" s="9"/>
      <c r="EDE41" s="9"/>
      <c r="EDF41" s="9"/>
      <c r="EDG41" s="9"/>
      <c r="EDH41" s="9"/>
      <c r="EDI41" s="9"/>
      <c r="EDJ41" s="9"/>
      <c r="EDK41" s="9"/>
      <c r="EDL41" s="9"/>
      <c r="EDM41" s="9"/>
      <c r="EDN41" s="9"/>
      <c r="EDO41" s="9"/>
      <c r="EDP41" s="9"/>
      <c r="EDQ41" s="9"/>
      <c r="EDR41" s="9"/>
      <c r="EDS41" s="9"/>
      <c r="EDT41" s="9"/>
      <c r="EDU41" s="9"/>
      <c r="EDV41" s="9"/>
      <c r="EDW41" s="9"/>
      <c r="EDX41" s="9"/>
      <c r="EDY41" s="9"/>
      <c r="EDZ41" s="9"/>
      <c r="EEA41" s="9"/>
      <c r="EEB41" s="9"/>
      <c r="EEC41" s="9"/>
      <c r="EED41" s="9"/>
      <c r="EEE41" s="9"/>
      <c r="EEF41" s="9"/>
      <c r="EEG41" s="9"/>
      <c r="EEH41" s="9"/>
      <c r="EEI41" s="9"/>
      <c r="EEJ41" s="9"/>
      <c r="EEK41" s="9"/>
      <c r="EEL41" s="9"/>
      <c r="EEM41" s="9"/>
      <c r="EEN41" s="9"/>
      <c r="EEO41" s="9"/>
      <c r="EEP41" s="9"/>
      <c r="EEQ41" s="9"/>
      <c r="EER41" s="9"/>
      <c r="EES41" s="9"/>
      <c r="EET41" s="9"/>
      <c r="EEU41" s="9"/>
      <c r="EEV41" s="9"/>
      <c r="EEW41" s="9"/>
      <c r="EEX41" s="9"/>
      <c r="EEY41" s="9"/>
      <c r="EEZ41" s="9"/>
      <c r="EFA41" s="9"/>
      <c r="EFB41" s="9"/>
      <c r="EFC41" s="9"/>
      <c r="EFD41" s="9"/>
      <c r="EFE41" s="9"/>
      <c r="EFF41" s="9"/>
      <c r="EFG41" s="9"/>
      <c r="EFH41" s="9"/>
      <c r="EFI41" s="9"/>
      <c r="EFJ41" s="9"/>
      <c r="EFK41" s="9"/>
      <c r="EFL41" s="9"/>
      <c r="EFM41" s="9"/>
      <c r="EFN41" s="9"/>
      <c r="EFO41" s="9"/>
      <c r="EFP41" s="9"/>
      <c r="EFQ41" s="9"/>
      <c r="EFR41" s="9"/>
      <c r="EFS41" s="9"/>
      <c r="EFT41" s="9"/>
      <c r="EFU41" s="9"/>
      <c r="EFV41" s="9"/>
      <c r="EFW41" s="9"/>
      <c r="EFX41" s="9"/>
      <c r="EFY41" s="9"/>
      <c r="EFZ41" s="9"/>
      <c r="EGA41" s="9"/>
      <c r="EGB41" s="9"/>
      <c r="EGC41" s="9"/>
      <c r="EGD41" s="9"/>
      <c r="EGE41" s="9"/>
      <c r="EGF41" s="9"/>
      <c r="EGG41" s="9"/>
      <c r="EGH41" s="9"/>
      <c r="EGI41" s="9"/>
      <c r="EGJ41" s="9"/>
      <c r="EGK41" s="9"/>
      <c r="EGL41" s="9"/>
      <c r="EGM41" s="9"/>
      <c r="EGN41" s="9"/>
      <c r="EGO41" s="9"/>
      <c r="EGP41" s="9"/>
      <c r="EGQ41" s="9"/>
      <c r="EGR41" s="9"/>
      <c r="EGS41" s="9"/>
      <c r="EGT41" s="9"/>
      <c r="EGU41" s="9"/>
      <c r="EGV41" s="9"/>
      <c r="EGW41" s="9"/>
      <c r="EGX41" s="9"/>
      <c r="EGY41" s="9"/>
      <c r="EGZ41" s="9"/>
      <c r="EHA41" s="9"/>
      <c r="EHB41" s="9"/>
      <c r="EHC41" s="9"/>
      <c r="EHD41" s="9"/>
      <c r="EHE41" s="9"/>
      <c r="EHF41" s="9"/>
      <c r="EHG41" s="9"/>
      <c r="EHH41" s="9"/>
      <c r="EHI41" s="9"/>
      <c r="EHJ41" s="9"/>
      <c r="EHK41" s="9"/>
      <c r="EHL41" s="9"/>
      <c r="EHM41" s="9"/>
      <c r="EHN41" s="9"/>
      <c r="EHO41" s="9"/>
      <c r="EHP41" s="9"/>
      <c r="EHQ41" s="9"/>
      <c r="EHR41" s="9"/>
      <c r="EHS41" s="9"/>
      <c r="EHT41" s="9"/>
      <c r="EHU41" s="9"/>
      <c r="EHV41" s="9"/>
      <c r="EHW41" s="9"/>
      <c r="EHX41" s="9"/>
      <c r="EHY41" s="9"/>
      <c r="EHZ41" s="9"/>
      <c r="EIA41" s="9"/>
      <c r="EIB41" s="9"/>
      <c r="EIC41" s="9"/>
      <c r="EID41" s="9"/>
      <c r="EIE41" s="9"/>
      <c r="EIF41" s="9"/>
      <c r="EIG41" s="9"/>
      <c r="EIH41" s="9"/>
      <c r="EII41" s="9"/>
      <c r="EIJ41" s="9"/>
      <c r="EIK41" s="9"/>
      <c r="EIL41" s="9"/>
      <c r="EIM41" s="9"/>
      <c r="EIN41" s="9"/>
      <c r="EIO41" s="9"/>
      <c r="EIP41" s="9"/>
      <c r="EIQ41" s="9"/>
      <c r="EIR41" s="9"/>
      <c r="EIS41" s="9"/>
      <c r="EIT41" s="9"/>
      <c r="EIU41" s="9"/>
      <c r="EIV41" s="9"/>
      <c r="EIW41" s="9"/>
      <c r="EIX41" s="9"/>
      <c r="EIY41" s="9"/>
      <c r="EIZ41" s="9"/>
      <c r="EJA41" s="9"/>
      <c r="EJB41" s="9"/>
      <c r="EJC41" s="9"/>
      <c r="EJD41" s="9"/>
      <c r="EJE41" s="9"/>
      <c r="EJF41" s="9"/>
      <c r="EJG41" s="9"/>
      <c r="EJH41" s="9"/>
      <c r="EJI41" s="9"/>
      <c r="EJJ41" s="9"/>
      <c r="EJK41" s="9"/>
      <c r="EJL41" s="9"/>
      <c r="EJM41" s="9"/>
      <c r="EJN41" s="9"/>
      <c r="EJO41" s="9"/>
      <c r="EJP41" s="9"/>
      <c r="EJQ41" s="9"/>
      <c r="EJR41" s="9"/>
      <c r="EJS41" s="9"/>
      <c r="EJT41" s="9"/>
      <c r="EJU41" s="9"/>
      <c r="EJV41" s="9"/>
      <c r="EJW41" s="9"/>
      <c r="EJX41" s="9"/>
      <c r="EJY41" s="9"/>
      <c r="EJZ41" s="9"/>
      <c r="EKA41" s="9"/>
      <c r="EKB41" s="9"/>
      <c r="EKC41" s="9"/>
      <c r="EKD41" s="9"/>
      <c r="EKE41" s="9"/>
      <c r="EKF41" s="9"/>
      <c r="EKG41" s="9"/>
      <c r="EKH41" s="9"/>
      <c r="EKI41" s="9"/>
      <c r="EKJ41" s="9"/>
      <c r="EKK41" s="9"/>
      <c r="EKL41" s="9"/>
      <c r="EKM41" s="9"/>
      <c r="EKN41" s="9"/>
      <c r="EKO41" s="9"/>
      <c r="EKP41" s="9"/>
      <c r="EKQ41" s="9"/>
      <c r="EKR41" s="9"/>
      <c r="EKS41" s="9"/>
      <c r="EKT41" s="9"/>
      <c r="EKU41" s="9"/>
      <c r="EKV41" s="9"/>
      <c r="EKW41" s="9"/>
      <c r="EKX41" s="9"/>
      <c r="EKY41" s="9"/>
      <c r="EKZ41" s="9"/>
      <c r="ELA41" s="9"/>
      <c r="ELB41" s="9"/>
      <c r="ELC41" s="9"/>
      <c r="ELD41" s="9"/>
      <c r="ELE41" s="9"/>
      <c r="ELF41" s="9"/>
      <c r="ELG41" s="9"/>
      <c r="ELH41" s="9"/>
      <c r="ELI41" s="9"/>
      <c r="ELJ41" s="9"/>
      <c r="ELK41" s="9"/>
      <c r="ELL41" s="9"/>
      <c r="ELM41" s="9"/>
      <c r="ELN41" s="9"/>
      <c r="ELO41" s="9"/>
      <c r="ELP41" s="9"/>
      <c r="ELQ41" s="9"/>
      <c r="ELR41" s="9"/>
      <c r="ELS41" s="9"/>
      <c r="ELT41" s="9"/>
      <c r="ELU41" s="9"/>
      <c r="ELV41" s="9"/>
      <c r="ELW41" s="9"/>
      <c r="ELX41" s="9"/>
      <c r="ELY41" s="9"/>
      <c r="ELZ41" s="9"/>
      <c r="EMA41" s="9"/>
      <c r="EMB41" s="9"/>
      <c r="EMC41" s="9"/>
      <c r="EMD41" s="9"/>
      <c r="EME41" s="9"/>
      <c r="EMF41" s="9"/>
      <c r="EMG41" s="9"/>
      <c r="EMH41" s="9"/>
      <c r="EMI41" s="9"/>
      <c r="EMJ41" s="9"/>
      <c r="EMK41" s="9"/>
      <c r="EML41" s="9"/>
      <c r="EMM41" s="9"/>
      <c r="EMN41" s="9"/>
      <c r="EMO41" s="9"/>
      <c r="EMP41" s="9"/>
      <c r="EMQ41" s="9"/>
      <c r="EMR41" s="9"/>
      <c r="EMS41" s="9"/>
      <c r="EMT41" s="9"/>
      <c r="EMU41" s="9"/>
      <c r="EMV41" s="9"/>
      <c r="EMW41" s="9"/>
      <c r="EMX41" s="9"/>
      <c r="EMY41" s="9"/>
      <c r="EMZ41" s="9"/>
      <c r="ENA41" s="9"/>
      <c r="ENB41" s="9"/>
      <c r="ENC41" s="9"/>
      <c r="END41" s="9"/>
      <c r="ENE41" s="9"/>
      <c r="ENF41" s="9"/>
      <c r="ENG41" s="9"/>
      <c r="ENH41" s="9"/>
      <c r="ENI41" s="9"/>
      <c r="ENJ41" s="9"/>
      <c r="ENK41" s="9"/>
      <c r="ENL41" s="9"/>
      <c r="ENM41" s="9"/>
      <c r="ENN41" s="9"/>
      <c r="ENO41" s="9"/>
      <c r="ENP41" s="9"/>
      <c r="ENQ41" s="9"/>
      <c r="ENR41" s="9"/>
      <c r="ENS41" s="9"/>
      <c r="ENT41" s="9"/>
      <c r="ENU41" s="9"/>
      <c r="ENV41" s="9"/>
      <c r="ENW41" s="9"/>
      <c r="ENX41" s="9"/>
      <c r="ENY41" s="9"/>
      <c r="ENZ41" s="9"/>
      <c r="EOA41" s="9"/>
      <c r="EOB41" s="9"/>
      <c r="EOC41" s="9"/>
      <c r="EOD41" s="9"/>
      <c r="EOE41" s="9"/>
      <c r="EOF41" s="9"/>
      <c r="EOG41" s="9"/>
      <c r="EOH41" s="9"/>
      <c r="EOI41" s="9"/>
      <c r="EOJ41" s="9"/>
      <c r="EOK41" s="9"/>
      <c r="EOL41" s="9"/>
      <c r="EOM41" s="9"/>
      <c r="EON41" s="9"/>
      <c r="EOO41" s="9"/>
      <c r="EOP41" s="9"/>
      <c r="EOQ41" s="9"/>
      <c r="EOR41" s="9"/>
      <c r="EOS41" s="9"/>
      <c r="EOT41" s="9"/>
      <c r="EOU41" s="9"/>
      <c r="EOV41" s="9"/>
      <c r="EOW41" s="9"/>
      <c r="EOX41" s="9"/>
      <c r="EOY41" s="9"/>
      <c r="EOZ41" s="9"/>
      <c r="EPA41" s="9"/>
      <c r="EPB41" s="9"/>
      <c r="EPC41" s="9"/>
      <c r="EPD41" s="9"/>
      <c r="EPE41" s="9"/>
      <c r="EPF41" s="9"/>
      <c r="EPG41" s="9"/>
      <c r="EPH41" s="9"/>
      <c r="EPI41" s="9"/>
      <c r="EPJ41" s="9"/>
      <c r="EPK41" s="9"/>
      <c r="EPL41" s="9"/>
      <c r="EPM41" s="9"/>
      <c r="EPN41" s="9"/>
      <c r="EPO41" s="9"/>
      <c r="EPP41" s="9"/>
      <c r="EPQ41" s="9"/>
      <c r="EPR41" s="9"/>
      <c r="EPS41" s="9"/>
      <c r="EPT41" s="9"/>
      <c r="EPU41" s="9"/>
      <c r="EPV41" s="9"/>
      <c r="EPW41" s="9"/>
      <c r="EPX41" s="9"/>
      <c r="EPY41" s="9"/>
      <c r="EPZ41" s="9"/>
      <c r="EQA41" s="9"/>
      <c r="EQB41" s="9"/>
      <c r="EQC41" s="9"/>
      <c r="EQD41" s="9"/>
      <c r="EQE41" s="9"/>
      <c r="EQF41" s="9"/>
      <c r="EQG41" s="9"/>
      <c r="EQH41" s="9"/>
      <c r="EQI41" s="9"/>
      <c r="EQJ41" s="9"/>
      <c r="EQK41" s="9"/>
      <c r="EQL41" s="9"/>
      <c r="EQM41" s="9"/>
      <c r="EQN41" s="9"/>
      <c r="EQO41" s="9"/>
      <c r="EQP41" s="9"/>
      <c r="EQQ41" s="9"/>
      <c r="EQR41" s="9"/>
      <c r="EQS41" s="9"/>
      <c r="EQT41" s="9"/>
      <c r="EQU41" s="9"/>
      <c r="EQV41" s="9"/>
      <c r="EQW41" s="9"/>
      <c r="EQX41" s="9"/>
      <c r="EQY41" s="9"/>
      <c r="EQZ41" s="9"/>
      <c r="ERA41" s="9"/>
      <c r="ERB41" s="9"/>
      <c r="ERC41" s="9"/>
      <c r="ERD41" s="9"/>
      <c r="ERE41" s="9"/>
      <c r="ERF41" s="9"/>
      <c r="ERG41" s="9"/>
      <c r="ERH41" s="9"/>
      <c r="ERI41" s="9"/>
      <c r="ERJ41" s="9"/>
      <c r="ERK41" s="9"/>
      <c r="ERL41" s="9"/>
      <c r="ERM41" s="9"/>
      <c r="ERN41" s="9"/>
      <c r="ERO41" s="9"/>
      <c r="ERP41" s="9"/>
      <c r="ERQ41" s="9"/>
      <c r="ERR41" s="9"/>
      <c r="ERS41" s="9"/>
      <c r="ERT41" s="9"/>
      <c r="ERU41" s="9"/>
      <c r="ERV41" s="9"/>
      <c r="ERW41" s="9"/>
      <c r="ERX41" s="9"/>
      <c r="ERY41" s="9"/>
      <c r="ERZ41" s="9"/>
      <c r="ESA41" s="9"/>
      <c r="ESB41" s="9"/>
      <c r="ESC41" s="9"/>
      <c r="ESD41" s="9"/>
      <c r="ESE41" s="9"/>
      <c r="ESF41" s="9"/>
      <c r="ESG41" s="9"/>
      <c r="ESH41" s="9"/>
      <c r="ESI41" s="9"/>
      <c r="ESJ41" s="9"/>
      <c r="ESK41" s="9"/>
      <c r="ESL41" s="9"/>
      <c r="ESM41" s="9"/>
      <c r="ESN41" s="9"/>
      <c r="ESO41" s="9"/>
      <c r="ESP41" s="9"/>
      <c r="ESQ41" s="9"/>
      <c r="ESR41" s="9"/>
      <c r="ESS41" s="9"/>
      <c r="EST41" s="9"/>
      <c r="ESU41" s="9"/>
      <c r="ESV41" s="9"/>
      <c r="ESW41" s="9"/>
      <c r="ESX41" s="9"/>
      <c r="ESY41" s="9"/>
      <c r="ESZ41" s="9"/>
      <c r="ETA41" s="9"/>
      <c r="ETB41" s="9"/>
      <c r="ETC41" s="9"/>
      <c r="ETD41" s="9"/>
      <c r="ETE41" s="9"/>
      <c r="ETF41" s="9"/>
      <c r="ETG41" s="9"/>
      <c r="ETH41" s="9"/>
      <c r="ETI41" s="9"/>
      <c r="ETJ41" s="9"/>
      <c r="ETK41" s="9"/>
      <c r="ETL41" s="9"/>
      <c r="ETM41" s="9"/>
      <c r="ETN41" s="9"/>
      <c r="ETO41" s="9"/>
      <c r="ETP41" s="9"/>
      <c r="ETQ41" s="9"/>
      <c r="ETR41" s="9"/>
      <c r="ETS41" s="9"/>
      <c r="ETT41" s="9"/>
      <c r="ETU41" s="9"/>
      <c r="ETV41" s="9"/>
      <c r="ETW41" s="9"/>
      <c r="ETX41" s="9"/>
      <c r="ETY41" s="9"/>
      <c r="ETZ41" s="9"/>
      <c r="EUA41" s="9"/>
      <c r="EUB41" s="9"/>
      <c r="EUC41" s="9"/>
      <c r="EUD41" s="9"/>
      <c r="EUE41" s="9"/>
      <c r="EUF41" s="9"/>
      <c r="EUG41" s="9"/>
      <c r="EUH41" s="9"/>
      <c r="EUI41" s="9"/>
      <c r="EUJ41" s="9"/>
      <c r="EUK41" s="9"/>
      <c r="EUL41" s="9"/>
      <c r="EUM41" s="9"/>
      <c r="EUN41" s="9"/>
      <c r="EUO41" s="9"/>
      <c r="EUP41" s="9"/>
      <c r="EUQ41" s="9"/>
      <c r="EUR41" s="9"/>
      <c r="EUS41" s="9"/>
      <c r="EUT41" s="9"/>
      <c r="EUU41" s="9"/>
      <c r="EUV41" s="9"/>
      <c r="EUW41" s="9"/>
      <c r="EUX41" s="9"/>
      <c r="EUY41" s="9"/>
      <c r="EUZ41" s="9"/>
      <c r="EVA41" s="9"/>
      <c r="EVB41" s="9"/>
      <c r="EVC41" s="9"/>
      <c r="EVD41" s="9"/>
      <c r="EVE41" s="9"/>
      <c r="EVF41" s="9"/>
      <c r="EVG41" s="9"/>
      <c r="EVH41" s="9"/>
      <c r="EVI41" s="9"/>
      <c r="EVJ41" s="9"/>
      <c r="EVK41" s="9"/>
      <c r="EVL41" s="9"/>
      <c r="EVM41" s="9"/>
      <c r="EVN41" s="9"/>
      <c r="EVO41" s="9"/>
      <c r="EVP41" s="9"/>
      <c r="EVQ41" s="9"/>
      <c r="EVR41" s="9"/>
      <c r="EVS41" s="9"/>
      <c r="EVT41" s="9"/>
      <c r="EVU41" s="9"/>
      <c r="EVV41" s="9"/>
      <c r="EVW41" s="9"/>
      <c r="EVX41" s="9"/>
      <c r="EVY41" s="9"/>
      <c r="EVZ41" s="9"/>
      <c r="EWA41" s="9"/>
      <c r="EWB41" s="9"/>
      <c r="EWC41" s="9"/>
      <c r="EWD41" s="9"/>
      <c r="EWE41" s="9"/>
      <c r="EWF41" s="9"/>
      <c r="EWG41" s="9"/>
      <c r="EWH41" s="9"/>
      <c r="EWI41" s="9"/>
      <c r="EWJ41" s="9"/>
      <c r="EWK41" s="9"/>
      <c r="EWL41" s="9"/>
      <c r="EWM41" s="9"/>
      <c r="EWN41" s="9"/>
      <c r="EWO41" s="9"/>
      <c r="EWP41" s="9"/>
      <c r="EWQ41" s="9"/>
      <c r="EWR41" s="9"/>
      <c r="EWS41" s="9"/>
      <c r="EWT41" s="9"/>
      <c r="EWU41" s="9"/>
      <c r="EWV41" s="9"/>
      <c r="EWW41" s="9"/>
      <c r="EWX41" s="9"/>
      <c r="EWY41" s="9"/>
      <c r="EWZ41" s="9"/>
      <c r="EXA41" s="9"/>
      <c r="EXB41" s="9"/>
      <c r="EXC41" s="9"/>
      <c r="EXD41" s="9"/>
      <c r="EXE41" s="9"/>
      <c r="EXF41" s="9"/>
      <c r="EXG41" s="9"/>
      <c r="EXH41" s="9"/>
      <c r="EXI41" s="9"/>
      <c r="EXJ41" s="9"/>
      <c r="EXK41" s="9"/>
      <c r="EXL41" s="9"/>
      <c r="EXM41" s="9"/>
      <c r="EXN41" s="9"/>
      <c r="EXO41" s="9"/>
      <c r="EXP41" s="9"/>
      <c r="EXQ41" s="9"/>
      <c r="EXR41" s="9"/>
      <c r="EXS41" s="9"/>
      <c r="EXT41" s="9"/>
      <c r="EXU41" s="9"/>
      <c r="EXV41" s="9"/>
      <c r="EXW41" s="9"/>
      <c r="EXX41" s="9"/>
      <c r="EXY41" s="9"/>
      <c r="EXZ41" s="9"/>
      <c r="EYA41" s="9"/>
      <c r="EYB41" s="9"/>
      <c r="EYC41" s="9"/>
      <c r="EYD41" s="9"/>
      <c r="EYE41" s="9"/>
      <c r="EYF41" s="9"/>
      <c r="EYG41" s="9"/>
      <c r="EYH41" s="9"/>
      <c r="EYI41" s="9"/>
      <c r="EYJ41" s="9"/>
      <c r="EYK41" s="9"/>
      <c r="EYL41" s="9"/>
      <c r="EYM41" s="9"/>
      <c r="EYN41" s="9"/>
      <c r="EYO41" s="9"/>
      <c r="EYP41" s="9"/>
      <c r="EYQ41" s="9"/>
      <c r="EYR41" s="9"/>
      <c r="EYS41" s="9"/>
      <c r="EYT41" s="9"/>
      <c r="EYU41" s="9"/>
      <c r="EYV41" s="9"/>
      <c r="EYW41" s="9"/>
      <c r="EYX41" s="9"/>
      <c r="EYY41" s="9"/>
      <c r="EYZ41" s="9"/>
      <c r="EZA41" s="9"/>
      <c r="EZB41" s="9"/>
      <c r="EZC41" s="9"/>
      <c r="EZD41" s="9"/>
      <c r="EZE41" s="9"/>
      <c r="EZF41" s="9"/>
      <c r="EZG41" s="9"/>
      <c r="EZH41" s="9"/>
      <c r="EZI41" s="9"/>
      <c r="EZJ41" s="9"/>
      <c r="EZK41" s="9"/>
      <c r="EZL41" s="9"/>
      <c r="EZM41" s="9"/>
      <c r="EZN41" s="9"/>
      <c r="EZO41" s="9"/>
      <c r="EZP41" s="9"/>
      <c r="EZQ41" s="9"/>
      <c r="EZR41" s="9"/>
      <c r="EZS41" s="9"/>
      <c r="EZT41" s="9"/>
      <c r="EZU41" s="9"/>
      <c r="EZV41" s="9"/>
      <c r="EZW41" s="9"/>
      <c r="EZX41" s="9"/>
      <c r="EZY41" s="9"/>
      <c r="EZZ41" s="9"/>
      <c r="FAA41" s="9"/>
      <c r="FAB41" s="9"/>
      <c r="FAC41" s="9"/>
      <c r="FAD41" s="9"/>
      <c r="FAE41" s="9"/>
      <c r="FAF41" s="9"/>
      <c r="FAG41" s="9"/>
      <c r="FAH41" s="9"/>
      <c r="FAI41" s="9"/>
      <c r="FAJ41" s="9"/>
      <c r="FAK41" s="9"/>
      <c r="FAL41" s="9"/>
      <c r="FAM41" s="9"/>
      <c r="FAN41" s="9"/>
      <c r="FAO41" s="9"/>
      <c r="FAP41" s="9"/>
      <c r="FAQ41" s="9"/>
      <c r="FAR41" s="9"/>
      <c r="FAS41" s="9"/>
      <c r="FAT41" s="9"/>
      <c r="FAU41" s="9"/>
      <c r="FAV41" s="9"/>
      <c r="FAW41" s="9"/>
      <c r="FAX41" s="9"/>
      <c r="FAY41" s="9"/>
      <c r="FAZ41" s="9"/>
      <c r="FBA41" s="9"/>
      <c r="FBB41" s="9"/>
      <c r="FBC41" s="9"/>
      <c r="FBD41" s="9"/>
      <c r="FBE41" s="9"/>
      <c r="FBF41" s="9"/>
      <c r="FBG41" s="9"/>
      <c r="FBH41" s="9"/>
      <c r="FBI41" s="9"/>
      <c r="FBJ41" s="9"/>
      <c r="FBK41" s="9"/>
      <c r="FBL41" s="9"/>
      <c r="FBM41" s="9"/>
      <c r="FBN41" s="9"/>
      <c r="FBO41" s="9"/>
      <c r="FBP41" s="9"/>
      <c r="FBQ41" s="9"/>
      <c r="FBR41" s="9"/>
      <c r="FBS41" s="9"/>
      <c r="FBT41" s="9"/>
      <c r="FBU41" s="9"/>
      <c r="FBV41" s="9"/>
      <c r="FBW41" s="9"/>
      <c r="FBX41" s="9"/>
      <c r="FBY41" s="9"/>
      <c r="FBZ41" s="9"/>
      <c r="FCA41" s="9"/>
      <c r="FCB41" s="9"/>
      <c r="FCC41" s="9"/>
      <c r="FCD41" s="9"/>
      <c r="FCE41" s="9"/>
      <c r="FCF41" s="9"/>
      <c r="FCG41" s="9"/>
      <c r="FCH41" s="9"/>
      <c r="FCI41" s="9"/>
      <c r="FCJ41" s="9"/>
      <c r="FCK41" s="9"/>
      <c r="FCL41" s="9"/>
      <c r="FCM41" s="9"/>
      <c r="FCN41" s="9"/>
      <c r="FCO41" s="9"/>
      <c r="FCP41" s="9"/>
      <c r="FCQ41" s="9"/>
      <c r="FCR41" s="9"/>
      <c r="FCS41" s="9"/>
      <c r="FCT41" s="9"/>
      <c r="FCU41" s="9"/>
      <c r="FCV41" s="9"/>
      <c r="FCW41" s="9"/>
      <c r="FCX41" s="9"/>
      <c r="FCY41" s="9"/>
      <c r="FCZ41" s="9"/>
      <c r="FDA41" s="9"/>
      <c r="FDB41" s="9"/>
      <c r="FDC41" s="9"/>
      <c r="FDD41" s="9"/>
      <c r="FDE41" s="9"/>
      <c r="FDF41" s="9"/>
      <c r="FDG41" s="9"/>
      <c r="FDH41" s="9"/>
      <c r="FDI41" s="9"/>
      <c r="FDJ41" s="9"/>
      <c r="FDK41" s="9"/>
      <c r="FDL41" s="9"/>
      <c r="FDM41" s="9"/>
      <c r="FDN41" s="9"/>
      <c r="FDO41" s="9"/>
      <c r="FDP41" s="9"/>
      <c r="FDQ41" s="9"/>
      <c r="FDR41" s="9"/>
      <c r="FDS41" s="9"/>
      <c r="FDT41" s="9"/>
      <c r="FDU41" s="9"/>
      <c r="FDV41" s="9"/>
      <c r="FDW41" s="9"/>
      <c r="FDX41" s="9"/>
      <c r="FDY41" s="9"/>
      <c r="FDZ41" s="9"/>
      <c r="FEA41" s="9"/>
      <c r="FEB41" s="9"/>
      <c r="FEC41" s="9"/>
      <c r="FED41" s="9"/>
      <c r="FEE41" s="9"/>
      <c r="FEF41" s="9"/>
      <c r="FEG41" s="9"/>
      <c r="FEH41" s="9"/>
      <c r="FEI41" s="9"/>
      <c r="FEJ41" s="9"/>
      <c r="FEK41" s="9"/>
      <c r="FEL41" s="9"/>
      <c r="FEM41" s="9"/>
      <c r="FEN41" s="9"/>
      <c r="FEO41" s="9"/>
      <c r="FEP41" s="9"/>
      <c r="FEQ41" s="9"/>
      <c r="FER41" s="9"/>
      <c r="FES41" s="9"/>
      <c r="FET41" s="9"/>
      <c r="FEU41" s="9"/>
      <c r="FEV41" s="9"/>
      <c r="FEW41" s="9"/>
      <c r="FEX41" s="9"/>
      <c r="FEY41" s="9"/>
      <c r="FEZ41" s="9"/>
      <c r="FFA41" s="9"/>
      <c r="FFB41" s="9"/>
      <c r="FFC41" s="9"/>
      <c r="FFD41" s="9"/>
      <c r="FFE41" s="9"/>
      <c r="FFF41" s="9"/>
      <c r="FFG41" s="9"/>
      <c r="FFH41" s="9"/>
      <c r="FFI41" s="9"/>
      <c r="FFJ41" s="9"/>
      <c r="FFK41" s="9"/>
      <c r="FFL41" s="9"/>
      <c r="FFM41" s="9"/>
      <c r="FFN41" s="9"/>
      <c r="FFO41" s="9"/>
      <c r="FFP41" s="9"/>
      <c r="FFQ41" s="9"/>
      <c r="FFR41" s="9"/>
      <c r="FFS41" s="9"/>
      <c r="FFT41" s="9"/>
      <c r="FFU41" s="9"/>
      <c r="FFV41" s="9"/>
      <c r="FFW41" s="9"/>
      <c r="FFX41" s="9"/>
      <c r="FFY41" s="9"/>
      <c r="FFZ41" s="9"/>
      <c r="FGA41" s="9"/>
      <c r="FGB41" s="9"/>
      <c r="FGC41" s="9"/>
      <c r="FGD41" s="9"/>
      <c r="FGE41" s="9"/>
      <c r="FGF41" s="9"/>
      <c r="FGG41" s="9"/>
      <c r="FGH41" s="9"/>
      <c r="FGI41" s="9"/>
      <c r="FGJ41" s="9"/>
      <c r="FGK41" s="9"/>
      <c r="FGL41" s="9"/>
      <c r="FGM41" s="9"/>
      <c r="FGN41" s="9"/>
      <c r="FGO41" s="9"/>
      <c r="FGP41" s="9"/>
      <c r="FGQ41" s="9"/>
      <c r="FGR41" s="9"/>
      <c r="FGS41" s="9"/>
      <c r="FGT41" s="9"/>
      <c r="FGU41" s="9"/>
      <c r="FGV41" s="9"/>
      <c r="FGW41" s="9"/>
      <c r="FGX41" s="9"/>
      <c r="FGY41" s="9"/>
      <c r="FGZ41" s="9"/>
      <c r="FHA41" s="9"/>
      <c r="FHB41" s="9"/>
      <c r="FHC41" s="9"/>
      <c r="FHD41" s="9"/>
      <c r="FHE41" s="9"/>
      <c r="FHF41" s="9"/>
      <c r="FHG41" s="9"/>
      <c r="FHH41" s="9"/>
      <c r="FHI41" s="9"/>
      <c r="FHJ41" s="9"/>
      <c r="FHK41" s="9"/>
      <c r="FHL41" s="9"/>
      <c r="FHM41" s="9"/>
      <c r="FHN41" s="9"/>
      <c r="FHO41" s="9"/>
      <c r="FHP41" s="9"/>
      <c r="FHQ41" s="9"/>
      <c r="FHR41" s="9"/>
      <c r="FHS41" s="9"/>
      <c r="FHT41" s="9"/>
      <c r="FHU41" s="9"/>
      <c r="FHV41" s="9"/>
      <c r="FHW41" s="9"/>
      <c r="FHX41" s="9"/>
      <c r="FHY41" s="9"/>
      <c r="FHZ41" s="9"/>
      <c r="FIA41" s="9"/>
      <c r="FIB41" s="9"/>
      <c r="FIC41" s="9"/>
      <c r="FID41" s="9"/>
      <c r="FIE41" s="9"/>
      <c r="FIF41" s="9"/>
      <c r="FIG41" s="9"/>
      <c r="FIH41" s="9"/>
      <c r="FII41" s="9"/>
      <c r="FIJ41" s="9"/>
      <c r="FIK41" s="9"/>
      <c r="FIL41" s="9"/>
      <c r="FIM41" s="9"/>
      <c r="FIN41" s="9"/>
      <c r="FIO41" s="9"/>
      <c r="FIP41" s="9"/>
      <c r="FIQ41" s="9"/>
      <c r="FIR41" s="9"/>
      <c r="FIS41" s="9"/>
      <c r="FIT41" s="9"/>
      <c r="FIU41" s="9"/>
      <c r="FIV41" s="9"/>
      <c r="FIW41" s="9"/>
      <c r="FIX41" s="9"/>
      <c r="FIY41" s="9"/>
      <c r="FIZ41" s="9"/>
      <c r="FJA41" s="9"/>
      <c r="FJB41" s="9"/>
      <c r="FJC41" s="9"/>
      <c r="FJD41" s="9"/>
      <c r="FJE41" s="9"/>
      <c r="FJF41" s="9"/>
      <c r="FJG41" s="9"/>
      <c r="FJH41" s="9"/>
      <c r="FJI41" s="9"/>
      <c r="FJJ41" s="9"/>
      <c r="FJK41" s="9"/>
      <c r="FJL41" s="9"/>
      <c r="FJM41" s="9"/>
      <c r="FJN41" s="9"/>
      <c r="FJO41" s="9"/>
      <c r="FJP41" s="9"/>
      <c r="FJQ41" s="9"/>
      <c r="FJR41" s="9"/>
      <c r="FJS41" s="9"/>
      <c r="FJT41" s="9"/>
      <c r="FJU41" s="9"/>
      <c r="FJV41" s="9"/>
      <c r="FJW41" s="9"/>
      <c r="FJX41" s="9"/>
      <c r="FJY41" s="9"/>
      <c r="FJZ41" s="9"/>
      <c r="FKA41" s="9"/>
      <c r="FKB41" s="9"/>
      <c r="FKC41" s="9"/>
      <c r="FKD41" s="9"/>
      <c r="FKE41" s="9"/>
      <c r="FKF41" s="9"/>
      <c r="FKG41" s="9"/>
      <c r="FKH41" s="9"/>
      <c r="FKI41" s="9"/>
      <c r="FKJ41" s="9"/>
      <c r="FKK41" s="9"/>
      <c r="FKL41" s="9"/>
      <c r="FKM41" s="9"/>
      <c r="FKN41" s="9"/>
      <c r="FKO41" s="9"/>
      <c r="FKP41" s="9"/>
      <c r="FKQ41" s="9"/>
      <c r="FKR41" s="9"/>
      <c r="FKS41" s="9"/>
      <c r="FKT41" s="9"/>
      <c r="FKU41" s="9"/>
      <c r="FKV41" s="9"/>
      <c r="FKW41" s="9"/>
      <c r="FKX41" s="9"/>
      <c r="FKY41" s="9"/>
      <c r="FKZ41" s="9"/>
      <c r="FLA41" s="9"/>
      <c r="FLB41" s="9"/>
      <c r="FLC41" s="9"/>
      <c r="FLD41" s="9"/>
      <c r="FLE41" s="9"/>
      <c r="FLF41" s="9"/>
      <c r="FLG41" s="9"/>
      <c r="FLH41" s="9"/>
      <c r="FLI41" s="9"/>
      <c r="FLJ41" s="9"/>
      <c r="FLK41" s="9"/>
      <c r="FLL41" s="9"/>
      <c r="FLM41" s="9"/>
      <c r="FLN41" s="9"/>
      <c r="FLO41" s="9"/>
      <c r="FLP41" s="9"/>
      <c r="FLQ41" s="9"/>
      <c r="FLR41" s="9"/>
      <c r="FLS41" s="9"/>
      <c r="FLT41" s="9"/>
      <c r="FLU41" s="9"/>
      <c r="FLV41" s="9"/>
      <c r="FLW41" s="9"/>
      <c r="FLX41" s="9"/>
      <c r="FLY41" s="9"/>
      <c r="FLZ41" s="9"/>
      <c r="FMA41" s="9"/>
      <c r="FMB41" s="9"/>
      <c r="FMC41" s="9"/>
      <c r="FMD41" s="9"/>
      <c r="FME41" s="9"/>
      <c r="FMF41" s="9"/>
      <c r="FMG41" s="9"/>
      <c r="FMH41" s="9"/>
      <c r="FMI41" s="9"/>
      <c r="FMJ41" s="9"/>
      <c r="FMK41" s="9"/>
      <c r="FML41" s="9"/>
      <c r="FMM41" s="9"/>
      <c r="FMN41" s="9"/>
      <c r="FMO41" s="9"/>
      <c r="FMP41" s="9"/>
      <c r="FMQ41" s="9"/>
      <c r="FMR41" s="9"/>
      <c r="FMS41" s="9"/>
      <c r="FMT41" s="9"/>
      <c r="FMU41" s="9"/>
      <c r="FMV41" s="9"/>
      <c r="FMW41" s="9"/>
      <c r="FMX41" s="9"/>
      <c r="FMY41" s="9"/>
      <c r="FMZ41" s="9"/>
      <c r="FNA41" s="9"/>
      <c r="FNB41" s="9"/>
      <c r="FNC41" s="9"/>
      <c r="FND41" s="9"/>
      <c r="FNE41" s="9"/>
      <c r="FNF41" s="9"/>
      <c r="FNG41" s="9"/>
      <c r="FNH41" s="9"/>
      <c r="FNI41" s="9"/>
      <c r="FNJ41" s="9"/>
      <c r="FNK41" s="9"/>
      <c r="FNL41" s="9"/>
      <c r="FNM41" s="9"/>
      <c r="FNN41" s="9"/>
      <c r="FNO41" s="9"/>
      <c r="FNP41" s="9"/>
      <c r="FNQ41" s="9"/>
      <c r="FNR41" s="9"/>
      <c r="FNS41" s="9"/>
      <c r="FNT41" s="9"/>
      <c r="FNU41" s="9"/>
      <c r="FNV41" s="9"/>
      <c r="FNW41" s="9"/>
      <c r="FNX41" s="9"/>
      <c r="FNY41" s="9"/>
      <c r="FNZ41" s="9"/>
      <c r="FOA41" s="9"/>
      <c r="FOB41" s="9"/>
      <c r="FOC41" s="9"/>
      <c r="FOD41" s="9"/>
      <c r="FOE41" s="9"/>
      <c r="FOF41" s="9"/>
      <c r="FOG41" s="9"/>
      <c r="FOH41" s="9"/>
      <c r="FOI41" s="9"/>
      <c r="FOJ41" s="9"/>
      <c r="FOK41" s="9"/>
      <c r="FOL41" s="9"/>
      <c r="FOM41" s="9"/>
      <c r="FON41" s="9"/>
      <c r="FOO41" s="9"/>
      <c r="FOP41" s="9"/>
      <c r="FOQ41" s="9"/>
      <c r="FOR41" s="9"/>
      <c r="FOS41" s="9"/>
      <c r="FOT41" s="9"/>
      <c r="FOU41" s="9"/>
      <c r="FOV41" s="9"/>
      <c r="FOW41" s="9"/>
      <c r="FOX41" s="9"/>
      <c r="FOY41" s="9"/>
      <c r="FOZ41" s="9"/>
      <c r="FPA41" s="9"/>
      <c r="FPB41" s="9"/>
      <c r="FPC41" s="9"/>
      <c r="FPD41" s="9"/>
      <c r="FPE41" s="9"/>
      <c r="FPF41" s="9"/>
      <c r="FPG41" s="9"/>
      <c r="FPH41" s="9"/>
      <c r="FPI41" s="9"/>
      <c r="FPJ41" s="9"/>
      <c r="FPK41" s="9"/>
      <c r="FPL41" s="9"/>
      <c r="FPM41" s="9"/>
      <c r="FPN41" s="9"/>
      <c r="FPO41" s="9"/>
      <c r="FPP41" s="9"/>
      <c r="FPQ41" s="9"/>
      <c r="FPR41" s="9"/>
      <c r="FPS41" s="9"/>
      <c r="FPT41" s="9"/>
      <c r="FPU41" s="9"/>
      <c r="FPV41" s="9"/>
      <c r="FPW41" s="9"/>
      <c r="FPX41" s="9"/>
      <c r="FPY41" s="9"/>
      <c r="FPZ41" s="9"/>
      <c r="FQA41" s="9"/>
      <c r="FQB41" s="9"/>
      <c r="FQC41" s="9"/>
      <c r="FQD41" s="9"/>
      <c r="FQE41" s="9"/>
      <c r="FQF41" s="9"/>
      <c r="FQG41" s="9"/>
      <c r="FQH41" s="9"/>
      <c r="FQI41" s="9"/>
      <c r="FQJ41" s="9"/>
      <c r="FQK41" s="9"/>
      <c r="FQL41" s="9"/>
      <c r="FQM41" s="9"/>
      <c r="FQN41" s="9"/>
      <c r="FQO41" s="9"/>
      <c r="FQP41" s="9"/>
      <c r="FQQ41" s="9"/>
      <c r="FQR41" s="9"/>
      <c r="FQS41" s="9"/>
      <c r="FQT41" s="9"/>
      <c r="FQU41" s="9"/>
      <c r="FQV41" s="9"/>
      <c r="FQW41" s="9"/>
      <c r="FQX41" s="9"/>
      <c r="FQY41" s="9"/>
      <c r="FQZ41" s="9"/>
      <c r="FRA41" s="9"/>
      <c r="FRB41" s="9"/>
      <c r="FRC41" s="9"/>
      <c r="FRD41" s="9"/>
      <c r="FRE41" s="9"/>
      <c r="FRF41" s="9"/>
      <c r="FRG41" s="9"/>
      <c r="FRH41" s="9"/>
      <c r="FRI41" s="9"/>
      <c r="FRJ41" s="9"/>
      <c r="FRK41" s="9"/>
      <c r="FRL41" s="9"/>
      <c r="FRM41" s="9"/>
      <c r="FRN41" s="9"/>
      <c r="FRO41" s="9"/>
      <c r="FRP41" s="9"/>
      <c r="FRQ41" s="9"/>
      <c r="FRR41" s="9"/>
      <c r="FRS41" s="9"/>
      <c r="FRT41" s="9"/>
      <c r="FRU41" s="9"/>
      <c r="FRV41" s="9"/>
      <c r="FRW41" s="9"/>
      <c r="FRX41" s="9"/>
      <c r="FRY41" s="9"/>
      <c r="FRZ41" s="9"/>
      <c r="FSA41" s="9"/>
      <c r="FSB41" s="9"/>
      <c r="FSC41" s="9"/>
      <c r="FSD41" s="9"/>
      <c r="FSE41" s="9"/>
      <c r="FSF41" s="9"/>
      <c r="FSG41" s="9"/>
      <c r="FSH41" s="9"/>
      <c r="FSI41" s="9"/>
      <c r="FSJ41" s="9"/>
      <c r="FSK41" s="9"/>
      <c r="FSL41" s="9"/>
      <c r="FSM41" s="9"/>
      <c r="FSN41" s="9"/>
      <c r="FSO41" s="9"/>
      <c r="FSP41" s="9"/>
      <c r="FSQ41" s="9"/>
      <c r="FSR41" s="9"/>
      <c r="FSS41" s="9"/>
      <c r="FST41" s="9"/>
      <c r="FSU41" s="9"/>
      <c r="FSV41" s="9"/>
      <c r="FSW41" s="9"/>
      <c r="FSX41" s="9"/>
      <c r="FSY41" s="9"/>
      <c r="FSZ41" s="9"/>
      <c r="FTA41" s="9"/>
      <c r="FTB41" s="9"/>
      <c r="FTC41" s="9"/>
      <c r="FTD41" s="9"/>
      <c r="FTE41" s="9"/>
      <c r="FTF41" s="9"/>
      <c r="FTG41" s="9"/>
      <c r="FTH41" s="9"/>
      <c r="FTI41" s="9"/>
      <c r="FTJ41" s="9"/>
      <c r="FTK41" s="9"/>
      <c r="FTL41" s="9"/>
      <c r="FTM41" s="9"/>
      <c r="FTN41" s="9"/>
      <c r="FTO41" s="9"/>
      <c r="FTP41" s="9"/>
      <c r="FTQ41" s="9"/>
      <c r="FTR41" s="9"/>
      <c r="FTS41" s="9"/>
      <c r="FTT41" s="9"/>
      <c r="FTU41" s="9"/>
      <c r="FTV41" s="9"/>
      <c r="FTW41" s="9"/>
      <c r="FTX41" s="9"/>
      <c r="FTY41" s="9"/>
      <c r="FTZ41" s="9"/>
      <c r="FUA41" s="9"/>
      <c r="FUB41" s="9"/>
      <c r="FUC41" s="9"/>
      <c r="FUD41" s="9"/>
      <c r="FUE41" s="9"/>
      <c r="FUF41" s="9"/>
      <c r="FUG41" s="9"/>
      <c r="FUH41" s="9"/>
      <c r="FUI41" s="9"/>
      <c r="FUJ41" s="9"/>
      <c r="FUK41" s="9"/>
      <c r="FUL41" s="9"/>
      <c r="FUM41" s="9"/>
      <c r="FUN41" s="9"/>
      <c r="FUO41" s="9"/>
      <c r="FUP41" s="9"/>
      <c r="FUQ41" s="9"/>
      <c r="FUR41" s="9"/>
      <c r="FUS41" s="9"/>
      <c r="FUT41" s="9"/>
      <c r="FUU41" s="9"/>
      <c r="FUV41" s="9"/>
      <c r="FUW41" s="9"/>
      <c r="FUX41" s="9"/>
      <c r="FUY41" s="9"/>
      <c r="FUZ41" s="9"/>
      <c r="FVA41" s="9"/>
      <c r="FVB41" s="9"/>
      <c r="FVC41" s="9"/>
      <c r="FVD41" s="9"/>
      <c r="FVE41" s="9"/>
      <c r="FVF41" s="9"/>
      <c r="FVG41" s="9"/>
      <c r="FVH41" s="9"/>
      <c r="FVI41" s="9"/>
      <c r="FVJ41" s="9"/>
      <c r="FVK41" s="9"/>
      <c r="FVL41" s="9"/>
      <c r="FVM41" s="9"/>
      <c r="FVN41" s="9"/>
      <c r="FVO41" s="9"/>
      <c r="FVP41" s="9"/>
      <c r="FVQ41" s="9"/>
      <c r="FVR41" s="9"/>
      <c r="FVS41" s="9"/>
      <c r="FVT41" s="9"/>
      <c r="FVU41" s="9"/>
      <c r="FVV41" s="9"/>
      <c r="FVW41" s="9"/>
      <c r="FVX41" s="9"/>
      <c r="FVY41" s="9"/>
      <c r="FVZ41" s="9"/>
      <c r="FWA41" s="9"/>
      <c r="FWB41" s="9"/>
      <c r="FWC41" s="9"/>
      <c r="FWD41" s="9"/>
      <c r="FWE41" s="9"/>
      <c r="FWF41" s="9"/>
      <c r="FWG41" s="9"/>
      <c r="FWH41" s="9"/>
      <c r="FWI41" s="9"/>
      <c r="FWJ41" s="9"/>
      <c r="FWK41" s="9"/>
      <c r="FWL41" s="9"/>
      <c r="FWM41" s="9"/>
      <c r="FWN41" s="9"/>
      <c r="FWO41" s="9"/>
      <c r="FWP41" s="9"/>
      <c r="FWQ41" s="9"/>
      <c r="FWR41" s="9"/>
      <c r="FWS41" s="9"/>
      <c r="FWT41" s="9"/>
      <c r="FWU41" s="9"/>
      <c r="FWV41" s="9"/>
      <c r="FWW41" s="9"/>
      <c r="FWX41" s="9"/>
      <c r="FWY41" s="9"/>
      <c r="FWZ41" s="9"/>
      <c r="FXA41" s="9"/>
      <c r="FXB41" s="9"/>
      <c r="FXC41" s="9"/>
      <c r="FXD41" s="9"/>
      <c r="FXE41" s="9"/>
      <c r="FXF41" s="9"/>
      <c r="FXG41" s="9"/>
      <c r="FXH41" s="9"/>
      <c r="FXI41" s="9"/>
      <c r="FXJ41" s="9"/>
      <c r="FXK41" s="9"/>
      <c r="FXL41" s="9"/>
      <c r="FXM41" s="9"/>
      <c r="FXN41" s="9"/>
      <c r="FXO41" s="9"/>
      <c r="FXP41" s="9"/>
      <c r="FXQ41" s="9"/>
      <c r="FXR41" s="9"/>
      <c r="FXS41" s="9"/>
      <c r="FXT41" s="9"/>
      <c r="FXU41" s="9"/>
      <c r="FXV41" s="9"/>
      <c r="FXW41" s="9"/>
      <c r="FXX41" s="9"/>
      <c r="FXY41" s="9"/>
      <c r="FXZ41" s="9"/>
      <c r="FYA41" s="9"/>
      <c r="FYB41" s="9"/>
      <c r="FYC41" s="9"/>
      <c r="FYD41" s="9"/>
      <c r="FYE41" s="9"/>
      <c r="FYF41" s="9"/>
      <c r="FYG41" s="9"/>
      <c r="FYH41" s="9"/>
      <c r="FYI41" s="9"/>
      <c r="FYJ41" s="9"/>
      <c r="FYK41" s="9"/>
      <c r="FYL41" s="9"/>
      <c r="FYM41" s="9"/>
      <c r="FYN41" s="9"/>
      <c r="FYO41" s="9"/>
      <c r="FYP41" s="9"/>
      <c r="FYQ41" s="9"/>
      <c r="FYR41" s="9"/>
      <c r="FYS41" s="9"/>
      <c r="FYT41" s="9"/>
      <c r="FYU41" s="9"/>
      <c r="FYV41" s="9"/>
      <c r="FYW41" s="9"/>
      <c r="FYX41" s="9"/>
      <c r="FYY41" s="9"/>
      <c r="FYZ41" s="9"/>
      <c r="FZA41" s="9"/>
      <c r="FZB41" s="9"/>
      <c r="FZC41" s="9"/>
      <c r="FZD41" s="9"/>
      <c r="FZE41" s="9"/>
      <c r="FZF41" s="9"/>
      <c r="FZG41" s="9"/>
      <c r="FZH41" s="9"/>
      <c r="FZI41" s="9"/>
      <c r="FZJ41" s="9"/>
      <c r="FZK41" s="9"/>
      <c r="FZL41" s="9"/>
      <c r="FZM41" s="9"/>
      <c r="FZN41" s="9"/>
      <c r="FZO41" s="9"/>
      <c r="FZP41" s="9"/>
      <c r="FZQ41" s="9"/>
      <c r="FZR41" s="9"/>
      <c r="FZS41" s="9"/>
      <c r="FZT41" s="9"/>
      <c r="FZU41" s="9"/>
      <c r="FZV41" s="9"/>
      <c r="FZW41" s="9"/>
      <c r="FZX41" s="9"/>
      <c r="FZY41" s="9"/>
      <c r="FZZ41" s="9"/>
      <c r="GAA41" s="9"/>
      <c r="GAB41" s="9"/>
      <c r="GAC41" s="9"/>
      <c r="GAD41" s="9"/>
      <c r="GAE41" s="9"/>
      <c r="GAF41" s="9"/>
      <c r="GAG41" s="9"/>
      <c r="GAH41" s="9"/>
      <c r="GAI41" s="9"/>
      <c r="GAJ41" s="9"/>
      <c r="GAK41" s="9"/>
      <c r="GAL41" s="9"/>
      <c r="GAM41" s="9"/>
      <c r="GAN41" s="9"/>
      <c r="GAO41" s="9"/>
      <c r="GAP41" s="9"/>
      <c r="GAQ41" s="9"/>
      <c r="GAR41" s="9"/>
      <c r="GAS41" s="9"/>
      <c r="GAT41" s="9"/>
      <c r="GAU41" s="9"/>
      <c r="GAV41" s="9"/>
      <c r="GAW41" s="9"/>
      <c r="GAX41" s="9"/>
      <c r="GAY41" s="9"/>
      <c r="GAZ41" s="9"/>
      <c r="GBA41" s="9"/>
      <c r="GBB41" s="9"/>
      <c r="GBC41" s="9"/>
      <c r="GBD41" s="9"/>
      <c r="GBE41" s="9"/>
      <c r="GBF41" s="9"/>
      <c r="GBG41" s="9"/>
      <c r="GBH41" s="9"/>
      <c r="GBI41" s="9"/>
      <c r="GBJ41" s="9"/>
      <c r="GBK41" s="9"/>
      <c r="GBL41" s="9"/>
      <c r="GBM41" s="9"/>
      <c r="GBN41" s="9"/>
      <c r="GBO41" s="9"/>
      <c r="GBP41" s="9"/>
      <c r="GBQ41" s="9"/>
      <c r="GBR41" s="9"/>
      <c r="GBS41" s="9"/>
      <c r="GBT41" s="9"/>
      <c r="GBU41" s="9"/>
      <c r="GBV41" s="9"/>
      <c r="GBW41" s="9"/>
      <c r="GBX41" s="9"/>
      <c r="GBY41" s="9"/>
      <c r="GBZ41" s="9"/>
      <c r="GCA41" s="9"/>
      <c r="GCB41" s="9"/>
      <c r="GCC41" s="9"/>
      <c r="GCD41" s="9"/>
      <c r="GCE41" s="9"/>
      <c r="GCF41" s="9"/>
      <c r="GCG41" s="9"/>
      <c r="GCH41" s="9"/>
      <c r="GCI41" s="9"/>
      <c r="GCJ41" s="9"/>
      <c r="GCK41" s="9"/>
      <c r="GCL41" s="9"/>
      <c r="GCM41" s="9"/>
      <c r="GCN41" s="9"/>
      <c r="GCO41" s="9"/>
      <c r="GCP41" s="9"/>
      <c r="GCQ41" s="9"/>
      <c r="GCR41" s="9"/>
      <c r="GCS41" s="9"/>
      <c r="GCT41" s="9"/>
      <c r="GCU41" s="9"/>
      <c r="GCV41" s="9"/>
      <c r="GCW41" s="9"/>
      <c r="GCX41" s="9"/>
      <c r="GCY41" s="9"/>
      <c r="GCZ41" s="9"/>
      <c r="GDA41" s="9"/>
      <c r="GDB41" s="9"/>
      <c r="GDC41" s="9"/>
      <c r="GDD41" s="9"/>
      <c r="GDE41" s="9"/>
      <c r="GDF41" s="9"/>
      <c r="GDG41" s="9"/>
      <c r="GDH41" s="9"/>
      <c r="GDI41" s="9"/>
      <c r="GDJ41" s="9"/>
      <c r="GDK41" s="9"/>
      <c r="GDL41" s="9"/>
      <c r="GDM41" s="9"/>
      <c r="GDN41" s="9"/>
      <c r="GDO41" s="9"/>
      <c r="GDP41" s="9"/>
      <c r="GDQ41" s="9"/>
      <c r="GDR41" s="9"/>
      <c r="GDS41" s="9"/>
      <c r="GDT41" s="9"/>
      <c r="GDU41" s="9"/>
      <c r="GDV41" s="9"/>
      <c r="GDW41" s="9"/>
      <c r="GDX41" s="9"/>
      <c r="GDY41" s="9"/>
      <c r="GDZ41" s="9"/>
      <c r="GEA41" s="9"/>
      <c r="GEB41" s="9"/>
      <c r="GEC41" s="9"/>
      <c r="GED41" s="9"/>
      <c r="GEE41" s="9"/>
      <c r="GEF41" s="9"/>
      <c r="GEG41" s="9"/>
      <c r="GEH41" s="9"/>
      <c r="GEI41" s="9"/>
      <c r="GEJ41" s="9"/>
      <c r="GEK41" s="9"/>
      <c r="GEL41" s="9"/>
      <c r="GEM41" s="9"/>
      <c r="GEN41" s="9"/>
      <c r="GEO41" s="9"/>
      <c r="GEP41" s="9"/>
      <c r="GEQ41" s="9"/>
      <c r="GER41" s="9"/>
      <c r="GES41" s="9"/>
      <c r="GET41" s="9"/>
      <c r="GEU41" s="9"/>
      <c r="GEV41" s="9"/>
      <c r="GEW41" s="9"/>
      <c r="GEX41" s="9"/>
      <c r="GEY41" s="9"/>
      <c r="GEZ41" s="9"/>
      <c r="GFA41" s="9"/>
      <c r="GFB41" s="9"/>
      <c r="GFC41" s="9"/>
      <c r="GFD41" s="9"/>
      <c r="GFE41" s="9"/>
      <c r="GFF41" s="9"/>
      <c r="GFG41" s="9"/>
      <c r="GFH41" s="9"/>
      <c r="GFI41" s="9"/>
      <c r="GFJ41" s="9"/>
      <c r="GFK41" s="9"/>
      <c r="GFL41" s="9"/>
      <c r="GFM41" s="9"/>
      <c r="GFN41" s="9"/>
      <c r="GFO41" s="9"/>
      <c r="GFP41" s="9"/>
      <c r="GFQ41" s="9"/>
      <c r="GFR41" s="9"/>
      <c r="GFS41" s="9"/>
      <c r="GFT41" s="9"/>
      <c r="GFU41" s="9"/>
      <c r="GFV41" s="9"/>
      <c r="GFW41" s="9"/>
      <c r="GFX41" s="9"/>
      <c r="GFY41" s="9"/>
      <c r="GFZ41" s="9"/>
      <c r="GGA41" s="9"/>
      <c r="GGB41" s="9"/>
      <c r="GGC41" s="9"/>
      <c r="GGD41" s="9"/>
      <c r="GGE41" s="9"/>
      <c r="GGF41" s="9"/>
      <c r="GGG41" s="9"/>
      <c r="GGH41" s="9"/>
      <c r="GGI41" s="9"/>
      <c r="GGJ41" s="9"/>
      <c r="GGK41" s="9"/>
      <c r="GGL41" s="9"/>
      <c r="GGM41" s="9"/>
      <c r="GGN41" s="9"/>
      <c r="GGO41" s="9"/>
      <c r="GGP41" s="9"/>
      <c r="GGQ41" s="9"/>
      <c r="GGR41" s="9"/>
      <c r="GGS41" s="9"/>
      <c r="GGT41" s="9"/>
      <c r="GGU41" s="9"/>
      <c r="GGV41" s="9"/>
      <c r="GGW41" s="9"/>
      <c r="GGX41" s="9"/>
      <c r="GGY41" s="9"/>
      <c r="GGZ41" s="9"/>
      <c r="GHA41" s="9"/>
      <c r="GHB41" s="9"/>
      <c r="GHC41" s="9"/>
      <c r="GHD41" s="9"/>
      <c r="GHE41" s="9"/>
      <c r="GHF41" s="9"/>
      <c r="GHG41" s="9"/>
      <c r="GHH41" s="9"/>
      <c r="GHI41" s="9"/>
      <c r="GHJ41" s="9"/>
      <c r="GHK41" s="9"/>
      <c r="GHL41" s="9"/>
      <c r="GHM41" s="9"/>
      <c r="GHN41" s="9"/>
      <c r="GHO41" s="9"/>
      <c r="GHP41" s="9"/>
      <c r="GHQ41" s="9"/>
      <c r="GHR41" s="9"/>
      <c r="GHS41" s="9"/>
      <c r="GHT41" s="9"/>
      <c r="GHU41" s="9"/>
      <c r="GHV41" s="9"/>
      <c r="GHW41" s="9"/>
      <c r="GHX41" s="9"/>
      <c r="GHY41" s="9"/>
      <c r="GHZ41" s="9"/>
      <c r="GIA41" s="9"/>
      <c r="GIB41" s="9"/>
      <c r="GIC41" s="9"/>
      <c r="GID41" s="9"/>
      <c r="GIE41" s="9"/>
      <c r="GIF41" s="9"/>
      <c r="GIG41" s="9"/>
      <c r="GIH41" s="9"/>
      <c r="GII41" s="9"/>
      <c r="GIJ41" s="9"/>
      <c r="GIK41" s="9"/>
      <c r="GIL41" s="9"/>
      <c r="GIM41" s="9"/>
      <c r="GIN41" s="9"/>
      <c r="GIO41" s="9"/>
      <c r="GIP41" s="9"/>
      <c r="GIQ41" s="9"/>
      <c r="GIR41" s="9"/>
      <c r="GIS41" s="9"/>
      <c r="GIT41" s="9"/>
      <c r="GIU41" s="9"/>
      <c r="GIV41" s="9"/>
      <c r="GIW41" s="9"/>
      <c r="GIX41" s="9"/>
      <c r="GIY41" s="9"/>
      <c r="GIZ41" s="9"/>
      <c r="GJA41" s="9"/>
      <c r="GJB41" s="9"/>
      <c r="GJC41" s="9"/>
      <c r="GJD41" s="9"/>
      <c r="GJE41" s="9"/>
      <c r="GJF41" s="9"/>
      <c r="GJG41" s="9"/>
      <c r="GJH41" s="9"/>
      <c r="GJI41" s="9"/>
      <c r="GJJ41" s="9"/>
      <c r="GJK41" s="9"/>
      <c r="GJL41" s="9"/>
      <c r="GJM41" s="9"/>
      <c r="GJN41" s="9"/>
      <c r="GJO41" s="9"/>
      <c r="GJP41" s="9"/>
      <c r="GJQ41" s="9"/>
      <c r="GJR41" s="9"/>
      <c r="GJS41" s="9"/>
      <c r="GJT41" s="9"/>
      <c r="GJU41" s="9"/>
      <c r="GJV41" s="9"/>
      <c r="GJW41" s="9"/>
      <c r="GJX41" s="9"/>
      <c r="GJY41" s="9"/>
      <c r="GJZ41" s="9"/>
      <c r="GKA41" s="9"/>
      <c r="GKB41" s="9"/>
      <c r="GKC41" s="9"/>
      <c r="GKD41" s="9"/>
      <c r="GKE41" s="9"/>
      <c r="GKF41" s="9"/>
      <c r="GKG41" s="9"/>
      <c r="GKH41" s="9"/>
      <c r="GKI41" s="9"/>
      <c r="GKJ41" s="9"/>
      <c r="GKK41" s="9"/>
      <c r="GKL41" s="9"/>
      <c r="GKM41" s="9"/>
      <c r="GKN41" s="9"/>
      <c r="GKO41" s="9"/>
      <c r="GKP41" s="9"/>
      <c r="GKQ41" s="9"/>
      <c r="GKR41" s="9"/>
      <c r="GKS41" s="9"/>
      <c r="GKT41" s="9"/>
      <c r="GKU41" s="9"/>
      <c r="GKV41" s="9"/>
      <c r="GKW41" s="9"/>
      <c r="GKX41" s="9"/>
      <c r="GKY41" s="9"/>
      <c r="GKZ41" s="9"/>
      <c r="GLA41" s="9"/>
      <c r="GLB41" s="9"/>
      <c r="GLC41" s="9"/>
      <c r="GLD41" s="9"/>
      <c r="GLE41" s="9"/>
      <c r="GLF41" s="9"/>
      <c r="GLG41" s="9"/>
      <c r="GLH41" s="9"/>
      <c r="GLI41" s="9"/>
      <c r="GLJ41" s="9"/>
      <c r="GLK41" s="9"/>
      <c r="GLL41" s="9"/>
      <c r="GLM41" s="9"/>
      <c r="GLN41" s="9"/>
      <c r="GLO41" s="9"/>
      <c r="GLP41" s="9"/>
      <c r="GLQ41" s="9"/>
      <c r="GLR41" s="9"/>
      <c r="GLS41" s="9"/>
      <c r="GLT41" s="9"/>
      <c r="GLU41" s="9"/>
      <c r="GLV41" s="9"/>
      <c r="GLW41" s="9"/>
      <c r="GLX41" s="9"/>
      <c r="GLY41" s="9"/>
      <c r="GLZ41" s="9"/>
      <c r="GMA41" s="9"/>
      <c r="GMB41" s="9"/>
      <c r="GMC41" s="9"/>
      <c r="GMD41" s="9"/>
      <c r="GME41" s="9"/>
      <c r="GMF41" s="9"/>
      <c r="GMG41" s="9"/>
      <c r="GMH41" s="9"/>
      <c r="GMI41" s="9"/>
      <c r="GMJ41" s="9"/>
      <c r="GMK41" s="9"/>
      <c r="GML41" s="9"/>
      <c r="GMM41" s="9"/>
      <c r="GMN41" s="9"/>
      <c r="GMO41" s="9"/>
      <c r="GMP41" s="9"/>
      <c r="GMQ41" s="9"/>
      <c r="GMR41" s="9"/>
      <c r="GMS41" s="9"/>
      <c r="GMT41" s="9"/>
      <c r="GMU41" s="9"/>
      <c r="GMV41" s="9"/>
      <c r="GMW41" s="9"/>
      <c r="GMX41" s="9"/>
      <c r="GMY41" s="9"/>
      <c r="GMZ41" s="9"/>
      <c r="GNA41" s="9"/>
      <c r="GNB41" s="9"/>
      <c r="GNC41" s="9"/>
      <c r="GND41" s="9"/>
      <c r="GNE41" s="9"/>
      <c r="GNF41" s="9"/>
      <c r="GNG41" s="9"/>
      <c r="GNH41" s="9"/>
      <c r="GNI41" s="9"/>
      <c r="GNJ41" s="9"/>
      <c r="GNK41" s="9"/>
      <c r="GNL41" s="9"/>
      <c r="GNM41" s="9"/>
      <c r="GNN41" s="9"/>
      <c r="GNO41" s="9"/>
      <c r="GNP41" s="9"/>
      <c r="GNQ41" s="9"/>
      <c r="GNR41" s="9"/>
      <c r="GNS41" s="9"/>
      <c r="GNT41" s="9"/>
      <c r="GNU41" s="9"/>
      <c r="GNV41" s="9"/>
      <c r="GNW41" s="9"/>
      <c r="GNX41" s="9"/>
      <c r="GNY41" s="9"/>
      <c r="GNZ41" s="9"/>
      <c r="GOA41" s="9"/>
      <c r="GOB41" s="9"/>
      <c r="GOC41" s="9"/>
      <c r="GOD41" s="9"/>
      <c r="GOE41" s="9"/>
      <c r="GOF41" s="9"/>
      <c r="GOG41" s="9"/>
      <c r="GOH41" s="9"/>
      <c r="GOI41" s="9"/>
      <c r="GOJ41" s="9"/>
      <c r="GOK41" s="9"/>
      <c r="GOL41" s="9"/>
      <c r="GOM41" s="9"/>
      <c r="GON41" s="9"/>
      <c r="GOO41" s="9"/>
      <c r="GOP41" s="9"/>
      <c r="GOQ41" s="9"/>
      <c r="GOR41" s="9"/>
      <c r="GOS41" s="9"/>
      <c r="GOT41" s="9"/>
      <c r="GOU41" s="9"/>
      <c r="GOV41" s="9"/>
      <c r="GOW41" s="9"/>
      <c r="GOX41" s="9"/>
      <c r="GOY41" s="9"/>
      <c r="GOZ41" s="9"/>
      <c r="GPA41" s="9"/>
      <c r="GPB41" s="9"/>
      <c r="GPC41" s="9"/>
      <c r="GPD41" s="9"/>
      <c r="GPE41" s="9"/>
      <c r="GPF41" s="9"/>
      <c r="GPG41" s="9"/>
      <c r="GPH41" s="9"/>
      <c r="GPI41" s="9"/>
      <c r="GPJ41" s="9"/>
      <c r="GPK41" s="9"/>
      <c r="GPL41" s="9"/>
      <c r="GPM41" s="9"/>
      <c r="GPN41" s="9"/>
      <c r="GPO41" s="9"/>
      <c r="GPP41" s="9"/>
      <c r="GPQ41" s="9"/>
      <c r="GPR41" s="9"/>
      <c r="GPS41" s="9"/>
      <c r="GPT41" s="9"/>
      <c r="GPU41" s="9"/>
      <c r="GPV41" s="9"/>
      <c r="GPW41" s="9"/>
      <c r="GPX41" s="9"/>
      <c r="GPY41" s="9"/>
      <c r="GPZ41" s="9"/>
      <c r="GQA41" s="9"/>
      <c r="GQB41" s="9"/>
      <c r="GQC41" s="9"/>
      <c r="GQD41" s="9"/>
      <c r="GQE41" s="9"/>
      <c r="GQF41" s="9"/>
      <c r="GQG41" s="9"/>
      <c r="GQH41" s="9"/>
      <c r="GQI41" s="9"/>
      <c r="GQJ41" s="9"/>
      <c r="GQK41" s="9"/>
      <c r="GQL41" s="9"/>
      <c r="GQM41" s="9"/>
      <c r="GQN41" s="9"/>
      <c r="GQO41" s="9"/>
      <c r="GQP41" s="9"/>
      <c r="GQQ41" s="9"/>
      <c r="GQR41" s="9"/>
      <c r="GQS41" s="9"/>
      <c r="GQT41" s="9"/>
      <c r="GQU41" s="9"/>
      <c r="GQV41" s="9"/>
      <c r="GQW41" s="9"/>
      <c r="GQX41" s="9"/>
      <c r="GQY41" s="9"/>
      <c r="GQZ41" s="9"/>
      <c r="GRA41" s="9"/>
      <c r="GRB41" s="9"/>
      <c r="GRC41" s="9"/>
      <c r="GRD41" s="9"/>
      <c r="GRE41" s="9"/>
      <c r="GRF41" s="9"/>
      <c r="GRG41" s="9"/>
      <c r="GRH41" s="9"/>
      <c r="GRI41" s="9"/>
      <c r="GRJ41" s="9"/>
      <c r="GRK41" s="9"/>
      <c r="GRL41" s="9"/>
      <c r="GRM41" s="9"/>
      <c r="GRN41" s="9"/>
      <c r="GRO41" s="9"/>
      <c r="GRP41" s="9"/>
      <c r="GRQ41" s="9"/>
      <c r="GRR41" s="9"/>
      <c r="GRS41" s="9"/>
      <c r="GRT41" s="9"/>
      <c r="GRU41" s="9"/>
      <c r="GRV41" s="9"/>
      <c r="GRW41" s="9"/>
      <c r="GRX41" s="9"/>
      <c r="GRY41" s="9"/>
      <c r="GRZ41" s="9"/>
      <c r="GSA41" s="9"/>
      <c r="GSB41" s="9"/>
      <c r="GSC41" s="9"/>
      <c r="GSD41" s="9"/>
      <c r="GSE41" s="9"/>
      <c r="GSF41" s="9"/>
      <c r="GSG41" s="9"/>
      <c r="GSH41" s="9"/>
      <c r="GSI41" s="9"/>
      <c r="GSJ41" s="9"/>
      <c r="GSK41" s="9"/>
      <c r="GSL41" s="9"/>
      <c r="GSM41" s="9"/>
      <c r="GSN41" s="9"/>
      <c r="GSO41" s="9"/>
      <c r="GSP41" s="9"/>
      <c r="GSQ41" s="9"/>
      <c r="GSR41" s="9"/>
      <c r="GSS41" s="9"/>
      <c r="GST41" s="9"/>
      <c r="GSU41" s="9"/>
      <c r="GSV41" s="9"/>
      <c r="GSW41" s="9"/>
      <c r="GSX41" s="9"/>
      <c r="GSY41" s="9"/>
      <c r="GSZ41" s="9"/>
      <c r="GTA41" s="9"/>
      <c r="GTB41" s="9"/>
      <c r="GTC41" s="9"/>
      <c r="GTD41" s="9"/>
      <c r="GTE41" s="9"/>
      <c r="GTF41" s="9"/>
      <c r="GTG41" s="9"/>
      <c r="GTH41" s="9"/>
      <c r="GTI41" s="9"/>
      <c r="GTJ41" s="9"/>
      <c r="GTK41" s="9"/>
      <c r="GTL41" s="9"/>
      <c r="GTM41" s="9"/>
      <c r="GTN41" s="9"/>
      <c r="GTO41" s="9"/>
      <c r="GTP41" s="9"/>
      <c r="GTQ41" s="9"/>
      <c r="GTR41" s="9"/>
      <c r="GTS41" s="9"/>
      <c r="GTT41" s="9"/>
      <c r="GTU41" s="9"/>
      <c r="GTV41" s="9"/>
      <c r="GTW41" s="9"/>
      <c r="GTX41" s="9"/>
      <c r="GTY41" s="9"/>
      <c r="GTZ41" s="9"/>
      <c r="GUA41" s="9"/>
      <c r="GUB41" s="9"/>
      <c r="GUC41" s="9"/>
      <c r="GUD41" s="9"/>
      <c r="GUE41" s="9"/>
      <c r="GUF41" s="9"/>
      <c r="GUG41" s="9"/>
      <c r="GUH41" s="9"/>
      <c r="GUI41" s="9"/>
      <c r="GUJ41" s="9"/>
      <c r="GUK41" s="9"/>
      <c r="GUL41" s="9"/>
      <c r="GUM41" s="9"/>
      <c r="GUN41" s="9"/>
      <c r="GUO41" s="9"/>
      <c r="GUP41" s="9"/>
      <c r="GUQ41" s="9"/>
      <c r="GUR41" s="9"/>
      <c r="GUS41" s="9"/>
      <c r="GUT41" s="9"/>
      <c r="GUU41" s="9"/>
      <c r="GUV41" s="9"/>
      <c r="GUW41" s="9"/>
      <c r="GUX41" s="9"/>
      <c r="GUY41" s="9"/>
      <c r="GUZ41" s="9"/>
      <c r="GVA41" s="9"/>
      <c r="GVB41" s="9"/>
      <c r="GVC41" s="9"/>
      <c r="GVD41" s="9"/>
      <c r="GVE41" s="9"/>
      <c r="GVF41" s="9"/>
      <c r="GVG41" s="9"/>
      <c r="GVH41" s="9"/>
      <c r="GVI41" s="9"/>
      <c r="GVJ41" s="9"/>
      <c r="GVK41" s="9"/>
      <c r="GVL41" s="9"/>
      <c r="GVM41" s="9"/>
      <c r="GVN41" s="9"/>
      <c r="GVO41" s="9"/>
      <c r="GVP41" s="9"/>
      <c r="GVQ41" s="9"/>
      <c r="GVR41" s="9"/>
      <c r="GVS41" s="9"/>
      <c r="GVT41" s="9"/>
      <c r="GVU41" s="9"/>
      <c r="GVV41" s="9"/>
      <c r="GVW41" s="9"/>
      <c r="GVX41" s="9"/>
      <c r="GVY41" s="9"/>
      <c r="GVZ41" s="9"/>
      <c r="GWA41" s="9"/>
      <c r="GWB41" s="9"/>
      <c r="GWC41" s="9"/>
      <c r="GWD41" s="9"/>
      <c r="GWE41" s="9"/>
      <c r="GWF41" s="9"/>
      <c r="GWG41" s="9"/>
      <c r="GWH41" s="9"/>
      <c r="GWI41" s="9"/>
      <c r="GWJ41" s="9"/>
      <c r="GWK41" s="9"/>
      <c r="GWL41" s="9"/>
      <c r="GWM41" s="9"/>
      <c r="GWN41" s="9"/>
      <c r="GWO41" s="9"/>
      <c r="GWP41" s="9"/>
      <c r="GWQ41" s="9"/>
      <c r="GWR41" s="9"/>
      <c r="GWS41" s="9"/>
      <c r="GWT41" s="9"/>
      <c r="GWU41" s="9"/>
      <c r="GWV41" s="9"/>
      <c r="GWW41" s="9"/>
      <c r="GWX41" s="9"/>
      <c r="GWY41" s="9"/>
      <c r="GWZ41" s="9"/>
      <c r="GXA41" s="9"/>
      <c r="GXB41" s="9"/>
      <c r="GXC41" s="9"/>
      <c r="GXD41" s="9"/>
      <c r="GXE41" s="9"/>
      <c r="GXF41" s="9"/>
      <c r="GXG41" s="9"/>
      <c r="GXH41" s="9"/>
      <c r="GXI41" s="9"/>
      <c r="GXJ41" s="9"/>
      <c r="GXK41" s="9"/>
      <c r="GXL41" s="9"/>
      <c r="GXM41" s="9"/>
      <c r="GXN41" s="9"/>
      <c r="GXO41" s="9"/>
      <c r="GXP41" s="9"/>
      <c r="GXQ41" s="9"/>
      <c r="GXR41" s="9"/>
      <c r="GXS41" s="9"/>
      <c r="GXT41" s="9"/>
      <c r="GXU41" s="9"/>
      <c r="GXV41" s="9"/>
      <c r="GXW41" s="9"/>
      <c r="GXX41" s="9"/>
      <c r="GXY41" s="9"/>
      <c r="GXZ41" s="9"/>
      <c r="GYA41" s="9"/>
      <c r="GYB41" s="9"/>
      <c r="GYC41" s="9"/>
      <c r="GYD41" s="9"/>
      <c r="GYE41" s="9"/>
      <c r="GYF41" s="9"/>
      <c r="GYG41" s="9"/>
      <c r="GYH41" s="9"/>
      <c r="GYI41" s="9"/>
      <c r="GYJ41" s="9"/>
      <c r="GYK41" s="9"/>
      <c r="GYL41" s="9"/>
      <c r="GYM41" s="9"/>
      <c r="GYN41" s="9"/>
      <c r="GYO41" s="9"/>
      <c r="GYP41" s="9"/>
      <c r="GYQ41" s="9"/>
      <c r="GYR41" s="9"/>
      <c r="GYS41" s="9"/>
      <c r="GYT41" s="9"/>
      <c r="GYU41" s="9"/>
      <c r="GYV41" s="9"/>
      <c r="GYW41" s="9"/>
      <c r="GYX41" s="9"/>
      <c r="GYY41" s="9"/>
      <c r="GYZ41" s="9"/>
      <c r="GZA41" s="9"/>
      <c r="GZB41" s="9"/>
      <c r="GZC41" s="9"/>
      <c r="GZD41" s="9"/>
      <c r="GZE41" s="9"/>
      <c r="GZF41" s="9"/>
      <c r="GZG41" s="9"/>
      <c r="GZH41" s="9"/>
      <c r="GZI41" s="9"/>
      <c r="GZJ41" s="9"/>
      <c r="GZK41" s="9"/>
      <c r="GZL41" s="9"/>
      <c r="GZM41" s="9"/>
      <c r="GZN41" s="9"/>
      <c r="GZO41" s="9"/>
      <c r="GZP41" s="9"/>
      <c r="GZQ41" s="9"/>
      <c r="GZR41" s="9"/>
      <c r="GZS41" s="9"/>
      <c r="GZT41" s="9"/>
      <c r="GZU41" s="9"/>
      <c r="GZV41" s="9"/>
      <c r="GZW41" s="9"/>
      <c r="GZX41" s="9"/>
      <c r="GZY41" s="9"/>
      <c r="GZZ41" s="9"/>
      <c r="HAA41" s="9"/>
      <c r="HAB41" s="9"/>
      <c r="HAC41" s="9"/>
      <c r="HAD41" s="9"/>
      <c r="HAE41" s="9"/>
      <c r="HAF41" s="9"/>
      <c r="HAG41" s="9"/>
      <c r="HAH41" s="9"/>
      <c r="HAI41" s="9"/>
      <c r="HAJ41" s="9"/>
      <c r="HAK41" s="9"/>
      <c r="HAL41" s="9"/>
      <c r="HAM41" s="9"/>
      <c r="HAN41" s="9"/>
      <c r="HAO41" s="9"/>
      <c r="HAP41" s="9"/>
      <c r="HAQ41" s="9"/>
      <c r="HAR41" s="9"/>
      <c r="HAS41" s="9"/>
      <c r="HAT41" s="9"/>
      <c r="HAU41" s="9"/>
      <c r="HAV41" s="9"/>
      <c r="HAW41" s="9"/>
      <c r="HAX41" s="9"/>
      <c r="HAY41" s="9"/>
      <c r="HAZ41" s="9"/>
      <c r="HBA41" s="9"/>
      <c r="HBB41" s="9"/>
      <c r="HBC41" s="9"/>
      <c r="HBD41" s="9"/>
      <c r="HBE41" s="9"/>
      <c r="HBF41" s="9"/>
      <c r="HBG41" s="9"/>
      <c r="HBH41" s="9"/>
      <c r="HBI41" s="9"/>
      <c r="HBJ41" s="9"/>
      <c r="HBK41" s="9"/>
      <c r="HBL41" s="9"/>
      <c r="HBM41" s="9"/>
      <c r="HBN41" s="9"/>
      <c r="HBO41" s="9"/>
      <c r="HBP41" s="9"/>
      <c r="HBQ41" s="9"/>
      <c r="HBR41" s="9"/>
      <c r="HBS41" s="9"/>
      <c r="HBT41" s="9"/>
      <c r="HBU41" s="9"/>
      <c r="HBV41" s="9"/>
      <c r="HBW41" s="9"/>
      <c r="HBX41" s="9"/>
      <c r="HBY41" s="9"/>
      <c r="HBZ41" s="9"/>
      <c r="HCA41" s="9"/>
      <c r="HCB41" s="9"/>
      <c r="HCC41" s="9"/>
      <c r="HCD41" s="9"/>
      <c r="HCE41" s="9"/>
      <c r="HCF41" s="9"/>
      <c r="HCG41" s="9"/>
      <c r="HCH41" s="9"/>
      <c r="HCI41" s="9"/>
      <c r="HCJ41" s="9"/>
      <c r="HCK41" s="9"/>
      <c r="HCL41" s="9"/>
      <c r="HCM41" s="9"/>
      <c r="HCN41" s="9"/>
      <c r="HCO41" s="9"/>
      <c r="HCP41" s="9"/>
      <c r="HCQ41" s="9"/>
      <c r="HCR41" s="9"/>
      <c r="HCS41" s="9"/>
      <c r="HCT41" s="9"/>
      <c r="HCU41" s="9"/>
      <c r="HCV41" s="9"/>
      <c r="HCW41" s="9"/>
      <c r="HCX41" s="9"/>
      <c r="HCY41" s="9"/>
      <c r="HCZ41" s="9"/>
      <c r="HDA41" s="9"/>
      <c r="HDB41" s="9"/>
      <c r="HDC41" s="9"/>
      <c r="HDD41" s="9"/>
      <c r="HDE41" s="9"/>
      <c r="HDF41" s="9"/>
      <c r="HDG41" s="9"/>
      <c r="HDH41" s="9"/>
      <c r="HDI41" s="9"/>
      <c r="HDJ41" s="9"/>
      <c r="HDK41" s="9"/>
      <c r="HDL41" s="9"/>
      <c r="HDM41" s="9"/>
      <c r="HDN41" s="9"/>
      <c r="HDO41" s="9"/>
      <c r="HDP41" s="9"/>
      <c r="HDQ41" s="9"/>
      <c r="HDR41" s="9"/>
      <c r="HDS41" s="9"/>
      <c r="HDT41" s="9"/>
      <c r="HDU41" s="9"/>
      <c r="HDV41" s="9"/>
      <c r="HDW41" s="9"/>
      <c r="HDX41" s="9"/>
      <c r="HDY41" s="9"/>
      <c r="HDZ41" s="9"/>
      <c r="HEA41" s="9"/>
      <c r="HEB41" s="9"/>
      <c r="HEC41" s="9"/>
      <c r="HED41" s="9"/>
      <c r="HEE41" s="9"/>
      <c r="HEF41" s="9"/>
      <c r="HEG41" s="9"/>
      <c r="HEH41" s="9"/>
      <c r="HEI41" s="9"/>
      <c r="HEJ41" s="9"/>
      <c r="HEK41" s="9"/>
      <c r="HEL41" s="9"/>
      <c r="HEM41" s="9"/>
      <c r="HEN41" s="9"/>
      <c r="HEO41" s="9"/>
      <c r="HEP41" s="9"/>
      <c r="HEQ41" s="9"/>
      <c r="HER41" s="9"/>
      <c r="HES41" s="9"/>
      <c r="HET41" s="9"/>
      <c r="HEU41" s="9"/>
      <c r="HEV41" s="9"/>
      <c r="HEW41" s="9"/>
      <c r="HEX41" s="9"/>
      <c r="HEY41" s="9"/>
      <c r="HEZ41" s="9"/>
      <c r="HFA41" s="9"/>
      <c r="HFB41" s="9"/>
      <c r="HFC41" s="9"/>
      <c r="HFD41" s="9"/>
      <c r="HFE41" s="9"/>
      <c r="HFF41" s="9"/>
      <c r="HFG41" s="9"/>
      <c r="HFH41" s="9"/>
      <c r="HFI41" s="9"/>
      <c r="HFJ41" s="9"/>
      <c r="HFK41" s="9"/>
      <c r="HFL41" s="9"/>
      <c r="HFM41" s="9"/>
      <c r="HFN41" s="9"/>
      <c r="HFO41" s="9"/>
      <c r="HFP41" s="9"/>
      <c r="HFQ41" s="9"/>
      <c r="HFR41" s="9"/>
      <c r="HFS41" s="9"/>
      <c r="HFT41" s="9"/>
      <c r="HFU41" s="9"/>
      <c r="HFV41" s="9"/>
      <c r="HFW41" s="9"/>
      <c r="HFX41" s="9"/>
      <c r="HFY41" s="9"/>
      <c r="HFZ41" s="9"/>
      <c r="HGA41" s="9"/>
      <c r="HGB41" s="9"/>
      <c r="HGC41" s="9"/>
      <c r="HGD41" s="9"/>
      <c r="HGE41" s="9"/>
      <c r="HGF41" s="9"/>
      <c r="HGG41" s="9"/>
      <c r="HGH41" s="9"/>
      <c r="HGI41" s="9"/>
      <c r="HGJ41" s="9"/>
      <c r="HGK41" s="9"/>
      <c r="HGL41" s="9"/>
      <c r="HGM41" s="9"/>
      <c r="HGN41" s="9"/>
      <c r="HGO41" s="9"/>
      <c r="HGP41" s="9"/>
      <c r="HGQ41" s="9"/>
      <c r="HGR41" s="9"/>
      <c r="HGS41" s="9"/>
      <c r="HGT41" s="9"/>
      <c r="HGU41" s="9"/>
      <c r="HGV41" s="9"/>
      <c r="HGW41" s="9"/>
      <c r="HGX41" s="9"/>
      <c r="HGY41" s="9"/>
      <c r="HGZ41" s="9"/>
      <c r="HHA41" s="9"/>
      <c r="HHB41" s="9"/>
      <c r="HHC41" s="9"/>
      <c r="HHD41" s="9"/>
      <c r="HHE41" s="9"/>
      <c r="HHF41" s="9"/>
      <c r="HHG41" s="9"/>
      <c r="HHH41" s="9"/>
      <c r="HHI41" s="9"/>
      <c r="HHJ41" s="9"/>
      <c r="HHK41" s="9"/>
      <c r="HHL41" s="9"/>
      <c r="HHM41" s="9"/>
      <c r="HHN41" s="9"/>
      <c r="HHO41" s="9"/>
      <c r="HHP41" s="9"/>
      <c r="HHQ41" s="9"/>
      <c r="HHR41" s="9"/>
      <c r="HHS41" s="9"/>
      <c r="HHT41" s="9"/>
      <c r="HHU41" s="9"/>
      <c r="HHV41" s="9"/>
      <c r="HHW41" s="9"/>
      <c r="HHX41" s="9"/>
      <c r="HHY41" s="9"/>
      <c r="HHZ41" s="9"/>
      <c r="HIA41" s="9"/>
      <c r="HIB41" s="9"/>
      <c r="HIC41" s="9"/>
      <c r="HID41" s="9"/>
      <c r="HIE41" s="9"/>
      <c r="HIF41" s="9"/>
      <c r="HIG41" s="9"/>
      <c r="HIH41" s="9"/>
      <c r="HII41" s="9"/>
      <c r="HIJ41" s="9"/>
      <c r="HIK41" s="9"/>
      <c r="HIL41" s="9"/>
      <c r="HIM41" s="9"/>
      <c r="HIN41" s="9"/>
      <c r="HIO41" s="9"/>
      <c r="HIP41" s="9"/>
      <c r="HIQ41" s="9"/>
      <c r="HIR41" s="9"/>
      <c r="HIS41" s="9"/>
      <c r="HIT41" s="9"/>
      <c r="HIU41" s="9"/>
      <c r="HIV41" s="9"/>
      <c r="HIW41" s="9"/>
      <c r="HIX41" s="9"/>
      <c r="HIY41" s="9"/>
      <c r="HIZ41" s="9"/>
      <c r="HJA41" s="9"/>
      <c r="HJB41" s="9"/>
      <c r="HJC41" s="9"/>
      <c r="HJD41" s="9"/>
      <c r="HJE41" s="9"/>
      <c r="HJF41" s="9"/>
      <c r="HJG41" s="9"/>
      <c r="HJH41" s="9"/>
      <c r="HJI41" s="9"/>
      <c r="HJJ41" s="9"/>
      <c r="HJK41" s="9"/>
      <c r="HJL41" s="9"/>
      <c r="HJM41" s="9"/>
      <c r="HJN41" s="9"/>
      <c r="HJO41" s="9"/>
      <c r="HJP41" s="9"/>
      <c r="HJQ41" s="9"/>
      <c r="HJR41" s="9"/>
      <c r="HJS41" s="9"/>
      <c r="HJT41" s="9"/>
      <c r="HJU41" s="9"/>
      <c r="HJV41" s="9"/>
      <c r="HJW41" s="9"/>
      <c r="HJX41" s="9"/>
      <c r="HJY41" s="9"/>
      <c r="HJZ41" s="9"/>
      <c r="HKA41" s="9"/>
      <c r="HKB41" s="9"/>
      <c r="HKC41" s="9"/>
      <c r="HKD41" s="9"/>
      <c r="HKE41" s="9"/>
      <c r="HKF41" s="9"/>
      <c r="HKG41" s="9"/>
      <c r="HKH41" s="9"/>
      <c r="HKI41" s="9"/>
      <c r="HKJ41" s="9"/>
      <c r="HKK41" s="9"/>
      <c r="HKL41" s="9"/>
      <c r="HKM41" s="9"/>
      <c r="HKN41" s="9"/>
      <c r="HKO41" s="9"/>
      <c r="HKP41" s="9"/>
      <c r="HKQ41" s="9"/>
      <c r="HKR41" s="9"/>
      <c r="HKS41" s="9"/>
      <c r="HKT41" s="9"/>
      <c r="HKU41" s="9"/>
      <c r="HKV41" s="9"/>
      <c r="HKW41" s="9"/>
      <c r="HKX41" s="9"/>
      <c r="HKY41" s="9"/>
      <c r="HKZ41" s="9"/>
      <c r="HLA41" s="9"/>
      <c r="HLB41" s="9"/>
      <c r="HLC41" s="9"/>
      <c r="HLD41" s="9"/>
      <c r="HLE41" s="9"/>
      <c r="HLF41" s="9"/>
      <c r="HLG41" s="9"/>
      <c r="HLH41" s="9"/>
      <c r="HLI41" s="9"/>
      <c r="HLJ41" s="9"/>
      <c r="HLK41" s="9"/>
      <c r="HLL41" s="9"/>
      <c r="HLM41" s="9"/>
      <c r="HLN41" s="9"/>
      <c r="HLO41" s="9"/>
      <c r="HLP41" s="9"/>
      <c r="HLQ41" s="9"/>
      <c r="HLR41" s="9"/>
      <c r="HLS41" s="9"/>
      <c r="HLT41" s="9"/>
      <c r="HLU41" s="9"/>
      <c r="HLV41" s="9"/>
      <c r="HLW41" s="9"/>
      <c r="HLX41" s="9"/>
      <c r="HLY41" s="9"/>
      <c r="HLZ41" s="9"/>
      <c r="HMA41" s="9"/>
      <c r="HMB41" s="9"/>
      <c r="HMC41" s="9"/>
      <c r="HMD41" s="9"/>
      <c r="HME41" s="9"/>
      <c r="HMF41" s="9"/>
      <c r="HMG41" s="9"/>
      <c r="HMH41" s="9"/>
      <c r="HMI41" s="9"/>
      <c r="HMJ41" s="9"/>
      <c r="HMK41" s="9"/>
      <c r="HML41" s="9"/>
      <c r="HMM41" s="9"/>
      <c r="HMN41" s="9"/>
      <c r="HMO41" s="9"/>
      <c r="HMP41" s="9"/>
      <c r="HMQ41" s="9"/>
      <c r="HMR41" s="9"/>
      <c r="HMS41" s="9"/>
      <c r="HMT41" s="9"/>
      <c r="HMU41" s="9"/>
      <c r="HMV41" s="9"/>
      <c r="HMW41" s="9"/>
      <c r="HMX41" s="9"/>
      <c r="HMY41" s="9"/>
      <c r="HMZ41" s="9"/>
      <c r="HNA41" s="9"/>
      <c r="HNB41" s="9"/>
      <c r="HNC41" s="9"/>
      <c r="HND41" s="9"/>
      <c r="HNE41" s="9"/>
      <c r="HNF41" s="9"/>
      <c r="HNG41" s="9"/>
      <c r="HNH41" s="9"/>
      <c r="HNI41" s="9"/>
      <c r="HNJ41" s="9"/>
      <c r="HNK41" s="9"/>
      <c r="HNL41" s="9"/>
      <c r="HNM41" s="9"/>
      <c r="HNN41" s="9"/>
      <c r="HNO41" s="9"/>
      <c r="HNP41" s="9"/>
      <c r="HNQ41" s="9"/>
      <c r="HNR41" s="9"/>
      <c r="HNS41" s="9"/>
      <c r="HNT41" s="9"/>
      <c r="HNU41" s="9"/>
      <c r="HNV41" s="9"/>
      <c r="HNW41" s="9"/>
      <c r="HNX41" s="9"/>
      <c r="HNY41" s="9"/>
      <c r="HNZ41" s="9"/>
      <c r="HOA41" s="9"/>
      <c r="HOB41" s="9"/>
      <c r="HOC41" s="9"/>
      <c r="HOD41" s="9"/>
      <c r="HOE41" s="9"/>
      <c r="HOF41" s="9"/>
      <c r="HOG41" s="9"/>
      <c r="HOH41" s="9"/>
      <c r="HOI41" s="9"/>
      <c r="HOJ41" s="9"/>
      <c r="HOK41" s="9"/>
      <c r="HOL41" s="9"/>
      <c r="HOM41" s="9"/>
      <c r="HON41" s="9"/>
      <c r="HOO41" s="9"/>
      <c r="HOP41" s="9"/>
      <c r="HOQ41" s="9"/>
      <c r="HOR41" s="9"/>
      <c r="HOS41" s="9"/>
      <c r="HOT41" s="9"/>
      <c r="HOU41" s="9"/>
      <c r="HOV41" s="9"/>
      <c r="HOW41" s="9"/>
      <c r="HOX41" s="9"/>
      <c r="HOY41" s="9"/>
      <c r="HOZ41" s="9"/>
      <c r="HPA41" s="9"/>
      <c r="HPB41" s="9"/>
      <c r="HPC41" s="9"/>
      <c r="HPD41" s="9"/>
      <c r="HPE41" s="9"/>
      <c r="HPF41" s="9"/>
      <c r="HPG41" s="9"/>
      <c r="HPH41" s="9"/>
      <c r="HPI41" s="9"/>
      <c r="HPJ41" s="9"/>
      <c r="HPK41" s="9"/>
      <c r="HPL41" s="9"/>
      <c r="HPM41" s="9"/>
      <c r="HPN41" s="9"/>
      <c r="HPO41" s="9"/>
      <c r="HPP41" s="9"/>
      <c r="HPQ41" s="9"/>
      <c r="HPR41" s="9"/>
      <c r="HPS41" s="9"/>
      <c r="HPT41" s="9"/>
      <c r="HPU41" s="9"/>
      <c r="HPV41" s="9"/>
      <c r="HPW41" s="9"/>
      <c r="HPX41" s="9"/>
      <c r="HPY41" s="9"/>
      <c r="HPZ41" s="9"/>
      <c r="HQA41" s="9"/>
      <c r="HQB41" s="9"/>
      <c r="HQC41" s="9"/>
      <c r="HQD41" s="9"/>
      <c r="HQE41" s="9"/>
      <c r="HQF41" s="9"/>
      <c r="HQG41" s="9"/>
      <c r="HQH41" s="9"/>
      <c r="HQI41" s="9"/>
      <c r="HQJ41" s="9"/>
      <c r="HQK41" s="9"/>
      <c r="HQL41" s="9"/>
      <c r="HQM41" s="9"/>
      <c r="HQN41" s="9"/>
      <c r="HQO41" s="9"/>
      <c r="HQP41" s="9"/>
      <c r="HQQ41" s="9"/>
      <c r="HQR41" s="9"/>
      <c r="HQS41" s="9"/>
      <c r="HQT41" s="9"/>
      <c r="HQU41" s="9"/>
      <c r="HQV41" s="9"/>
      <c r="HQW41" s="9"/>
      <c r="HQX41" s="9"/>
      <c r="HQY41" s="9"/>
      <c r="HQZ41" s="9"/>
      <c r="HRA41" s="9"/>
      <c r="HRB41" s="9"/>
      <c r="HRC41" s="9"/>
      <c r="HRD41" s="9"/>
      <c r="HRE41" s="9"/>
      <c r="HRF41" s="9"/>
      <c r="HRG41" s="9"/>
      <c r="HRH41" s="9"/>
      <c r="HRI41" s="9"/>
      <c r="HRJ41" s="9"/>
      <c r="HRK41" s="9"/>
      <c r="HRL41" s="9"/>
      <c r="HRM41" s="9"/>
      <c r="HRN41" s="9"/>
      <c r="HRO41" s="9"/>
      <c r="HRP41" s="9"/>
      <c r="HRQ41" s="9"/>
      <c r="HRR41" s="9"/>
      <c r="HRS41" s="9"/>
      <c r="HRT41" s="9"/>
      <c r="HRU41" s="9"/>
      <c r="HRV41" s="9"/>
      <c r="HRW41" s="9"/>
      <c r="HRX41" s="9"/>
      <c r="HRY41" s="9"/>
      <c r="HRZ41" s="9"/>
      <c r="HSA41" s="9"/>
      <c r="HSB41" s="9"/>
      <c r="HSC41" s="9"/>
      <c r="HSD41" s="9"/>
      <c r="HSE41" s="9"/>
      <c r="HSF41" s="9"/>
      <c r="HSG41" s="9"/>
      <c r="HSH41" s="9"/>
      <c r="HSI41" s="9"/>
      <c r="HSJ41" s="9"/>
      <c r="HSK41" s="9"/>
      <c r="HSL41" s="9"/>
      <c r="HSM41" s="9"/>
      <c r="HSN41" s="9"/>
      <c r="HSO41" s="9"/>
      <c r="HSP41" s="9"/>
      <c r="HSQ41" s="9"/>
      <c r="HSR41" s="9"/>
      <c r="HSS41" s="9"/>
      <c r="HST41" s="9"/>
      <c r="HSU41" s="9"/>
      <c r="HSV41" s="9"/>
      <c r="HSW41" s="9"/>
      <c r="HSX41" s="9"/>
      <c r="HSY41" s="9"/>
      <c r="HSZ41" s="9"/>
      <c r="HTA41" s="9"/>
      <c r="HTB41" s="9"/>
      <c r="HTC41" s="9"/>
      <c r="HTD41" s="9"/>
      <c r="HTE41" s="9"/>
      <c r="HTF41" s="9"/>
      <c r="HTG41" s="9"/>
      <c r="HTH41" s="9"/>
      <c r="HTI41" s="9"/>
      <c r="HTJ41" s="9"/>
      <c r="HTK41" s="9"/>
      <c r="HTL41" s="9"/>
      <c r="HTM41" s="9"/>
      <c r="HTN41" s="9"/>
      <c r="HTO41" s="9"/>
      <c r="HTP41" s="9"/>
      <c r="HTQ41" s="9"/>
      <c r="HTR41" s="9"/>
      <c r="HTS41" s="9"/>
      <c r="HTT41" s="9"/>
      <c r="HTU41" s="9"/>
      <c r="HTV41" s="9"/>
      <c r="HTW41" s="9"/>
      <c r="HTX41" s="9"/>
      <c r="HTY41" s="9"/>
      <c r="HTZ41" s="9"/>
      <c r="HUA41" s="9"/>
      <c r="HUB41" s="9"/>
      <c r="HUC41" s="9"/>
      <c r="HUD41" s="9"/>
      <c r="HUE41" s="9"/>
      <c r="HUF41" s="9"/>
      <c r="HUG41" s="9"/>
      <c r="HUH41" s="9"/>
      <c r="HUI41" s="9"/>
      <c r="HUJ41" s="9"/>
      <c r="HUK41" s="9"/>
      <c r="HUL41" s="9"/>
      <c r="HUM41" s="9"/>
      <c r="HUN41" s="9"/>
      <c r="HUO41" s="9"/>
      <c r="HUP41" s="9"/>
      <c r="HUQ41" s="9"/>
      <c r="HUR41" s="9"/>
      <c r="HUS41" s="9"/>
      <c r="HUT41" s="9"/>
      <c r="HUU41" s="9"/>
      <c r="HUV41" s="9"/>
      <c r="HUW41" s="9"/>
      <c r="HUX41" s="9"/>
      <c r="HUY41" s="9"/>
      <c r="HUZ41" s="9"/>
      <c r="HVA41" s="9"/>
      <c r="HVB41" s="9"/>
      <c r="HVC41" s="9"/>
      <c r="HVD41" s="9"/>
      <c r="HVE41" s="9"/>
      <c r="HVF41" s="9"/>
      <c r="HVG41" s="9"/>
      <c r="HVH41" s="9"/>
      <c r="HVI41" s="9"/>
      <c r="HVJ41" s="9"/>
      <c r="HVK41" s="9"/>
      <c r="HVL41" s="9"/>
      <c r="HVM41" s="9"/>
      <c r="HVN41" s="9"/>
      <c r="HVO41" s="9"/>
      <c r="HVP41" s="9"/>
      <c r="HVQ41" s="9"/>
      <c r="HVR41" s="9"/>
      <c r="HVS41" s="9"/>
      <c r="HVT41" s="9"/>
      <c r="HVU41" s="9"/>
      <c r="HVV41" s="9"/>
      <c r="HVW41" s="9"/>
      <c r="HVX41" s="9"/>
      <c r="HVY41" s="9"/>
      <c r="HVZ41" s="9"/>
      <c r="HWA41" s="9"/>
      <c r="HWB41" s="9"/>
      <c r="HWC41" s="9"/>
      <c r="HWD41" s="9"/>
      <c r="HWE41" s="9"/>
      <c r="HWF41" s="9"/>
      <c r="HWG41" s="9"/>
      <c r="HWH41" s="9"/>
      <c r="HWI41" s="9"/>
      <c r="HWJ41" s="9"/>
      <c r="HWK41" s="9"/>
      <c r="HWL41" s="9"/>
      <c r="HWM41" s="9"/>
      <c r="HWN41" s="9"/>
      <c r="HWO41" s="9"/>
      <c r="HWP41" s="9"/>
      <c r="HWQ41" s="9"/>
      <c r="HWR41" s="9"/>
      <c r="HWS41" s="9"/>
      <c r="HWT41" s="9"/>
      <c r="HWU41" s="9"/>
      <c r="HWV41" s="9"/>
      <c r="HWW41" s="9"/>
      <c r="HWX41" s="9"/>
      <c r="HWY41" s="9"/>
      <c r="HWZ41" s="9"/>
      <c r="HXA41" s="9"/>
      <c r="HXB41" s="9"/>
      <c r="HXC41" s="9"/>
      <c r="HXD41" s="9"/>
      <c r="HXE41" s="9"/>
      <c r="HXF41" s="9"/>
      <c r="HXG41" s="9"/>
      <c r="HXH41" s="9"/>
      <c r="HXI41" s="9"/>
      <c r="HXJ41" s="9"/>
      <c r="HXK41" s="9"/>
      <c r="HXL41" s="9"/>
      <c r="HXM41" s="9"/>
      <c r="HXN41" s="9"/>
      <c r="HXO41" s="9"/>
      <c r="HXP41" s="9"/>
      <c r="HXQ41" s="9"/>
      <c r="HXR41" s="9"/>
      <c r="HXS41" s="9"/>
      <c r="HXT41" s="9"/>
      <c r="HXU41" s="9"/>
      <c r="HXV41" s="9"/>
      <c r="HXW41" s="9"/>
      <c r="HXX41" s="9"/>
      <c r="HXY41" s="9"/>
      <c r="HXZ41" s="9"/>
      <c r="HYA41" s="9"/>
      <c r="HYB41" s="9"/>
      <c r="HYC41" s="9"/>
      <c r="HYD41" s="9"/>
      <c r="HYE41" s="9"/>
      <c r="HYF41" s="9"/>
      <c r="HYG41" s="9"/>
      <c r="HYH41" s="9"/>
      <c r="HYI41" s="9"/>
      <c r="HYJ41" s="9"/>
      <c r="HYK41" s="9"/>
      <c r="HYL41" s="9"/>
      <c r="HYM41" s="9"/>
      <c r="HYN41" s="9"/>
      <c r="HYO41" s="9"/>
      <c r="HYP41" s="9"/>
      <c r="HYQ41" s="9"/>
      <c r="HYR41" s="9"/>
      <c r="HYS41" s="9"/>
      <c r="HYT41" s="9"/>
      <c r="HYU41" s="9"/>
      <c r="HYV41" s="9"/>
      <c r="HYW41" s="9"/>
      <c r="HYX41" s="9"/>
      <c r="HYY41" s="9"/>
      <c r="HYZ41" s="9"/>
      <c r="HZA41" s="9"/>
      <c r="HZB41" s="9"/>
      <c r="HZC41" s="9"/>
      <c r="HZD41" s="9"/>
      <c r="HZE41" s="9"/>
      <c r="HZF41" s="9"/>
      <c r="HZG41" s="9"/>
      <c r="HZH41" s="9"/>
      <c r="HZI41" s="9"/>
      <c r="HZJ41" s="9"/>
      <c r="HZK41" s="9"/>
      <c r="HZL41" s="9"/>
      <c r="HZM41" s="9"/>
      <c r="HZN41" s="9"/>
      <c r="HZO41" s="9"/>
      <c r="HZP41" s="9"/>
      <c r="HZQ41" s="9"/>
      <c r="HZR41" s="9"/>
      <c r="HZS41" s="9"/>
      <c r="HZT41" s="9"/>
      <c r="HZU41" s="9"/>
      <c r="HZV41" s="9"/>
      <c r="HZW41" s="9"/>
      <c r="HZX41" s="9"/>
      <c r="HZY41" s="9"/>
      <c r="HZZ41" s="9"/>
      <c r="IAA41" s="9"/>
      <c r="IAB41" s="9"/>
      <c r="IAC41" s="9"/>
      <c r="IAD41" s="9"/>
      <c r="IAE41" s="9"/>
      <c r="IAF41" s="9"/>
      <c r="IAG41" s="9"/>
      <c r="IAH41" s="9"/>
      <c r="IAI41" s="9"/>
      <c r="IAJ41" s="9"/>
      <c r="IAK41" s="9"/>
      <c r="IAL41" s="9"/>
      <c r="IAM41" s="9"/>
      <c r="IAN41" s="9"/>
      <c r="IAO41" s="9"/>
      <c r="IAP41" s="9"/>
      <c r="IAQ41" s="9"/>
      <c r="IAR41" s="9"/>
      <c r="IAS41" s="9"/>
      <c r="IAT41" s="9"/>
      <c r="IAU41" s="9"/>
      <c r="IAV41" s="9"/>
      <c r="IAW41" s="9"/>
      <c r="IAX41" s="9"/>
      <c r="IAY41" s="9"/>
      <c r="IAZ41" s="9"/>
      <c r="IBA41" s="9"/>
      <c r="IBB41" s="9"/>
      <c r="IBC41" s="9"/>
      <c r="IBD41" s="9"/>
      <c r="IBE41" s="9"/>
      <c r="IBF41" s="9"/>
      <c r="IBG41" s="9"/>
      <c r="IBH41" s="9"/>
      <c r="IBI41" s="9"/>
      <c r="IBJ41" s="9"/>
      <c r="IBK41" s="9"/>
      <c r="IBL41" s="9"/>
      <c r="IBM41" s="9"/>
      <c r="IBN41" s="9"/>
      <c r="IBO41" s="9"/>
      <c r="IBP41" s="9"/>
      <c r="IBQ41" s="9"/>
      <c r="IBR41" s="9"/>
      <c r="IBS41" s="9"/>
      <c r="IBT41" s="9"/>
      <c r="IBU41" s="9"/>
      <c r="IBV41" s="9"/>
      <c r="IBW41" s="9"/>
      <c r="IBX41" s="9"/>
      <c r="IBY41" s="9"/>
      <c r="IBZ41" s="9"/>
      <c r="ICA41" s="9"/>
      <c r="ICB41" s="9"/>
      <c r="ICC41" s="9"/>
      <c r="ICD41" s="9"/>
      <c r="ICE41" s="9"/>
      <c r="ICF41" s="9"/>
      <c r="ICG41" s="9"/>
      <c r="ICH41" s="9"/>
      <c r="ICI41" s="9"/>
      <c r="ICJ41" s="9"/>
      <c r="ICK41" s="9"/>
      <c r="ICL41" s="9"/>
      <c r="ICM41" s="9"/>
      <c r="ICN41" s="9"/>
      <c r="ICO41" s="9"/>
      <c r="ICP41" s="9"/>
      <c r="ICQ41" s="9"/>
      <c r="ICR41" s="9"/>
      <c r="ICS41" s="9"/>
      <c r="ICT41" s="9"/>
      <c r="ICU41" s="9"/>
      <c r="ICV41" s="9"/>
      <c r="ICW41" s="9"/>
      <c r="ICX41" s="9"/>
      <c r="ICY41" s="9"/>
      <c r="ICZ41" s="9"/>
      <c r="IDA41" s="9"/>
      <c r="IDB41" s="9"/>
      <c r="IDC41" s="9"/>
      <c r="IDD41" s="9"/>
      <c r="IDE41" s="9"/>
      <c r="IDF41" s="9"/>
      <c r="IDG41" s="9"/>
      <c r="IDH41" s="9"/>
      <c r="IDI41" s="9"/>
      <c r="IDJ41" s="9"/>
      <c r="IDK41" s="9"/>
      <c r="IDL41" s="9"/>
      <c r="IDM41" s="9"/>
      <c r="IDN41" s="9"/>
      <c r="IDO41" s="9"/>
      <c r="IDP41" s="9"/>
      <c r="IDQ41" s="9"/>
      <c r="IDR41" s="9"/>
      <c r="IDS41" s="9"/>
      <c r="IDT41" s="9"/>
      <c r="IDU41" s="9"/>
      <c r="IDV41" s="9"/>
      <c r="IDW41" s="9"/>
      <c r="IDX41" s="9"/>
      <c r="IDY41" s="9"/>
      <c r="IDZ41" s="9"/>
      <c r="IEA41" s="9"/>
      <c r="IEB41" s="9"/>
      <c r="IEC41" s="9"/>
      <c r="IED41" s="9"/>
      <c r="IEE41" s="9"/>
      <c r="IEF41" s="9"/>
      <c r="IEG41" s="9"/>
      <c r="IEH41" s="9"/>
      <c r="IEI41" s="9"/>
      <c r="IEJ41" s="9"/>
      <c r="IEK41" s="9"/>
      <c r="IEL41" s="9"/>
      <c r="IEM41" s="9"/>
      <c r="IEN41" s="9"/>
      <c r="IEO41" s="9"/>
      <c r="IEP41" s="9"/>
      <c r="IEQ41" s="9"/>
      <c r="IER41" s="9"/>
      <c r="IES41" s="9"/>
      <c r="IET41" s="9"/>
      <c r="IEU41" s="9"/>
      <c r="IEV41" s="9"/>
      <c r="IEW41" s="9"/>
      <c r="IEX41" s="9"/>
      <c r="IEY41" s="9"/>
      <c r="IEZ41" s="9"/>
      <c r="IFA41" s="9"/>
      <c r="IFB41" s="9"/>
      <c r="IFC41" s="9"/>
      <c r="IFD41" s="9"/>
      <c r="IFE41" s="9"/>
      <c r="IFF41" s="9"/>
      <c r="IFG41" s="9"/>
      <c r="IFH41" s="9"/>
      <c r="IFI41" s="9"/>
      <c r="IFJ41" s="9"/>
      <c r="IFK41" s="9"/>
      <c r="IFL41" s="9"/>
      <c r="IFM41" s="9"/>
      <c r="IFN41" s="9"/>
      <c r="IFO41" s="9"/>
      <c r="IFP41" s="9"/>
      <c r="IFQ41" s="9"/>
      <c r="IFR41" s="9"/>
      <c r="IFS41" s="9"/>
      <c r="IFT41" s="9"/>
      <c r="IFU41" s="9"/>
      <c r="IFV41" s="9"/>
      <c r="IFW41" s="9"/>
      <c r="IFX41" s="9"/>
      <c r="IFY41" s="9"/>
      <c r="IFZ41" s="9"/>
      <c r="IGA41" s="9"/>
      <c r="IGB41" s="9"/>
      <c r="IGC41" s="9"/>
      <c r="IGD41" s="9"/>
      <c r="IGE41" s="9"/>
      <c r="IGF41" s="9"/>
      <c r="IGG41" s="9"/>
      <c r="IGH41" s="9"/>
      <c r="IGI41" s="9"/>
      <c r="IGJ41" s="9"/>
      <c r="IGK41" s="9"/>
      <c r="IGL41" s="9"/>
      <c r="IGM41" s="9"/>
      <c r="IGN41" s="9"/>
      <c r="IGO41" s="9"/>
      <c r="IGP41" s="9"/>
      <c r="IGQ41" s="9"/>
      <c r="IGR41" s="9"/>
      <c r="IGS41" s="9"/>
      <c r="IGT41" s="9"/>
      <c r="IGU41" s="9"/>
      <c r="IGV41" s="9"/>
      <c r="IGW41" s="9"/>
      <c r="IGX41" s="9"/>
      <c r="IGY41" s="9"/>
      <c r="IGZ41" s="9"/>
      <c r="IHA41" s="9"/>
      <c r="IHB41" s="9"/>
      <c r="IHC41" s="9"/>
      <c r="IHD41" s="9"/>
      <c r="IHE41" s="9"/>
      <c r="IHF41" s="9"/>
      <c r="IHG41" s="9"/>
      <c r="IHH41" s="9"/>
      <c r="IHI41" s="9"/>
      <c r="IHJ41" s="9"/>
      <c r="IHK41" s="9"/>
      <c r="IHL41" s="9"/>
      <c r="IHM41" s="9"/>
      <c r="IHN41" s="9"/>
      <c r="IHO41" s="9"/>
      <c r="IHP41" s="9"/>
      <c r="IHQ41" s="9"/>
      <c r="IHR41" s="9"/>
      <c r="IHS41" s="9"/>
      <c r="IHT41" s="9"/>
      <c r="IHU41" s="9"/>
      <c r="IHV41" s="9"/>
      <c r="IHW41" s="9"/>
      <c r="IHX41" s="9"/>
      <c r="IHY41" s="9"/>
      <c r="IHZ41" s="9"/>
      <c r="IIA41" s="9"/>
      <c r="IIB41" s="9"/>
      <c r="IIC41" s="9"/>
      <c r="IID41" s="9"/>
      <c r="IIE41" s="9"/>
      <c r="IIF41" s="9"/>
      <c r="IIG41" s="9"/>
      <c r="IIH41" s="9"/>
      <c r="III41" s="9"/>
      <c r="IIJ41" s="9"/>
      <c r="IIK41" s="9"/>
      <c r="IIL41" s="9"/>
      <c r="IIM41" s="9"/>
      <c r="IIN41" s="9"/>
      <c r="IIO41" s="9"/>
      <c r="IIP41" s="9"/>
      <c r="IIQ41" s="9"/>
      <c r="IIR41" s="9"/>
      <c r="IIS41" s="9"/>
      <c r="IIT41" s="9"/>
      <c r="IIU41" s="9"/>
      <c r="IIV41" s="9"/>
      <c r="IIW41" s="9"/>
      <c r="IIX41" s="9"/>
      <c r="IIY41" s="9"/>
      <c r="IIZ41" s="9"/>
      <c r="IJA41" s="9"/>
      <c r="IJB41" s="9"/>
      <c r="IJC41" s="9"/>
      <c r="IJD41" s="9"/>
      <c r="IJE41" s="9"/>
      <c r="IJF41" s="9"/>
      <c r="IJG41" s="9"/>
      <c r="IJH41" s="9"/>
      <c r="IJI41" s="9"/>
      <c r="IJJ41" s="9"/>
      <c r="IJK41" s="9"/>
      <c r="IJL41" s="9"/>
      <c r="IJM41" s="9"/>
      <c r="IJN41" s="9"/>
      <c r="IJO41" s="9"/>
      <c r="IJP41" s="9"/>
      <c r="IJQ41" s="9"/>
      <c r="IJR41" s="9"/>
      <c r="IJS41" s="9"/>
      <c r="IJT41" s="9"/>
      <c r="IJU41" s="9"/>
      <c r="IJV41" s="9"/>
      <c r="IJW41" s="9"/>
      <c r="IJX41" s="9"/>
      <c r="IJY41" s="9"/>
      <c r="IJZ41" s="9"/>
      <c r="IKA41" s="9"/>
      <c r="IKB41" s="9"/>
      <c r="IKC41" s="9"/>
      <c r="IKD41" s="9"/>
      <c r="IKE41" s="9"/>
      <c r="IKF41" s="9"/>
      <c r="IKG41" s="9"/>
      <c r="IKH41" s="9"/>
      <c r="IKI41" s="9"/>
      <c r="IKJ41" s="9"/>
      <c r="IKK41" s="9"/>
      <c r="IKL41" s="9"/>
      <c r="IKM41" s="9"/>
      <c r="IKN41" s="9"/>
      <c r="IKO41" s="9"/>
      <c r="IKP41" s="9"/>
      <c r="IKQ41" s="9"/>
      <c r="IKR41" s="9"/>
      <c r="IKS41" s="9"/>
      <c r="IKT41" s="9"/>
      <c r="IKU41" s="9"/>
      <c r="IKV41" s="9"/>
      <c r="IKW41" s="9"/>
      <c r="IKX41" s="9"/>
      <c r="IKY41" s="9"/>
      <c r="IKZ41" s="9"/>
      <c r="ILA41" s="9"/>
      <c r="ILB41" s="9"/>
      <c r="ILC41" s="9"/>
      <c r="ILD41" s="9"/>
      <c r="ILE41" s="9"/>
      <c r="ILF41" s="9"/>
      <c r="ILG41" s="9"/>
      <c r="ILH41" s="9"/>
      <c r="ILI41" s="9"/>
      <c r="ILJ41" s="9"/>
      <c r="ILK41" s="9"/>
      <c r="ILL41" s="9"/>
      <c r="ILM41" s="9"/>
      <c r="ILN41" s="9"/>
      <c r="ILO41" s="9"/>
      <c r="ILP41" s="9"/>
      <c r="ILQ41" s="9"/>
      <c r="ILR41" s="9"/>
      <c r="ILS41" s="9"/>
      <c r="ILT41" s="9"/>
      <c r="ILU41" s="9"/>
      <c r="ILV41" s="9"/>
      <c r="ILW41" s="9"/>
      <c r="ILX41" s="9"/>
      <c r="ILY41" s="9"/>
      <c r="ILZ41" s="9"/>
      <c r="IMA41" s="9"/>
      <c r="IMB41" s="9"/>
      <c r="IMC41" s="9"/>
      <c r="IMD41" s="9"/>
      <c r="IME41" s="9"/>
      <c r="IMF41" s="9"/>
      <c r="IMG41" s="9"/>
      <c r="IMH41" s="9"/>
      <c r="IMI41" s="9"/>
      <c r="IMJ41" s="9"/>
      <c r="IMK41" s="9"/>
      <c r="IML41" s="9"/>
      <c r="IMM41" s="9"/>
      <c r="IMN41" s="9"/>
      <c r="IMO41" s="9"/>
      <c r="IMP41" s="9"/>
      <c r="IMQ41" s="9"/>
      <c r="IMR41" s="9"/>
      <c r="IMS41" s="9"/>
      <c r="IMT41" s="9"/>
      <c r="IMU41" s="9"/>
      <c r="IMV41" s="9"/>
      <c r="IMW41" s="9"/>
      <c r="IMX41" s="9"/>
      <c r="IMY41" s="9"/>
      <c r="IMZ41" s="9"/>
      <c r="INA41" s="9"/>
      <c r="INB41" s="9"/>
      <c r="INC41" s="9"/>
      <c r="IND41" s="9"/>
      <c r="INE41" s="9"/>
      <c r="INF41" s="9"/>
      <c r="ING41" s="9"/>
      <c r="INH41" s="9"/>
      <c r="INI41" s="9"/>
      <c r="INJ41" s="9"/>
      <c r="INK41" s="9"/>
      <c r="INL41" s="9"/>
      <c r="INM41" s="9"/>
      <c r="INN41" s="9"/>
      <c r="INO41" s="9"/>
      <c r="INP41" s="9"/>
      <c r="INQ41" s="9"/>
      <c r="INR41" s="9"/>
      <c r="INS41" s="9"/>
      <c r="INT41" s="9"/>
      <c r="INU41" s="9"/>
      <c r="INV41" s="9"/>
      <c r="INW41" s="9"/>
      <c r="INX41" s="9"/>
      <c r="INY41" s="9"/>
      <c r="INZ41" s="9"/>
      <c r="IOA41" s="9"/>
      <c r="IOB41" s="9"/>
      <c r="IOC41" s="9"/>
      <c r="IOD41" s="9"/>
      <c r="IOE41" s="9"/>
      <c r="IOF41" s="9"/>
      <c r="IOG41" s="9"/>
      <c r="IOH41" s="9"/>
      <c r="IOI41" s="9"/>
      <c r="IOJ41" s="9"/>
      <c r="IOK41" s="9"/>
      <c r="IOL41" s="9"/>
      <c r="IOM41" s="9"/>
      <c r="ION41" s="9"/>
      <c r="IOO41" s="9"/>
      <c r="IOP41" s="9"/>
      <c r="IOQ41" s="9"/>
      <c r="IOR41" s="9"/>
      <c r="IOS41" s="9"/>
      <c r="IOT41" s="9"/>
      <c r="IOU41" s="9"/>
      <c r="IOV41" s="9"/>
      <c r="IOW41" s="9"/>
      <c r="IOX41" s="9"/>
      <c r="IOY41" s="9"/>
      <c r="IOZ41" s="9"/>
      <c r="IPA41" s="9"/>
      <c r="IPB41" s="9"/>
      <c r="IPC41" s="9"/>
      <c r="IPD41" s="9"/>
      <c r="IPE41" s="9"/>
      <c r="IPF41" s="9"/>
      <c r="IPG41" s="9"/>
      <c r="IPH41" s="9"/>
      <c r="IPI41" s="9"/>
      <c r="IPJ41" s="9"/>
      <c r="IPK41" s="9"/>
      <c r="IPL41" s="9"/>
      <c r="IPM41" s="9"/>
      <c r="IPN41" s="9"/>
      <c r="IPO41" s="9"/>
      <c r="IPP41" s="9"/>
      <c r="IPQ41" s="9"/>
      <c r="IPR41" s="9"/>
      <c r="IPS41" s="9"/>
      <c r="IPT41" s="9"/>
      <c r="IPU41" s="9"/>
      <c r="IPV41" s="9"/>
      <c r="IPW41" s="9"/>
      <c r="IPX41" s="9"/>
      <c r="IPY41" s="9"/>
      <c r="IPZ41" s="9"/>
      <c r="IQA41" s="9"/>
      <c r="IQB41" s="9"/>
      <c r="IQC41" s="9"/>
      <c r="IQD41" s="9"/>
      <c r="IQE41" s="9"/>
      <c r="IQF41" s="9"/>
      <c r="IQG41" s="9"/>
      <c r="IQH41" s="9"/>
      <c r="IQI41" s="9"/>
      <c r="IQJ41" s="9"/>
      <c r="IQK41" s="9"/>
      <c r="IQL41" s="9"/>
      <c r="IQM41" s="9"/>
      <c r="IQN41" s="9"/>
      <c r="IQO41" s="9"/>
      <c r="IQP41" s="9"/>
      <c r="IQQ41" s="9"/>
      <c r="IQR41" s="9"/>
      <c r="IQS41" s="9"/>
      <c r="IQT41" s="9"/>
      <c r="IQU41" s="9"/>
      <c r="IQV41" s="9"/>
      <c r="IQW41" s="9"/>
      <c r="IQX41" s="9"/>
      <c r="IQY41" s="9"/>
      <c r="IQZ41" s="9"/>
      <c r="IRA41" s="9"/>
      <c r="IRB41" s="9"/>
      <c r="IRC41" s="9"/>
      <c r="IRD41" s="9"/>
      <c r="IRE41" s="9"/>
      <c r="IRF41" s="9"/>
      <c r="IRG41" s="9"/>
      <c r="IRH41" s="9"/>
      <c r="IRI41" s="9"/>
      <c r="IRJ41" s="9"/>
      <c r="IRK41" s="9"/>
      <c r="IRL41" s="9"/>
      <c r="IRM41" s="9"/>
      <c r="IRN41" s="9"/>
      <c r="IRO41" s="9"/>
      <c r="IRP41" s="9"/>
      <c r="IRQ41" s="9"/>
      <c r="IRR41" s="9"/>
      <c r="IRS41" s="9"/>
      <c r="IRT41" s="9"/>
      <c r="IRU41" s="9"/>
      <c r="IRV41" s="9"/>
      <c r="IRW41" s="9"/>
      <c r="IRX41" s="9"/>
      <c r="IRY41" s="9"/>
      <c r="IRZ41" s="9"/>
      <c r="ISA41" s="9"/>
      <c r="ISB41" s="9"/>
      <c r="ISC41" s="9"/>
      <c r="ISD41" s="9"/>
      <c r="ISE41" s="9"/>
      <c r="ISF41" s="9"/>
      <c r="ISG41" s="9"/>
      <c r="ISH41" s="9"/>
      <c r="ISI41" s="9"/>
      <c r="ISJ41" s="9"/>
      <c r="ISK41" s="9"/>
      <c r="ISL41" s="9"/>
      <c r="ISM41" s="9"/>
      <c r="ISN41" s="9"/>
      <c r="ISO41" s="9"/>
      <c r="ISP41" s="9"/>
      <c r="ISQ41" s="9"/>
      <c r="ISR41" s="9"/>
      <c r="ISS41" s="9"/>
      <c r="IST41" s="9"/>
      <c r="ISU41" s="9"/>
      <c r="ISV41" s="9"/>
      <c r="ISW41" s="9"/>
      <c r="ISX41" s="9"/>
      <c r="ISY41" s="9"/>
      <c r="ISZ41" s="9"/>
      <c r="ITA41" s="9"/>
      <c r="ITB41" s="9"/>
      <c r="ITC41" s="9"/>
      <c r="ITD41" s="9"/>
      <c r="ITE41" s="9"/>
      <c r="ITF41" s="9"/>
      <c r="ITG41" s="9"/>
      <c r="ITH41" s="9"/>
      <c r="ITI41" s="9"/>
      <c r="ITJ41" s="9"/>
      <c r="ITK41" s="9"/>
      <c r="ITL41" s="9"/>
      <c r="ITM41" s="9"/>
      <c r="ITN41" s="9"/>
      <c r="ITO41" s="9"/>
      <c r="ITP41" s="9"/>
      <c r="ITQ41" s="9"/>
      <c r="ITR41" s="9"/>
      <c r="ITS41" s="9"/>
      <c r="ITT41" s="9"/>
      <c r="ITU41" s="9"/>
      <c r="ITV41" s="9"/>
      <c r="ITW41" s="9"/>
      <c r="ITX41" s="9"/>
      <c r="ITY41" s="9"/>
      <c r="ITZ41" s="9"/>
      <c r="IUA41" s="9"/>
      <c r="IUB41" s="9"/>
      <c r="IUC41" s="9"/>
      <c r="IUD41" s="9"/>
      <c r="IUE41" s="9"/>
      <c r="IUF41" s="9"/>
      <c r="IUG41" s="9"/>
      <c r="IUH41" s="9"/>
      <c r="IUI41" s="9"/>
      <c r="IUJ41" s="9"/>
      <c r="IUK41" s="9"/>
      <c r="IUL41" s="9"/>
      <c r="IUM41" s="9"/>
      <c r="IUN41" s="9"/>
      <c r="IUO41" s="9"/>
      <c r="IUP41" s="9"/>
      <c r="IUQ41" s="9"/>
      <c r="IUR41" s="9"/>
      <c r="IUS41" s="9"/>
      <c r="IUT41" s="9"/>
      <c r="IUU41" s="9"/>
      <c r="IUV41" s="9"/>
      <c r="IUW41" s="9"/>
      <c r="IUX41" s="9"/>
      <c r="IUY41" s="9"/>
      <c r="IUZ41" s="9"/>
      <c r="IVA41" s="9"/>
      <c r="IVB41" s="9"/>
      <c r="IVC41" s="9"/>
      <c r="IVD41" s="9"/>
      <c r="IVE41" s="9"/>
      <c r="IVF41" s="9"/>
      <c r="IVG41" s="9"/>
      <c r="IVH41" s="9"/>
      <c r="IVI41" s="9"/>
      <c r="IVJ41" s="9"/>
      <c r="IVK41" s="9"/>
      <c r="IVL41" s="9"/>
      <c r="IVM41" s="9"/>
      <c r="IVN41" s="9"/>
      <c r="IVO41" s="9"/>
      <c r="IVP41" s="9"/>
      <c r="IVQ41" s="9"/>
      <c r="IVR41" s="9"/>
      <c r="IVS41" s="9"/>
      <c r="IVT41" s="9"/>
      <c r="IVU41" s="9"/>
      <c r="IVV41" s="9"/>
      <c r="IVW41" s="9"/>
      <c r="IVX41" s="9"/>
      <c r="IVY41" s="9"/>
      <c r="IVZ41" s="9"/>
      <c r="IWA41" s="9"/>
      <c r="IWB41" s="9"/>
      <c r="IWC41" s="9"/>
      <c r="IWD41" s="9"/>
      <c r="IWE41" s="9"/>
      <c r="IWF41" s="9"/>
      <c r="IWG41" s="9"/>
      <c r="IWH41" s="9"/>
      <c r="IWI41" s="9"/>
      <c r="IWJ41" s="9"/>
      <c r="IWK41" s="9"/>
      <c r="IWL41" s="9"/>
      <c r="IWM41" s="9"/>
      <c r="IWN41" s="9"/>
      <c r="IWO41" s="9"/>
      <c r="IWP41" s="9"/>
      <c r="IWQ41" s="9"/>
      <c r="IWR41" s="9"/>
      <c r="IWS41" s="9"/>
      <c r="IWT41" s="9"/>
      <c r="IWU41" s="9"/>
      <c r="IWV41" s="9"/>
      <c r="IWW41" s="9"/>
      <c r="IWX41" s="9"/>
      <c r="IWY41" s="9"/>
      <c r="IWZ41" s="9"/>
      <c r="IXA41" s="9"/>
      <c r="IXB41" s="9"/>
      <c r="IXC41" s="9"/>
      <c r="IXD41" s="9"/>
      <c r="IXE41" s="9"/>
      <c r="IXF41" s="9"/>
      <c r="IXG41" s="9"/>
      <c r="IXH41" s="9"/>
      <c r="IXI41" s="9"/>
      <c r="IXJ41" s="9"/>
      <c r="IXK41" s="9"/>
      <c r="IXL41" s="9"/>
      <c r="IXM41" s="9"/>
      <c r="IXN41" s="9"/>
      <c r="IXO41" s="9"/>
      <c r="IXP41" s="9"/>
      <c r="IXQ41" s="9"/>
      <c r="IXR41" s="9"/>
      <c r="IXS41" s="9"/>
      <c r="IXT41" s="9"/>
      <c r="IXU41" s="9"/>
      <c r="IXV41" s="9"/>
      <c r="IXW41" s="9"/>
      <c r="IXX41" s="9"/>
      <c r="IXY41" s="9"/>
      <c r="IXZ41" s="9"/>
      <c r="IYA41" s="9"/>
      <c r="IYB41" s="9"/>
      <c r="IYC41" s="9"/>
      <c r="IYD41" s="9"/>
      <c r="IYE41" s="9"/>
      <c r="IYF41" s="9"/>
      <c r="IYG41" s="9"/>
      <c r="IYH41" s="9"/>
      <c r="IYI41" s="9"/>
      <c r="IYJ41" s="9"/>
      <c r="IYK41" s="9"/>
      <c r="IYL41" s="9"/>
      <c r="IYM41" s="9"/>
      <c r="IYN41" s="9"/>
      <c r="IYO41" s="9"/>
      <c r="IYP41" s="9"/>
      <c r="IYQ41" s="9"/>
      <c r="IYR41" s="9"/>
      <c r="IYS41" s="9"/>
      <c r="IYT41" s="9"/>
      <c r="IYU41" s="9"/>
      <c r="IYV41" s="9"/>
      <c r="IYW41" s="9"/>
      <c r="IYX41" s="9"/>
      <c r="IYY41" s="9"/>
      <c r="IYZ41" s="9"/>
      <c r="IZA41" s="9"/>
      <c r="IZB41" s="9"/>
      <c r="IZC41" s="9"/>
      <c r="IZD41" s="9"/>
      <c r="IZE41" s="9"/>
      <c r="IZF41" s="9"/>
      <c r="IZG41" s="9"/>
      <c r="IZH41" s="9"/>
      <c r="IZI41" s="9"/>
      <c r="IZJ41" s="9"/>
      <c r="IZK41" s="9"/>
      <c r="IZL41" s="9"/>
      <c r="IZM41" s="9"/>
      <c r="IZN41" s="9"/>
      <c r="IZO41" s="9"/>
      <c r="IZP41" s="9"/>
      <c r="IZQ41" s="9"/>
      <c r="IZR41" s="9"/>
      <c r="IZS41" s="9"/>
      <c r="IZT41" s="9"/>
      <c r="IZU41" s="9"/>
      <c r="IZV41" s="9"/>
      <c r="IZW41" s="9"/>
      <c r="IZX41" s="9"/>
      <c r="IZY41" s="9"/>
      <c r="IZZ41" s="9"/>
      <c r="JAA41" s="9"/>
      <c r="JAB41" s="9"/>
      <c r="JAC41" s="9"/>
      <c r="JAD41" s="9"/>
      <c r="JAE41" s="9"/>
      <c r="JAF41" s="9"/>
      <c r="JAG41" s="9"/>
      <c r="JAH41" s="9"/>
      <c r="JAI41" s="9"/>
      <c r="JAJ41" s="9"/>
      <c r="JAK41" s="9"/>
      <c r="JAL41" s="9"/>
      <c r="JAM41" s="9"/>
      <c r="JAN41" s="9"/>
      <c r="JAO41" s="9"/>
      <c r="JAP41" s="9"/>
      <c r="JAQ41" s="9"/>
      <c r="JAR41" s="9"/>
      <c r="JAS41" s="9"/>
      <c r="JAT41" s="9"/>
      <c r="JAU41" s="9"/>
      <c r="JAV41" s="9"/>
      <c r="JAW41" s="9"/>
      <c r="JAX41" s="9"/>
      <c r="JAY41" s="9"/>
      <c r="JAZ41" s="9"/>
      <c r="JBA41" s="9"/>
      <c r="JBB41" s="9"/>
      <c r="JBC41" s="9"/>
      <c r="JBD41" s="9"/>
      <c r="JBE41" s="9"/>
      <c r="JBF41" s="9"/>
      <c r="JBG41" s="9"/>
      <c r="JBH41" s="9"/>
      <c r="JBI41" s="9"/>
      <c r="JBJ41" s="9"/>
      <c r="JBK41" s="9"/>
      <c r="JBL41" s="9"/>
      <c r="JBM41" s="9"/>
      <c r="JBN41" s="9"/>
      <c r="JBO41" s="9"/>
      <c r="JBP41" s="9"/>
      <c r="JBQ41" s="9"/>
      <c r="JBR41" s="9"/>
      <c r="JBS41" s="9"/>
      <c r="JBT41" s="9"/>
      <c r="JBU41" s="9"/>
      <c r="JBV41" s="9"/>
      <c r="JBW41" s="9"/>
      <c r="JBX41" s="9"/>
      <c r="JBY41" s="9"/>
      <c r="JBZ41" s="9"/>
      <c r="JCA41" s="9"/>
      <c r="JCB41" s="9"/>
      <c r="JCC41" s="9"/>
      <c r="JCD41" s="9"/>
      <c r="JCE41" s="9"/>
      <c r="JCF41" s="9"/>
      <c r="JCG41" s="9"/>
      <c r="JCH41" s="9"/>
      <c r="JCI41" s="9"/>
      <c r="JCJ41" s="9"/>
      <c r="JCK41" s="9"/>
      <c r="JCL41" s="9"/>
      <c r="JCM41" s="9"/>
      <c r="JCN41" s="9"/>
      <c r="JCO41" s="9"/>
      <c r="JCP41" s="9"/>
      <c r="JCQ41" s="9"/>
      <c r="JCR41" s="9"/>
      <c r="JCS41" s="9"/>
      <c r="JCT41" s="9"/>
      <c r="JCU41" s="9"/>
      <c r="JCV41" s="9"/>
      <c r="JCW41" s="9"/>
      <c r="JCX41" s="9"/>
      <c r="JCY41" s="9"/>
      <c r="JCZ41" s="9"/>
      <c r="JDA41" s="9"/>
      <c r="JDB41" s="9"/>
      <c r="JDC41" s="9"/>
      <c r="JDD41" s="9"/>
      <c r="JDE41" s="9"/>
      <c r="JDF41" s="9"/>
      <c r="JDG41" s="9"/>
      <c r="JDH41" s="9"/>
      <c r="JDI41" s="9"/>
      <c r="JDJ41" s="9"/>
      <c r="JDK41" s="9"/>
      <c r="JDL41" s="9"/>
      <c r="JDM41" s="9"/>
      <c r="JDN41" s="9"/>
      <c r="JDO41" s="9"/>
      <c r="JDP41" s="9"/>
      <c r="JDQ41" s="9"/>
      <c r="JDR41" s="9"/>
      <c r="JDS41" s="9"/>
      <c r="JDT41" s="9"/>
      <c r="JDU41" s="9"/>
      <c r="JDV41" s="9"/>
      <c r="JDW41" s="9"/>
      <c r="JDX41" s="9"/>
      <c r="JDY41" s="9"/>
      <c r="JDZ41" s="9"/>
      <c r="JEA41" s="9"/>
      <c r="JEB41" s="9"/>
      <c r="JEC41" s="9"/>
      <c r="JED41" s="9"/>
      <c r="JEE41" s="9"/>
      <c r="JEF41" s="9"/>
      <c r="JEG41" s="9"/>
      <c r="JEH41" s="9"/>
      <c r="JEI41" s="9"/>
      <c r="JEJ41" s="9"/>
      <c r="JEK41" s="9"/>
      <c r="JEL41" s="9"/>
      <c r="JEM41" s="9"/>
      <c r="JEN41" s="9"/>
      <c r="JEO41" s="9"/>
      <c r="JEP41" s="9"/>
      <c r="JEQ41" s="9"/>
      <c r="JER41" s="9"/>
      <c r="JES41" s="9"/>
      <c r="JET41" s="9"/>
      <c r="JEU41" s="9"/>
      <c r="JEV41" s="9"/>
      <c r="JEW41" s="9"/>
      <c r="JEX41" s="9"/>
      <c r="JEY41" s="9"/>
      <c r="JEZ41" s="9"/>
      <c r="JFA41" s="9"/>
      <c r="JFB41" s="9"/>
      <c r="JFC41" s="9"/>
      <c r="JFD41" s="9"/>
      <c r="JFE41" s="9"/>
      <c r="JFF41" s="9"/>
      <c r="JFG41" s="9"/>
      <c r="JFH41" s="9"/>
      <c r="JFI41" s="9"/>
      <c r="JFJ41" s="9"/>
      <c r="JFK41" s="9"/>
      <c r="JFL41" s="9"/>
      <c r="JFM41" s="9"/>
      <c r="JFN41" s="9"/>
      <c r="JFO41" s="9"/>
      <c r="JFP41" s="9"/>
      <c r="JFQ41" s="9"/>
      <c r="JFR41" s="9"/>
      <c r="JFS41" s="9"/>
      <c r="JFT41" s="9"/>
      <c r="JFU41" s="9"/>
      <c r="JFV41" s="9"/>
      <c r="JFW41" s="9"/>
      <c r="JFX41" s="9"/>
      <c r="JFY41" s="9"/>
      <c r="JFZ41" s="9"/>
      <c r="JGA41" s="9"/>
      <c r="JGB41" s="9"/>
      <c r="JGC41" s="9"/>
      <c r="JGD41" s="9"/>
      <c r="JGE41" s="9"/>
      <c r="JGF41" s="9"/>
      <c r="JGG41" s="9"/>
      <c r="JGH41" s="9"/>
      <c r="JGI41" s="9"/>
      <c r="JGJ41" s="9"/>
      <c r="JGK41" s="9"/>
      <c r="JGL41" s="9"/>
      <c r="JGM41" s="9"/>
      <c r="JGN41" s="9"/>
      <c r="JGO41" s="9"/>
      <c r="JGP41" s="9"/>
      <c r="JGQ41" s="9"/>
      <c r="JGR41" s="9"/>
      <c r="JGS41" s="9"/>
      <c r="JGT41" s="9"/>
      <c r="JGU41" s="9"/>
      <c r="JGV41" s="9"/>
      <c r="JGW41" s="9"/>
      <c r="JGX41" s="9"/>
      <c r="JGY41" s="9"/>
      <c r="JGZ41" s="9"/>
      <c r="JHA41" s="9"/>
      <c r="JHB41" s="9"/>
      <c r="JHC41" s="9"/>
      <c r="JHD41" s="9"/>
      <c r="JHE41" s="9"/>
      <c r="JHF41" s="9"/>
      <c r="JHG41" s="9"/>
      <c r="JHH41" s="9"/>
      <c r="JHI41" s="9"/>
      <c r="JHJ41" s="9"/>
      <c r="JHK41" s="9"/>
      <c r="JHL41" s="9"/>
      <c r="JHM41" s="9"/>
      <c r="JHN41" s="9"/>
      <c r="JHO41" s="9"/>
      <c r="JHP41" s="9"/>
      <c r="JHQ41" s="9"/>
      <c r="JHR41" s="9"/>
      <c r="JHS41" s="9"/>
      <c r="JHT41" s="9"/>
      <c r="JHU41" s="9"/>
      <c r="JHV41" s="9"/>
      <c r="JHW41" s="9"/>
      <c r="JHX41" s="9"/>
      <c r="JHY41" s="9"/>
      <c r="JHZ41" s="9"/>
      <c r="JIA41" s="9"/>
      <c r="JIB41" s="9"/>
      <c r="JIC41" s="9"/>
      <c r="JID41" s="9"/>
      <c r="JIE41" s="9"/>
      <c r="JIF41" s="9"/>
      <c r="JIG41" s="9"/>
      <c r="JIH41" s="9"/>
      <c r="JII41" s="9"/>
      <c r="JIJ41" s="9"/>
      <c r="JIK41" s="9"/>
      <c r="JIL41" s="9"/>
      <c r="JIM41" s="9"/>
      <c r="JIN41" s="9"/>
      <c r="JIO41" s="9"/>
      <c r="JIP41" s="9"/>
      <c r="JIQ41" s="9"/>
      <c r="JIR41" s="9"/>
      <c r="JIS41" s="9"/>
      <c r="JIT41" s="9"/>
      <c r="JIU41" s="9"/>
      <c r="JIV41" s="9"/>
      <c r="JIW41" s="9"/>
      <c r="JIX41" s="9"/>
      <c r="JIY41" s="9"/>
      <c r="JIZ41" s="9"/>
      <c r="JJA41" s="9"/>
      <c r="JJB41" s="9"/>
      <c r="JJC41" s="9"/>
      <c r="JJD41" s="9"/>
      <c r="JJE41" s="9"/>
      <c r="JJF41" s="9"/>
      <c r="JJG41" s="9"/>
      <c r="JJH41" s="9"/>
      <c r="JJI41" s="9"/>
      <c r="JJJ41" s="9"/>
      <c r="JJK41" s="9"/>
      <c r="JJL41" s="9"/>
      <c r="JJM41" s="9"/>
      <c r="JJN41" s="9"/>
      <c r="JJO41" s="9"/>
      <c r="JJP41" s="9"/>
      <c r="JJQ41" s="9"/>
      <c r="JJR41" s="9"/>
      <c r="JJS41" s="9"/>
      <c r="JJT41" s="9"/>
      <c r="JJU41" s="9"/>
      <c r="JJV41" s="9"/>
      <c r="JJW41" s="9"/>
      <c r="JJX41" s="9"/>
      <c r="JJY41" s="9"/>
      <c r="JJZ41" s="9"/>
      <c r="JKA41" s="9"/>
      <c r="JKB41" s="9"/>
      <c r="JKC41" s="9"/>
      <c r="JKD41" s="9"/>
      <c r="JKE41" s="9"/>
      <c r="JKF41" s="9"/>
      <c r="JKG41" s="9"/>
      <c r="JKH41" s="9"/>
      <c r="JKI41" s="9"/>
      <c r="JKJ41" s="9"/>
      <c r="JKK41" s="9"/>
      <c r="JKL41" s="9"/>
      <c r="JKM41" s="9"/>
      <c r="JKN41" s="9"/>
      <c r="JKO41" s="9"/>
      <c r="JKP41" s="9"/>
      <c r="JKQ41" s="9"/>
      <c r="JKR41" s="9"/>
      <c r="JKS41" s="9"/>
      <c r="JKT41" s="9"/>
      <c r="JKU41" s="9"/>
      <c r="JKV41" s="9"/>
      <c r="JKW41" s="9"/>
      <c r="JKX41" s="9"/>
      <c r="JKY41" s="9"/>
      <c r="JKZ41" s="9"/>
      <c r="JLA41" s="9"/>
      <c r="JLB41" s="9"/>
      <c r="JLC41" s="9"/>
      <c r="JLD41" s="9"/>
      <c r="JLE41" s="9"/>
      <c r="JLF41" s="9"/>
      <c r="JLG41" s="9"/>
      <c r="JLH41" s="9"/>
      <c r="JLI41" s="9"/>
      <c r="JLJ41" s="9"/>
      <c r="JLK41" s="9"/>
      <c r="JLL41" s="9"/>
      <c r="JLM41" s="9"/>
      <c r="JLN41" s="9"/>
      <c r="JLO41" s="9"/>
      <c r="JLP41" s="9"/>
      <c r="JLQ41" s="9"/>
      <c r="JLR41" s="9"/>
      <c r="JLS41" s="9"/>
      <c r="JLT41" s="9"/>
      <c r="JLU41" s="9"/>
      <c r="JLV41" s="9"/>
      <c r="JLW41" s="9"/>
      <c r="JLX41" s="9"/>
      <c r="JLY41" s="9"/>
      <c r="JLZ41" s="9"/>
      <c r="JMA41" s="9"/>
      <c r="JMB41" s="9"/>
      <c r="JMC41" s="9"/>
      <c r="JMD41" s="9"/>
      <c r="JME41" s="9"/>
      <c r="JMF41" s="9"/>
      <c r="JMG41" s="9"/>
      <c r="JMH41" s="9"/>
      <c r="JMI41" s="9"/>
      <c r="JMJ41" s="9"/>
      <c r="JMK41" s="9"/>
      <c r="JML41" s="9"/>
      <c r="JMM41" s="9"/>
      <c r="JMN41" s="9"/>
      <c r="JMO41" s="9"/>
      <c r="JMP41" s="9"/>
      <c r="JMQ41" s="9"/>
      <c r="JMR41" s="9"/>
      <c r="JMS41" s="9"/>
      <c r="JMT41" s="9"/>
      <c r="JMU41" s="9"/>
      <c r="JMV41" s="9"/>
      <c r="JMW41" s="9"/>
      <c r="JMX41" s="9"/>
      <c r="JMY41" s="9"/>
      <c r="JMZ41" s="9"/>
      <c r="JNA41" s="9"/>
      <c r="JNB41" s="9"/>
      <c r="JNC41" s="9"/>
      <c r="JND41" s="9"/>
      <c r="JNE41" s="9"/>
      <c r="JNF41" s="9"/>
      <c r="JNG41" s="9"/>
      <c r="JNH41" s="9"/>
      <c r="JNI41" s="9"/>
      <c r="JNJ41" s="9"/>
      <c r="JNK41" s="9"/>
      <c r="JNL41" s="9"/>
      <c r="JNM41" s="9"/>
      <c r="JNN41" s="9"/>
      <c r="JNO41" s="9"/>
      <c r="JNP41" s="9"/>
      <c r="JNQ41" s="9"/>
      <c r="JNR41" s="9"/>
      <c r="JNS41" s="9"/>
      <c r="JNT41" s="9"/>
      <c r="JNU41" s="9"/>
      <c r="JNV41" s="9"/>
      <c r="JNW41" s="9"/>
      <c r="JNX41" s="9"/>
      <c r="JNY41" s="9"/>
      <c r="JNZ41" s="9"/>
      <c r="JOA41" s="9"/>
      <c r="JOB41" s="9"/>
      <c r="JOC41" s="9"/>
      <c r="JOD41" s="9"/>
      <c r="JOE41" s="9"/>
      <c r="JOF41" s="9"/>
      <c r="JOG41" s="9"/>
      <c r="JOH41" s="9"/>
      <c r="JOI41" s="9"/>
      <c r="JOJ41" s="9"/>
      <c r="JOK41" s="9"/>
      <c r="JOL41" s="9"/>
      <c r="JOM41" s="9"/>
      <c r="JON41" s="9"/>
      <c r="JOO41" s="9"/>
      <c r="JOP41" s="9"/>
      <c r="JOQ41" s="9"/>
      <c r="JOR41" s="9"/>
      <c r="JOS41" s="9"/>
      <c r="JOT41" s="9"/>
      <c r="JOU41" s="9"/>
      <c r="JOV41" s="9"/>
      <c r="JOW41" s="9"/>
      <c r="JOX41" s="9"/>
      <c r="JOY41" s="9"/>
      <c r="JOZ41" s="9"/>
      <c r="JPA41" s="9"/>
      <c r="JPB41" s="9"/>
      <c r="JPC41" s="9"/>
      <c r="JPD41" s="9"/>
      <c r="JPE41" s="9"/>
      <c r="JPF41" s="9"/>
      <c r="JPG41" s="9"/>
      <c r="JPH41" s="9"/>
      <c r="JPI41" s="9"/>
      <c r="JPJ41" s="9"/>
      <c r="JPK41" s="9"/>
      <c r="JPL41" s="9"/>
      <c r="JPM41" s="9"/>
      <c r="JPN41" s="9"/>
      <c r="JPO41" s="9"/>
      <c r="JPP41" s="9"/>
      <c r="JPQ41" s="9"/>
      <c r="JPR41" s="9"/>
      <c r="JPS41" s="9"/>
      <c r="JPT41" s="9"/>
      <c r="JPU41" s="9"/>
      <c r="JPV41" s="9"/>
      <c r="JPW41" s="9"/>
      <c r="JPX41" s="9"/>
      <c r="JPY41" s="9"/>
      <c r="JPZ41" s="9"/>
      <c r="JQA41" s="9"/>
      <c r="JQB41" s="9"/>
      <c r="JQC41" s="9"/>
      <c r="JQD41" s="9"/>
      <c r="JQE41" s="9"/>
      <c r="JQF41" s="9"/>
      <c r="JQG41" s="9"/>
      <c r="JQH41" s="9"/>
      <c r="JQI41" s="9"/>
      <c r="JQJ41" s="9"/>
      <c r="JQK41" s="9"/>
      <c r="JQL41" s="9"/>
      <c r="JQM41" s="9"/>
      <c r="JQN41" s="9"/>
      <c r="JQO41" s="9"/>
      <c r="JQP41" s="9"/>
      <c r="JQQ41" s="9"/>
      <c r="JQR41" s="9"/>
      <c r="JQS41" s="9"/>
      <c r="JQT41" s="9"/>
      <c r="JQU41" s="9"/>
      <c r="JQV41" s="9"/>
      <c r="JQW41" s="9"/>
      <c r="JQX41" s="9"/>
      <c r="JQY41" s="9"/>
      <c r="JQZ41" s="9"/>
      <c r="JRA41" s="9"/>
      <c r="JRB41" s="9"/>
      <c r="JRC41" s="9"/>
      <c r="JRD41" s="9"/>
      <c r="JRE41" s="9"/>
      <c r="JRF41" s="9"/>
      <c r="JRG41" s="9"/>
      <c r="JRH41" s="9"/>
      <c r="JRI41" s="9"/>
      <c r="JRJ41" s="9"/>
      <c r="JRK41" s="9"/>
      <c r="JRL41" s="9"/>
      <c r="JRM41" s="9"/>
      <c r="JRN41" s="9"/>
      <c r="JRO41" s="9"/>
      <c r="JRP41" s="9"/>
      <c r="JRQ41" s="9"/>
      <c r="JRR41" s="9"/>
      <c r="JRS41" s="9"/>
      <c r="JRT41" s="9"/>
      <c r="JRU41" s="9"/>
      <c r="JRV41" s="9"/>
      <c r="JRW41" s="9"/>
      <c r="JRX41" s="9"/>
      <c r="JRY41" s="9"/>
      <c r="JRZ41" s="9"/>
      <c r="JSA41" s="9"/>
      <c r="JSB41" s="9"/>
      <c r="JSC41" s="9"/>
      <c r="JSD41" s="9"/>
      <c r="JSE41" s="9"/>
      <c r="JSF41" s="9"/>
      <c r="JSG41" s="9"/>
      <c r="JSH41" s="9"/>
      <c r="JSI41" s="9"/>
      <c r="JSJ41" s="9"/>
      <c r="JSK41" s="9"/>
      <c r="JSL41" s="9"/>
      <c r="JSM41" s="9"/>
      <c r="JSN41" s="9"/>
      <c r="JSO41" s="9"/>
      <c r="JSP41" s="9"/>
      <c r="JSQ41" s="9"/>
      <c r="JSR41" s="9"/>
      <c r="JSS41" s="9"/>
      <c r="JST41" s="9"/>
      <c r="JSU41" s="9"/>
      <c r="JSV41" s="9"/>
      <c r="JSW41" s="9"/>
      <c r="JSX41" s="9"/>
      <c r="JSY41" s="9"/>
      <c r="JSZ41" s="9"/>
      <c r="JTA41" s="9"/>
      <c r="JTB41" s="9"/>
      <c r="JTC41" s="9"/>
      <c r="JTD41" s="9"/>
      <c r="JTE41" s="9"/>
      <c r="JTF41" s="9"/>
      <c r="JTG41" s="9"/>
      <c r="JTH41" s="9"/>
      <c r="JTI41" s="9"/>
      <c r="JTJ41" s="9"/>
      <c r="JTK41" s="9"/>
      <c r="JTL41" s="9"/>
      <c r="JTM41" s="9"/>
      <c r="JTN41" s="9"/>
      <c r="JTO41" s="9"/>
      <c r="JTP41" s="9"/>
      <c r="JTQ41" s="9"/>
      <c r="JTR41" s="9"/>
      <c r="JTS41" s="9"/>
      <c r="JTT41" s="9"/>
      <c r="JTU41" s="9"/>
      <c r="JTV41" s="9"/>
      <c r="JTW41" s="9"/>
      <c r="JTX41" s="9"/>
      <c r="JTY41" s="9"/>
      <c r="JTZ41" s="9"/>
      <c r="JUA41" s="9"/>
      <c r="JUB41" s="9"/>
      <c r="JUC41" s="9"/>
      <c r="JUD41" s="9"/>
      <c r="JUE41" s="9"/>
      <c r="JUF41" s="9"/>
      <c r="JUG41" s="9"/>
      <c r="JUH41" s="9"/>
      <c r="JUI41" s="9"/>
      <c r="JUJ41" s="9"/>
      <c r="JUK41" s="9"/>
      <c r="JUL41" s="9"/>
      <c r="JUM41" s="9"/>
      <c r="JUN41" s="9"/>
      <c r="JUO41" s="9"/>
      <c r="JUP41" s="9"/>
      <c r="JUQ41" s="9"/>
      <c r="JUR41" s="9"/>
      <c r="JUS41" s="9"/>
      <c r="JUT41" s="9"/>
      <c r="JUU41" s="9"/>
      <c r="JUV41" s="9"/>
      <c r="JUW41" s="9"/>
      <c r="JUX41" s="9"/>
      <c r="JUY41" s="9"/>
      <c r="JUZ41" s="9"/>
      <c r="JVA41" s="9"/>
      <c r="JVB41" s="9"/>
      <c r="JVC41" s="9"/>
      <c r="JVD41" s="9"/>
      <c r="JVE41" s="9"/>
      <c r="JVF41" s="9"/>
      <c r="JVG41" s="9"/>
      <c r="JVH41" s="9"/>
      <c r="JVI41" s="9"/>
      <c r="JVJ41" s="9"/>
      <c r="JVK41" s="9"/>
      <c r="JVL41" s="9"/>
      <c r="JVM41" s="9"/>
      <c r="JVN41" s="9"/>
      <c r="JVO41" s="9"/>
      <c r="JVP41" s="9"/>
      <c r="JVQ41" s="9"/>
      <c r="JVR41" s="9"/>
      <c r="JVS41" s="9"/>
      <c r="JVT41" s="9"/>
      <c r="JVU41" s="9"/>
      <c r="JVV41" s="9"/>
      <c r="JVW41" s="9"/>
      <c r="JVX41" s="9"/>
      <c r="JVY41" s="9"/>
      <c r="JVZ41" s="9"/>
      <c r="JWA41" s="9"/>
      <c r="JWB41" s="9"/>
      <c r="JWC41" s="9"/>
      <c r="JWD41" s="9"/>
      <c r="JWE41" s="9"/>
      <c r="JWF41" s="9"/>
      <c r="JWG41" s="9"/>
      <c r="JWH41" s="9"/>
      <c r="JWI41" s="9"/>
      <c r="JWJ41" s="9"/>
      <c r="JWK41" s="9"/>
      <c r="JWL41" s="9"/>
      <c r="JWM41" s="9"/>
      <c r="JWN41" s="9"/>
      <c r="JWO41" s="9"/>
      <c r="JWP41" s="9"/>
      <c r="JWQ41" s="9"/>
      <c r="JWR41" s="9"/>
      <c r="JWS41" s="9"/>
      <c r="JWT41" s="9"/>
      <c r="JWU41" s="9"/>
      <c r="JWV41" s="9"/>
      <c r="JWW41" s="9"/>
      <c r="JWX41" s="9"/>
      <c r="JWY41" s="9"/>
      <c r="JWZ41" s="9"/>
      <c r="JXA41" s="9"/>
      <c r="JXB41" s="9"/>
      <c r="JXC41" s="9"/>
      <c r="JXD41" s="9"/>
      <c r="JXE41" s="9"/>
      <c r="JXF41" s="9"/>
      <c r="JXG41" s="9"/>
      <c r="JXH41" s="9"/>
      <c r="JXI41" s="9"/>
      <c r="JXJ41" s="9"/>
      <c r="JXK41" s="9"/>
      <c r="JXL41" s="9"/>
      <c r="JXM41" s="9"/>
      <c r="JXN41" s="9"/>
      <c r="JXO41" s="9"/>
      <c r="JXP41" s="9"/>
      <c r="JXQ41" s="9"/>
      <c r="JXR41" s="9"/>
      <c r="JXS41" s="9"/>
      <c r="JXT41" s="9"/>
      <c r="JXU41" s="9"/>
      <c r="JXV41" s="9"/>
      <c r="JXW41" s="9"/>
      <c r="JXX41" s="9"/>
      <c r="JXY41" s="9"/>
      <c r="JXZ41" s="9"/>
      <c r="JYA41" s="9"/>
      <c r="JYB41" s="9"/>
      <c r="JYC41" s="9"/>
      <c r="JYD41" s="9"/>
      <c r="JYE41" s="9"/>
      <c r="JYF41" s="9"/>
      <c r="JYG41" s="9"/>
      <c r="JYH41" s="9"/>
      <c r="JYI41" s="9"/>
      <c r="JYJ41" s="9"/>
      <c r="JYK41" s="9"/>
      <c r="JYL41" s="9"/>
      <c r="JYM41" s="9"/>
      <c r="JYN41" s="9"/>
      <c r="JYO41" s="9"/>
      <c r="JYP41" s="9"/>
      <c r="JYQ41" s="9"/>
      <c r="JYR41" s="9"/>
      <c r="JYS41" s="9"/>
      <c r="JYT41" s="9"/>
      <c r="JYU41" s="9"/>
      <c r="JYV41" s="9"/>
      <c r="JYW41" s="9"/>
      <c r="JYX41" s="9"/>
      <c r="JYY41" s="9"/>
      <c r="JYZ41" s="9"/>
      <c r="JZA41" s="9"/>
      <c r="JZB41" s="9"/>
      <c r="JZC41" s="9"/>
      <c r="JZD41" s="9"/>
      <c r="JZE41" s="9"/>
      <c r="JZF41" s="9"/>
      <c r="JZG41" s="9"/>
      <c r="JZH41" s="9"/>
      <c r="JZI41" s="9"/>
      <c r="JZJ41" s="9"/>
      <c r="JZK41" s="9"/>
      <c r="JZL41" s="9"/>
      <c r="JZM41" s="9"/>
      <c r="JZN41" s="9"/>
      <c r="JZO41" s="9"/>
      <c r="JZP41" s="9"/>
      <c r="JZQ41" s="9"/>
      <c r="JZR41" s="9"/>
      <c r="JZS41" s="9"/>
      <c r="JZT41" s="9"/>
      <c r="JZU41" s="9"/>
      <c r="JZV41" s="9"/>
      <c r="JZW41" s="9"/>
      <c r="JZX41" s="9"/>
      <c r="JZY41" s="9"/>
      <c r="JZZ41" s="9"/>
      <c r="KAA41" s="9"/>
      <c r="KAB41" s="9"/>
      <c r="KAC41" s="9"/>
      <c r="KAD41" s="9"/>
      <c r="KAE41" s="9"/>
      <c r="KAF41" s="9"/>
      <c r="KAG41" s="9"/>
      <c r="KAH41" s="9"/>
      <c r="KAI41" s="9"/>
      <c r="KAJ41" s="9"/>
      <c r="KAK41" s="9"/>
      <c r="KAL41" s="9"/>
      <c r="KAM41" s="9"/>
      <c r="KAN41" s="9"/>
      <c r="KAO41" s="9"/>
      <c r="KAP41" s="9"/>
      <c r="KAQ41" s="9"/>
      <c r="KAR41" s="9"/>
      <c r="KAS41" s="9"/>
      <c r="KAT41" s="9"/>
      <c r="KAU41" s="9"/>
      <c r="KAV41" s="9"/>
      <c r="KAW41" s="9"/>
      <c r="KAX41" s="9"/>
      <c r="KAY41" s="9"/>
      <c r="KAZ41" s="9"/>
      <c r="KBA41" s="9"/>
      <c r="KBB41" s="9"/>
      <c r="KBC41" s="9"/>
      <c r="KBD41" s="9"/>
      <c r="KBE41" s="9"/>
      <c r="KBF41" s="9"/>
      <c r="KBG41" s="9"/>
      <c r="KBH41" s="9"/>
      <c r="KBI41" s="9"/>
      <c r="KBJ41" s="9"/>
      <c r="KBK41" s="9"/>
      <c r="KBL41" s="9"/>
      <c r="KBM41" s="9"/>
      <c r="KBN41" s="9"/>
      <c r="KBO41" s="9"/>
      <c r="KBP41" s="9"/>
      <c r="KBQ41" s="9"/>
      <c r="KBR41" s="9"/>
      <c r="KBS41" s="9"/>
      <c r="KBT41" s="9"/>
      <c r="KBU41" s="9"/>
      <c r="KBV41" s="9"/>
      <c r="KBW41" s="9"/>
      <c r="KBX41" s="9"/>
      <c r="KBY41" s="9"/>
      <c r="KBZ41" s="9"/>
      <c r="KCA41" s="9"/>
      <c r="KCB41" s="9"/>
      <c r="KCC41" s="9"/>
      <c r="KCD41" s="9"/>
      <c r="KCE41" s="9"/>
      <c r="KCF41" s="9"/>
      <c r="KCG41" s="9"/>
      <c r="KCH41" s="9"/>
      <c r="KCI41" s="9"/>
      <c r="KCJ41" s="9"/>
      <c r="KCK41" s="9"/>
      <c r="KCL41" s="9"/>
      <c r="KCM41" s="9"/>
      <c r="KCN41" s="9"/>
      <c r="KCO41" s="9"/>
      <c r="KCP41" s="9"/>
      <c r="KCQ41" s="9"/>
      <c r="KCR41" s="9"/>
      <c r="KCS41" s="9"/>
      <c r="KCT41" s="9"/>
      <c r="KCU41" s="9"/>
      <c r="KCV41" s="9"/>
      <c r="KCW41" s="9"/>
      <c r="KCX41" s="9"/>
      <c r="KCY41" s="9"/>
      <c r="KCZ41" s="9"/>
      <c r="KDA41" s="9"/>
      <c r="KDB41" s="9"/>
      <c r="KDC41" s="9"/>
      <c r="KDD41" s="9"/>
      <c r="KDE41" s="9"/>
      <c r="KDF41" s="9"/>
      <c r="KDG41" s="9"/>
      <c r="KDH41" s="9"/>
      <c r="KDI41" s="9"/>
      <c r="KDJ41" s="9"/>
      <c r="KDK41" s="9"/>
      <c r="KDL41" s="9"/>
      <c r="KDM41" s="9"/>
      <c r="KDN41" s="9"/>
      <c r="KDO41" s="9"/>
      <c r="KDP41" s="9"/>
      <c r="KDQ41" s="9"/>
      <c r="KDR41" s="9"/>
      <c r="KDS41" s="9"/>
      <c r="KDT41" s="9"/>
      <c r="KDU41" s="9"/>
      <c r="KDV41" s="9"/>
      <c r="KDW41" s="9"/>
      <c r="KDX41" s="9"/>
      <c r="KDY41" s="9"/>
      <c r="KDZ41" s="9"/>
      <c r="KEA41" s="9"/>
      <c r="KEB41" s="9"/>
      <c r="KEC41" s="9"/>
      <c r="KED41" s="9"/>
      <c r="KEE41" s="9"/>
      <c r="KEF41" s="9"/>
      <c r="KEG41" s="9"/>
      <c r="KEH41" s="9"/>
      <c r="KEI41" s="9"/>
      <c r="KEJ41" s="9"/>
      <c r="KEK41" s="9"/>
      <c r="KEL41" s="9"/>
      <c r="KEM41" s="9"/>
      <c r="KEN41" s="9"/>
      <c r="KEO41" s="9"/>
      <c r="KEP41" s="9"/>
      <c r="KEQ41" s="9"/>
      <c r="KER41" s="9"/>
      <c r="KES41" s="9"/>
      <c r="KET41" s="9"/>
      <c r="KEU41" s="9"/>
      <c r="KEV41" s="9"/>
      <c r="KEW41" s="9"/>
      <c r="KEX41" s="9"/>
      <c r="KEY41" s="9"/>
      <c r="KEZ41" s="9"/>
      <c r="KFA41" s="9"/>
      <c r="KFB41" s="9"/>
      <c r="KFC41" s="9"/>
      <c r="KFD41" s="9"/>
      <c r="KFE41" s="9"/>
      <c r="KFF41" s="9"/>
      <c r="KFG41" s="9"/>
      <c r="KFH41" s="9"/>
      <c r="KFI41" s="9"/>
      <c r="KFJ41" s="9"/>
      <c r="KFK41" s="9"/>
      <c r="KFL41" s="9"/>
      <c r="KFM41" s="9"/>
      <c r="KFN41" s="9"/>
      <c r="KFO41" s="9"/>
      <c r="KFP41" s="9"/>
      <c r="KFQ41" s="9"/>
      <c r="KFR41" s="9"/>
      <c r="KFS41" s="9"/>
      <c r="KFT41" s="9"/>
      <c r="KFU41" s="9"/>
      <c r="KFV41" s="9"/>
      <c r="KFW41" s="9"/>
      <c r="KFX41" s="9"/>
      <c r="KFY41" s="9"/>
      <c r="KFZ41" s="9"/>
      <c r="KGA41" s="9"/>
      <c r="KGB41" s="9"/>
      <c r="KGC41" s="9"/>
      <c r="KGD41" s="9"/>
      <c r="KGE41" s="9"/>
      <c r="KGF41" s="9"/>
      <c r="KGG41" s="9"/>
      <c r="KGH41" s="9"/>
      <c r="KGI41" s="9"/>
      <c r="KGJ41" s="9"/>
      <c r="KGK41" s="9"/>
      <c r="KGL41" s="9"/>
      <c r="KGM41" s="9"/>
      <c r="KGN41" s="9"/>
      <c r="KGO41" s="9"/>
      <c r="KGP41" s="9"/>
      <c r="KGQ41" s="9"/>
      <c r="KGR41" s="9"/>
      <c r="KGS41" s="9"/>
      <c r="KGT41" s="9"/>
      <c r="KGU41" s="9"/>
      <c r="KGV41" s="9"/>
      <c r="KGW41" s="9"/>
      <c r="KGX41" s="9"/>
      <c r="KGY41" s="9"/>
      <c r="KGZ41" s="9"/>
      <c r="KHA41" s="9"/>
      <c r="KHB41" s="9"/>
      <c r="KHC41" s="9"/>
      <c r="KHD41" s="9"/>
      <c r="KHE41" s="9"/>
      <c r="KHF41" s="9"/>
      <c r="KHG41" s="9"/>
      <c r="KHH41" s="9"/>
      <c r="KHI41" s="9"/>
      <c r="KHJ41" s="9"/>
      <c r="KHK41" s="9"/>
      <c r="KHL41" s="9"/>
      <c r="KHM41" s="9"/>
      <c r="KHN41" s="9"/>
      <c r="KHO41" s="9"/>
      <c r="KHP41" s="9"/>
      <c r="KHQ41" s="9"/>
      <c r="KHR41" s="9"/>
      <c r="KHS41" s="9"/>
      <c r="KHT41" s="9"/>
      <c r="KHU41" s="9"/>
      <c r="KHV41" s="9"/>
      <c r="KHW41" s="9"/>
      <c r="KHX41" s="9"/>
      <c r="KHY41" s="9"/>
      <c r="KHZ41" s="9"/>
      <c r="KIA41" s="9"/>
      <c r="KIB41" s="9"/>
      <c r="KIC41" s="9"/>
      <c r="KID41" s="9"/>
      <c r="KIE41" s="9"/>
      <c r="KIF41" s="9"/>
      <c r="KIG41" s="9"/>
      <c r="KIH41" s="9"/>
      <c r="KII41" s="9"/>
      <c r="KIJ41" s="9"/>
      <c r="KIK41" s="9"/>
      <c r="KIL41" s="9"/>
      <c r="KIM41" s="9"/>
      <c r="KIN41" s="9"/>
      <c r="KIO41" s="9"/>
      <c r="KIP41" s="9"/>
      <c r="KIQ41" s="9"/>
      <c r="KIR41" s="9"/>
      <c r="KIS41" s="9"/>
      <c r="KIT41" s="9"/>
      <c r="KIU41" s="9"/>
      <c r="KIV41" s="9"/>
      <c r="KIW41" s="9"/>
      <c r="KIX41" s="9"/>
      <c r="KIY41" s="9"/>
      <c r="KIZ41" s="9"/>
      <c r="KJA41" s="9"/>
      <c r="KJB41" s="9"/>
      <c r="KJC41" s="9"/>
      <c r="KJD41" s="9"/>
      <c r="KJE41" s="9"/>
      <c r="KJF41" s="9"/>
      <c r="KJG41" s="9"/>
      <c r="KJH41" s="9"/>
      <c r="KJI41" s="9"/>
      <c r="KJJ41" s="9"/>
      <c r="KJK41" s="9"/>
      <c r="KJL41" s="9"/>
      <c r="KJM41" s="9"/>
      <c r="KJN41" s="9"/>
      <c r="KJO41" s="9"/>
      <c r="KJP41" s="9"/>
      <c r="KJQ41" s="9"/>
      <c r="KJR41" s="9"/>
      <c r="KJS41" s="9"/>
      <c r="KJT41" s="9"/>
      <c r="KJU41" s="9"/>
      <c r="KJV41" s="9"/>
      <c r="KJW41" s="9"/>
      <c r="KJX41" s="9"/>
      <c r="KJY41" s="9"/>
      <c r="KJZ41" s="9"/>
      <c r="KKA41" s="9"/>
      <c r="KKB41" s="9"/>
      <c r="KKC41" s="9"/>
      <c r="KKD41" s="9"/>
      <c r="KKE41" s="9"/>
      <c r="KKF41" s="9"/>
      <c r="KKG41" s="9"/>
      <c r="KKH41" s="9"/>
      <c r="KKI41" s="9"/>
      <c r="KKJ41" s="9"/>
      <c r="KKK41" s="9"/>
      <c r="KKL41" s="9"/>
      <c r="KKM41" s="9"/>
      <c r="KKN41" s="9"/>
      <c r="KKO41" s="9"/>
      <c r="KKP41" s="9"/>
      <c r="KKQ41" s="9"/>
      <c r="KKR41" s="9"/>
      <c r="KKS41" s="9"/>
      <c r="KKT41" s="9"/>
      <c r="KKU41" s="9"/>
      <c r="KKV41" s="9"/>
      <c r="KKW41" s="9"/>
      <c r="KKX41" s="9"/>
      <c r="KKY41" s="9"/>
      <c r="KKZ41" s="9"/>
      <c r="KLA41" s="9"/>
      <c r="KLB41" s="9"/>
      <c r="KLC41" s="9"/>
      <c r="KLD41" s="9"/>
      <c r="KLE41" s="9"/>
      <c r="KLF41" s="9"/>
      <c r="KLG41" s="9"/>
      <c r="KLH41" s="9"/>
      <c r="KLI41" s="9"/>
      <c r="KLJ41" s="9"/>
      <c r="KLK41" s="9"/>
      <c r="KLL41" s="9"/>
      <c r="KLM41" s="9"/>
      <c r="KLN41" s="9"/>
      <c r="KLO41" s="9"/>
      <c r="KLP41" s="9"/>
      <c r="KLQ41" s="9"/>
      <c r="KLR41" s="9"/>
      <c r="KLS41" s="9"/>
      <c r="KLT41" s="9"/>
      <c r="KLU41" s="9"/>
      <c r="KLV41" s="9"/>
      <c r="KLW41" s="9"/>
      <c r="KLX41" s="9"/>
      <c r="KLY41" s="9"/>
      <c r="KLZ41" s="9"/>
      <c r="KMA41" s="9"/>
      <c r="KMB41" s="9"/>
      <c r="KMC41" s="9"/>
      <c r="KMD41" s="9"/>
      <c r="KME41" s="9"/>
      <c r="KMF41" s="9"/>
      <c r="KMG41" s="9"/>
      <c r="KMH41" s="9"/>
      <c r="KMI41" s="9"/>
      <c r="KMJ41" s="9"/>
      <c r="KMK41" s="9"/>
      <c r="KML41" s="9"/>
      <c r="KMM41" s="9"/>
      <c r="KMN41" s="9"/>
      <c r="KMO41" s="9"/>
      <c r="KMP41" s="9"/>
      <c r="KMQ41" s="9"/>
      <c r="KMR41" s="9"/>
      <c r="KMS41" s="9"/>
      <c r="KMT41" s="9"/>
      <c r="KMU41" s="9"/>
      <c r="KMV41" s="9"/>
      <c r="KMW41" s="9"/>
      <c r="KMX41" s="9"/>
      <c r="KMY41" s="9"/>
      <c r="KMZ41" s="9"/>
      <c r="KNA41" s="9"/>
      <c r="KNB41" s="9"/>
      <c r="KNC41" s="9"/>
      <c r="KND41" s="9"/>
      <c r="KNE41" s="9"/>
      <c r="KNF41" s="9"/>
      <c r="KNG41" s="9"/>
      <c r="KNH41" s="9"/>
      <c r="KNI41" s="9"/>
      <c r="KNJ41" s="9"/>
      <c r="KNK41" s="9"/>
      <c r="KNL41" s="9"/>
      <c r="KNM41" s="9"/>
      <c r="KNN41" s="9"/>
      <c r="KNO41" s="9"/>
      <c r="KNP41" s="9"/>
      <c r="KNQ41" s="9"/>
      <c r="KNR41" s="9"/>
      <c r="KNS41" s="9"/>
      <c r="KNT41" s="9"/>
      <c r="KNU41" s="9"/>
      <c r="KNV41" s="9"/>
      <c r="KNW41" s="9"/>
      <c r="KNX41" s="9"/>
      <c r="KNY41" s="9"/>
      <c r="KNZ41" s="9"/>
      <c r="KOA41" s="9"/>
      <c r="KOB41" s="9"/>
      <c r="KOC41" s="9"/>
      <c r="KOD41" s="9"/>
      <c r="KOE41" s="9"/>
      <c r="KOF41" s="9"/>
      <c r="KOG41" s="9"/>
      <c r="KOH41" s="9"/>
      <c r="KOI41" s="9"/>
      <c r="KOJ41" s="9"/>
      <c r="KOK41" s="9"/>
      <c r="KOL41" s="9"/>
      <c r="KOM41" s="9"/>
      <c r="KON41" s="9"/>
      <c r="KOO41" s="9"/>
      <c r="KOP41" s="9"/>
      <c r="KOQ41" s="9"/>
      <c r="KOR41" s="9"/>
      <c r="KOS41" s="9"/>
      <c r="KOT41" s="9"/>
      <c r="KOU41" s="9"/>
      <c r="KOV41" s="9"/>
      <c r="KOW41" s="9"/>
      <c r="KOX41" s="9"/>
      <c r="KOY41" s="9"/>
      <c r="KOZ41" s="9"/>
      <c r="KPA41" s="9"/>
      <c r="KPB41" s="9"/>
      <c r="KPC41" s="9"/>
      <c r="KPD41" s="9"/>
      <c r="KPE41" s="9"/>
      <c r="KPF41" s="9"/>
      <c r="KPG41" s="9"/>
      <c r="KPH41" s="9"/>
      <c r="KPI41" s="9"/>
      <c r="KPJ41" s="9"/>
      <c r="KPK41" s="9"/>
      <c r="KPL41" s="9"/>
      <c r="KPM41" s="9"/>
      <c r="KPN41" s="9"/>
      <c r="KPO41" s="9"/>
      <c r="KPP41" s="9"/>
      <c r="KPQ41" s="9"/>
      <c r="KPR41" s="9"/>
      <c r="KPS41" s="9"/>
      <c r="KPT41" s="9"/>
      <c r="KPU41" s="9"/>
      <c r="KPV41" s="9"/>
      <c r="KPW41" s="9"/>
      <c r="KPX41" s="9"/>
      <c r="KPY41" s="9"/>
      <c r="KPZ41" s="9"/>
      <c r="KQA41" s="9"/>
      <c r="KQB41" s="9"/>
      <c r="KQC41" s="9"/>
      <c r="KQD41" s="9"/>
      <c r="KQE41" s="9"/>
      <c r="KQF41" s="9"/>
      <c r="KQG41" s="9"/>
      <c r="KQH41" s="9"/>
      <c r="KQI41" s="9"/>
      <c r="KQJ41" s="9"/>
      <c r="KQK41" s="9"/>
      <c r="KQL41" s="9"/>
      <c r="KQM41" s="9"/>
      <c r="KQN41" s="9"/>
      <c r="KQO41" s="9"/>
      <c r="KQP41" s="9"/>
      <c r="KQQ41" s="9"/>
      <c r="KQR41" s="9"/>
      <c r="KQS41" s="9"/>
      <c r="KQT41" s="9"/>
      <c r="KQU41" s="9"/>
      <c r="KQV41" s="9"/>
      <c r="KQW41" s="9"/>
      <c r="KQX41" s="9"/>
      <c r="KQY41" s="9"/>
      <c r="KQZ41" s="9"/>
      <c r="KRA41" s="9"/>
      <c r="KRB41" s="9"/>
      <c r="KRC41" s="9"/>
      <c r="KRD41" s="9"/>
      <c r="KRE41" s="9"/>
      <c r="KRF41" s="9"/>
      <c r="KRG41" s="9"/>
      <c r="KRH41" s="9"/>
      <c r="KRI41" s="9"/>
      <c r="KRJ41" s="9"/>
      <c r="KRK41" s="9"/>
      <c r="KRL41" s="9"/>
      <c r="KRM41" s="9"/>
      <c r="KRN41" s="9"/>
      <c r="KRO41" s="9"/>
      <c r="KRP41" s="9"/>
      <c r="KRQ41" s="9"/>
      <c r="KRR41" s="9"/>
      <c r="KRS41" s="9"/>
      <c r="KRT41" s="9"/>
      <c r="KRU41" s="9"/>
      <c r="KRV41" s="9"/>
      <c r="KRW41" s="9"/>
      <c r="KRX41" s="9"/>
      <c r="KRY41" s="9"/>
      <c r="KRZ41" s="9"/>
      <c r="KSA41" s="9"/>
      <c r="KSB41" s="9"/>
      <c r="KSC41" s="9"/>
      <c r="KSD41" s="9"/>
      <c r="KSE41" s="9"/>
      <c r="KSF41" s="9"/>
      <c r="KSG41" s="9"/>
      <c r="KSH41" s="9"/>
      <c r="KSI41" s="9"/>
      <c r="KSJ41" s="9"/>
      <c r="KSK41" s="9"/>
      <c r="KSL41" s="9"/>
      <c r="KSM41" s="9"/>
      <c r="KSN41" s="9"/>
      <c r="KSO41" s="9"/>
      <c r="KSP41" s="9"/>
      <c r="KSQ41" s="9"/>
      <c r="KSR41" s="9"/>
      <c r="KSS41" s="9"/>
      <c r="KST41" s="9"/>
      <c r="KSU41" s="9"/>
      <c r="KSV41" s="9"/>
      <c r="KSW41" s="9"/>
      <c r="KSX41" s="9"/>
      <c r="KSY41" s="9"/>
      <c r="KSZ41" s="9"/>
      <c r="KTA41" s="9"/>
      <c r="KTB41" s="9"/>
      <c r="KTC41" s="9"/>
      <c r="KTD41" s="9"/>
      <c r="KTE41" s="9"/>
      <c r="KTF41" s="9"/>
      <c r="KTG41" s="9"/>
      <c r="KTH41" s="9"/>
      <c r="KTI41" s="9"/>
      <c r="KTJ41" s="9"/>
      <c r="KTK41" s="9"/>
      <c r="KTL41" s="9"/>
      <c r="KTM41" s="9"/>
      <c r="KTN41" s="9"/>
      <c r="KTO41" s="9"/>
      <c r="KTP41" s="9"/>
      <c r="KTQ41" s="9"/>
      <c r="KTR41" s="9"/>
      <c r="KTS41" s="9"/>
      <c r="KTT41" s="9"/>
      <c r="KTU41" s="9"/>
      <c r="KTV41" s="9"/>
      <c r="KTW41" s="9"/>
      <c r="KTX41" s="9"/>
      <c r="KTY41" s="9"/>
      <c r="KTZ41" s="9"/>
      <c r="KUA41" s="9"/>
      <c r="KUB41" s="9"/>
      <c r="KUC41" s="9"/>
      <c r="KUD41" s="9"/>
      <c r="KUE41" s="9"/>
      <c r="KUF41" s="9"/>
      <c r="KUG41" s="9"/>
      <c r="KUH41" s="9"/>
      <c r="KUI41" s="9"/>
      <c r="KUJ41" s="9"/>
      <c r="KUK41" s="9"/>
      <c r="KUL41" s="9"/>
      <c r="KUM41" s="9"/>
      <c r="KUN41" s="9"/>
      <c r="KUO41" s="9"/>
      <c r="KUP41" s="9"/>
      <c r="KUQ41" s="9"/>
      <c r="KUR41" s="9"/>
      <c r="KUS41" s="9"/>
      <c r="KUT41" s="9"/>
      <c r="KUU41" s="9"/>
      <c r="KUV41" s="9"/>
      <c r="KUW41" s="9"/>
      <c r="KUX41" s="9"/>
      <c r="KUY41" s="9"/>
      <c r="KUZ41" s="9"/>
      <c r="KVA41" s="9"/>
      <c r="KVB41" s="9"/>
      <c r="KVC41" s="9"/>
      <c r="KVD41" s="9"/>
      <c r="KVE41" s="9"/>
      <c r="KVF41" s="9"/>
      <c r="KVG41" s="9"/>
      <c r="KVH41" s="9"/>
      <c r="KVI41" s="9"/>
      <c r="KVJ41" s="9"/>
      <c r="KVK41" s="9"/>
      <c r="KVL41" s="9"/>
      <c r="KVM41" s="9"/>
      <c r="KVN41" s="9"/>
      <c r="KVO41" s="9"/>
      <c r="KVP41" s="9"/>
      <c r="KVQ41" s="9"/>
      <c r="KVR41" s="9"/>
      <c r="KVS41" s="9"/>
      <c r="KVT41" s="9"/>
      <c r="KVU41" s="9"/>
      <c r="KVV41" s="9"/>
      <c r="KVW41" s="9"/>
      <c r="KVX41" s="9"/>
      <c r="KVY41" s="9"/>
      <c r="KVZ41" s="9"/>
      <c r="KWA41" s="9"/>
      <c r="KWB41" s="9"/>
      <c r="KWC41" s="9"/>
      <c r="KWD41" s="9"/>
      <c r="KWE41" s="9"/>
      <c r="KWF41" s="9"/>
      <c r="KWG41" s="9"/>
      <c r="KWH41" s="9"/>
      <c r="KWI41" s="9"/>
      <c r="KWJ41" s="9"/>
      <c r="KWK41" s="9"/>
      <c r="KWL41" s="9"/>
      <c r="KWM41" s="9"/>
      <c r="KWN41" s="9"/>
      <c r="KWO41" s="9"/>
      <c r="KWP41" s="9"/>
      <c r="KWQ41" s="9"/>
      <c r="KWR41" s="9"/>
      <c r="KWS41" s="9"/>
      <c r="KWT41" s="9"/>
      <c r="KWU41" s="9"/>
      <c r="KWV41" s="9"/>
      <c r="KWW41" s="9"/>
      <c r="KWX41" s="9"/>
      <c r="KWY41" s="9"/>
      <c r="KWZ41" s="9"/>
      <c r="KXA41" s="9"/>
      <c r="KXB41" s="9"/>
      <c r="KXC41" s="9"/>
      <c r="KXD41" s="9"/>
      <c r="KXE41" s="9"/>
      <c r="KXF41" s="9"/>
      <c r="KXG41" s="9"/>
      <c r="KXH41" s="9"/>
      <c r="KXI41" s="9"/>
      <c r="KXJ41" s="9"/>
      <c r="KXK41" s="9"/>
      <c r="KXL41" s="9"/>
      <c r="KXM41" s="9"/>
      <c r="KXN41" s="9"/>
      <c r="KXO41" s="9"/>
      <c r="KXP41" s="9"/>
      <c r="KXQ41" s="9"/>
      <c r="KXR41" s="9"/>
      <c r="KXS41" s="9"/>
      <c r="KXT41" s="9"/>
      <c r="KXU41" s="9"/>
      <c r="KXV41" s="9"/>
      <c r="KXW41" s="9"/>
      <c r="KXX41" s="9"/>
      <c r="KXY41" s="9"/>
      <c r="KXZ41" s="9"/>
      <c r="KYA41" s="9"/>
      <c r="KYB41" s="9"/>
      <c r="KYC41" s="9"/>
      <c r="KYD41" s="9"/>
      <c r="KYE41" s="9"/>
      <c r="KYF41" s="9"/>
      <c r="KYG41" s="9"/>
      <c r="KYH41" s="9"/>
      <c r="KYI41" s="9"/>
      <c r="KYJ41" s="9"/>
      <c r="KYK41" s="9"/>
      <c r="KYL41" s="9"/>
      <c r="KYM41" s="9"/>
      <c r="KYN41" s="9"/>
      <c r="KYO41" s="9"/>
      <c r="KYP41" s="9"/>
      <c r="KYQ41" s="9"/>
      <c r="KYR41" s="9"/>
      <c r="KYS41" s="9"/>
      <c r="KYT41" s="9"/>
      <c r="KYU41" s="9"/>
      <c r="KYV41" s="9"/>
      <c r="KYW41" s="9"/>
      <c r="KYX41" s="9"/>
      <c r="KYY41" s="9"/>
      <c r="KYZ41" s="9"/>
      <c r="KZA41" s="9"/>
      <c r="KZB41" s="9"/>
      <c r="KZC41" s="9"/>
      <c r="KZD41" s="9"/>
      <c r="KZE41" s="9"/>
      <c r="KZF41" s="9"/>
      <c r="KZG41" s="9"/>
      <c r="KZH41" s="9"/>
      <c r="KZI41" s="9"/>
      <c r="KZJ41" s="9"/>
      <c r="KZK41" s="9"/>
      <c r="KZL41" s="9"/>
      <c r="KZM41" s="9"/>
      <c r="KZN41" s="9"/>
      <c r="KZO41" s="9"/>
      <c r="KZP41" s="9"/>
      <c r="KZQ41" s="9"/>
      <c r="KZR41" s="9"/>
      <c r="KZS41" s="9"/>
      <c r="KZT41" s="9"/>
      <c r="KZU41" s="9"/>
      <c r="KZV41" s="9"/>
      <c r="KZW41" s="9"/>
      <c r="KZX41" s="9"/>
      <c r="KZY41" s="9"/>
      <c r="KZZ41" s="9"/>
      <c r="LAA41" s="9"/>
      <c r="LAB41" s="9"/>
      <c r="LAC41" s="9"/>
      <c r="LAD41" s="9"/>
      <c r="LAE41" s="9"/>
      <c r="LAF41" s="9"/>
      <c r="LAG41" s="9"/>
      <c r="LAH41" s="9"/>
      <c r="LAI41" s="9"/>
      <c r="LAJ41" s="9"/>
      <c r="LAK41" s="9"/>
      <c r="LAL41" s="9"/>
      <c r="LAM41" s="9"/>
      <c r="LAN41" s="9"/>
      <c r="LAO41" s="9"/>
      <c r="LAP41" s="9"/>
      <c r="LAQ41" s="9"/>
      <c r="LAR41" s="9"/>
      <c r="LAS41" s="9"/>
      <c r="LAT41" s="9"/>
      <c r="LAU41" s="9"/>
      <c r="LAV41" s="9"/>
      <c r="LAW41" s="9"/>
      <c r="LAX41" s="9"/>
      <c r="LAY41" s="9"/>
      <c r="LAZ41" s="9"/>
      <c r="LBA41" s="9"/>
      <c r="LBB41" s="9"/>
      <c r="LBC41" s="9"/>
      <c r="LBD41" s="9"/>
      <c r="LBE41" s="9"/>
      <c r="LBF41" s="9"/>
      <c r="LBG41" s="9"/>
      <c r="LBH41" s="9"/>
      <c r="LBI41" s="9"/>
      <c r="LBJ41" s="9"/>
      <c r="LBK41" s="9"/>
      <c r="LBL41" s="9"/>
      <c r="LBM41" s="9"/>
      <c r="LBN41" s="9"/>
      <c r="LBO41" s="9"/>
      <c r="LBP41" s="9"/>
      <c r="LBQ41" s="9"/>
      <c r="LBR41" s="9"/>
      <c r="LBS41" s="9"/>
      <c r="LBT41" s="9"/>
      <c r="LBU41" s="9"/>
      <c r="LBV41" s="9"/>
      <c r="LBW41" s="9"/>
      <c r="LBX41" s="9"/>
      <c r="LBY41" s="9"/>
      <c r="LBZ41" s="9"/>
      <c r="LCA41" s="9"/>
      <c r="LCB41" s="9"/>
      <c r="LCC41" s="9"/>
      <c r="LCD41" s="9"/>
      <c r="LCE41" s="9"/>
      <c r="LCF41" s="9"/>
      <c r="LCG41" s="9"/>
      <c r="LCH41" s="9"/>
      <c r="LCI41" s="9"/>
      <c r="LCJ41" s="9"/>
      <c r="LCK41" s="9"/>
      <c r="LCL41" s="9"/>
      <c r="LCM41" s="9"/>
      <c r="LCN41" s="9"/>
      <c r="LCO41" s="9"/>
      <c r="LCP41" s="9"/>
      <c r="LCQ41" s="9"/>
      <c r="LCR41" s="9"/>
      <c r="LCS41" s="9"/>
      <c r="LCT41" s="9"/>
      <c r="LCU41" s="9"/>
      <c r="LCV41" s="9"/>
      <c r="LCW41" s="9"/>
      <c r="LCX41" s="9"/>
      <c r="LCY41" s="9"/>
      <c r="LCZ41" s="9"/>
      <c r="LDA41" s="9"/>
      <c r="LDB41" s="9"/>
      <c r="LDC41" s="9"/>
      <c r="LDD41" s="9"/>
      <c r="LDE41" s="9"/>
      <c r="LDF41" s="9"/>
      <c r="LDG41" s="9"/>
      <c r="LDH41" s="9"/>
      <c r="LDI41" s="9"/>
      <c r="LDJ41" s="9"/>
      <c r="LDK41" s="9"/>
      <c r="LDL41" s="9"/>
      <c r="LDM41" s="9"/>
      <c r="LDN41" s="9"/>
      <c r="LDO41" s="9"/>
      <c r="LDP41" s="9"/>
      <c r="LDQ41" s="9"/>
      <c r="LDR41" s="9"/>
      <c r="LDS41" s="9"/>
      <c r="LDT41" s="9"/>
      <c r="LDU41" s="9"/>
      <c r="LDV41" s="9"/>
      <c r="LDW41" s="9"/>
      <c r="LDX41" s="9"/>
      <c r="LDY41" s="9"/>
      <c r="LDZ41" s="9"/>
      <c r="LEA41" s="9"/>
      <c r="LEB41" s="9"/>
      <c r="LEC41" s="9"/>
      <c r="LED41" s="9"/>
      <c r="LEE41" s="9"/>
      <c r="LEF41" s="9"/>
      <c r="LEG41" s="9"/>
      <c r="LEH41" s="9"/>
      <c r="LEI41" s="9"/>
      <c r="LEJ41" s="9"/>
      <c r="LEK41" s="9"/>
      <c r="LEL41" s="9"/>
      <c r="LEM41" s="9"/>
      <c r="LEN41" s="9"/>
      <c r="LEO41" s="9"/>
      <c r="LEP41" s="9"/>
      <c r="LEQ41" s="9"/>
      <c r="LER41" s="9"/>
      <c r="LES41" s="9"/>
      <c r="LET41" s="9"/>
      <c r="LEU41" s="9"/>
      <c r="LEV41" s="9"/>
      <c r="LEW41" s="9"/>
      <c r="LEX41" s="9"/>
      <c r="LEY41" s="9"/>
      <c r="LEZ41" s="9"/>
      <c r="LFA41" s="9"/>
      <c r="LFB41" s="9"/>
      <c r="LFC41" s="9"/>
      <c r="LFD41" s="9"/>
      <c r="LFE41" s="9"/>
      <c r="LFF41" s="9"/>
      <c r="LFG41" s="9"/>
      <c r="LFH41" s="9"/>
      <c r="LFI41" s="9"/>
      <c r="LFJ41" s="9"/>
      <c r="LFK41" s="9"/>
      <c r="LFL41" s="9"/>
      <c r="LFM41" s="9"/>
      <c r="LFN41" s="9"/>
      <c r="LFO41" s="9"/>
      <c r="LFP41" s="9"/>
      <c r="LFQ41" s="9"/>
      <c r="LFR41" s="9"/>
      <c r="LFS41" s="9"/>
      <c r="LFT41" s="9"/>
      <c r="LFU41" s="9"/>
      <c r="LFV41" s="9"/>
      <c r="LFW41" s="9"/>
      <c r="LFX41" s="9"/>
      <c r="LFY41" s="9"/>
      <c r="LFZ41" s="9"/>
      <c r="LGA41" s="9"/>
      <c r="LGB41" s="9"/>
      <c r="LGC41" s="9"/>
      <c r="LGD41" s="9"/>
      <c r="LGE41" s="9"/>
      <c r="LGF41" s="9"/>
      <c r="LGG41" s="9"/>
      <c r="LGH41" s="9"/>
      <c r="LGI41" s="9"/>
      <c r="LGJ41" s="9"/>
      <c r="LGK41" s="9"/>
      <c r="LGL41" s="9"/>
      <c r="LGM41" s="9"/>
      <c r="LGN41" s="9"/>
      <c r="LGO41" s="9"/>
      <c r="LGP41" s="9"/>
      <c r="LGQ41" s="9"/>
      <c r="LGR41" s="9"/>
      <c r="LGS41" s="9"/>
      <c r="LGT41" s="9"/>
      <c r="LGU41" s="9"/>
      <c r="LGV41" s="9"/>
      <c r="LGW41" s="9"/>
      <c r="LGX41" s="9"/>
      <c r="LGY41" s="9"/>
      <c r="LGZ41" s="9"/>
      <c r="LHA41" s="9"/>
      <c r="LHB41" s="9"/>
      <c r="LHC41" s="9"/>
      <c r="LHD41" s="9"/>
      <c r="LHE41" s="9"/>
      <c r="LHF41" s="9"/>
      <c r="LHG41" s="9"/>
      <c r="LHH41" s="9"/>
      <c r="LHI41" s="9"/>
      <c r="LHJ41" s="9"/>
      <c r="LHK41" s="9"/>
      <c r="LHL41" s="9"/>
      <c r="LHM41" s="9"/>
      <c r="LHN41" s="9"/>
      <c r="LHO41" s="9"/>
      <c r="LHP41" s="9"/>
      <c r="LHQ41" s="9"/>
      <c r="LHR41" s="9"/>
      <c r="LHS41" s="9"/>
      <c r="LHT41" s="9"/>
      <c r="LHU41" s="9"/>
      <c r="LHV41" s="9"/>
      <c r="LHW41" s="9"/>
      <c r="LHX41" s="9"/>
      <c r="LHY41" s="9"/>
      <c r="LHZ41" s="9"/>
      <c r="LIA41" s="9"/>
      <c r="LIB41" s="9"/>
      <c r="LIC41" s="9"/>
      <c r="LID41" s="9"/>
      <c r="LIE41" s="9"/>
      <c r="LIF41" s="9"/>
      <c r="LIG41" s="9"/>
      <c r="LIH41" s="9"/>
      <c r="LII41" s="9"/>
      <c r="LIJ41" s="9"/>
      <c r="LIK41" s="9"/>
      <c r="LIL41" s="9"/>
      <c r="LIM41" s="9"/>
      <c r="LIN41" s="9"/>
      <c r="LIO41" s="9"/>
      <c r="LIP41" s="9"/>
      <c r="LIQ41" s="9"/>
      <c r="LIR41" s="9"/>
      <c r="LIS41" s="9"/>
      <c r="LIT41" s="9"/>
      <c r="LIU41" s="9"/>
      <c r="LIV41" s="9"/>
      <c r="LIW41" s="9"/>
      <c r="LIX41" s="9"/>
      <c r="LIY41" s="9"/>
      <c r="LIZ41" s="9"/>
      <c r="LJA41" s="9"/>
      <c r="LJB41" s="9"/>
      <c r="LJC41" s="9"/>
      <c r="LJD41" s="9"/>
      <c r="LJE41" s="9"/>
      <c r="LJF41" s="9"/>
      <c r="LJG41" s="9"/>
      <c r="LJH41" s="9"/>
      <c r="LJI41" s="9"/>
      <c r="LJJ41" s="9"/>
      <c r="LJK41" s="9"/>
      <c r="LJL41" s="9"/>
      <c r="LJM41" s="9"/>
      <c r="LJN41" s="9"/>
      <c r="LJO41" s="9"/>
      <c r="LJP41" s="9"/>
      <c r="LJQ41" s="9"/>
      <c r="LJR41" s="9"/>
      <c r="LJS41" s="9"/>
      <c r="LJT41" s="9"/>
      <c r="LJU41" s="9"/>
      <c r="LJV41" s="9"/>
      <c r="LJW41" s="9"/>
      <c r="LJX41" s="9"/>
      <c r="LJY41" s="9"/>
      <c r="LJZ41" s="9"/>
      <c r="LKA41" s="9"/>
      <c r="LKB41" s="9"/>
      <c r="LKC41" s="9"/>
      <c r="LKD41" s="9"/>
      <c r="LKE41" s="9"/>
      <c r="LKF41" s="9"/>
      <c r="LKG41" s="9"/>
      <c r="LKH41" s="9"/>
      <c r="LKI41" s="9"/>
      <c r="LKJ41" s="9"/>
      <c r="LKK41" s="9"/>
      <c r="LKL41" s="9"/>
      <c r="LKM41" s="9"/>
      <c r="LKN41" s="9"/>
      <c r="LKO41" s="9"/>
      <c r="LKP41" s="9"/>
      <c r="LKQ41" s="9"/>
      <c r="LKR41" s="9"/>
      <c r="LKS41" s="9"/>
      <c r="LKT41" s="9"/>
      <c r="LKU41" s="9"/>
      <c r="LKV41" s="9"/>
      <c r="LKW41" s="9"/>
      <c r="LKX41" s="9"/>
      <c r="LKY41" s="9"/>
      <c r="LKZ41" s="9"/>
      <c r="LLA41" s="9"/>
      <c r="LLB41" s="9"/>
      <c r="LLC41" s="9"/>
      <c r="LLD41" s="9"/>
      <c r="LLE41" s="9"/>
      <c r="LLF41" s="9"/>
      <c r="LLG41" s="9"/>
      <c r="LLH41" s="9"/>
      <c r="LLI41" s="9"/>
      <c r="LLJ41" s="9"/>
      <c r="LLK41" s="9"/>
      <c r="LLL41" s="9"/>
      <c r="LLM41" s="9"/>
      <c r="LLN41" s="9"/>
      <c r="LLO41" s="9"/>
      <c r="LLP41" s="9"/>
      <c r="LLQ41" s="9"/>
      <c r="LLR41" s="9"/>
      <c r="LLS41" s="9"/>
      <c r="LLT41" s="9"/>
      <c r="LLU41" s="9"/>
      <c r="LLV41" s="9"/>
      <c r="LLW41" s="9"/>
      <c r="LLX41" s="9"/>
      <c r="LLY41" s="9"/>
      <c r="LLZ41" s="9"/>
      <c r="LMA41" s="9"/>
      <c r="LMB41" s="9"/>
      <c r="LMC41" s="9"/>
      <c r="LMD41" s="9"/>
      <c r="LME41" s="9"/>
      <c r="LMF41" s="9"/>
      <c r="LMG41" s="9"/>
      <c r="LMH41" s="9"/>
      <c r="LMI41" s="9"/>
      <c r="LMJ41" s="9"/>
      <c r="LMK41" s="9"/>
      <c r="LML41" s="9"/>
      <c r="LMM41" s="9"/>
      <c r="LMN41" s="9"/>
      <c r="LMO41" s="9"/>
      <c r="LMP41" s="9"/>
      <c r="LMQ41" s="9"/>
      <c r="LMR41" s="9"/>
      <c r="LMS41" s="9"/>
      <c r="LMT41" s="9"/>
      <c r="LMU41" s="9"/>
      <c r="LMV41" s="9"/>
      <c r="LMW41" s="9"/>
      <c r="LMX41" s="9"/>
      <c r="LMY41" s="9"/>
      <c r="LMZ41" s="9"/>
      <c r="LNA41" s="9"/>
      <c r="LNB41" s="9"/>
      <c r="LNC41" s="9"/>
      <c r="LND41" s="9"/>
      <c r="LNE41" s="9"/>
      <c r="LNF41" s="9"/>
      <c r="LNG41" s="9"/>
      <c r="LNH41" s="9"/>
      <c r="LNI41" s="9"/>
      <c r="LNJ41" s="9"/>
      <c r="LNK41" s="9"/>
      <c r="LNL41" s="9"/>
      <c r="LNM41" s="9"/>
      <c r="LNN41" s="9"/>
      <c r="LNO41" s="9"/>
      <c r="LNP41" s="9"/>
      <c r="LNQ41" s="9"/>
      <c r="LNR41" s="9"/>
      <c r="LNS41" s="9"/>
      <c r="LNT41" s="9"/>
      <c r="LNU41" s="9"/>
      <c r="LNV41" s="9"/>
      <c r="LNW41" s="9"/>
      <c r="LNX41" s="9"/>
      <c r="LNY41" s="9"/>
      <c r="LNZ41" s="9"/>
      <c r="LOA41" s="9"/>
      <c r="LOB41" s="9"/>
      <c r="LOC41" s="9"/>
      <c r="LOD41" s="9"/>
      <c r="LOE41" s="9"/>
      <c r="LOF41" s="9"/>
      <c r="LOG41" s="9"/>
      <c r="LOH41" s="9"/>
      <c r="LOI41" s="9"/>
      <c r="LOJ41" s="9"/>
      <c r="LOK41" s="9"/>
      <c r="LOL41" s="9"/>
      <c r="LOM41" s="9"/>
      <c r="LON41" s="9"/>
      <c r="LOO41" s="9"/>
      <c r="LOP41" s="9"/>
      <c r="LOQ41" s="9"/>
      <c r="LOR41" s="9"/>
      <c r="LOS41" s="9"/>
      <c r="LOT41" s="9"/>
      <c r="LOU41" s="9"/>
      <c r="LOV41" s="9"/>
      <c r="LOW41" s="9"/>
      <c r="LOX41" s="9"/>
      <c r="LOY41" s="9"/>
      <c r="LOZ41" s="9"/>
      <c r="LPA41" s="9"/>
      <c r="LPB41" s="9"/>
      <c r="LPC41" s="9"/>
      <c r="LPD41" s="9"/>
      <c r="LPE41" s="9"/>
      <c r="LPF41" s="9"/>
      <c r="LPG41" s="9"/>
      <c r="LPH41" s="9"/>
      <c r="LPI41" s="9"/>
      <c r="LPJ41" s="9"/>
      <c r="LPK41" s="9"/>
      <c r="LPL41" s="9"/>
      <c r="LPM41" s="9"/>
      <c r="LPN41" s="9"/>
      <c r="LPO41" s="9"/>
      <c r="LPP41" s="9"/>
      <c r="LPQ41" s="9"/>
      <c r="LPR41" s="9"/>
      <c r="LPS41" s="9"/>
      <c r="LPT41" s="9"/>
      <c r="LPU41" s="9"/>
      <c r="LPV41" s="9"/>
      <c r="LPW41" s="9"/>
      <c r="LPX41" s="9"/>
      <c r="LPY41" s="9"/>
      <c r="LPZ41" s="9"/>
      <c r="LQA41" s="9"/>
      <c r="LQB41" s="9"/>
      <c r="LQC41" s="9"/>
      <c r="LQD41" s="9"/>
      <c r="LQE41" s="9"/>
      <c r="LQF41" s="9"/>
      <c r="LQG41" s="9"/>
      <c r="LQH41" s="9"/>
      <c r="LQI41" s="9"/>
      <c r="LQJ41" s="9"/>
      <c r="LQK41" s="9"/>
      <c r="LQL41" s="9"/>
      <c r="LQM41" s="9"/>
      <c r="LQN41" s="9"/>
      <c r="LQO41" s="9"/>
      <c r="LQP41" s="9"/>
      <c r="LQQ41" s="9"/>
      <c r="LQR41" s="9"/>
      <c r="LQS41" s="9"/>
      <c r="LQT41" s="9"/>
      <c r="LQU41" s="9"/>
      <c r="LQV41" s="9"/>
      <c r="LQW41" s="9"/>
      <c r="LQX41" s="9"/>
      <c r="LQY41" s="9"/>
      <c r="LQZ41" s="9"/>
      <c r="LRA41" s="9"/>
      <c r="LRB41" s="9"/>
      <c r="LRC41" s="9"/>
      <c r="LRD41" s="9"/>
      <c r="LRE41" s="9"/>
      <c r="LRF41" s="9"/>
      <c r="LRG41" s="9"/>
      <c r="LRH41" s="9"/>
      <c r="LRI41" s="9"/>
      <c r="LRJ41" s="9"/>
      <c r="LRK41" s="9"/>
      <c r="LRL41" s="9"/>
      <c r="LRM41" s="9"/>
      <c r="LRN41" s="9"/>
      <c r="LRO41" s="9"/>
      <c r="LRP41" s="9"/>
      <c r="LRQ41" s="9"/>
      <c r="LRR41" s="9"/>
      <c r="LRS41" s="9"/>
      <c r="LRT41" s="9"/>
      <c r="LRU41" s="9"/>
      <c r="LRV41" s="9"/>
      <c r="LRW41" s="9"/>
      <c r="LRX41" s="9"/>
      <c r="LRY41" s="9"/>
      <c r="LRZ41" s="9"/>
      <c r="LSA41" s="9"/>
      <c r="LSB41" s="9"/>
      <c r="LSC41" s="9"/>
      <c r="LSD41" s="9"/>
      <c r="LSE41" s="9"/>
      <c r="LSF41" s="9"/>
      <c r="LSG41" s="9"/>
      <c r="LSH41" s="9"/>
      <c r="LSI41" s="9"/>
      <c r="LSJ41" s="9"/>
      <c r="LSK41" s="9"/>
      <c r="LSL41" s="9"/>
      <c r="LSM41" s="9"/>
      <c r="LSN41" s="9"/>
      <c r="LSO41" s="9"/>
      <c r="LSP41" s="9"/>
      <c r="LSQ41" s="9"/>
      <c r="LSR41" s="9"/>
      <c r="LSS41" s="9"/>
      <c r="LST41" s="9"/>
      <c r="LSU41" s="9"/>
      <c r="LSV41" s="9"/>
      <c r="LSW41" s="9"/>
      <c r="LSX41" s="9"/>
      <c r="LSY41" s="9"/>
      <c r="LSZ41" s="9"/>
      <c r="LTA41" s="9"/>
      <c r="LTB41" s="9"/>
      <c r="LTC41" s="9"/>
      <c r="LTD41" s="9"/>
      <c r="LTE41" s="9"/>
      <c r="LTF41" s="9"/>
      <c r="LTG41" s="9"/>
      <c r="LTH41" s="9"/>
      <c r="LTI41" s="9"/>
      <c r="LTJ41" s="9"/>
      <c r="LTK41" s="9"/>
      <c r="LTL41" s="9"/>
      <c r="LTM41" s="9"/>
      <c r="LTN41" s="9"/>
      <c r="LTO41" s="9"/>
      <c r="LTP41" s="9"/>
      <c r="LTQ41" s="9"/>
      <c r="LTR41" s="9"/>
      <c r="LTS41" s="9"/>
      <c r="LTT41" s="9"/>
      <c r="LTU41" s="9"/>
      <c r="LTV41" s="9"/>
      <c r="LTW41" s="9"/>
      <c r="LTX41" s="9"/>
      <c r="LTY41" s="9"/>
      <c r="LTZ41" s="9"/>
      <c r="LUA41" s="9"/>
      <c r="LUB41" s="9"/>
      <c r="LUC41" s="9"/>
      <c r="LUD41" s="9"/>
      <c r="LUE41" s="9"/>
      <c r="LUF41" s="9"/>
      <c r="LUG41" s="9"/>
      <c r="LUH41" s="9"/>
      <c r="LUI41" s="9"/>
      <c r="LUJ41" s="9"/>
      <c r="LUK41" s="9"/>
      <c r="LUL41" s="9"/>
      <c r="LUM41" s="9"/>
      <c r="LUN41" s="9"/>
      <c r="LUO41" s="9"/>
      <c r="LUP41" s="9"/>
      <c r="LUQ41" s="9"/>
      <c r="LUR41" s="9"/>
      <c r="LUS41" s="9"/>
      <c r="LUT41" s="9"/>
      <c r="LUU41" s="9"/>
      <c r="LUV41" s="9"/>
      <c r="LUW41" s="9"/>
      <c r="LUX41" s="9"/>
      <c r="LUY41" s="9"/>
      <c r="LUZ41" s="9"/>
      <c r="LVA41" s="9"/>
      <c r="LVB41" s="9"/>
      <c r="LVC41" s="9"/>
      <c r="LVD41" s="9"/>
      <c r="LVE41" s="9"/>
      <c r="LVF41" s="9"/>
      <c r="LVG41" s="9"/>
      <c r="LVH41" s="9"/>
      <c r="LVI41" s="9"/>
      <c r="LVJ41" s="9"/>
      <c r="LVK41" s="9"/>
      <c r="LVL41" s="9"/>
      <c r="LVM41" s="9"/>
      <c r="LVN41" s="9"/>
      <c r="LVO41" s="9"/>
      <c r="LVP41" s="9"/>
      <c r="LVQ41" s="9"/>
      <c r="LVR41" s="9"/>
      <c r="LVS41" s="9"/>
      <c r="LVT41" s="9"/>
      <c r="LVU41" s="9"/>
      <c r="LVV41" s="9"/>
      <c r="LVW41" s="9"/>
      <c r="LVX41" s="9"/>
      <c r="LVY41" s="9"/>
      <c r="LVZ41" s="9"/>
      <c r="LWA41" s="9"/>
      <c r="LWB41" s="9"/>
      <c r="LWC41" s="9"/>
      <c r="LWD41" s="9"/>
      <c r="LWE41" s="9"/>
      <c r="LWF41" s="9"/>
      <c r="LWG41" s="9"/>
      <c r="LWH41" s="9"/>
      <c r="LWI41" s="9"/>
      <c r="LWJ41" s="9"/>
      <c r="LWK41" s="9"/>
      <c r="LWL41" s="9"/>
      <c r="LWM41" s="9"/>
      <c r="LWN41" s="9"/>
      <c r="LWO41" s="9"/>
      <c r="LWP41" s="9"/>
      <c r="LWQ41" s="9"/>
      <c r="LWR41" s="9"/>
      <c r="LWS41" s="9"/>
      <c r="LWT41" s="9"/>
      <c r="LWU41" s="9"/>
      <c r="LWV41" s="9"/>
      <c r="LWW41" s="9"/>
      <c r="LWX41" s="9"/>
      <c r="LWY41" s="9"/>
      <c r="LWZ41" s="9"/>
      <c r="LXA41" s="9"/>
      <c r="LXB41" s="9"/>
      <c r="LXC41" s="9"/>
      <c r="LXD41" s="9"/>
      <c r="LXE41" s="9"/>
      <c r="LXF41" s="9"/>
      <c r="LXG41" s="9"/>
      <c r="LXH41" s="9"/>
      <c r="LXI41" s="9"/>
      <c r="LXJ41" s="9"/>
      <c r="LXK41" s="9"/>
      <c r="LXL41" s="9"/>
      <c r="LXM41" s="9"/>
      <c r="LXN41" s="9"/>
      <c r="LXO41" s="9"/>
      <c r="LXP41" s="9"/>
      <c r="LXQ41" s="9"/>
      <c r="LXR41" s="9"/>
      <c r="LXS41" s="9"/>
      <c r="LXT41" s="9"/>
      <c r="LXU41" s="9"/>
      <c r="LXV41" s="9"/>
      <c r="LXW41" s="9"/>
      <c r="LXX41" s="9"/>
      <c r="LXY41" s="9"/>
      <c r="LXZ41" s="9"/>
      <c r="LYA41" s="9"/>
      <c r="LYB41" s="9"/>
      <c r="LYC41" s="9"/>
      <c r="LYD41" s="9"/>
      <c r="LYE41" s="9"/>
      <c r="LYF41" s="9"/>
      <c r="LYG41" s="9"/>
      <c r="LYH41" s="9"/>
      <c r="LYI41" s="9"/>
      <c r="LYJ41" s="9"/>
      <c r="LYK41" s="9"/>
      <c r="LYL41" s="9"/>
      <c r="LYM41" s="9"/>
      <c r="LYN41" s="9"/>
      <c r="LYO41" s="9"/>
      <c r="LYP41" s="9"/>
      <c r="LYQ41" s="9"/>
      <c r="LYR41" s="9"/>
      <c r="LYS41" s="9"/>
      <c r="LYT41" s="9"/>
      <c r="LYU41" s="9"/>
      <c r="LYV41" s="9"/>
      <c r="LYW41" s="9"/>
      <c r="LYX41" s="9"/>
      <c r="LYY41" s="9"/>
      <c r="LYZ41" s="9"/>
      <c r="LZA41" s="9"/>
      <c r="LZB41" s="9"/>
      <c r="LZC41" s="9"/>
      <c r="LZD41" s="9"/>
      <c r="LZE41" s="9"/>
      <c r="LZF41" s="9"/>
      <c r="LZG41" s="9"/>
      <c r="LZH41" s="9"/>
      <c r="LZI41" s="9"/>
      <c r="LZJ41" s="9"/>
      <c r="LZK41" s="9"/>
      <c r="LZL41" s="9"/>
      <c r="LZM41" s="9"/>
      <c r="LZN41" s="9"/>
      <c r="LZO41" s="9"/>
      <c r="LZP41" s="9"/>
      <c r="LZQ41" s="9"/>
      <c r="LZR41" s="9"/>
      <c r="LZS41" s="9"/>
      <c r="LZT41" s="9"/>
      <c r="LZU41" s="9"/>
      <c r="LZV41" s="9"/>
      <c r="LZW41" s="9"/>
      <c r="LZX41" s="9"/>
      <c r="LZY41" s="9"/>
      <c r="LZZ41" s="9"/>
      <c r="MAA41" s="9"/>
      <c r="MAB41" s="9"/>
      <c r="MAC41" s="9"/>
      <c r="MAD41" s="9"/>
      <c r="MAE41" s="9"/>
      <c r="MAF41" s="9"/>
      <c r="MAG41" s="9"/>
      <c r="MAH41" s="9"/>
      <c r="MAI41" s="9"/>
      <c r="MAJ41" s="9"/>
      <c r="MAK41" s="9"/>
      <c r="MAL41" s="9"/>
      <c r="MAM41" s="9"/>
      <c r="MAN41" s="9"/>
      <c r="MAO41" s="9"/>
      <c r="MAP41" s="9"/>
      <c r="MAQ41" s="9"/>
      <c r="MAR41" s="9"/>
      <c r="MAS41" s="9"/>
      <c r="MAT41" s="9"/>
      <c r="MAU41" s="9"/>
      <c r="MAV41" s="9"/>
      <c r="MAW41" s="9"/>
      <c r="MAX41" s="9"/>
      <c r="MAY41" s="9"/>
      <c r="MAZ41" s="9"/>
      <c r="MBA41" s="9"/>
      <c r="MBB41" s="9"/>
      <c r="MBC41" s="9"/>
      <c r="MBD41" s="9"/>
      <c r="MBE41" s="9"/>
      <c r="MBF41" s="9"/>
      <c r="MBG41" s="9"/>
      <c r="MBH41" s="9"/>
      <c r="MBI41" s="9"/>
      <c r="MBJ41" s="9"/>
      <c r="MBK41" s="9"/>
      <c r="MBL41" s="9"/>
      <c r="MBM41" s="9"/>
      <c r="MBN41" s="9"/>
      <c r="MBO41" s="9"/>
      <c r="MBP41" s="9"/>
      <c r="MBQ41" s="9"/>
      <c r="MBR41" s="9"/>
      <c r="MBS41" s="9"/>
      <c r="MBT41" s="9"/>
      <c r="MBU41" s="9"/>
      <c r="MBV41" s="9"/>
      <c r="MBW41" s="9"/>
      <c r="MBX41" s="9"/>
      <c r="MBY41" s="9"/>
      <c r="MBZ41" s="9"/>
      <c r="MCA41" s="9"/>
      <c r="MCB41" s="9"/>
      <c r="MCC41" s="9"/>
      <c r="MCD41" s="9"/>
      <c r="MCE41" s="9"/>
      <c r="MCF41" s="9"/>
      <c r="MCG41" s="9"/>
      <c r="MCH41" s="9"/>
      <c r="MCI41" s="9"/>
      <c r="MCJ41" s="9"/>
      <c r="MCK41" s="9"/>
      <c r="MCL41" s="9"/>
      <c r="MCM41" s="9"/>
      <c r="MCN41" s="9"/>
      <c r="MCO41" s="9"/>
      <c r="MCP41" s="9"/>
      <c r="MCQ41" s="9"/>
      <c r="MCR41" s="9"/>
      <c r="MCS41" s="9"/>
      <c r="MCT41" s="9"/>
      <c r="MCU41" s="9"/>
      <c r="MCV41" s="9"/>
      <c r="MCW41" s="9"/>
      <c r="MCX41" s="9"/>
      <c r="MCY41" s="9"/>
      <c r="MCZ41" s="9"/>
      <c r="MDA41" s="9"/>
      <c r="MDB41" s="9"/>
      <c r="MDC41" s="9"/>
      <c r="MDD41" s="9"/>
      <c r="MDE41" s="9"/>
      <c r="MDF41" s="9"/>
      <c r="MDG41" s="9"/>
      <c r="MDH41" s="9"/>
      <c r="MDI41" s="9"/>
      <c r="MDJ41" s="9"/>
      <c r="MDK41" s="9"/>
      <c r="MDL41" s="9"/>
      <c r="MDM41" s="9"/>
      <c r="MDN41" s="9"/>
      <c r="MDO41" s="9"/>
      <c r="MDP41" s="9"/>
      <c r="MDQ41" s="9"/>
      <c r="MDR41" s="9"/>
      <c r="MDS41" s="9"/>
      <c r="MDT41" s="9"/>
      <c r="MDU41" s="9"/>
      <c r="MDV41" s="9"/>
      <c r="MDW41" s="9"/>
      <c r="MDX41" s="9"/>
      <c r="MDY41" s="9"/>
      <c r="MDZ41" s="9"/>
      <c r="MEA41" s="9"/>
      <c r="MEB41" s="9"/>
      <c r="MEC41" s="9"/>
      <c r="MED41" s="9"/>
      <c r="MEE41" s="9"/>
      <c r="MEF41" s="9"/>
      <c r="MEG41" s="9"/>
      <c r="MEH41" s="9"/>
      <c r="MEI41" s="9"/>
      <c r="MEJ41" s="9"/>
      <c r="MEK41" s="9"/>
      <c r="MEL41" s="9"/>
      <c r="MEM41" s="9"/>
      <c r="MEN41" s="9"/>
      <c r="MEO41" s="9"/>
      <c r="MEP41" s="9"/>
      <c r="MEQ41" s="9"/>
      <c r="MER41" s="9"/>
      <c r="MES41" s="9"/>
      <c r="MET41" s="9"/>
      <c r="MEU41" s="9"/>
      <c r="MEV41" s="9"/>
      <c r="MEW41" s="9"/>
      <c r="MEX41" s="9"/>
      <c r="MEY41" s="9"/>
      <c r="MEZ41" s="9"/>
      <c r="MFA41" s="9"/>
      <c r="MFB41" s="9"/>
      <c r="MFC41" s="9"/>
      <c r="MFD41" s="9"/>
      <c r="MFE41" s="9"/>
      <c r="MFF41" s="9"/>
      <c r="MFG41" s="9"/>
      <c r="MFH41" s="9"/>
      <c r="MFI41" s="9"/>
      <c r="MFJ41" s="9"/>
      <c r="MFK41" s="9"/>
      <c r="MFL41" s="9"/>
      <c r="MFM41" s="9"/>
      <c r="MFN41" s="9"/>
      <c r="MFO41" s="9"/>
      <c r="MFP41" s="9"/>
      <c r="MFQ41" s="9"/>
      <c r="MFR41" s="9"/>
      <c r="MFS41" s="9"/>
      <c r="MFT41" s="9"/>
      <c r="MFU41" s="9"/>
      <c r="MFV41" s="9"/>
      <c r="MFW41" s="9"/>
      <c r="MFX41" s="9"/>
      <c r="MFY41" s="9"/>
      <c r="MFZ41" s="9"/>
      <c r="MGA41" s="9"/>
      <c r="MGB41" s="9"/>
      <c r="MGC41" s="9"/>
      <c r="MGD41" s="9"/>
      <c r="MGE41" s="9"/>
      <c r="MGF41" s="9"/>
      <c r="MGG41" s="9"/>
      <c r="MGH41" s="9"/>
      <c r="MGI41" s="9"/>
      <c r="MGJ41" s="9"/>
      <c r="MGK41" s="9"/>
      <c r="MGL41" s="9"/>
      <c r="MGM41" s="9"/>
      <c r="MGN41" s="9"/>
      <c r="MGO41" s="9"/>
      <c r="MGP41" s="9"/>
      <c r="MGQ41" s="9"/>
      <c r="MGR41" s="9"/>
      <c r="MGS41" s="9"/>
      <c r="MGT41" s="9"/>
      <c r="MGU41" s="9"/>
      <c r="MGV41" s="9"/>
      <c r="MGW41" s="9"/>
      <c r="MGX41" s="9"/>
      <c r="MGY41" s="9"/>
      <c r="MGZ41" s="9"/>
      <c r="MHA41" s="9"/>
      <c r="MHB41" s="9"/>
      <c r="MHC41" s="9"/>
      <c r="MHD41" s="9"/>
      <c r="MHE41" s="9"/>
      <c r="MHF41" s="9"/>
      <c r="MHG41" s="9"/>
      <c r="MHH41" s="9"/>
      <c r="MHI41" s="9"/>
      <c r="MHJ41" s="9"/>
      <c r="MHK41" s="9"/>
      <c r="MHL41" s="9"/>
      <c r="MHM41" s="9"/>
      <c r="MHN41" s="9"/>
      <c r="MHO41" s="9"/>
      <c r="MHP41" s="9"/>
      <c r="MHQ41" s="9"/>
      <c r="MHR41" s="9"/>
      <c r="MHS41" s="9"/>
      <c r="MHT41" s="9"/>
      <c r="MHU41" s="9"/>
      <c r="MHV41" s="9"/>
      <c r="MHW41" s="9"/>
      <c r="MHX41" s="9"/>
      <c r="MHY41" s="9"/>
      <c r="MHZ41" s="9"/>
      <c r="MIA41" s="9"/>
      <c r="MIB41" s="9"/>
      <c r="MIC41" s="9"/>
      <c r="MID41" s="9"/>
      <c r="MIE41" s="9"/>
      <c r="MIF41" s="9"/>
      <c r="MIG41" s="9"/>
      <c r="MIH41" s="9"/>
      <c r="MII41" s="9"/>
      <c r="MIJ41" s="9"/>
      <c r="MIK41" s="9"/>
      <c r="MIL41" s="9"/>
      <c r="MIM41" s="9"/>
      <c r="MIN41" s="9"/>
      <c r="MIO41" s="9"/>
      <c r="MIP41" s="9"/>
      <c r="MIQ41" s="9"/>
      <c r="MIR41" s="9"/>
      <c r="MIS41" s="9"/>
      <c r="MIT41" s="9"/>
      <c r="MIU41" s="9"/>
      <c r="MIV41" s="9"/>
      <c r="MIW41" s="9"/>
      <c r="MIX41" s="9"/>
      <c r="MIY41" s="9"/>
      <c r="MIZ41" s="9"/>
      <c r="MJA41" s="9"/>
      <c r="MJB41" s="9"/>
      <c r="MJC41" s="9"/>
      <c r="MJD41" s="9"/>
      <c r="MJE41" s="9"/>
      <c r="MJF41" s="9"/>
      <c r="MJG41" s="9"/>
      <c r="MJH41" s="9"/>
      <c r="MJI41" s="9"/>
      <c r="MJJ41" s="9"/>
      <c r="MJK41" s="9"/>
      <c r="MJL41" s="9"/>
      <c r="MJM41" s="9"/>
      <c r="MJN41" s="9"/>
      <c r="MJO41" s="9"/>
      <c r="MJP41" s="9"/>
      <c r="MJQ41" s="9"/>
      <c r="MJR41" s="9"/>
      <c r="MJS41" s="9"/>
      <c r="MJT41" s="9"/>
      <c r="MJU41" s="9"/>
      <c r="MJV41" s="9"/>
      <c r="MJW41" s="9"/>
      <c r="MJX41" s="9"/>
      <c r="MJY41" s="9"/>
      <c r="MJZ41" s="9"/>
      <c r="MKA41" s="9"/>
      <c r="MKB41" s="9"/>
      <c r="MKC41" s="9"/>
      <c r="MKD41" s="9"/>
      <c r="MKE41" s="9"/>
      <c r="MKF41" s="9"/>
      <c r="MKG41" s="9"/>
      <c r="MKH41" s="9"/>
      <c r="MKI41" s="9"/>
      <c r="MKJ41" s="9"/>
      <c r="MKK41" s="9"/>
      <c r="MKL41" s="9"/>
      <c r="MKM41" s="9"/>
      <c r="MKN41" s="9"/>
      <c r="MKO41" s="9"/>
      <c r="MKP41" s="9"/>
      <c r="MKQ41" s="9"/>
      <c r="MKR41" s="9"/>
      <c r="MKS41" s="9"/>
      <c r="MKT41" s="9"/>
      <c r="MKU41" s="9"/>
      <c r="MKV41" s="9"/>
      <c r="MKW41" s="9"/>
      <c r="MKX41" s="9"/>
      <c r="MKY41" s="9"/>
      <c r="MKZ41" s="9"/>
      <c r="MLA41" s="9"/>
      <c r="MLB41" s="9"/>
      <c r="MLC41" s="9"/>
      <c r="MLD41" s="9"/>
      <c r="MLE41" s="9"/>
      <c r="MLF41" s="9"/>
      <c r="MLG41" s="9"/>
      <c r="MLH41" s="9"/>
      <c r="MLI41" s="9"/>
      <c r="MLJ41" s="9"/>
      <c r="MLK41" s="9"/>
      <c r="MLL41" s="9"/>
      <c r="MLM41" s="9"/>
      <c r="MLN41" s="9"/>
      <c r="MLO41" s="9"/>
      <c r="MLP41" s="9"/>
      <c r="MLQ41" s="9"/>
      <c r="MLR41" s="9"/>
      <c r="MLS41" s="9"/>
      <c r="MLT41" s="9"/>
      <c r="MLU41" s="9"/>
      <c r="MLV41" s="9"/>
      <c r="MLW41" s="9"/>
      <c r="MLX41" s="9"/>
      <c r="MLY41" s="9"/>
      <c r="MLZ41" s="9"/>
      <c r="MMA41" s="9"/>
      <c r="MMB41" s="9"/>
      <c r="MMC41" s="9"/>
      <c r="MMD41" s="9"/>
      <c r="MME41" s="9"/>
      <c r="MMF41" s="9"/>
      <c r="MMG41" s="9"/>
      <c r="MMH41" s="9"/>
      <c r="MMI41" s="9"/>
      <c r="MMJ41" s="9"/>
      <c r="MMK41" s="9"/>
      <c r="MML41" s="9"/>
      <c r="MMM41" s="9"/>
      <c r="MMN41" s="9"/>
      <c r="MMO41" s="9"/>
      <c r="MMP41" s="9"/>
      <c r="MMQ41" s="9"/>
      <c r="MMR41" s="9"/>
      <c r="MMS41" s="9"/>
      <c r="MMT41" s="9"/>
      <c r="MMU41" s="9"/>
      <c r="MMV41" s="9"/>
      <c r="MMW41" s="9"/>
      <c r="MMX41" s="9"/>
      <c r="MMY41" s="9"/>
      <c r="MMZ41" s="9"/>
      <c r="MNA41" s="9"/>
      <c r="MNB41" s="9"/>
      <c r="MNC41" s="9"/>
      <c r="MND41" s="9"/>
      <c r="MNE41" s="9"/>
      <c r="MNF41" s="9"/>
      <c r="MNG41" s="9"/>
      <c r="MNH41" s="9"/>
      <c r="MNI41" s="9"/>
      <c r="MNJ41" s="9"/>
      <c r="MNK41" s="9"/>
      <c r="MNL41" s="9"/>
      <c r="MNM41" s="9"/>
      <c r="MNN41" s="9"/>
      <c r="MNO41" s="9"/>
      <c r="MNP41" s="9"/>
      <c r="MNQ41" s="9"/>
      <c r="MNR41" s="9"/>
      <c r="MNS41" s="9"/>
      <c r="MNT41" s="9"/>
      <c r="MNU41" s="9"/>
      <c r="MNV41" s="9"/>
      <c r="MNW41" s="9"/>
      <c r="MNX41" s="9"/>
      <c r="MNY41" s="9"/>
      <c r="MNZ41" s="9"/>
      <c r="MOA41" s="9"/>
      <c r="MOB41" s="9"/>
      <c r="MOC41" s="9"/>
      <c r="MOD41" s="9"/>
      <c r="MOE41" s="9"/>
      <c r="MOF41" s="9"/>
      <c r="MOG41" s="9"/>
      <c r="MOH41" s="9"/>
      <c r="MOI41" s="9"/>
      <c r="MOJ41" s="9"/>
      <c r="MOK41" s="9"/>
      <c r="MOL41" s="9"/>
      <c r="MOM41" s="9"/>
      <c r="MON41" s="9"/>
      <c r="MOO41" s="9"/>
      <c r="MOP41" s="9"/>
      <c r="MOQ41" s="9"/>
      <c r="MOR41" s="9"/>
      <c r="MOS41" s="9"/>
      <c r="MOT41" s="9"/>
      <c r="MOU41" s="9"/>
      <c r="MOV41" s="9"/>
      <c r="MOW41" s="9"/>
      <c r="MOX41" s="9"/>
      <c r="MOY41" s="9"/>
      <c r="MOZ41" s="9"/>
      <c r="MPA41" s="9"/>
      <c r="MPB41" s="9"/>
      <c r="MPC41" s="9"/>
      <c r="MPD41" s="9"/>
      <c r="MPE41" s="9"/>
      <c r="MPF41" s="9"/>
      <c r="MPG41" s="9"/>
      <c r="MPH41" s="9"/>
      <c r="MPI41" s="9"/>
      <c r="MPJ41" s="9"/>
      <c r="MPK41" s="9"/>
      <c r="MPL41" s="9"/>
      <c r="MPM41" s="9"/>
      <c r="MPN41" s="9"/>
      <c r="MPO41" s="9"/>
      <c r="MPP41" s="9"/>
      <c r="MPQ41" s="9"/>
      <c r="MPR41" s="9"/>
      <c r="MPS41" s="9"/>
      <c r="MPT41" s="9"/>
      <c r="MPU41" s="9"/>
      <c r="MPV41" s="9"/>
      <c r="MPW41" s="9"/>
      <c r="MPX41" s="9"/>
      <c r="MPY41" s="9"/>
      <c r="MPZ41" s="9"/>
      <c r="MQA41" s="9"/>
      <c r="MQB41" s="9"/>
      <c r="MQC41" s="9"/>
      <c r="MQD41" s="9"/>
      <c r="MQE41" s="9"/>
      <c r="MQF41" s="9"/>
      <c r="MQG41" s="9"/>
      <c r="MQH41" s="9"/>
      <c r="MQI41" s="9"/>
      <c r="MQJ41" s="9"/>
      <c r="MQK41" s="9"/>
      <c r="MQL41" s="9"/>
      <c r="MQM41" s="9"/>
      <c r="MQN41" s="9"/>
      <c r="MQO41" s="9"/>
      <c r="MQP41" s="9"/>
      <c r="MQQ41" s="9"/>
      <c r="MQR41" s="9"/>
      <c r="MQS41" s="9"/>
      <c r="MQT41" s="9"/>
      <c r="MQU41" s="9"/>
      <c r="MQV41" s="9"/>
      <c r="MQW41" s="9"/>
      <c r="MQX41" s="9"/>
      <c r="MQY41" s="9"/>
      <c r="MQZ41" s="9"/>
      <c r="MRA41" s="9"/>
      <c r="MRB41" s="9"/>
      <c r="MRC41" s="9"/>
      <c r="MRD41" s="9"/>
      <c r="MRE41" s="9"/>
      <c r="MRF41" s="9"/>
      <c r="MRG41" s="9"/>
      <c r="MRH41" s="9"/>
      <c r="MRI41" s="9"/>
      <c r="MRJ41" s="9"/>
      <c r="MRK41" s="9"/>
      <c r="MRL41" s="9"/>
      <c r="MRM41" s="9"/>
      <c r="MRN41" s="9"/>
      <c r="MRO41" s="9"/>
      <c r="MRP41" s="9"/>
      <c r="MRQ41" s="9"/>
      <c r="MRR41" s="9"/>
      <c r="MRS41" s="9"/>
      <c r="MRT41" s="9"/>
      <c r="MRU41" s="9"/>
      <c r="MRV41" s="9"/>
      <c r="MRW41" s="9"/>
      <c r="MRX41" s="9"/>
      <c r="MRY41" s="9"/>
      <c r="MRZ41" s="9"/>
      <c r="MSA41" s="9"/>
      <c r="MSB41" s="9"/>
      <c r="MSC41" s="9"/>
      <c r="MSD41" s="9"/>
      <c r="MSE41" s="9"/>
      <c r="MSF41" s="9"/>
      <c r="MSG41" s="9"/>
      <c r="MSH41" s="9"/>
      <c r="MSI41" s="9"/>
      <c r="MSJ41" s="9"/>
      <c r="MSK41" s="9"/>
      <c r="MSL41" s="9"/>
      <c r="MSM41" s="9"/>
      <c r="MSN41" s="9"/>
      <c r="MSO41" s="9"/>
      <c r="MSP41" s="9"/>
      <c r="MSQ41" s="9"/>
      <c r="MSR41" s="9"/>
      <c r="MSS41" s="9"/>
      <c r="MST41" s="9"/>
      <c r="MSU41" s="9"/>
      <c r="MSV41" s="9"/>
      <c r="MSW41" s="9"/>
      <c r="MSX41" s="9"/>
      <c r="MSY41" s="9"/>
      <c r="MSZ41" s="9"/>
      <c r="MTA41" s="9"/>
      <c r="MTB41" s="9"/>
      <c r="MTC41" s="9"/>
      <c r="MTD41" s="9"/>
      <c r="MTE41" s="9"/>
      <c r="MTF41" s="9"/>
      <c r="MTG41" s="9"/>
      <c r="MTH41" s="9"/>
      <c r="MTI41" s="9"/>
      <c r="MTJ41" s="9"/>
      <c r="MTK41" s="9"/>
      <c r="MTL41" s="9"/>
      <c r="MTM41" s="9"/>
      <c r="MTN41" s="9"/>
      <c r="MTO41" s="9"/>
      <c r="MTP41" s="9"/>
      <c r="MTQ41" s="9"/>
      <c r="MTR41" s="9"/>
      <c r="MTS41" s="9"/>
      <c r="MTT41" s="9"/>
      <c r="MTU41" s="9"/>
      <c r="MTV41" s="9"/>
      <c r="MTW41" s="9"/>
      <c r="MTX41" s="9"/>
      <c r="MTY41" s="9"/>
      <c r="MTZ41" s="9"/>
      <c r="MUA41" s="9"/>
      <c r="MUB41" s="9"/>
      <c r="MUC41" s="9"/>
      <c r="MUD41" s="9"/>
      <c r="MUE41" s="9"/>
      <c r="MUF41" s="9"/>
      <c r="MUG41" s="9"/>
      <c r="MUH41" s="9"/>
      <c r="MUI41" s="9"/>
      <c r="MUJ41" s="9"/>
      <c r="MUK41" s="9"/>
      <c r="MUL41" s="9"/>
      <c r="MUM41" s="9"/>
      <c r="MUN41" s="9"/>
      <c r="MUO41" s="9"/>
      <c r="MUP41" s="9"/>
      <c r="MUQ41" s="9"/>
      <c r="MUR41" s="9"/>
      <c r="MUS41" s="9"/>
      <c r="MUT41" s="9"/>
      <c r="MUU41" s="9"/>
      <c r="MUV41" s="9"/>
      <c r="MUW41" s="9"/>
      <c r="MUX41" s="9"/>
      <c r="MUY41" s="9"/>
      <c r="MUZ41" s="9"/>
      <c r="MVA41" s="9"/>
      <c r="MVB41" s="9"/>
      <c r="MVC41" s="9"/>
      <c r="MVD41" s="9"/>
      <c r="MVE41" s="9"/>
      <c r="MVF41" s="9"/>
      <c r="MVG41" s="9"/>
      <c r="MVH41" s="9"/>
      <c r="MVI41" s="9"/>
      <c r="MVJ41" s="9"/>
      <c r="MVK41" s="9"/>
      <c r="MVL41" s="9"/>
      <c r="MVM41" s="9"/>
      <c r="MVN41" s="9"/>
      <c r="MVO41" s="9"/>
      <c r="MVP41" s="9"/>
      <c r="MVQ41" s="9"/>
      <c r="MVR41" s="9"/>
      <c r="MVS41" s="9"/>
      <c r="MVT41" s="9"/>
      <c r="MVU41" s="9"/>
      <c r="MVV41" s="9"/>
      <c r="MVW41" s="9"/>
      <c r="MVX41" s="9"/>
      <c r="MVY41" s="9"/>
      <c r="MVZ41" s="9"/>
      <c r="MWA41" s="9"/>
      <c r="MWB41" s="9"/>
      <c r="MWC41" s="9"/>
      <c r="MWD41" s="9"/>
      <c r="MWE41" s="9"/>
      <c r="MWF41" s="9"/>
      <c r="MWG41" s="9"/>
      <c r="MWH41" s="9"/>
      <c r="MWI41" s="9"/>
      <c r="MWJ41" s="9"/>
      <c r="MWK41" s="9"/>
      <c r="MWL41" s="9"/>
      <c r="MWM41" s="9"/>
      <c r="MWN41" s="9"/>
      <c r="MWO41" s="9"/>
      <c r="MWP41" s="9"/>
      <c r="MWQ41" s="9"/>
      <c r="MWR41" s="9"/>
      <c r="MWS41" s="9"/>
      <c r="MWT41" s="9"/>
      <c r="MWU41" s="9"/>
      <c r="MWV41" s="9"/>
      <c r="MWW41" s="9"/>
      <c r="MWX41" s="9"/>
      <c r="MWY41" s="9"/>
      <c r="MWZ41" s="9"/>
      <c r="MXA41" s="9"/>
      <c r="MXB41" s="9"/>
      <c r="MXC41" s="9"/>
      <c r="MXD41" s="9"/>
      <c r="MXE41" s="9"/>
      <c r="MXF41" s="9"/>
      <c r="MXG41" s="9"/>
      <c r="MXH41" s="9"/>
      <c r="MXI41" s="9"/>
      <c r="MXJ41" s="9"/>
      <c r="MXK41" s="9"/>
      <c r="MXL41" s="9"/>
      <c r="MXM41" s="9"/>
      <c r="MXN41" s="9"/>
      <c r="MXO41" s="9"/>
      <c r="MXP41" s="9"/>
      <c r="MXQ41" s="9"/>
      <c r="MXR41" s="9"/>
      <c r="MXS41" s="9"/>
      <c r="MXT41" s="9"/>
      <c r="MXU41" s="9"/>
      <c r="MXV41" s="9"/>
      <c r="MXW41" s="9"/>
      <c r="MXX41" s="9"/>
      <c r="MXY41" s="9"/>
      <c r="MXZ41" s="9"/>
      <c r="MYA41" s="9"/>
      <c r="MYB41" s="9"/>
      <c r="MYC41" s="9"/>
      <c r="MYD41" s="9"/>
      <c r="MYE41" s="9"/>
      <c r="MYF41" s="9"/>
      <c r="MYG41" s="9"/>
      <c r="MYH41" s="9"/>
      <c r="MYI41" s="9"/>
      <c r="MYJ41" s="9"/>
      <c r="MYK41" s="9"/>
      <c r="MYL41" s="9"/>
      <c r="MYM41" s="9"/>
      <c r="MYN41" s="9"/>
      <c r="MYO41" s="9"/>
      <c r="MYP41" s="9"/>
      <c r="MYQ41" s="9"/>
      <c r="MYR41" s="9"/>
      <c r="MYS41" s="9"/>
      <c r="MYT41" s="9"/>
      <c r="MYU41" s="9"/>
      <c r="MYV41" s="9"/>
      <c r="MYW41" s="9"/>
      <c r="MYX41" s="9"/>
      <c r="MYY41" s="9"/>
      <c r="MYZ41" s="9"/>
      <c r="MZA41" s="9"/>
      <c r="MZB41" s="9"/>
      <c r="MZC41" s="9"/>
      <c r="MZD41" s="9"/>
      <c r="MZE41" s="9"/>
      <c r="MZF41" s="9"/>
      <c r="MZG41" s="9"/>
      <c r="MZH41" s="9"/>
      <c r="MZI41" s="9"/>
      <c r="MZJ41" s="9"/>
      <c r="MZK41" s="9"/>
      <c r="MZL41" s="9"/>
      <c r="MZM41" s="9"/>
      <c r="MZN41" s="9"/>
      <c r="MZO41" s="9"/>
      <c r="MZP41" s="9"/>
      <c r="MZQ41" s="9"/>
      <c r="MZR41" s="9"/>
      <c r="MZS41" s="9"/>
      <c r="MZT41" s="9"/>
      <c r="MZU41" s="9"/>
      <c r="MZV41" s="9"/>
      <c r="MZW41" s="9"/>
      <c r="MZX41" s="9"/>
      <c r="MZY41" s="9"/>
      <c r="MZZ41" s="9"/>
      <c r="NAA41" s="9"/>
      <c r="NAB41" s="9"/>
      <c r="NAC41" s="9"/>
      <c r="NAD41" s="9"/>
      <c r="NAE41" s="9"/>
      <c r="NAF41" s="9"/>
      <c r="NAG41" s="9"/>
      <c r="NAH41" s="9"/>
      <c r="NAI41" s="9"/>
      <c r="NAJ41" s="9"/>
      <c r="NAK41" s="9"/>
      <c r="NAL41" s="9"/>
      <c r="NAM41" s="9"/>
      <c r="NAN41" s="9"/>
      <c r="NAO41" s="9"/>
      <c r="NAP41" s="9"/>
      <c r="NAQ41" s="9"/>
      <c r="NAR41" s="9"/>
      <c r="NAS41" s="9"/>
      <c r="NAT41" s="9"/>
      <c r="NAU41" s="9"/>
      <c r="NAV41" s="9"/>
      <c r="NAW41" s="9"/>
      <c r="NAX41" s="9"/>
      <c r="NAY41" s="9"/>
      <c r="NAZ41" s="9"/>
      <c r="NBA41" s="9"/>
      <c r="NBB41" s="9"/>
      <c r="NBC41" s="9"/>
      <c r="NBD41" s="9"/>
      <c r="NBE41" s="9"/>
      <c r="NBF41" s="9"/>
      <c r="NBG41" s="9"/>
      <c r="NBH41" s="9"/>
      <c r="NBI41" s="9"/>
      <c r="NBJ41" s="9"/>
      <c r="NBK41" s="9"/>
      <c r="NBL41" s="9"/>
      <c r="NBM41" s="9"/>
      <c r="NBN41" s="9"/>
      <c r="NBO41" s="9"/>
      <c r="NBP41" s="9"/>
      <c r="NBQ41" s="9"/>
      <c r="NBR41" s="9"/>
      <c r="NBS41" s="9"/>
      <c r="NBT41" s="9"/>
      <c r="NBU41" s="9"/>
      <c r="NBV41" s="9"/>
      <c r="NBW41" s="9"/>
      <c r="NBX41" s="9"/>
      <c r="NBY41" s="9"/>
      <c r="NBZ41" s="9"/>
      <c r="NCA41" s="9"/>
      <c r="NCB41" s="9"/>
      <c r="NCC41" s="9"/>
      <c r="NCD41" s="9"/>
      <c r="NCE41" s="9"/>
      <c r="NCF41" s="9"/>
      <c r="NCG41" s="9"/>
      <c r="NCH41" s="9"/>
      <c r="NCI41" s="9"/>
      <c r="NCJ41" s="9"/>
      <c r="NCK41" s="9"/>
      <c r="NCL41" s="9"/>
      <c r="NCM41" s="9"/>
      <c r="NCN41" s="9"/>
      <c r="NCO41" s="9"/>
      <c r="NCP41" s="9"/>
      <c r="NCQ41" s="9"/>
      <c r="NCR41" s="9"/>
      <c r="NCS41" s="9"/>
      <c r="NCT41" s="9"/>
      <c r="NCU41" s="9"/>
      <c r="NCV41" s="9"/>
      <c r="NCW41" s="9"/>
      <c r="NCX41" s="9"/>
      <c r="NCY41" s="9"/>
      <c r="NCZ41" s="9"/>
      <c r="NDA41" s="9"/>
      <c r="NDB41" s="9"/>
      <c r="NDC41" s="9"/>
      <c r="NDD41" s="9"/>
      <c r="NDE41" s="9"/>
      <c r="NDF41" s="9"/>
      <c r="NDG41" s="9"/>
      <c r="NDH41" s="9"/>
      <c r="NDI41" s="9"/>
      <c r="NDJ41" s="9"/>
      <c r="NDK41" s="9"/>
      <c r="NDL41" s="9"/>
      <c r="NDM41" s="9"/>
      <c r="NDN41" s="9"/>
      <c r="NDO41" s="9"/>
      <c r="NDP41" s="9"/>
      <c r="NDQ41" s="9"/>
      <c r="NDR41" s="9"/>
      <c r="NDS41" s="9"/>
      <c r="NDT41" s="9"/>
      <c r="NDU41" s="9"/>
      <c r="NDV41" s="9"/>
      <c r="NDW41" s="9"/>
      <c r="NDX41" s="9"/>
      <c r="NDY41" s="9"/>
      <c r="NDZ41" s="9"/>
      <c r="NEA41" s="9"/>
      <c r="NEB41" s="9"/>
      <c r="NEC41" s="9"/>
      <c r="NED41" s="9"/>
      <c r="NEE41" s="9"/>
      <c r="NEF41" s="9"/>
      <c r="NEG41" s="9"/>
      <c r="NEH41" s="9"/>
      <c r="NEI41" s="9"/>
      <c r="NEJ41" s="9"/>
      <c r="NEK41" s="9"/>
      <c r="NEL41" s="9"/>
      <c r="NEM41" s="9"/>
      <c r="NEN41" s="9"/>
      <c r="NEO41" s="9"/>
      <c r="NEP41" s="9"/>
      <c r="NEQ41" s="9"/>
      <c r="NER41" s="9"/>
      <c r="NES41" s="9"/>
      <c r="NET41" s="9"/>
      <c r="NEU41" s="9"/>
      <c r="NEV41" s="9"/>
      <c r="NEW41" s="9"/>
      <c r="NEX41" s="9"/>
      <c r="NEY41" s="9"/>
      <c r="NEZ41" s="9"/>
      <c r="NFA41" s="9"/>
      <c r="NFB41" s="9"/>
      <c r="NFC41" s="9"/>
      <c r="NFD41" s="9"/>
      <c r="NFE41" s="9"/>
      <c r="NFF41" s="9"/>
      <c r="NFG41" s="9"/>
      <c r="NFH41" s="9"/>
      <c r="NFI41" s="9"/>
      <c r="NFJ41" s="9"/>
      <c r="NFK41" s="9"/>
      <c r="NFL41" s="9"/>
      <c r="NFM41" s="9"/>
      <c r="NFN41" s="9"/>
      <c r="NFO41" s="9"/>
      <c r="NFP41" s="9"/>
      <c r="NFQ41" s="9"/>
      <c r="NFR41" s="9"/>
      <c r="NFS41" s="9"/>
      <c r="NFT41" s="9"/>
      <c r="NFU41" s="9"/>
      <c r="NFV41" s="9"/>
      <c r="NFW41" s="9"/>
      <c r="NFX41" s="9"/>
      <c r="NFY41" s="9"/>
      <c r="NFZ41" s="9"/>
      <c r="NGA41" s="9"/>
      <c r="NGB41" s="9"/>
      <c r="NGC41" s="9"/>
      <c r="NGD41" s="9"/>
      <c r="NGE41" s="9"/>
      <c r="NGF41" s="9"/>
      <c r="NGG41" s="9"/>
      <c r="NGH41" s="9"/>
      <c r="NGI41" s="9"/>
      <c r="NGJ41" s="9"/>
      <c r="NGK41" s="9"/>
      <c r="NGL41" s="9"/>
      <c r="NGM41" s="9"/>
      <c r="NGN41" s="9"/>
      <c r="NGO41" s="9"/>
      <c r="NGP41" s="9"/>
      <c r="NGQ41" s="9"/>
      <c r="NGR41" s="9"/>
      <c r="NGS41" s="9"/>
      <c r="NGT41" s="9"/>
      <c r="NGU41" s="9"/>
      <c r="NGV41" s="9"/>
      <c r="NGW41" s="9"/>
      <c r="NGX41" s="9"/>
      <c r="NGY41" s="9"/>
      <c r="NGZ41" s="9"/>
      <c r="NHA41" s="9"/>
      <c r="NHB41" s="9"/>
      <c r="NHC41" s="9"/>
      <c r="NHD41" s="9"/>
      <c r="NHE41" s="9"/>
      <c r="NHF41" s="9"/>
      <c r="NHG41" s="9"/>
      <c r="NHH41" s="9"/>
      <c r="NHI41" s="9"/>
      <c r="NHJ41" s="9"/>
      <c r="NHK41" s="9"/>
      <c r="NHL41" s="9"/>
      <c r="NHM41" s="9"/>
      <c r="NHN41" s="9"/>
      <c r="NHO41" s="9"/>
      <c r="NHP41" s="9"/>
      <c r="NHQ41" s="9"/>
      <c r="NHR41" s="9"/>
      <c r="NHS41" s="9"/>
      <c r="NHT41" s="9"/>
      <c r="NHU41" s="9"/>
      <c r="NHV41" s="9"/>
      <c r="NHW41" s="9"/>
      <c r="NHX41" s="9"/>
      <c r="NHY41" s="9"/>
      <c r="NHZ41" s="9"/>
      <c r="NIA41" s="9"/>
      <c r="NIB41" s="9"/>
      <c r="NIC41" s="9"/>
      <c r="NID41" s="9"/>
      <c r="NIE41" s="9"/>
      <c r="NIF41" s="9"/>
      <c r="NIG41" s="9"/>
      <c r="NIH41" s="9"/>
      <c r="NII41" s="9"/>
      <c r="NIJ41" s="9"/>
      <c r="NIK41" s="9"/>
      <c r="NIL41" s="9"/>
      <c r="NIM41" s="9"/>
      <c r="NIN41" s="9"/>
      <c r="NIO41" s="9"/>
      <c r="NIP41" s="9"/>
      <c r="NIQ41" s="9"/>
      <c r="NIR41" s="9"/>
      <c r="NIS41" s="9"/>
      <c r="NIT41" s="9"/>
      <c r="NIU41" s="9"/>
      <c r="NIV41" s="9"/>
      <c r="NIW41" s="9"/>
      <c r="NIX41" s="9"/>
      <c r="NIY41" s="9"/>
      <c r="NIZ41" s="9"/>
      <c r="NJA41" s="9"/>
      <c r="NJB41" s="9"/>
      <c r="NJC41" s="9"/>
      <c r="NJD41" s="9"/>
      <c r="NJE41" s="9"/>
      <c r="NJF41" s="9"/>
      <c r="NJG41" s="9"/>
      <c r="NJH41" s="9"/>
      <c r="NJI41" s="9"/>
      <c r="NJJ41" s="9"/>
      <c r="NJK41" s="9"/>
      <c r="NJL41" s="9"/>
      <c r="NJM41" s="9"/>
      <c r="NJN41" s="9"/>
      <c r="NJO41" s="9"/>
      <c r="NJP41" s="9"/>
      <c r="NJQ41" s="9"/>
      <c r="NJR41" s="9"/>
      <c r="NJS41" s="9"/>
      <c r="NJT41" s="9"/>
      <c r="NJU41" s="9"/>
      <c r="NJV41" s="9"/>
      <c r="NJW41" s="9"/>
      <c r="NJX41" s="9"/>
      <c r="NJY41" s="9"/>
      <c r="NJZ41" s="9"/>
      <c r="NKA41" s="9"/>
      <c r="NKB41" s="9"/>
      <c r="NKC41" s="9"/>
      <c r="NKD41" s="9"/>
      <c r="NKE41" s="9"/>
      <c r="NKF41" s="9"/>
      <c r="NKG41" s="9"/>
      <c r="NKH41" s="9"/>
      <c r="NKI41" s="9"/>
      <c r="NKJ41" s="9"/>
      <c r="NKK41" s="9"/>
      <c r="NKL41" s="9"/>
      <c r="NKM41" s="9"/>
      <c r="NKN41" s="9"/>
      <c r="NKO41" s="9"/>
      <c r="NKP41" s="9"/>
      <c r="NKQ41" s="9"/>
      <c r="NKR41" s="9"/>
      <c r="NKS41" s="9"/>
      <c r="NKT41" s="9"/>
      <c r="NKU41" s="9"/>
      <c r="NKV41" s="9"/>
      <c r="NKW41" s="9"/>
      <c r="NKX41" s="9"/>
      <c r="NKY41" s="9"/>
      <c r="NKZ41" s="9"/>
      <c r="NLA41" s="9"/>
      <c r="NLB41" s="9"/>
      <c r="NLC41" s="9"/>
      <c r="NLD41" s="9"/>
      <c r="NLE41" s="9"/>
      <c r="NLF41" s="9"/>
      <c r="NLG41" s="9"/>
      <c r="NLH41" s="9"/>
      <c r="NLI41" s="9"/>
      <c r="NLJ41" s="9"/>
      <c r="NLK41" s="9"/>
      <c r="NLL41" s="9"/>
      <c r="NLM41" s="9"/>
      <c r="NLN41" s="9"/>
      <c r="NLO41" s="9"/>
      <c r="NLP41" s="9"/>
      <c r="NLQ41" s="9"/>
      <c r="NLR41" s="9"/>
      <c r="NLS41" s="9"/>
      <c r="NLT41" s="9"/>
      <c r="NLU41" s="9"/>
      <c r="NLV41" s="9"/>
      <c r="NLW41" s="9"/>
      <c r="NLX41" s="9"/>
      <c r="NLY41" s="9"/>
      <c r="NLZ41" s="9"/>
      <c r="NMA41" s="9"/>
      <c r="NMB41" s="9"/>
      <c r="NMC41" s="9"/>
      <c r="NMD41" s="9"/>
      <c r="NME41" s="9"/>
      <c r="NMF41" s="9"/>
      <c r="NMG41" s="9"/>
      <c r="NMH41" s="9"/>
      <c r="NMI41" s="9"/>
      <c r="NMJ41" s="9"/>
      <c r="NMK41" s="9"/>
      <c r="NML41" s="9"/>
      <c r="NMM41" s="9"/>
      <c r="NMN41" s="9"/>
      <c r="NMO41" s="9"/>
      <c r="NMP41" s="9"/>
      <c r="NMQ41" s="9"/>
      <c r="NMR41" s="9"/>
      <c r="NMS41" s="9"/>
      <c r="NMT41" s="9"/>
      <c r="NMU41" s="9"/>
      <c r="NMV41" s="9"/>
      <c r="NMW41" s="9"/>
      <c r="NMX41" s="9"/>
      <c r="NMY41" s="9"/>
      <c r="NMZ41" s="9"/>
      <c r="NNA41" s="9"/>
      <c r="NNB41" s="9"/>
      <c r="NNC41" s="9"/>
      <c r="NND41" s="9"/>
      <c r="NNE41" s="9"/>
      <c r="NNF41" s="9"/>
      <c r="NNG41" s="9"/>
      <c r="NNH41" s="9"/>
      <c r="NNI41" s="9"/>
      <c r="NNJ41" s="9"/>
      <c r="NNK41" s="9"/>
      <c r="NNL41" s="9"/>
      <c r="NNM41" s="9"/>
      <c r="NNN41" s="9"/>
      <c r="NNO41" s="9"/>
      <c r="NNP41" s="9"/>
      <c r="NNQ41" s="9"/>
      <c r="NNR41" s="9"/>
      <c r="NNS41" s="9"/>
      <c r="NNT41" s="9"/>
      <c r="NNU41" s="9"/>
      <c r="NNV41" s="9"/>
      <c r="NNW41" s="9"/>
      <c r="NNX41" s="9"/>
      <c r="NNY41" s="9"/>
      <c r="NNZ41" s="9"/>
      <c r="NOA41" s="9"/>
      <c r="NOB41" s="9"/>
      <c r="NOC41" s="9"/>
      <c r="NOD41" s="9"/>
      <c r="NOE41" s="9"/>
      <c r="NOF41" s="9"/>
      <c r="NOG41" s="9"/>
      <c r="NOH41" s="9"/>
      <c r="NOI41" s="9"/>
      <c r="NOJ41" s="9"/>
      <c r="NOK41" s="9"/>
      <c r="NOL41" s="9"/>
      <c r="NOM41" s="9"/>
      <c r="NON41" s="9"/>
      <c r="NOO41" s="9"/>
      <c r="NOP41" s="9"/>
      <c r="NOQ41" s="9"/>
      <c r="NOR41" s="9"/>
      <c r="NOS41" s="9"/>
      <c r="NOT41" s="9"/>
      <c r="NOU41" s="9"/>
      <c r="NOV41" s="9"/>
      <c r="NOW41" s="9"/>
      <c r="NOX41" s="9"/>
      <c r="NOY41" s="9"/>
      <c r="NOZ41" s="9"/>
      <c r="NPA41" s="9"/>
      <c r="NPB41" s="9"/>
      <c r="NPC41" s="9"/>
      <c r="NPD41" s="9"/>
      <c r="NPE41" s="9"/>
      <c r="NPF41" s="9"/>
      <c r="NPG41" s="9"/>
      <c r="NPH41" s="9"/>
      <c r="NPI41" s="9"/>
      <c r="NPJ41" s="9"/>
      <c r="NPK41" s="9"/>
      <c r="NPL41" s="9"/>
      <c r="NPM41" s="9"/>
      <c r="NPN41" s="9"/>
      <c r="NPO41" s="9"/>
      <c r="NPP41" s="9"/>
      <c r="NPQ41" s="9"/>
      <c r="NPR41" s="9"/>
      <c r="NPS41" s="9"/>
      <c r="NPT41" s="9"/>
      <c r="NPU41" s="9"/>
      <c r="NPV41" s="9"/>
      <c r="NPW41" s="9"/>
      <c r="NPX41" s="9"/>
      <c r="NPY41" s="9"/>
      <c r="NPZ41" s="9"/>
      <c r="NQA41" s="9"/>
      <c r="NQB41" s="9"/>
      <c r="NQC41" s="9"/>
      <c r="NQD41" s="9"/>
      <c r="NQE41" s="9"/>
      <c r="NQF41" s="9"/>
      <c r="NQG41" s="9"/>
      <c r="NQH41" s="9"/>
      <c r="NQI41" s="9"/>
      <c r="NQJ41" s="9"/>
      <c r="NQK41" s="9"/>
      <c r="NQL41" s="9"/>
      <c r="NQM41" s="9"/>
      <c r="NQN41" s="9"/>
      <c r="NQO41" s="9"/>
      <c r="NQP41" s="9"/>
      <c r="NQQ41" s="9"/>
      <c r="NQR41" s="9"/>
      <c r="NQS41" s="9"/>
      <c r="NQT41" s="9"/>
      <c r="NQU41" s="9"/>
      <c r="NQV41" s="9"/>
      <c r="NQW41" s="9"/>
      <c r="NQX41" s="9"/>
      <c r="NQY41" s="9"/>
      <c r="NQZ41" s="9"/>
      <c r="NRA41" s="9"/>
      <c r="NRB41" s="9"/>
      <c r="NRC41" s="9"/>
      <c r="NRD41" s="9"/>
      <c r="NRE41" s="9"/>
      <c r="NRF41" s="9"/>
      <c r="NRG41" s="9"/>
      <c r="NRH41" s="9"/>
      <c r="NRI41" s="9"/>
      <c r="NRJ41" s="9"/>
      <c r="NRK41" s="9"/>
      <c r="NRL41" s="9"/>
      <c r="NRM41" s="9"/>
      <c r="NRN41" s="9"/>
      <c r="NRO41" s="9"/>
      <c r="NRP41" s="9"/>
      <c r="NRQ41" s="9"/>
      <c r="NRR41" s="9"/>
      <c r="NRS41" s="9"/>
      <c r="NRT41" s="9"/>
      <c r="NRU41" s="9"/>
      <c r="NRV41" s="9"/>
      <c r="NRW41" s="9"/>
      <c r="NRX41" s="9"/>
      <c r="NRY41" s="9"/>
      <c r="NRZ41" s="9"/>
      <c r="NSA41" s="9"/>
      <c r="NSB41" s="9"/>
      <c r="NSC41" s="9"/>
      <c r="NSD41" s="9"/>
      <c r="NSE41" s="9"/>
      <c r="NSF41" s="9"/>
      <c r="NSG41" s="9"/>
      <c r="NSH41" s="9"/>
      <c r="NSI41" s="9"/>
      <c r="NSJ41" s="9"/>
      <c r="NSK41" s="9"/>
      <c r="NSL41" s="9"/>
      <c r="NSM41" s="9"/>
      <c r="NSN41" s="9"/>
      <c r="NSO41" s="9"/>
      <c r="NSP41" s="9"/>
      <c r="NSQ41" s="9"/>
      <c r="NSR41" s="9"/>
      <c r="NSS41" s="9"/>
      <c r="NST41" s="9"/>
      <c r="NSU41" s="9"/>
      <c r="NSV41" s="9"/>
      <c r="NSW41" s="9"/>
      <c r="NSX41" s="9"/>
      <c r="NSY41" s="9"/>
      <c r="NSZ41" s="9"/>
      <c r="NTA41" s="9"/>
      <c r="NTB41" s="9"/>
      <c r="NTC41" s="9"/>
      <c r="NTD41" s="9"/>
      <c r="NTE41" s="9"/>
      <c r="NTF41" s="9"/>
      <c r="NTG41" s="9"/>
      <c r="NTH41" s="9"/>
      <c r="NTI41" s="9"/>
      <c r="NTJ41" s="9"/>
      <c r="NTK41" s="9"/>
      <c r="NTL41" s="9"/>
      <c r="NTM41" s="9"/>
      <c r="NTN41" s="9"/>
      <c r="NTO41" s="9"/>
      <c r="NTP41" s="9"/>
      <c r="NTQ41" s="9"/>
      <c r="NTR41" s="9"/>
      <c r="NTS41" s="9"/>
      <c r="NTT41" s="9"/>
      <c r="NTU41" s="9"/>
      <c r="NTV41" s="9"/>
      <c r="NTW41" s="9"/>
      <c r="NTX41" s="9"/>
      <c r="NTY41" s="9"/>
      <c r="NTZ41" s="9"/>
      <c r="NUA41" s="9"/>
      <c r="NUB41" s="9"/>
      <c r="NUC41" s="9"/>
      <c r="NUD41" s="9"/>
      <c r="NUE41" s="9"/>
      <c r="NUF41" s="9"/>
      <c r="NUG41" s="9"/>
      <c r="NUH41" s="9"/>
      <c r="NUI41" s="9"/>
      <c r="NUJ41" s="9"/>
      <c r="NUK41" s="9"/>
      <c r="NUL41" s="9"/>
      <c r="NUM41" s="9"/>
      <c r="NUN41" s="9"/>
      <c r="NUO41" s="9"/>
      <c r="NUP41" s="9"/>
      <c r="NUQ41" s="9"/>
      <c r="NUR41" s="9"/>
      <c r="NUS41" s="9"/>
      <c r="NUT41" s="9"/>
      <c r="NUU41" s="9"/>
      <c r="NUV41" s="9"/>
      <c r="NUW41" s="9"/>
      <c r="NUX41" s="9"/>
      <c r="NUY41" s="9"/>
      <c r="NUZ41" s="9"/>
      <c r="NVA41" s="9"/>
      <c r="NVB41" s="9"/>
      <c r="NVC41" s="9"/>
      <c r="NVD41" s="9"/>
      <c r="NVE41" s="9"/>
      <c r="NVF41" s="9"/>
      <c r="NVG41" s="9"/>
      <c r="NVH41" s="9"/>
      <c r="NVI41" s="9"/>
      <c r="NVJ41" s="9"/>
      <c r="NVK41" s="9"/>
      <c r="NVL41" s="9"/>
      <c r="NVM41" s="9"/>
      <c r="NVN41" s="9"/>
      <c r="NVO41" s="9"/>
      <c r="NVP41" s="9"/>
      <c r="NVQ41" s="9"/>
      <c r="NVR41" s="9"/>
      <c r="NVS41" s="9"/>
      <c r="NVT41" s="9"/>
      <c r="NVU41" s="9"/>
      <c r="NVV41" s="9"/>
      <c r="NVW41" s="9"/>
      <c r="NVX41" s="9"/>
      <c r="NVY41" s="9"/>
      <c r="NVZ41" s="9"/>
      <c r="NWA41" s="9"/>
      <c r="NWB41" s="9"/>
      <c r="NWC41" s="9"/>
      <c r="NWD41" s="9"/>
      <c r="NWE41" s="9"/>
      <c r="NWF41" s="9"/>
      <c r="NWG41" s="9"/>
      <c r="NWH41" s="9"/>
      <c r="NWI41" s="9"/>
      <c r="NWJ41" s="9"/>
      <c r="NWK41" s="9"/>
      <c r="NWL41" s="9"/>
      <c r="NWM41" s="9"/>
      <c r="NWN41" s="9"/>
      <c r="NWO41" s="9"/>
      <c r="NWP41" s="9"/>
      <c r="NWQ41" s="9"/>
      <c r="NWR41" s="9"/>
      <c r="NWS41" s="9"/>
      <c r="NWT41" s="9"/>
      <c r="NWU41" s="9"/>
      <c r="NWV41" s="9"/>
      <c r="NWW41" s="9"/>
      <c r="NWX41" s="9"/>
      <c r="NWY41" s="9"/>
      <c r="NWZ41" s="9"/>
      <c r="NXA41" s="9"/>
      <c r="NXB41" s="9"/>
      <c r="NXC41" s="9"/>
      <c r="NXD41" s="9"/>
      <c r="NXE41" s="9"/>
      <c r="NXF41" s="9"/>
      <c r="NXG41" s="9"/>
      <c r="NXH41" s="9"/>
      <c r="NXI41" s="9"/>
      <c r="NXJ41" s="9"/>
      <c r="NXK41" s="9"/>
      <c r="NXL41" s="9"/>
      <c r="NXM41" s="9"/>
      <c r="NXN41" s="9"/>
      <c r="NXO41" s="9"/>
      <c r="NXP41" s="9"/>
      <c r="NXQ41" s="9"/>
      <c r="NXR41" s="9"/>
      <c r="NXS41" s="9"/>
      <c r="NXT41" s="9"/>
      <c r="NXU41" s="9"/>
      <c r="NXV41" s="9"/>
      <c r="NXW41" s="9"/>
      <c r="NXX41" s="9"/>
      <c r="NXY41" s="9"/>
      <c r="NXZ41" s="9"/>
      <c r="NYA41" s="9"/>
      <c r="NYB41" s="9"/>
      <c r="NYC41" s="9"/>
      <c r="NYD41" s="9"/>
      <c r="NYE41" s="9"/>
      <c r="NYF41" s="9"/>
      <c r="NYG41" s="9"/>
      <c r="NYH41" s="9"/>
      <c r="NYI41" s="9"/>
      <c r="NYJ41" s="9"/>
      <c r="NYK41" s="9"/>
      <c r="NYL41" s="9"/>
      <c r="NYM41" s="9"/>
      <c r="NYN41" s="9"/>
      <c r="NYO41" s="9"/>
      <c r="NYP41" s="9"/>
      <c r="NYQ41" s="9"/>
      <c r="NYR41" s="9"/>
      <c r="NYS41" s="9"/>
      <c r="NYT41" s="9"/>
      <c r="NYU41" s="9"/>
      <c r="NYV41" s="9"/>
      <c r="NYW41" s="9"/>
      <c r="NYX41" s="9"/>
      <c r="NYY41" s="9"/>
      <c r="NYZ41" s="9"/>
      <c r="NZA41" s="9"/>
      <c r="NZB41" s="9"/>
      <c r="NZC41" s="9"/>
      <c r="NZD41" s="9"/>
      <c r="NZE41" s="9"/>
      <c r="NZF41" s="9"/>
      <c r="NZG41" s="9"/>
      <c r="NZH41" s="9"/>
      <c r="NZI41" s="9"/>
      <c r="NZJ41" s="9"/>
      <c r="NZK41" s="9"/>
      <c r="NZL41" s="9"/>
      <c r="NZM41" s="9"/>
      <c r="NZN41" s="9"/>
      <c r="NZO41" s="9"/>
      <c r="NZP41" s="9"/>
      <c r="NZQ41" s="9"/>
      <c r="NZR41" s="9"/>
      <c r="NZS41" s="9"/>
      <c r="NZT41" s="9"/>
      <c r="NZU41" s="9"/>
      <c r="NZV41" s="9"/>
      <c r="NZW41" s="9"/>
      <c r="NZX41" s="9"/>
      <c r="NZY41" s="9"/>
      <c r="NZZ41" s="9"/>
      <c r="OAA41" s="9"/>
      <c r="OAB41" s="9"/>
      <c r="OAC41" s="9"/>
      <c r="OAD41" s="9"/>
      <c r="OAE41" s="9"/>
      <c r="OAF41" s="9"/>
      <c r="OAG41" s="9"/>
      <c r="OAH41" s="9"/>
      <c r="OAI41" s="9"/>
      <c r="OAJ41" s="9"/>
      <c r="OAK41" s="9"/>
      <c r="OAL41" s="9"/>
      <c r="OAM41" s="9"/>
      <c r="OAN41" s="9"/>
      <c r="OAO41" s="9"/>
      <c r="OAP41" s="9"/>
      <c r="OAQ41" s="9"/>
      <c r="OAR41" s="9"/>
      <c r="OAS41" s="9"/>
      <c r="OAT41" s="9"/>
      <c r="OAU41" s="9"/>
      <c r="OAV41" s="9"/>
      <c r="OAW41" s="9"/>
      <c r="OAX41" s="9"/>
      <c r="OAY41" s="9"/>
      <c r="OAZ41" s="9"/>
      <c r="OBA41" s="9"/>
      <c r="OBB41" s="9"/>
      <c r="OBC41" s="9"/>
      <c r="OBD41" s="9"/>
      <c r="OBE41" s="9"/>
      <c r="OBF41" s="9"/>
      <c r="OBG41" s="9"/>
      <c r="OBH41" s="9"/>
      <c r="OBI41" s="9"/>
      <c r="OBJ41" s="9"/>
      <c r="OBK41" s="9"/>
      <c r="OBL41" s="9"/>
      <c r="OBM41" s="9"/>
      <c r="OBN41" s="9"/>
      <c r="OBO41" s="9"/>
      <c r="OBP41" s="9"/>
      <c r="OBQ41" s="9"/>
      <c r="OBR41" s="9"/>
      <c r="OBS41" s="9"/>
      <c r="OBT41" s="9"/>
      <c r="OBU41" s="9"/>
      <c r="OBV41" s="9"/>
      <c r="OBW41" s="9"/>
      <c r="OBX41" s="9"/>
      <c r="OBY41" s="9"/>
      <c r="OBZ41" s="9"/>
      <c r="OCA41" s="9"/>
      <c r="OCB41" s="9"/>
      <c r="OCC41" s="9"/>
      <c r="OCD41" s="9"/>
      <c r="OCE41" s="9"/>
      <c r="OCF41" s="9"/>
      <c r="OCG41" s="9"/>
      <c r="OCH41" s="9"/>
      <c r="OCI41" s="9"/>
      <c r="OCJ41" s="9"/>
      <c r="OCK41" s="9"/>
      <c r="OCL41" s="9"/>
      <c r="OCM41" s="9"/>
      <c r="OCN41" s="9"/>
      <c r="OCO41" s="9"/>
      <c r="OCP41" s="9"/>
      <c r="OCQ41" s="9"/>
      <c r="OCR41" s="9"/>
      <c r="OCS41" s="9"/>
      <c r="OCT41" s="9"/>
      <c r="OCU41" s="9"/>
      <c r="OCV41" s="9"/>
      <c r="OCW41" s="9"/>
      <c r="OCX41" s="9"/>
      <c r="OCY41" s="9"/>
      <c r="OCZ41" s="9"/>
      <c r="ODA41" s="9"/>
      <c r="ODB41" s="9"/>
      <c r="ODC41" s="9"/>
      <c r="ODD41" s="9"/>
      <c r="ODE41" s="9"/>
      <c r="ODF41" s="9"/>
      <c r="ODG41" s="9"/>
      <c r="ODH41" s="9"/>
      <c r="ODI41" s="9"/>
      <c r="ODJ41" s="9"/>
      <c r="ODK41" s="9"/>
      <c r="ODL41" s="9"/>
      <c r="ODM41" s="9"/>
      <c r="ODN41" s="9"/>
      <c r="ODO41" s="9"/>
      <c r="ODP41" s="9"/>
      <c r="ODQ41" s="9"/>
      <c r="ODR41" s="9"/>
      <c r="ODS41" s="9"/>
      <c r="ODT41" s="9"/>
      <c r="ODU41" s="9"/>
      <c r="ODV41" s="9"/>
      <c r="ODW41" s="9"/>
      <c r="ODX41" s="9"/>
      <c r="ODY41" s="9"/>
      <c r="ODZ41" s="9"/>
      <c r="OEA41" s="9"/>
      <c r="OEB41" s="9"/>
      <c r="OEC41" s="9"/>
      <c r="OED41" s="9"/>
      <c r="OEE41" s="9"/>
      <c r="OEF41" s="9"/>
      <c r="OEG41" s="9"/>
      <c r="OEH41" s="9"/>
      <c r="OEI41" s="9"/>
      <c r="OEJ41" s="9"/>
      <c r="OEK41" s="9"/>
      <c r="OEL41" s="9"/>
      <c r="OEM41" s="9"/>
      <c r="OEN41" s="9"/>
      <c r="OEO41" s="9"/>
      <c r="OEP41" s="9"/>
      <c r="OEQ41" s="9"/>
      <c r="OER41" s="9"/>
      <c r="OES41" s="9"/>
      <c r="OET41" s="9"/>
      <c r="OEU41" s="9"/>
      <c r="OEV41" s="9"/>
      <c r="OEW41" s="9"/>
      <c r="OEX41" s="9"/>
      <c r="OEY41" s="9"/>
      <c r="OEZ41" s="9"/>
      <c r="OFA41" s="9"/>
      <c r="OFB41" s="9"/>
      <c r="OFC41" s="9"/>
      <c r="OFD41" s="9"/>
      <c r="OFE41" s="9"/>
      <c r="OFF41" s="9"/>
      <c r="OFG41" s="9"/>
      <c r="OFH41" s="9"/>
      <c r="OFI41" s="9"/>
      <c r="OFJ41" s="9"/>
      <c r="OFK41" s="9"/>
      <c r="OFL41" s="9"/>
      <c r="OFM41" s="9"/>
      <c r="OFN41" s="9"/>
      <c r="OFO41" s="9"/>
      <c r="OFP41" s="9"/>
      <c r="OFQ41" s="9"/>
      <c r="OFR41" s="9"/>
      <c r="OFS41" s="9"/>
      <c r="OFT41" s="9"/>
      <c r="OFU41" s="9"/>
      <c r="OFV41" s="9"/>
      <c r="OFW41" s="9"/>
      <c r="OFX41" s="9"/>
      <c r="OFY41" s="9"/>
      <c r="OFZ41" s="9"/>
      <c r="OGA41" s="9"/>
      <c r="OGB41" s="9"/>
      <c r="OGC41" s="9"/>
      <c r="OGD41" s="9"/>
      <c r="OGE41" s="9"/>
      <c r="OGF41" s="9"/>
      <c r="OGG41" s="9"/>
      <c r="OGH41" s="9"/>
      <c r="OGI41" s="9"/>
      <c r="OGJ41" s="9"/>
      <c r="OGK41" s="9"/>
      <c r="OGL41" s="9"/>
      <c r="OGM41" s="9"/>
      <c r="OGN41" s="9"/>
      <c r="OGO41" s="9"/>
      <c r="OGP41" s="9"/>
      <c r="OGQ41" s="9"/>
      <c r="OGR41" s="9"/>
      <c r="OGS41" s="9"/>
      <c r="OGT41" s="9"/>
      <c r="OGU41" s="9"/>
      <c r="OGV41" s="9"/>
      <c r="OGW41" s="9"/>
      <c r="OGX41" s="9"/>
      <c r="OGY41" s="9"/>
      <c r="OGZ41" s="9"/>
      <c r="OHA41" s="9"/>
      <c r="OHB41" s="9"/>
      <c r="OHC41" s="9"/>
      <c r="OHD41" s="9"/>
      <c r="OHE41" s="9"/>
      <c r="OHF41" s="9"/>
      <c r="OHG41" s="9"/>
      <c r="OHH41" s="9"/>
      <c r="OHI41" s="9"/>
      <c r="OHJ41" s="9"/>
      <c r="OHK41" s="9"/>
      <c r="OHL41" s="9"/>
      <c r="OHM41" s="9"/>
      <c r="OHN41" s="9"/>
      <c r="OHO41" s="9"/>
      <c r="OHP41" s="9"/>
      <c r="OHQ41" s="9"/>
      <c r="OHR41" s="9"/>
      <c r="OHS41" s="9"/>
      <c r="OHT41" s="9"/>
      <c r="OHU41" s="9"/>
      <c r="OHV41" s="9"/>
      <c r="OHW41" s="9"/>
      <c r="OHX41" s="9"/>
      <c r="OHY41" s="9"/>
      <c r="OHZ41" s="9"/>
      <c r="OIA41" s="9"/>
      <c r="OIB41" s="9"/>
      <c r="OIC41" s="9"/>
      <c r="OID41" s="9"/>
      <c r="OIE41" s="9"/>
      <c r="OIF41" s="9"/>
      <c r="OIG41" s="9"/>
      <c r="OIH41" s="9"/>
      <c r="OII41" s="9"/>
      <c r="OIJ41" s="9"/>
      <c r="OIK41" s="9"/>
      <c r="OIL41" s="9"/>
      <c r="OIM41" s="9"/>
      <c r="OIN41" s="9"/>
      <c r="OIO41" s="9"/>
      <c r="OIP41" s="9"/>
      <c r="OIQ41" s="9"/>
      <c r="OIR41" s="9"/>
      <c r="OIS41" s="9"/>
      <c r="OIT41" s="9"/>
      <c r="OIU41" s="9"/>
      <c r="OIV41" s="9"/>
      <c r="OIW41" s="9"/>
      <c r="OIX41" s="9"/>
      <c r="OIY41" s="9"/>
      <c r="OIZ41" s="9"/>
      <c r="OJA41" s="9"/>
      <c r="OJB41" s="9"/>
      <c r="OJC41" s="9"/>
      <c r="OJD41" s="9"/>
      <c r="OJE41" s="9"/>
      <c r="OJF41" s="9"/>
      <c r="OJG41" s="9"/>
      <c r="OJH41" s="9"/>
      <c r="OJI41" s="9"/>
      <c r="OJJ41" s="9"/>
      <c r="OJK41" s="9"/>
      <c r="OJL41" s="9"/>
      <c r="OJM41" s="9"/>
      <c r="OJN41" s="9"/>
      <c r="OJO41" s="9"/>
      <c r="OJP41" s="9"/>
      <c r="OJQ41" s="9"/>
      <c r="OJR41" s="9"/>
      <c r="OJS41" s="9"/>
      <c r="OJT41" s="9"/>
      <c r="OJU41" s="9"/>
      <c r="OJV41" s="9"/>
      <c r="OJW41" s="9"/>
      <c r="OJX41" s="9"/>
      <c r="OJY41" s="9"/>
      <c r="OJZ41" s="9"/>
      <c r="OKA41" s="9"/>
      <c r="OKB41" s="9"/>
      <c r="OKC41" s="9"/>
      <c r="OKD41" s="9"/>
      <c r="OKE41" s="9"/>
      <c r="OKF41" s="9"/>
      <c r="OKG41" s="9"/>
      <c r="OKH41" s="9"/>
      <c r="OKI41" s="9"/>
      <c r="OKJ41" s="9"/>
      <c r="OKK41" s="9"/>
      <c r="OKL41" s="9"/>
      <c r="OKM41" s="9"/>
      <c r="OKN41" s="9"/>
      <c r="OKO41" s="9"/>
      <c r="OKP41" s="9"/>
      <c r="OKQ41" s="9"/>
      <c r="OKR41" s="9"/>
      <c r="OKS41" s="9"/>
      <c r="OKT41" s="9"/>
      <c r="OKU41" s="9"/>
      <c r="OKV41" s="9"/>
      <c r="OKW41" s="9"/>
      <c r="OKX41" s="9"/>
      <c r="OKY41" s="9"/>
      <c r="OKZ41" s="9"/>
      <c r="OLA41" s="9"/>
      <c r="OLB41" s="9"/>
      <c r="OLC41" s="9"/>
      <c r="OLD41" s="9"/>
      <c r="OLE41" s="9"/>
      <c r="OLF41" s="9"/>
      <c r="OLG41" s="9"/>
      <c r="OLH41" s="9"/>
      <c r="OLI41" s="9"/>
      <c r="OLJ41" s="9"/>
      <c r="OLK41" s="9"/>
      <c r="OLL41" s="9"/>
      <c r="OLM41" s="9"/>
      <c r="OLN41" s="9"/>
      <c r="OLO41" s="9"/>
      <c r="OLP41" s="9"/>
      <c r="OLQ41" s="9"/>
      <c r="OLR41" s="9"/>
      <c r="OLS41" s="9"/>
      <c r="OLT41" s="9"/>
      <c r="OLU41" s="9"/>
      <c r="OLV41" s="9"/>
      <c r="OLW41" s="9"/>
      <c r="OLX41" s="9"/>
      <c r="OLY41" s="9"/>
      <c r="OLZ41" s="9"/>
      <c r="OMA41" s="9"/>
      <c r="OMB41" s="9"/>
      <c r="OMC41" s="9"/>
      <c r="OMD41" s="9"/>
      <c r="OME41" s="9"/>
      <c r="OMF41" s="9"/>
      <c r="OMG41" s="9"/>
      <c r="OMH41" s="9"/>
      <c r="OMI41" s="9"/>
      <c r="OMJ41" s="9"/>
      <c r="OMK41" s="9"/>
      <c r="OML41" s="9"/>
      <c r="OMM41" s="9"/>
      <c r="OMN41" s="9"/>
      <c r="OMO41" s="9"/>
      <c r="OMP41" s="9"/>
      <c r="OMQ41" s="9"/>
      <c r="OMR41" s="9"/>
      <c r="OMS41" s="9"/>
      <c r="OMT41" s="9"/>
      <c r="OMU41" s="9"/>
      <c r="OMV41" s="9"/>
      <c r="OMW41" s="9"/>
      <c r="OMX41" s="9"/>
      <c r="OMY41" s="9"/>
      <c r="OMZ41" s="9"/>
      <c r="ONA41" s="9"/>
      <c r="ONB41" s="9"/>
      <c r="ONC41" s="9"/>
      <c r="OND41" s="9"/>
      <c r="ONE41" s="9"/>
      <c r="ONF41" s="9"/>
      <c r="ONG41" s="9"/>
      <c r="ONH41" s="9"/>
      <c r="ONI41" s="9"/>
      <c r="ONJ41" s="9"/>
      <c r="ONK41" s="9"/>
      <c r="ONL41" s="9"/>
      <c r="ONM41" s="9"/>
      <c r="ONN41" s="9"/>
      <c r="ONO41" s="9"/>
      <c r="ONP41" s="9"/>
      <c r="ONQ41" s="9"/>
      <c r="ONR41" s="9"/>
      <c r="ONS41" s="9"/>
      <c r="ONT41" s="9"/>
      <c r="ONU41" s="9"/>
      <c r="ONV41" s="9"/>
      <c r="ONW41" s="9"/>
      <c r="ONX41" s="9"/>
      <c r="ONY41" s="9"/>
      <c r="ONZ41" s="9"/>
      <c r="OOA41" s="9"/>
      <c r="OOB41" s="9"/>
      <c r="OOC41" s="9"/>
      <c r="OOD41" s="9"/>
      <c r="OOE41" s="9"/>
      <c r="OOF41" s="9"/>
      <c r="OOG41" s="9"/>
      <c r="OOH41" s="9"/>
      <c r="OOI41" s="9"/>
      <c r="OOJ41" s="9"/>
      <c r="OOK41" s="9"/>
      <c r="OOL41" s="9"/>
      <c r="OOM41" s="9"/>
      <c r="OON41" s="9"/>
      <c r="OOO41" s="9"/>
      <c r="OOP41" s="9"/>
      <c r="OOQ41" s="9"/>
      <c r="OOR41" s="9"/>
      <c r="OOS41" s="9"/>
      <c r="OOT41" s="9"/>
      <c r="OOU41" s="9"/>
      <c r="OOV41" s="9"/>
      <c r="OOW41" s="9"/>
      <c r="OOX41" s="9"/>
      <c r="OOY41" s="9"/>
      <c r="OOZ41" s="9"/>
      <c r="OPA41" s="9"/>
      <c r="OPB41" s="9"/>
      <c r="OPC41" s="9"/>
      <c r="OPD41" s="9"/>
      <c r="OPE41" s="9"/>
      <c r="OPF41" s="9"/>
      <c r="OPG41" s="9"/>
      <c r="OPH41" s="9"/>
      <c r="OPI41" s="9"/>
      <c r="OPJ41" s="9"/>
      <c r="OPK41" s="9"/>
      <c r="OPL41" s="9"/>
      <c r="OPM41" s="9"/>
      <c r="OPN41" s="9"/>
      <c r="OPO41" s="9"/>
      <c r="OPP41" s="9"/>
      <c r="OPQ41" s="9"/>
      <c r="OPR41" s="9"/>
      <c r="OPS41" s="9"/>
      <c r="OPT41" s="9"/>
      <c r="OPU41" s="9"/>
      <c r="OPV41" s="9"/>
      <c r="OPW41" s="9"/>
      <c r="OPX41" s="9"/>
      <c r="OPY41" s="9"/>
      <c r="OPZ41" s="9"/>
      <c r="OQA41" s="9"/>
      <c r="OQB41" s="9"/>
      <c r="OQC41" s="9"/>
      <c r="OQD41" s="9"/>
      <c r="OQE41" s="9"/>
      <c r="OQF41" s="9"/>
      <c r="OQG41" s="9"/>
      <c r="OQH41" s="9"/>
      <c r="OQI41" s="9"/>
      <c r="OQJ41" s="9"/>
      <c r="OQK41" s="9"/>
      <c r="OQL41" s="9"/>
      <c r="OQM41" s="9"/>
      <c r="OQN41" s="9"/>
      <c r="OQO41" s="9"/>
      <c r="OQP41" s="9"/>
      <c r="OQQ41" s="9"/>
      <c r="OQR41" s="9"/>
      <c r="OQS41" s="9"/>
      <c r="OQT41" s="9"/>
      <c r="OQU41" s="9"/>
      <c r="OQV41" s="9"/>
      <c r="OQW41" s="9"/>
      <c r="OQX41" s="9"/>
      <c r="OQY41" s="9"/>
      <c r="OQZ41" s="9"/>
      <c r="ORA41" s="9"/>
      <c r="ORB41" s="9"/>
      <c r="ORC41" s="9"/>
      <c r="ORD41" s="9"/>
      <c r="ORE41" s="9"/>
      <c r="ORF41" s="9"/>
      <c r="ORG41" s="9"/>
      <c r="ORH41" s="9"/>
      <c r="ORI41" s="9"/>
      <c r="ORJ41" s="9"/>
      <c r="ORK41" s="9"/>
      <c r="ORL41" s="9"/>
      <c r="ORM41" s="9"/>
      <c r="ORN41" s="9"/>
      <c r="ORO41" s="9"/>
      <c r="ORP41" s="9"/>
      <c r="ORQ41" s="9"/>
      <c r="ORR41" s="9"/>
      <c r="ORS41" s="9"/>
      <c r="ORT41" s="9"/>
      <c r="ORU41" s="9"/>
      <c r="ORV41" s="9"/>
      <c r="ORW41" s="9"/>
      <c r="ORX41" s="9"/>
      <c r="ORY41" s="9"/>
      <c r="ORZ41" s="9"/>
      <c r="OSA41" s="9"/>
      <c r="OSB41" s="9"/>
      <c r="OSC41" s="9"/>
      <c r="OSD41" s="9"/>
      <c r="OSE41" s="9"/>
      <c r="OSF41" s="9"/>
      <c r="OSG41" s="9"/>
      <c r="OSH41" s="9"/>
      <c r="OSI41" s="9"/>
      <c r="OSJ41" s="9"/>
      <c r="OSK41" s="9"/>
      <c r="OSL41" s="9"/>
      <c r="OSM41" s="9"/>
      <c r="OSN41" s="9"/>
      <c r="OSO41" s="9"/>
      <c r="OSP41" s="9"/>
      <c r="OSQ41" s="9"/>
      <c r="OSR41" s="9"/>
      <c r="OSS41" s="9"/>
      <c r="OST41" s="9"/>
      <c r="OSU41" s="9"/>
      <c r="OSV41" s="9"/>
      <c r="OSW41" s="9"/>
      <c r="OSX41" s="9"/>
      <c r="OSY41" s="9"/>
      <c r="OSZ41" s="9"/>
      <c r="OTA41" s="9"/>
      <c r="OTB41" s="9"/>
      <c r="OTC41" s="9"/>
      <c r="OTD41" s="9"/>
      <c r="OTE41" s="9"/>
      <c r="OTF41" s="9"/>
      <c r="OTG41" s="9"/>
      <c r="OTH41" s="9"/>
      <c r="OTI41" s="9"/>
      <c r="OTJ41" s="9"/>
      <c r="OTK41" s="9"/>
      <c r="OTL41" s="9"/>
      <c r="OTM41" s="9"/>
      <c r="OTN41" s="9"/>
      <c r="OTO41" s="9"/>
      <c r="OTP41" s="9"/>
      <c r="OTQ41" s="9"/>
      <c r="OTR41" s="9"/>
      <c r="OTS41" s="9"/>
      <c r="OTT41" s="9"/>
      <c r="OTU41" s="9"/>
      <c r="OTV41" s="9"/>
      <c r="OTW41" s="9"/>
      <c r="OTX41" s="9"/>
      <c r="OTY41" s="9"/>
      <c r="OTZ41" s="9"/>
      <c r="OUA41" s="9"/>
      <c r="OUB41" s="9"/>
      <c r="OUC41" s="9"/>
      <c r="OUD41" s="9"/>
      <c r="OUE41" s="9"/>
      <c r="OUF41" s="9"/>
      <c r="OUG41" s="9"/>
      <c r="OUH41" s="9"/>
      <c r="OUI41" s="9"/>
      <c r="OUJ41" s="9"/>
      <c r="OUK41" s="9"/>
      <c r="OUL41" s="9"/>
      <c r="OUM41" s="9"/>
      <c r="OUN41" s="9"/>
      <c r="OUO41" s="9"/>
      <c r="OUP41" s="9"/>
      <c r="OUQ41" s="9"/>
      <c r="OUR41" s="9"/>
      <c r="OUS41" s="9"/>
      <c r="OUT41" s="9"/>
      <c r="OUU41" s="9"/>
      <c r="OUV41" s="9"/>
      <c r="OUW41" s="9"/>
      <c r="OUX41" s="9"/>
      <c r="OUY41" s="9"/>
      <c r="OUZ41" s="9"/>
      <c r="OVA41" s="9"/>
      <c r="OVB41" s="9"/>
      <c r="OVC41" s="9"/>
      <c r="OVD41" s="9"/>
      <c r="OVE41" s="9"/>
      <c r="OVF41" s="9"/>
      <c r="OVG41" s="9"/>
      <c r="OVH41" s="9"/>
      <c r="OVI41" s="9"/>
      <c r="OVJ41" s="9"/>
      <c r="OVK41" s="9"/>
      <c r="OVL41" s="9"/>
      <c r="OVM41" s="9"/>
      <c r="OVN41" s="9"/>
      <c r="OVO41" s="9"/>
      <c r="OVP41" s="9"/>
      <c r="OVQ41" s="9"/>
      <c r="OVR41" s="9"/>
      <c r="OVS41" s="9"/>
      <c r="OVT41" s="9"/>
      <c r="OVU41" s="9"/>
      <c r="OVV41" s="9"/>
      <c r="OVW41" s="9"/>
      <c r="OVX41" s="9"/>
      <c r="OVY41" s="9"/>
      <c r="OVZ41" s="9"/>
      <c r="OWA41" s="9"/>
      <c r="OWB41" s="9"/>
      <c r="OWC41" s="9"/>
      <c r="OWD41" s="9"/>
      <c r="OWE41" s="9"/>
      <c r="OWF41" s="9"/>
      <c r="OWG41" s="9"/>
      <c r="OWH41" s="9"/>
      <c r="OWI41" s="9"/>
      <c r="OWJ41" s="9"/>
      <c r="OWK41" s="9"/>
      <c r="OWL41" s="9"/>
      <c r="OWM41" s="9"/>
      <c r="OWN41" s="9"/>
      <c r="OWO41" s="9"/>
      <c r="OWP41" s="9"/>
      <c r="OWQ41" s="9"/>
      <c r="OWR41" s="9"/>
      <c r="OWS41" s="9"/>
      <c r="OWT41" s="9"/>
      <c r="OWU41" s="9"/>
      <c r="OWV41" s="9"/>
      <c r="OWW41" s="9"/>
      <c r="OWX41" s="9"/>
      <c r="OWY41" s="9"/>
      <c r="OWZ41" s="9"/>
      <c r="OXA41" s="9"/>
      <c r="OXB41" s="9"/>
      <c r="OXC41" s="9"/>
      <c r="OXD41" s="9"/>
      <c r="OXE41" s="9"/>
      <c r="OXF41" s="9"/>
      <c r="OXG41" s="9"/>
      <c r="OXH41" s="9"/>
      <c r="OXI41" s="9"/>
      <c r="OXJ41" s="9"/>
      <c r="OXK41" s="9"/>
      <c r="OXL41" s="9"/>
      <c r="OXM41" s="9"/>
      <c r="OXN41" s="9"/>
      <c r="OXO41" s="9"/>
      <c r="OXP41" s="9"/>
      <c r="OXQ41" s="9"/>
      <c r="OXR41" s="9"/>
      <c r="OXS41" s="9"/>
      <c r="OXT41" s="9"/>
      <c r="OXU41" s="9"/>
      <c r="OXV41" s="9"/>
      <c r="OXW41" s="9"/>
      <c r="OXX41" s="9"/>
      <c r="OXY41" s="9"/>
      <c r="OXZ41" s="9"/>
      <c r="OYA41" s="9"/>
      <c r="OYB41" s="9"/>
      <c r="OYC41" s="9"/>
      <c r="OYD41" s="9"/>
      <c r="OYE41" s="9"/>
      <c r="OYF41" s="9"/>
      <c r="OYG41" s="9"/>
      <c r="OYH41" s="9"/>
      <c r="OYI41" s="9"/>
      <c r="OYJ41" s="9"/>
      <c r="OYK41" s="9"/>
      <c r="OYL41" s="9"/>
      <c r="OYM41" s="9"/>
      <c r="OYN41" s="9"/>
      <c r="OYO41" s="9"/>
      <c r="OYP41" s="9"/>
      <c r="OYQ41" s="9"/>
      <c r="OYR41" s="9"/>
      <c r="OYS41" s="9"/>
      <c r="OYT41" s="9"/>
      <c r="OYU41" s="9"/>
      <c r="OYV41" s="9"/>
      <c r="OYW41" s="9"/>
      <c r="OYX41" s="9"/>
      <c r="OYY41" s="9"/>
      <c r="OYZ41" s="9"/>
      <c r="OZA41" s="9"/>
      <c r="OZB41" s="9"/>
      <c r="OZC41" s="9"/>
      <c r="OZD41" s="9"/>
      <c r="OZE41" s="9"/>
      <c r="OZF41" s="9"/>
      <c r="OZG41" s="9"/>
      <c r="OZH41" s="9"/>
      <c r="OZI41" s="9"/>
      <c r="OZJ41" s="9"/>
      <c r="OZK41" s="9"/>
      <c r="OZL41" s="9"/>
      <c r="OZM41" s="9"/>
      <c r="OZN41" s="9"/>
      <c r="OZO41" s="9"/>
      <c r="OZP41" s="9"/>
      <c r="OZQ41" s="9"/>
      <c r="OZR41" s="9"/>
      <c r="OZS41" s="9"/>
      <c r="OZT41" s="9"/>
      <c r="OZU41" s="9"/>
      <c r="OZV41" s="9"/>
      <c r="OZW41" s="9"/>
      <c r="OZX41" s="9"/>
      <c r="OZY41" s="9"/>
      <c r="OZZ41" s="9"/>
      <c r="PAA41" s="9"/>
      <c r="PAB41" s="9"/>
      <c r="PAC41" s="9"/>
      <c r="PAD41" s="9"/>
      <c r="PAE41" s="9"/>
      <c r="PAF41" s="9"/>
      <c r="PAG41" s="9"/>
      <c r="PAH41" s="9"/>
      <c r="PAI41" s="9"/>
      <c r="PAJ41" s="9"/>
      <c r="PAK41" s="9"/>
      <c r="PAL41" s="9"/>
      <c r="PAM41" s="9"/>
      <c r="PAN41" s="9"/>
      <c r="PAO41" s="9"/>
      <c r="PAP41" s="9"/>
      <c r="PAQ41" s="9"/>
      <c r="PAR41" s="9"/>
      <c r="PAS41" s="9"/>
      <c r="PAT41" s="9"/>
      <c r="PAU41" s="9"/>
      <c r="PAV41" s="9"/>
      <c r="PAW41" s="9"/>
      <c r="PAX41" s="9"/>
      <c r="PAY41" s="9"/>
      <c r="PAZ41" s="9"/>
      <c r="PBA41" s="9"/>
      <c r="PBB41" s="9"/>
      <c r="PBC41" s="9"/>
      <c r="PBD41" s="9"/>
      <c r="PBE41" s="9"/>
      <c r="PBF41" s="9"/>
      <c r="PBG41" s="9"/>
      <c r="PBH41" s="9"/>
      <c r="PBI41" s="9"/>
      <c r="PBJ41" s="9"/>
      <c r="PBK41" s="9"/>
      <c r="PBL41" s="9"/>
      <c r="PBM41" s="9"/>
      <c r="PBN41" s="9"/>
      <c r="PBO41" s="9"/>
      <c r="PBP41" s="9"/>
      <c r="PBQ41" s="9"/>
      <c r="PBR41" s="9"/>
      <c r="PBS41" s="9"/>
      <c r="PBT41" s="9"/>
      <c r="PBU41" s="9"/>
      <c r="PBV41" s="9"/>
      <c r="PBW41" s="9"/>
      <c r="PBX41" s="9"/>
      <c r="PBY41" s="9"/>
      <c r="PBZ41" s="9"/>
      <c r="PCA41" s="9"/>
      <c r="PCB41" s="9"/>
      <c r="PCC41" s="9"/>
      <c r="PCD41" s="9"/>
      <c r="PCE41" s="9"/>
      <c r="PCF41" s="9"/>
      <c r="PCG41" s="9"/>
      <c r="PCH41" s="9"/>
      <c r="PCI41" s="9"/>
      <c r="PCJ41" s="9"/>
      <c r="PCK41" s="9"/>
      <c r="PCL41" s="9"/>
      <c r="PCM41" s="9"/>
      <c r="PCN41" s="9"/>
      <c r="PCO41" s="9"/>
      <c r="PCP41" s="9"/>
      <c r="PCQ41" s="9"/>
      <c r="PCR41" s="9"/>
      <c r="PCS41" s="9"/>
      <c r="PCT41" s="9"/>
      <c r="PCU41" s="9"/>
      <c r="PCV41" s="9"/>
      <c r="PCW41" s="9"/>
      <c r="PCX41" s="9"/>
      <c r="PCY41" s="9"/>
      <c r="PCZ41" s="9"/>
      <c r="PDA41" s="9"/>
      <c r="PDB41" s="9"/>
      <c r="PDC41" s="9"/>
      <c r="PDD41" s="9"/>
      <c r="PDE41" s="9"/>
      <c r="PDF41" s="9"/>
      <c r="PDG41" s="9"/>
      <c r="PDH41" s="9"/>
      <c r="PDI41" s="9"/>
      <c r="PDJ41" s="9"/>
      <c r="PDK41" s="9"/>
      <c r="PDL41" s="9"/>
      <c r="PDM41" s="9"/>
      <c r="PDN41" s="9"/>
      <c r="PDO41" s="9"/>
      <c r="PDP41" s="9"/>
      <c r="PDQ41" s="9"/>
      <c r="PDR41" s="9"/>
      <c r="PDS41" s="9"/>
      <c r="PDT41" s="9"/>
      <c r="PDU41" s="9"/>
      <c r="PDV41" s="9"/>
      <c r="PDW41" s="9"/>
      <c r="PDX41" s="9"/>
      <c r="PDY41" s="9"/>
      <c r="PDZ41" s="9"/>
      <c r="PEA41" s="9"/>
      <c r="PEB41" s="9"/>
      <c r="PEC41" s="9"/>
      <c r="PED41" s="9"/>
      <c r="PEE41" s="9"/>
      <c r="PEF41" s="9"/>
      <c r="PEG41" s="9"/>
      <c r="PEH41" s="9"/>
      <c r="PEI41" s="9"/>
      <c r="PEJ41" s="9"/>
      <c r="PEK41" s="9"/>
      <c r="PEL41" s="9"/>
      <c r="PEM41" s="9"/>
      <c r="PEN41" s="9"/>
      <c r="PEO41" s="9"/>
      <c r="PEP41" s="9"/>
      <c r="PEQ41" s="9"/>
      <c r="PER41" s="9"/>
      <c r="PES41" s="9"/>
      <c r="PET41" s="9"/>
      <c r="PEU41" s="9"/>
      <c r="PEV41" s="9"/>
      <c r="PEW41" s="9"/>
      <c r="PEX41" s="9"/>
      <c r="PEY41" s="9"/>
      <c r="PEZ41" s="9"/>
      <c r="PFA41" s="9"/>
      <c r="PFB41" s="9"/>
      <c r="PFC41" s="9"/>
      <c r="PFD41" s="9"/>
      <c r="PFE41" s="9"/>
      <c r="PFF41" s="9"/>
      <c r="PFG41" s="9"/>
      <c r="PFH41" s="9"/>
      <c r="PFI41" s="9"/>
      <c r="PFJ41" s="9"/>
      <c r="PFK41" s="9"/>
      <c r="PFL41" s="9"/>
      <c r="PFM41" s="9"/>
      <c r="PFN41" s="9"/>
      <c r="PFO41" s="9"/>
      <c r="PFP41" s="9"/>
      <c r="PFQ41" s="9"/>
      <c r="PFR41" s="9"/>
      <c r="PFS41" s="9"/>
      <c r="PFT41" s="9"/>
      <c r="PFU41" s="9"/>
      <c r="PFV41" s="9"/>
      <c r="PFW41" s="9"/>
      <c r="PFX41" s="9"/>
      <c r="PFY41" s="9"/>
      <c r="PFZ41" s="9"/>
      <c r="PGA41" s="9"/>
      <c r="PGB41" s="9"/>
      <c r="PGC41" s="9"/>
      <c r="PGD41" s="9"/>
      <c r="PGE41" s="9"/>
      <c r="PGF41" s="9"/>
      <c r="PGG41" s="9"/>
      <c r="PGH41" s="9"/>
      <c r="PGI41" s="9"/>
      <c r="PGJ41" s="9"/>
      <c r="PGK41" s="9"/>
      <c r="PGL41" s="9"/>
      <c r="PGM41" s="9"/>
      <c r="PGN41" s="9"/>
      <c r="PGO41" s="9"/>
      <c r="PGP41" s="9"/>
      <c r="PGQ41" s="9"/>
      <c r="PGR41" s="9"/>
      <c r="PGS41" s="9"/>
      <c r="PGT41" s="9"/>
      <c r="PGU41" s="9"/>
      <c r="PGV41" s="9"/>
      <c r="PGW41" s="9"/>
      <c r="PGX41" s="9"/>
      <c r="PGY41" s="9"/>
      <c r="PGZ41" s="9"/>
      <c r="PHA41" s="9"/>
      <c r="PHB41" s="9"/>
      <c r="PHC41" s="9"/>
      <c r="PHD41" s="9"/>
      <c r="PHE41" s="9"/>
      <c r="PHF41" s="9"/>
      <c r="PHG41" s="9"/>
      <c r="PHH41" s="9"/>
      <c r="PHI41" s="9"/>
      <c r="PHJ41" s="9"/>
      <c r="PHK41" s="9"/>
      <c r="PHL41" s="9"/>
      <c r="PHM41" s="9"/>
      <c r="PHN41" s="9"/>
      <c r="PHO41" s="9"/>
      <c r="PHP41" s="9"/>
      <c r="PHQ41" s="9"/>
      <c r="PHR41" s="9"/>
      <c r="PHS41" s="9"/>
      <c r="PHT41" s="9"/>
      <c r="PHU41" s="9"/>
      <c r="PHV41" s="9"/>
      <c r="PHW41" s="9"/>
      <c r="PHX41" s="9"/>
      <c r="PHY41" s="9"/>
      <c r="PHZ41" s="9"/>
      <c r="PIA41" s="9"/>
      <c r="PIB41" s="9"/>
      <c r="PIC41" s="9"/>
      <c r="PID41" s="9"/>
      <c r="PIE41" s="9"/>
      <c r="PIF41" s="9"/>
      <c r="PIG41" s="9"/>
      <c r="PIH41" s="9"/>
      <c r="PII41" s="9"/>
      <c r="PIJ41" s="9"/>
      <c r="PIK41" s="9"/>
      <c r="PIL41" s="9"/>
      <c r="PIM41" s="9"/>
      <c r="PIN41" s="9"/>
      <c r="PIO41" s="9"/>
      <c r="PIP41" s="9"/>
      <c r="PIQ41" s="9"/>
      <c r="PIR41" s="9"/>
      <c r="PIS41" s="9"/>
      <c r="PIT41" s="9"/>
      <c r="PIU41" s="9"/>
      <c r="PIV41" s="9"/>
      <c r="PIW41" s="9"/>
      <c r="PIX41" s="9"/>
      <c r="PIY41" s="9"/>
      <c r="PIZ41" s="9"/>
      <c r="PJA41" s="9"/>
      <c r="PJB41" s="9"/>
      <c r="PJC41" s="9"/>
      <c r="PJD41" s="9"/>
      <c r="PJE41" s="9"/>
      <c r="PJF41" s="9"/>
      <c r="PJG41" s="9"/>
      <c r="PJH41" s="9"/>
      <c r="PJI41" s="9"/>
      <c r="PJJ41" s="9"/>
      <c r="PJK41" s="9"/>
      <c r="PJL41" s="9"/>
      <c r="PJM41" s="9"/>
      <c r="PJN41" s="9"/>
      <c r="PJO41" s="9"/>
      <c r="PJP41" s="9"/>
      <c r="PJQ41" s="9"/>
      <c r="PJR41" s="9"/>
      <c r="PJS41" s="9"/>
      <c r="PJT41" s="9"/>
      <c r="PJU41" s="9"/>
      <c r="PJV41" s="9"/>
      <c r="PJW41" s="9"/>
      <c r="PJX41" s="9"/>
      <c r="PJY41" s="9"/>
      <c r="PJZ41" s="9"/>
      <c r="PKA41" s="9"/>
      <c r="PKB41" s="9"/>
      <c r="PKC41" s="9"/>
      <c r="PKD41" s="9"/>
      <c r="PKE41" s="9"/>
      <c r="PKF41" s="9"/>
      <c r="PKG41" s="9"/>
      <c r="PKH41" s="9"/>
      <c r="PKI41" s="9"/>
      <c r="PKJ41" s="9"/>
      <c r="PKK41" s="9"/>
      <c r="PKL41" s="9"/>
      <c r="PKM41" s="9"/>
      <c r="PKN41" s="9"/>
      <c r="PKO41" s="9"/>
      <c r="PKP41" s="9"/>
      <c r="PKQ41" s="9"/>
      <c r="PKR41" s="9"/>
      <c r="PKS41" s="9"/>
      <c r="PKT41" s="9"/>
      <c r="PKU41" s="9"/>
      <c r="PKV41" s="9"/>
      <c r="PKW41" s="9"/>
      <c r="PKX41" s="9"/>
      <c r="PKY41" s="9"/>
      <c r="PKZ41" s="9"/>
      <c r="PLA41" s="9"/>
      <c r="PLB41" s="9"/>
      <c r="PLC41" s="9"/>
      <c r="PLD41" s="9"/>
      <c r="PLE41" s="9"/>
      <c r="PLF41" s="9"/>
      <c r="PLG41" s="9"/>
      <c r="PLH41" s="9"/>
      <c r="PLI41" s="9"/>
      <c r="PLJ41" s="9"/>
      <c r="PLK41" s="9"/>
      <c r="PLL41" s="9"/>
      <c r="PLM41" s="9"/>
      <c r="PLN41" s="9"/>
      <c r="PLO41" s="9"/>
      <c r="PLP41" s="9"/>
      <c r="PLQ41" s="9"/>
      <c r="PLR41" s="9"/>
      <c r="PLS41" s="9"/>
      <c r="PLT41" s="9"/>
      <c r="PLU41" s="9"/>
      <c r="PLV41" s="9"/>
      <c r="PLW41" s="9"/>
      <c r="PLX41" s="9"/>
      <c r="PLY41" s="9"/>
      <c r="PLZ41" s="9"/>
      <c r="PMA41" s="9"/>
      <c r="PMB41" s="9"/>
      <c r="PMC41" s="9"/>
      <c r="PMD41" s="9"/>
      <c r="PME41" s="9"/>
      <c r="PMF41" s="9"/>
      <c r="PMG41" s="9"/>
      <c r="PMH41" s="9"/>
      <c r="PMI41" s="9"/>
      <c r="PMJ41" s="9"/>
      <c r="PMK41" s="9"/>
      <c r="PML41" s="9"/>
      <c r="PMM41" s="9"/>
      <c r="PMN41" s="9"/>
      <c r="PMO41" s="9"/>
      <c r="PMP41" s="9"/>
      <c r="PMQ41" s="9"/>
      <c r="PMR41" s="9"/>
      <c r="PMS41" s="9"/>
      <c r="PMT41" s="9"/>
      <c r="PMU41" s="9"/>
      <c r="PMV41" s="9"/>
      <c r="PMW41" s="9"/>
      <c r="PMX41" s="9"/>
      <c r="PMY41" s="9"/>
      <c r="PMZ41" s="9"/>
      <c r="PNA41" s="9"/>
      <c r="PNB41" s="9"/>
      <c r="PNC41" s="9"/>
      <c r="PND41" s="9"/>
      <c r="PNE41" s="9"/>
      <c r="PNF41" s="9"/>
      <c r="PNG41" s="9"/>
      <c r="PNH41" s="9"/>
      <c r="PNI41" s="9"/>
      <c r="PNJ41" s="9"/>
      <c r="PNK41" s="9"/>
      <c r="PNL41" s="9"/>
      <c r="PNM41" s="9"/>
      <c r="PNN41" s="9"/>
      <c r="PNO41" s="9"/>
      <c r="PNP41" s="9"/>
      <c r="PNQ41" s="9"/>
      <c r="PNR41" s="9"/>
      <c r="PNS41" s="9"/>
      <c r="PNT41" s="9"/>
      <c r="PNU41" s="9"/>
      <c r="PNV41" s="9"/>
      <c r="PNW41" s="9"/>
      <c r="PNX41" s="9"/>
      <c r="PNY41" s="9"/>
      <c r="PNZ41" s="9"/>
      <c r="POA41" s="9"/>
      <c r="POB41" s="9"/>
      <c r="POC41" s="9"/>
      <c r="POD41" s="9"/>
      <c r="POE41" s="9"/>
      <c r="POF41" s="9"/>
      <c r="POG41" s="9"/>
      <c r="POH41" s="9"/>
      <c r="POI41" s="9"/>
      <c r="POJ41" s="9"/>
      <c r="POK41" s="9"/>
      <c r="POL41" s="9"/>
      <c r="POM41" s="9"/>
      <c r="PON41" s="9"/>
      <c r="POO41" s="9"/>
      <c r="POP41" s="9"/>
      <c r="POQ41" s="9"/>
      <c r="POR41" s="9"/>
      <c r="POS41" s="9"/>
      <c r="POT41" s="9"/>
      <c r="POU41" s="9"/>
      <c r="POV41" s="9"/>
      <c r="POW41" s="9"/>
      <c r="POX41" s="9"/>
      <c r="POY41" s="9"/>
      <c r="POZ41" s="9"/>
      <c r="PPA41" s="9"/>
      <c r="PPB41" s="9"/>
      <c r="PPC41" s="9"/>
      <c r="PPD41" s="9"/>
      <c r="PPE41" s="9"/>
      <c r="PPF41" s="9"/>
      <c r="PPG41" s="9"/>
      <c r="PPH41" s="9"/>
      <c r="PPI41" s="9"/>
      <c r="PPJ41" s="9"/>
      <c r="PPK41" s="9"/>
      <c r="PPL41" s="9"/>
      <c r="PPM41" s="9"/>
      <c r="PPN41" s="9"/>
      <c r="PPO41" s="9"/>
      <c r="PPP41" s="9"/>
      <c r="PPQ41" s="9"/>
      <c r="PPR41" s="9"/>
      <c r="PPS41" s="9"/>
      <c r="PPT41" s="9"/>
      <c r="PPU41" s="9"/>
      <c r="PPV41" s="9"/>
      <c r="PPW41" s="9"/>
      <c r="PPX41" s="9"/>
      <c r="PPY41" s="9"/>
      <c r="PPZ41" s="9"/>
      <c r="PQA41" s="9"/>
      <c r="PQB41" s="9"/>
      <c r="PQC41" s="9"/>
      <c r="PQD41" s="9"/>
      <c r="PQE41" s="9"/>
      <c r="PQF41" s="9"/>
      <c r="PQG41" s="9"/>
      <c r="PQH41" s="9"/>
      <c r="PQI41" s="9"/>
      <c r="PQJ41" s="9"/>
      <c r="PQK41" s="9"/>
      <c r="PQL41" s="9"/>
      <c r="PQM41" s="9"/>
      <c r="PQN41" s="9"/>
      <c r="PQO41" s="9"/>
      <c r="PQP41" s="9"/>
      <c r="PQQ41" s="9"/>
      <c r="PQR41" s="9"/>
      <c r="PQS41" s="9"/>
      <c r="PQT41" s="9"/>
      <c r="PQU41" s="9"/>
      <c r="PQV41" s="9"/>
      <c r="PQW41" s="9"/>
      <c r="PQX41" s="9"/>
      <c r="PQY41" s="9"/>
      <c r="PQZ41" s="9"/>
      <c r="PRA41" s="9"/>
      <c r="PRB41" s="9"/>
      <c r="PRC41" s="9"/>
      <c r="PRD41" s="9"/>
      <c r="PRE41" s="9"/>
      <c r="PRF41" s="9"/>
      <c r="PRG41" s="9"/>
      <c r="PRH41" s="9"/>
      <c r="PRI41" s="9"/>
      <c r="PRJ41" s="9"/>
      <c r="PRK41" s="9"/>
      <c r="PRL41" s="9"/>
      <c r="PRM41" s="9"/>
      <c r="PRN41" s="9"/>
      <c r="PRO41" s="9"/>
      <c r="PRP41" s="9"/>
      <c r="PRQ41" s="9"/>
      <c r="PRR41" s="9"/>
      <c r="PRS41" s="9"/>
      <c r="PRT41" s="9"/>
      <c r="PRU41" s="9"/>
      <c r="PRV41" s="9"/>
      <c r="PRW41" s="9"/>
      <c r="PRX41" s="9"/>
      <c r="PRY41" s="9"/>
      <c r="PRZ41" s="9"/>
      <c r="PSA41" s="9"/>
      <c r="PSB41" s="9"/>
      <c r="PSC41" s="9"/>
      <c r="PSD41" s="9"/>
      <c r="PSE41" s="9"/>
      <c r="PSF41" s="9"/>
      <c r="PSG41" s="9"/>
      <c r="PSH41" s="9"/>
      <c r="PSI41" s="9"/>
      <c r="PSJ41" s="9"/>
      <c r="PSK41" s="9"/>
      <c r="PSL41" s="9"/>
      <c r="PSM41" s="9"/>
      <c r="PSN41" s="9"/>
      <c r="PSO41" s="9"/>
      <c r="PSP41" s="9"/>
      <c r="PSQ41" s="9"/>
      <c r="PSR41" s="9"/>
      <c r="PSS41" s="9"/>
      <c r="PST41" s="9"/>
      <c r="PSU41" s="9"/>
      <c r="PSV41" s="9"/>
      <c r="PSW41" s="9"/>
      <c r="PSX41" s="9"/>
      <c r="PSY41" s="9"/>
      <c r="PSZ41" s="9"/>
      <c r="PTA41" s="9"/>
      <c r="PTB41" s="9"/>
      <c r="PTC41" s="9"/>
      <c r="PTD41" s="9"/>
      <c r="PTE41" s="9"/>
      <c r="PTF41" s="9"/>
      <c r="PTG41" s="9"/>
      <c r="PTH41" s="9"/>
      <c r="PTI41" s="9"/>
      <c r="PTJ41" s="9"/>
      <c r="PTK41" s="9"/>
      <c r="PTL41" s="9"/>
      <c r="PTM41" s="9"/>
      <c r="PTN41" s="9"/>
      <c r="PTO41" s="9"/>
      <c r="PTP41" s="9"/>
      <c r="PTQ41" s="9"/>
      <c r="PTR41" s="9"/>
      <c r="PTS41" s="9"/>
      <c r="PTT41" s="9"/>
      <c r="PTU41" s="9"/>
      <c r="PTV41" s="9"/>
      <c r="PTW41" s="9"/>
      <c r="PTX41" s="9"/>
      <c r="PTY41" s="9"/>
      <c r="PTZ41" s="9"/>
      <c r="PUA41" s="9"/>
      <c r="PUB41" s="9"/>
      <c r="PUC41" s="9"/>
      <c r="PUD41" s="9"/>
      <c r="PUE41" s="9"/>
      <c r="PUF41" s="9"/>
      <c r="PUG41" s="9"/>
      <c r="PUH41" s="9"/>
      <c r="PUI41" s="9"/>
      <c r="PUJ41" s="9"/>
      <c r="PUK41" s="9"/>
      <c r="PUL41" s="9"/>
      <c r="PUM41" s="9"/>
      <c r="PUN41" s="9"/>
      <c r="PUO41" s="9"/>
      <c r="PUP41" s="9"/>
      <c r="PUQ41" s="9"/>
      <c r="PUR41" s="9"/>
      <c r="PUS41" s="9"/>
      <c r="PUT41" s="9"/>
      <c r="PUU41" s="9"/>
      <c r="PUV41" s="9"/>
      <c r="PUW41" s="9"/>
      <c r="PUX41" s="9"/>
      <c r="PUY41" s="9"/>
      <c r="PUZ41" s="9"/>
      <c r="PVA41" s="9"/>
      <c r="PVB41" s="9"/>
      <c r="PVC41" s="9"/>
      <c r="PVD41" s="9"/>
      <c r="PVE41" s="9"/>
      <c r="PVF41" s="9"/>
      <c r="PVG41" s="9"/>
      <c r="PVH41" s="9"/>
      <c r="PVI41" s="9"/>
      <c r="PVJ41" s="9"/>
      <c r="PVK41" s="9"/>
      <c r="PVL41" s="9"/>
      <c r="PVM41" s="9"/>
      <c r="PVN41" s="9"/>
      <c r="PVO41" s="9"/>
      <c r="PVP41" s="9"/>
      <c r="PVQ41" s="9"/>
      <c r="PVR41" s="9"/>
      <c r="PVS41" s="9"/>
      <c r="PVT41" s="9"/>
      <c r="PVU41" s="9"/>
      <c r="PVV41" s="9"/>
      <c r="PVW41" s="9"/>
      <c r="PVX41" s="9"/>
      <c r="PVY41" s="9"/>
      <c r="PVZ41" s="9"/>
      <c r="PWA41" s="9"/>
      <c r="PWB41" s="9"/>
      <c r="PWC41" s="9"/>
      <c r="PWD41" s="9"/>
      <c r="PWE41" s="9"/>
      <c r="PWF41" s="9"/>
      <c r="PWG41" s="9"/>
      <c r="PWH41" s="9"/>
      <c r="PWI41" s="9"/>
      <c r="PWJ41" s="9"/>
      <c r="PWK41" s="9"/>
      <c r="PWL41" s="9"/>
      <c r="PWM41" s="9"/>
      <c r="PWN41" s="9"/>
      <c r="PWO41" s="9"/>
      <c r="PWP41" s="9"/>
      <c r="PWQ41" s="9"/>
      <c r="PWR41" s="9"/>
      <c r="PWS41" s="9"/>
      <c r="PWT41" s="9"/>
      <c r="PWU41" s="9"/>
      <c r="PWV41" s="9"/>
      <c r="PWW41" s="9"/>
      <c r="PWX41" s="9"/>
      <c r="PWY41" s="9"/>
      <c r="PWZ41" s="9"/>
      <c r="PXA41" s="9"/>
      <c r="PXB41" s="9"/>
      <c r="PXC41" s="9"/>
      <c r="PXD41" s="9"/>
      <c r="PXE41" s="9"/>
      <c r="PXF41" s="9"/>
      <c r="PXG41" s="9"/>
      <c r="PXH41" s="9"/>
      <c r="PXI41" s="9"/>
      <c r="PXJ41" s="9"/>
      <c r="PXK41" s="9"/>
      <c r="PXL41" s="9"/>
      <c r="PXM41" s="9"/>
      <c r="PXN41" s="9"/>
      <c r="PXO41" s="9"/>
      <c r="PXP41" s="9"/>
      <c r="PXQ41" s="9"/>
      <c r="PXR41" s="9"/>
      <c r="PXS41" s="9"/>
      <c r="PXT41" s="9"/>
      <c r="PXU41" s="9"/>
      <c r="PXV41" s="9"/>
      <c r="PXW41" s="9"/>
      <c r="PXX41" s="9"/>
      <c r="PXY41" s="9"/>
      <c r="PXZ41" s="9"/>
      <c r="PYA41" s="9"/>
      <c r="PYB41" s="9"/>
      <c r="PYC41" s="9"/>
      <c r="PYD41" s="9"/>
      <c r="PYE41" s="9"/>
      <c r="PYF41" s="9"/>
      <c r="PYG41" s="9"/>
      <c r="PYH41" s="9"/>
      <c r="PYI41" s="9"/>
      <c r="PYJ41" s="9"/>
      <c r="PYK41" s="9"/>
      <c r="PYL41" s="9"/>
      <c r="PYM41" s="9"/>
      <c r="PYN41" s="9"/>
      <c r="PYO41" s="9"/>
      <c r="PYP41" s="9"/>
      <c r="PYQ41" s="9"/>
      <c r="PYR41" s="9"/>
      <c r="PYS41" s="9"/>
      <c r="PYT41" s="9"/>
      <c r="PYU41" s="9"/>
      <c r="PYV41" s="9"/>
      <c r="PYW41" s="9"/>
      <c r="PYX41" s="9"/>
      <c r="PYY41" s="9"/>
      <c r="PYZ41" s="9"/>
      <c r="PZA41" s="9"/>
      <c r="PZB41" s="9"/>
      <c r="PZC41" s="9"/>
      <c r="PZD41" s="9"/>
      <c r="PZE41" s="9"/>
      <c r="PZF41" s="9"/>
      <c r="PZG41" s="9"/>
      <c r="PZH41" s="9"/>
      <c r="PZI41" s="9"/>
      <c r="PZJ41" s="9"/>
      <c r="PZK41" s="9"/>
      <c r="PZL41" s="9"/>
      <c r="PZM41" s="9"/>
      <c r="PZN41" s="9"/>
      <c r="PZO41" s="9"/>
      <c r="PZP41" s="9"/>
      <c r="PZQ41" s="9"/>
      <c r="PZR41" s="9"/>
      <c r="PZS41" s="9"/>
      <c r="PZT41" s="9"/>
      <c r="PZU41" s="9"/>
      <c r="PZV41" s="9"/>
      <c r="PZW41" s="9"/>
      <c r="PZX41" s="9"/>
      <c r="PZY41" s="9"/>
      <c r="PZZ41" s="9"/>
      <c r="QAA41" s="9"/>
      <c r="QAB41" s="9"/>
      <c r="QAC41" s="9"/>
      <c r="QAD41" s="9"/>
      <c r="QAE41" s="9"/>
      <c r="QAF41" s="9"/>
      <c r="QAG41" s="9"/>
      <c r="QAH41" s="9"/>
      <c r="QAI41" s="9"/>
      <c r="QAJ41" s="9"/>
      <c r="QAK41" s="9"/>
      <c r="QAL41" s="9"/>
      <c r="QAM41" s="9"/>
      <c r="QAN41" s="9"/>
      <c r="QAO41" s="9"/>
      <c r="QAP41" s="9"/>
      <c r="QAQ41" s="9"/>
      <c r="QAR41" s="9"/>
      <c r="QAS41" s="9"/>
      <c r="QAT41" s="9"/>
      <c r="QAU41" s="9"/>
      <c r="QAV41" s="9"/>
      <c r="QAW41" s="9"/>
      <c r="QAX41" s="9"/>
      <c r="QAY41" s="9"/>
      <c r="QAZ41" s="9"/>
      <c r="QBA41" s="9"/>
      <c r="QBB41" s="9"/>
      <c r="QBC41" s="9"/>
      <c r="QBD41" s="9"/>
      <c r="QBE41" s="9"/>
      <c r="QBF41" s="9"/>
      <c r="QBG41" s="9"/>
      <c r="QBH41" s="9"/>
      <c r="QBI41" s="9"/>
      <c r="QBJ41" s="9"/>
      <c r="QBK41" s="9"/>
      <c r="QBL41" s="9"/>
      <c r="QBM41" s="9"/>
      <c r="QBN41" s="9"/>
      <c r="QBO41" s="9"/>
      <c r="QBP41" s="9"/>
      <c r="QBQ41" s="9"/>
      <c r="QBR41" s="9"/>
      <c r="QBS41" s="9"/>
      <c r="QBT41" s="9"/>
      <c r="QBU41" s="9"/>
      <c r="QBV41" s="9"/>
      <c r="QBW41" s="9"/>
      <c r="QBX41" s="9"/>
      <c r="QBY41" s="9"/>
      <c r="QBZ41" s="9"/>
      <c r="QCA41" s="9"/>
      <c r="QCB41" s="9"/>
      <c r="QCC41" s="9"/>
      <c r="QCD41" s="9"/>
      <c r="QCE41" s="9"/>
      <c r="QCF41" s="9"/>
      <c r="QCG41" s="9"/>
      <c r="QCH41" s="9"/>
      <c r="QCI41" s="9"/>
      <c r="QCJ41" s="9"/>
      <c r="QCK41" s="9"/>
      <c r="QCL41" s="9"/>
      <c r="QCM41" s="9"/>
      <c r="QCN41" s="9"/>
      <c r="QCO41" s="9"/>
      <c r="QCP41" s="9"/>
      <c r="QCQ41" s="9"/>
      <c r="QCR41" s="9"/>
      <c r="QCS41" s="9"/>
      <c r="QCT41" s="9"/>
      <c r="QCU41" s="9"/>
      <c r="QCV41" s="9"/>
      <c r="QCW41" s="9"/>
      <c r="QCX41" s="9"/>
      <c r="QCY41" s="9"/>
      <c r="QCZ41" s="9"/>
      <c r="QDA41" s="9"/>
      <c r="QDB41" s="9"/>
      <c r="QDC41" s="9"/>
      <c r="QDD41" s="9"/>
      <c r="QDE41" s="9"/>
      <c r="QDF41" s="9"/>
      <c r="QDG41" s="9"/>
      <c r="QDH41" s="9"/>
      <c r="QDI41" s="9"/>
      <c r="QDJ41" s="9"/>
      <c r="QDK41" s="9"/>
      <c r="QDL41" s="9"/>
      <c r="QDM41" s="9"/>
      <c r="QDN41" s="9"/>
      <c r="QDO41" s="9"/>
      <c r="QDP41" s="9"/>
      <c r="QDQ41" s="9"/>
      <c r="QDR41" s="9"/>
      <c r="QDS41" s="9"/>
      <c r="QDT41" s="9"/>
      <c r="QDU41" s="9"/>
      <c r="QDV41" s="9"/>
      <c r="QDW41" s="9"/>
      <c r="QDX41" s="9"/>
      <c r="QDY41" s="9"/>
      <c r="QDZ41" s="9"/>
      <c r="QEA41" s="9"/>
      <c r="QEB41" s="9"/>
      <c r="QEC41" s="9"/>
      <c r="QED41" s="9"/>
      <c r="QEE41" s="9"/>
      <c r="QEF41" s="9"/>
      <c r="QEG41" s="9"/>
      <c r="QEH41" s="9"/>
      <c r="QEI41" s="9"/>
      <c r="QEJ41" s="9"/>
      <c r="QEK41" s="9"/>
      <c r="QEL41" s="9"/>
      <c r="QEM41" s="9"/>
      <c r="QEN41" s="9"/>
      <c r="QEO41" s="9"/>
      <c r="QEP41" s="9"/>
      <c r="QEQ41" s="9"/>
      <c r="QER41" s="9"/>
      <c r="QES41" s="9"/>
      <c r="QET41" s="9"/>
      <c r="QEU41" s="9"/>
      <c r="QEV41" s="9"/>
      <c r="QEW41" s="9"/>
      <c r="QEX41" s="9"/>
      <c r="QEY41" s="9"/>
      <c r="QEZ41" s="9"/>
      <c r="QFA41" s="9"/>
      <c r="QFB41" s="9"/>
      <c r="QFC41" s="9"/>
      <c r="QFD41" s="9"/>
      <c r="QFE41" s="9"/>
      <c r="QFF41" s="9"/>
      <c r="QFG41" s="9"/>
      <c r="QFH41" s="9"/>
      <c r="QFI41" s="9"/>
      <c r="QFJ41" s="9"/>
      <c r="QFK41" s="9"/>
      <c r="QFL41" s="9"/>
      <c r="QFM41" s="9"/>
      <c r="QFN41" s="9"/>
      <c r="QFO41" s="9"/>
      <c r="QFP41" s="9"/>
      <c r="QFQ41" s="9"/>
      <c r="QFR41" s="9"/>
      <c r="QFS41" s="9"/>
      <c r="QFT41" s="9"/>
      <c r="QFU41" s="9"/>
      <c r="QFV41" s="9"/>
      <c r="QFW41" s="9"/>
      <c r="QFX41" s="9"/>
      <c r="QFY41" s="9"/>
      <c r="QFZ41" s="9"/>
      <c r="QGA41" s="9"/>
      <c r="QGB41" s="9"/>
      <c r="QGC41" s="9"/>
      <c r="QGD41" s="9"/>
      <c r="QGE41" s="9"/>
      <c r="QGF41" s="9"/>
      <c r="QGG41" s="9"/>
      <c r="QGH41" s="9"/>
      <c r="QGI41" s="9"/>
      <c r="QGJ41" s="9"/>
      <c r="QGK41" s="9"/>
      <c r="QGL41" s="9"/>
      <c r="QGM41" s="9"/>
      <c r="QGN41" s="9"/>
      <c r="QGO41" s="9"/>
      <c r="QGP41" s="9"/>
      <c r="QGQ41" s="9"/>
      <c r="QGR41" s="9"/>
      <c r="QGS41" s="9"/>
      <c r="QGT41" s="9"/>
      <c r="QGU41" s="9"/>
      <c r="QGV41" s="9"/>
      <c r="QGW41" s="9"/>
      <c r="QGX41" s="9"/>
      <c r="QGY41" s="9"/>
      <c r="QGZ41" s="9"/>
      <c r="QHA41" s="9"/>
      <c r="QHB41" s="9"/>
      <c r="QHC41" s="9"/>
      <c r="QHD41" s="9"/>
      <c r="QHE41" s="9"/>
      <c r="QHF41" s="9"/>
      <c r="QHG41" s="9"/>
      <c r="QHH41" s="9"/>
      <c r="QHI41" s="9"/>
      <c r="QHJ41" s="9"/>
      <c r="QHK41" s="9"/>
      <c r="QHL41" s="9"/>
      <c r="QHM41" s="9"/>
      <c r="QHN41" s="9"/>
      <c r="QHO41" s="9"/>
      <c r="QHP41" s="9"/>
      <c r="QHQ41" s="9"/>
      <c r="QHR41" s="9"/>
      <c r="QHS41" s="9"/>
      <c r="QHT41" s="9"/>
      <c r="QHU41" s="9"/>
      <c r="QHV41" s="9"/>
      <c r="QHW41" s="9"/>
      <c r="QHX41" s="9"/>
      <c r="QHY41" s="9"/>
      <c r="QHZ41" s="9"/>
      <c r="QIA41" s="9"/>
      <c r="QIB41" s="9"/>
      <c r="QIC41" s="9"/>
      <c r="QID41" s="9"/>
      <c r="QIE41" s="9"/>
      <c r="QIF41" s="9"/>
      <c r="QIG41" s="9"/>
      <c r="QIH41" s="9"/>
      <c r="QII41" s="9"/>
      <c r="QIJ41" s="9"/>
      <c r="QIK41" s="9"/>
      <c r="QIL41" s="9"/>
      <c r="QIM41" s="9"/>
      <c r="QIN41" s="9"/>
      <c r="QIO41" s="9"/>
      <c r="QIP41" s="9"/>
      <c r="QIQ41" s="9"/>
      <c r="QIR41" s="9"/>
      <c r="QIS41" s="9"/>
      <c r="QIT41" s="9"/>
      <c r="QIU41" s="9"/>
      <c r="QIV41" s="9"/>
      <c r="QIW41" s="9"/>
      <c r="QIX41" s="9"/>
      <c r="QIY41" s="9"/>
      <c r="QIZ41" s="9"/>
      <c r="QJA41" s="9"/>
      <c r="QJB41" s="9"/>
      <c r="QJC41" s="9"/>
      <c r="QJD41" s="9"/>
      <c r="QJE41" s="9"/>
      <c r="QJF41" s="9"/>
      <c r="QJG41" s="9"/>
      <c r="QJH41" s="9"/>
      <c r="QJI41" s="9"/>
      <c r="QJJ41" s="9"/>
      <c r="QJK41" s="9"/>
      <c r="QJL41" s="9"/>
      <c r="QJM41" s="9"/>
      <c r="QJN41" s="9"/>
      <c r="QJO41" s="9"/>
      <c r="QJP41" s="9"/>
      <c r="QJQ41" s="9"/>
      <c r="QJR41" s="9"/>
      <c r="QJS41" s="9"/>
      <c r="QJT41" s="9"/>
      <c r="QJU41" s="9"/>
      <c r="QJV41" s="9"/>
      <c r="QJW41" s="9"/>
      <c r="QJX41" s="9"/>
      <c r="QJY41" s="9"/>
      <c r="QJZ41" s="9"/>
      <c r="QKA41" s="9"/>
      <c r="QKB41" s="9"/>
      <c r="QKC41" s="9"/>
      <c r="QKD41" s="9"/>
      <c r="QKE41" s="9"/>
      <c r="QKF41" s="9"/>
      <c r="QKG41" s="9"/>
      <c r="QKH41" s="9"/>
      <c r="QKI41" s="9"/>
      <c r="QKJ41" s="9"/>
      <c r="QKK41" s="9"/>
      <c r="QKL41" s="9"/>
      <c r="QKM41" s="9"/>
      <c r="QKN41" s="9"/>
      <c r="QKO41" s="9"/>
      <c r="QKP41" s="9"/>
      <c r="QKQ41" s="9"/>
      <c r="QKR41" s="9"/>
      <c r="QKS41" s="9"/>
      <c r="QKT41" s="9"/>
      <c r="QKU41" s="9"/>
      <c r="QKV41" s="9"/>
      <c r="QKW41" s="9"/>
      <c r="QKX41" s="9"/>
      <c r="QKY41" s="9"/>
      <c r="QKZ41" s="9"/>
      <c r="QLA41" s="9"/>
      <c r="QLB41" s="9"/>
      <c r="QLC41" s="9"/>
      <c r="QLD41" s="9"/>
      <c r="QLE41" s="9"/>
      <c r="QLF41" s="9"/>
      <c r="QLG41" s="9"/>
      <c r="QLH41" s="9"/>
      <c r="QLI41" s="9"/>
      <c r="QLJ41" s="9"/>
      <c r="QLK41" s="9"/>
      <c r="QLL41" s="9"/>
      <c r="QLM41" s="9"/>
      <c r="QLN41" s="9"/>
      <c r="QLO41" s="9"/>
      <c r="QLP41" s="9"/>
      <c r="QLQ41" s="9"/>
      <c r="QLR41" s="9"/>
      <c r="QLS41" s="9"/>
      <c r="QLT41" s="9"/>
      <c r="QLU41" s="9"/>
      <c r="QLV41" s="9"/>
      <c r="QLW41" s="9"/>
      <c r="QLX41" s="9"/>
      <c r="QLY41" s="9"/>
      <c r="QLZ41" s="9"/>
      <c r="QMA41" s="9"/>
      <c r="QMB41" s="9"/>
      <c r="QMC41" s="9"/>
      <c r="QMD41" s="9"/>
      <c r="QME41" s="9"/>
      <c r="QMF41" s="9"/>
      <c r="QMG41" s="9"/>
      <c r="QMH41" s="9"/>
      <c r="QMI41" s="9"/>
      <c r="QMJ41" s="9"/>
      <c r="QMK41" s="9"/>
      <c r="QML41" s="9"/>
      <c r="QMM41" s="9"/>
      <c r="QMN41" s="9"/>
      <c r="QMO41" s="9"/>
      <c r="QMP41" s="9"/>
      <c r="QMQ41" s="9"/>
      <c r="QMR41" s="9"/>
      <c r="QMS41" s="9"/>
      <c r="QMT41" s="9"/>
      <c r="QMU41" s="9"/>
      <c r="QMV41" s="9"/>
      <c r="QMW41" s="9"/>
      <c r="QMX41" s="9"/>
      <c r="QMY41" s="9"/>
      <c r="QMZ41" s="9"/>
      <c r="QNA41" s="9"/>
      <c r="QNB41" s="9"/>
      <c r="QNC41" s="9"/>
      <c r="QND41" s="9"/>
      <c r="QNE41" s="9"/>
      <c r="QNF41" s="9"/>
      <c r="QNG41" s="9"/>
      <c r="QNH41" s="9"/>
      <c r="QNI41" s="9"/>
      <c r="QNJ41" s="9"/>
      <c r="QNK41" s="9"/>
      <c r="QNL41" s="9"/>
      <c r="QNM41" s="9"/>
      <c r="QNN41" s="9"/>
      <c r="QNO41" s="9"/>
      <c r="QNP41" s="9"/>
      <c r="QNQ41" s="9"/>
      <c r="QNR41" s="9"/>
      <c r="QNS41" s="9"/>
      <c r="QNT41" s="9"/>
      <c r="QNU41" s="9"/>
      <c r="QNV41" s="9"/>
      <c r="QNW41" s="9"/>
      <c r="QNX41" s="9"/>
      <c r="QNY41" s="9"/>
      <c r="QNZ41" s="9"/>
      <c r="QOA41" s="9"/>
      <c r="QOB41" s="9"/>
      <c r="QOC41" s="9"/>
      <c r="QOD41" s="9"/>
      <c r="QOE41" s="9"/>
      <c r="QOF41" s="9"/>
      <c r="QOG41" s="9"/>
      <c r="QOH41" s="9"/>
      <c r="QOI41" s="9"/>
      <c r="QOJ41" s="9"/>
      <c r="QOK41" s="9"/>
      <c r="QOL41" s="9"/>
      <c r="QOM41" s="9"/>
      <c r="QON41" s="9"/>
      <c r="QOO41" s="9"/>
      <c r="QOP41" s="9"/>
      <c r="QOQ41" s="9"/>
      <c r="QOR41" s="9"/>
      <c r="QOS41" s="9"/>
      <c r="QOT41" s="9"/>
      <c r="QOU41" s="9"/>
      <c r="QOV41" s="9"/>
      <c r="QOW41" s="9"/>
      <c r="QOX41" s="9"/>
      <c r="QOY41" s="9"/>
      <c r="QOZ41" s="9"/>
      <c r="QPA41" s="9"/>
      <c r="QPB41" s="9"/>
      <c r="QPC41" s="9"/>
      <c r="QPD41" s="9"/>
      <c r="QPE41" s="9"/>
      <c r="QPF41" s="9"/>
      <c r="QPG41" s="9"/>
      <c r="QPH41" s="9"/>
      <c r="QPI41" s="9"/>
      <c r="QPJ41" s="9"/>
      <c r="QPK41" s="9"/>
      <c r="QPL41" s="9"/>
      <c r="QPM41" s="9"/>
      <c r="QPN41" s="9"/>
      <c r="QPO41" s="9"/>
      <c r="QPP41" s="9"/>
      <c r="QPQ41" s="9"/>
      <c r="QPR41" s="9"/>
      <c r="QPS41" s="9"/>
      <c r="QPT41" s="9"/>
      <c r="QPU41" s="9"/>
      <c r="QPV41" s="9"/>
      <c r="QPW41" s="9"/>
      <c r="QPX41" s="9"/>
      <c r="QPY41" s="9"/>
      <c r="QPZ41" s="9"/>
      <c r="QQA41" s="9"/>
      <c r="QQB41" s="9"/>
      <c r="QQC41" s="9"/>
      <c r="QQD41" s="9"/>
      <c r="QQE41" s="9"/>
      <c r="QQF41" s="9"/>
      <c r="QQG41" s="9"/>
      <c r="QQH41" s="9"/>
      <c r="QQI41" s="9"/>
      <c r="QQJ41" s="9"/>
      <c r="QQK41" s="9"/>
      <c r="QQL41" s="9"/>
      <c r="QQM41" s="9"/>
      <c r="QQN41" s="9"/>
      <c r="QQO41" s="9"/>
      <c r="QQP41" s="9"/>
      <c r="QQQ41" s="9"/>
      <c r="QQR41" s="9"/>
      <c r="QQS41" s="9"/>
      <c r="QQT41" s="9"/>
      <c r="QQU41" s="9"/>
      <c r="QQV41" s="9"/>
      <c r="QQW41" s="9"/>
      <c r="QQX41" s="9"/>
      <c r="QQY41" s="9"/>
      <c r="QQZ41" s="9"/>
      <c r="QRA41" s="9"/>
      <c r="QRB41" s="9"/>
      <c r="QRC41" s="9"/>
      <c r="QRD41" s="9"/>
      <c r="QRE41" s="9"/>
      <c r="QRF41" s="9"/>
      <c r="QRG41" s="9"/>
      <c r="QRH41" s="9"/>
      <c r="QRI41" s="9"/>
      <c r="QRJ41" s="9"/>
      <c r="QRK41" s="9"/>
      <c r="QRL41" s="9"/>
      <c r="QRM41" s="9"/>
      <c r="QRN41" s="9"/>
      <c r="QRO41" s="9"/>
      <c r="QRP41" s="9"/>
      <c r="QRQ41" s="9"/>
      <c r="QRR41" s="9"/>
      <c r="QRS41" s="9"/>
      <c r="QRT41" s="9"/>
      <c r="QRU41" s="9"/>
      <c r="QRV41" s="9"/>
      <c r="QRW41" s="9"/>
      <c r="QRX41" s="9"/>
      <c r="QRY41" s="9"/>
      <c r="QRZ41" s="9"/>
      <c r="QSA41" s="9"/>
      <c r="QSB41" s="9"/>
      <c r="QSC41" s="9"/>
      <c r="QSD41" s="9"/>
      <c r="QSE41" s="9"/>
      <c r="QSF41" s="9"/>
      <c r="QSG41" s="9"/>
      <c r="QSH41" s="9"/>
      <c r="QSI41" s="9"/>
      <c r="QSJ41" s="9"/>
      <c r="QSK41" s="9"/>
      <c r="QSL41" s="9"/>
      <c r="QSM41" s="9"/>
      <c r="QSN41" s="9"/>
      <c r="QSO41" s="9"/>
      <c r="QSP41" s="9"/>
      <c r="QSQ41" s="9"/>
      <c r="QSR41" s="9"/>
      <c r="QSS41" s="9"/>
      <c r="QST41" s="9"/>
      <c r="QSU41" s="9"/>
      <c r="QSV41" s="9"/>
      <c r="QSW41" s="9"/>
      <c r="QSX41" s="9"/>
      <c r="QSY41" s="9"/>
      <c r="QSZ41" s="9"/>
      <c r="QTA41" s="9"/>
      <c r="QTB41" s="9"/>
      <c r="QTC41" s="9"/>
      <c r="QTD41" s="9"/>
      <c r="QTE41" s="9"/>
      <c r="QTF41" s="9"/>
      <c r="QTG41" s="9"/>
      <c r="QTH41" s="9"/>
      <c r="QTI41" s="9"/>
      <c r="QTJ41" s="9"/>
      <c r="QTK41" s="9"/>
      <c r="QTL41" s="9"/>
      <c r="QTM41" s="9"/>
      <c r="QTN41" s="9"/>
      <c r="QTO41" s="9"/>
      <c r="QTP41" s="9"/>
      <c r="QTQ41" s="9"/>
      <c r="QTR41" s="9"/>
      <c r="QTS41" s="9"/>
      <c r="QTT41" s="9"/>
      <c r="QTU41" s="9"/>
      <c r="QTV41" s="9"/>
      <c r="QTW41" s="9"/>
      <c r="QTX41" s="9"/>
      <c r="QTY41" s="9"/>
      <c r="QTZ41" s="9"/>
      <c r="QUA41" s="9"/>
      <c r="QUB41" s="9"/>
      <c r="QUC41" s="9"/>
      <c r="QUD41" s="9"/>
      <c r="QUE41" s="9"/>
      <c r="QUF41" s="9"/>
      <c r="QUG41" s="9"/>
      <c r="QUH41" s="9"/>
      <c r="QUI41" s="9"/>
      <c r="QUJ41" s="9"/>
      <c r="QUK41" s="9"/>
      <c r="QUL41" s="9"/>
      <c r="QUM41" s="9"/>
      <c r="QUN41" s="9"/>
      <c r="QUO41" s="9"/>
      <c r="QUP41" s="9"/>
      <c r="QUQ41" s="9"/>
      <c r="QUR41" s="9"/>
      <c r="QUS41" s="9"/>
      <c r="QUT41" s="9"/>
      <c r="QUU41" s="9"/>
      <c r="QUV41" s="9"/>
      <c r="QUW41" s="9"/>
      <c r="QUX41" s="9"/>
      <c r="QUY41" s="9"/>
      <c r="QUZ41" s="9"/>
      <c r="QVA41" s="9"/>
      <c r="QVB41" s="9"/>
      <c r="QVC41" s="9"/>
      <c r="QVD41" s="9"/>
      <c r="QVE41" s="9"/>
      <c r="QVF41" s="9"/>
      <c r="QVG41" s="9"/>
      <c r="QVH41" s="9"/>
      <c r="QVI41" s="9"/>
      <c r="QVJ41" s="9"/>
      <c r="QVK41" s="9"/>
      <c r="QVL41" s="9"/>
      <c r="QVM41" s="9"/>
      <c r="QVN41" s="9"/>
      <c r="QVO41" s="9"/>
      <c r="QVP41" s="9"/>
      <c r="QVQ41" s="9"/>
      <c r="QVR41" s="9"/>
      <c r="QVS41" s="9"/>
      <c r="QVT41" s="9"/>
      <c r="QVU41" s="9"/>
      <c r="QVV41" s="9"/>
      <c r="QVW41" s="9"/>
      <c r="QVX41" s="9"/>
      <c r="QVY41" s="9"/>
      <c r="QVZ41" s="9"/>
      <c r="QWA41" s="9"/>
      <c r="QWB41" s="9"/>
      <c r="QWC41" s="9"/>
      <c r="QWD41" s="9"/>
      <c r="QWE41" s="9"/>
      <c r="QWF41" s="9"/>
      <c r="QWG41" s="9"/>
      <c r="QWH41" s="9"/>
      <c r="QWI41" s="9"/>
      <c r="QWJ41" s="9"/>
      <c r="QWK41" s="9"/>
      <c r="QWL41" s="9"/>
      <c r="QWM41" s="9"/>
      <c r="QWN41" s="9"/>
      <c r="QWO41" s="9"/>
      <c r="QWP41" s="9"/>
      <c r="QWQ41" s="9"/>
      <c r="QWR41" s="9"/>
      <c r="QWS41" s="9"/>
      <c r="QWT41" s="9"/>
      <c r="QWU41" s="9"/>
      <c r="QWV41" s="9"/>
      <c r="QWW41" s="9"/>
      <c r="QWX41" s="9"/>
      <c r="QWY41" s="9"/>
      <c r="QWZ41" s="9"/>
      <c r="QXA41" s="9"/>
      <c r="QXB41" s="9"/>
      <c r="QXC41" s="9"/>
      <c r="QXD41" s="9"/>
      <c r="QXE41" s="9"/>
      <c r="QXF41" s="9"/>
      <c r="QXG41" s="9"/>
      <c r="QXH41" s="9"/>
      <c r="QXI41" s="9"/>
      <c r="QXJ41" s="9"/>
      <c r="QXK41" s="9"/>
      <c r="QXL41" s="9"/>
      <c r="QXM41" s="9"/>
      <c r="QXN41" s="9"/>
      <c r="QXO41" s="9"/>
      <c r="QXP41" s="9"/>
      <c r="QXQ41" s="9"/>
      <c r="QXR41" s="9"/>
      <c r="QXS41" s="9"/>
      <c r="QXT41" s="9"/>
      <c r="QXU41" s="9"/>
      <c r="QXV41" s="9"/>
      <c r="QXW41" s="9"/>
      <c r="QXX41" s="9"/>
      <c r="QXY41" s="9"/>
      <c r="QXZ41" s="9"/>
      <c r="QYA41" s="9"/>
      <c r="QYB41" s="9"/>
      <c r="QYC41" s="9"/>
      <c r="QYD41" s="9"/>
      <c r="QYE41" s="9"/>
      <c r="QYF41" s="9"/>
      <c r="QYG41" s="9"/>
      <c r="QYH41" s="9"/>
      <c r="QYI41" s="9"/>
      <c r="QYJ41" s="9"/>
      <c r="QYK41" s="9"/>
      <c r="QYL41" s="9"/>
      <c r="QYM41" s="9"/>
      <c r="QYN41" s="9"/>
      <c r="QYO41" s="9"/>
      <c r="QYP41" s="9"/>
      <c r="QYQ41" s="9"/>
      <c r="QYR41" s="9"/>
      <c r="QYS41" s="9"/>
      <c r="QYT41" s="9"/>
      <c r="QYU41" s="9"/>
      <c r="QYV41" s="9"/>
      <c r="QYW41" s="9"/>
      <c r="QYX41" s="9"/>
      <c r="QYY41" s="9"/>
      <c r="QYZ41" s="9"/>
      <c r="QZA41" s="9"/>
      <c r="QZB41" s="9"/>
      <c r="QZC41" s="9"/>
      <c r="QZD41" s="9"/>
      <c r="QZE41" s="9"/>
      <c r="QZF41" s="9"/>
      <c r="QZG41" s="9"/>
      <c r="QZH41" s="9"/>
      <c r="QZI41" s="9"/>
      <c r="QZJ41" s="9"/>
      <c r="QZK41" s="9"/>
      <c r="QZL41" s="9"/>
      <c r="QZM41" s="9"/>
      <c r="QZN41" s="9"/>
      <c r="QZO41" s="9"/>
      <c r="QZP41" s="9"/>
      <c r="QZQ41" s="9"/>
      <c r="QZR41" s="9"/>
      <c r="QZS41" s="9"/>
      <c r="QZT41" s="9"/>
      <c r="QZU41" s="9"/>
      <c r="QZV41" s="9"/>
      <c r="QZW41" s="9"/>
      <c r="QZX41" s="9"/>
      <c r="QZY41" s="9"/>
      <c r="QZZ41" s="9"/>
      <c r="RAA41" s="9"/>
      <c r="RAB41" s="9"/>
      <c r="RAC41" s="9"/>
      <c r="RAD41" s="9"/>
      <c r="RAE41" s="9"/>
      <c r="RAF41" s="9"/>
      <c r="RAG41" s="9"/>
      <c r="RAH41" s="9"/>
      <c r="RAI41" s="9"/>
      <c r="RAJ41" s="9"/>
      <c r="RAK41" s="9"/>
      <c r="RAL41" s="9"/>
      <c r="RAM41" s="9"/>
      <c r="RAN41" s="9"/>
      <c r="RAO41" s="9"/>
      <c r="RAP41" s="9"/>
      <c r="RAQ41" s="9"/>
      <c r="RAR41" s="9"/>
      <c r="RAS41" s="9"/>
      <c r="RAT41" s="9"/>
      <c r="RAU41" s="9"/>
      <c r="RAV41" s="9"/>
      <c r="RAW41" s="9"/>
      <c r="RAX41" s="9"/>
      <c r="RAY41" s="9"/>
      <c r="RAZ41" s="9"/>
      <c r="RBA41" s="9"/>
      <c r="RBB41" s="9"/>
      <c r="RBC41" s="9"/>
      <c r="RBD41" s="9"/>
      <c r="RBE41" s="9"/>
      <c r="RBF41" s="9"/>
      <c r="RBG41" s="9"/>
      <c r="RBH41" s="9"/>
      <c r="RBI41" s="9"/>
      <c r="RBJ41" s="9"/>
      <c r="RBK41" s="9"/>
      <c r="RBL41" s="9"/>
      <c r="RBM41" s="9"/>
      <c r="RBN41" s="9"/>
      <c r="RBO41" s="9"/>
      <c r="RBP41" s="9"/>
      <c r="RBQ41" s="9"/>
      <c r="RBR41" s="9"/>
      <c r="RBS41" s="9"/>
      <c r="RBT41" s="9"/>
      <c r="RBU41" s="9"/>
      <c r="RBV41" s="9"/>
      <c r="RBW41" s="9"/>
      <c r="RBX41" s="9"/>
      <c r="RBY41" s="9"/>
      <c r="RBZ41" s="9"/>
      <c r="RCA41" s="9"/>
      <c r="RCB41" s="9"/>
      <c r="RCC41" s="9"/>
      <c r="RCD41" s="9"/>
      <c r="RCE41" s="9"/>
      <c r="RCF41" s="9"/>
      <c r="RCG41" s="9"/>
      <c r="RCH41" s="9"/>
      <c r="RCI41" s="9"/>
      <c r="RCJ41" s="9"/>
      <c r="RCK41" s="9"/>
      <c r="RCL41" s="9"/>
      <c r="RCM41" s="9"/>
      <c r="RCN41" s="9"/>
      <c r="RCO41" s="9"/>
      <c r="RCP41" s="9"/>
      <c r="RCQ41" s="9"/>
      <c r="RCR41" s="9"/>
      <c r="RCS41" s="9"/>
      <c r="RCT41" s="9"/>
      <c r="RCU41" s="9"/>
      <c r="RCV41" s="9"/>
      <c r="RCW41" s="9"/>
      <c r="RCX41" s="9"/>
      <c r="RCY41" s="9"/>
      <c r="RCZ41" s="9"/>
      <c r="RDA41" s="9"/>
      <c r="RDB41" s="9"/>
      <c r="RDC41" s="9"/>
      <c r="RDD41" s="9"/>
      <c r="RDE41" s="9"/>
      <c r="RDF41" s="9"/>
      <c r="RDG41" s="9"/>
      <c r="RDH41" s="9"/>
      <c r="RDI41" s="9"/>
      <c r="RDJ41" s="9"/>
      <c r="RDK41" s="9"/>
      <c r="RDL41" s="9"/>
      <c r="RDM41" s="9"/>
      <c r="RDN41" s="9"/>
      <c r="RDO41" s="9"/>
      <c r="RDP41" s="9"/>
      <c r="RDQ41" s="9"/>
      <c r="RDR41" s="9"/>
      <c r="RDS41" s="9"/>
      <c r="RDT41" s="9"/>
      <c r="RDU41" s="9"/>
      <c r="RDV41" s="9"/>
      <c r="RDW41" s="9"/>
      <c r="RDX41" s="9"/>
      <c r="RDY41" s="9"/>
      <c r="RDZ41" s="9"/>
      <c r="REA41" s="9"/>
      <c r="REB41" s="9"/>
      <c r="REC41" s="9"/>
      <c r="RED41" s="9"/>
      <c r="REE41" s="9"/>
      <c r="REF41" s="9"/>
      <c r="REG41" s="9"/>
      <c r="REH41" s="9"/>
      <c r="REI41" s="9"/>
      <c r="REJ41" s="9"/>
      <c r="REK41" s="9"/>
      <c r="REL41" s="9"/>
      <c r="REM41" s="9"/>
      <c r="REN41" s="9"/>
      <c r="REO41" s="9"/>
      <c r="REP41" s="9"/>
      <c r="REQ41" s="9"/>
      <c r="RER41" s="9"/>
      <c r="RES41" s="9"/>
      <c r="RET41" s="9"/>
      <c r="REU41" s="9"/>
      <c r="REV41" s="9"/>
      <c r="REW41" s="9"/>
      <c r="REX41" s="9"/>
      <c r="REY41" s="9"/>
      <c r="REZ41" s="9"/>
      <c r="RFA41" s="9"/>
      <c r="RFB41" s="9"/>
      <c r="RFC41" s="9"/>
      <c r="RFD41" s="9"/>
      <c r="RFE41" s="9"/>
      <c r="RFF41" s="9"/>
      <c r="RFG41" s="9"/>
      <c r="RFH41" s="9"/>
      <c r="RFI41" s="9"/>
      <c r="RFJ41" s="9"/>
      <c r="RFK41" s="9"/>
      <c r="RFL41" s="9"/>
      <c r="RFM41" s="9"/>
      <c r="RFN41" s="9"/>
      <c r="RFO41" s="9"/>
      <c r="RFP41" s="9"/>
      <c r="RFQ41" s="9"/>
      <c r="RFR41" s="9"/>
      <c r="RFS41" s="9"/>
      <c r="RFT41" s="9"/>
      <c r="RFU41" s="9"/>
      <c r="RFV41" s="9"/>
      <c r="RFW41" s="9"/>
      <c r="RFX41" s="9"/>
      <c r="RFY41" s="9"/>
      <c r="RFZ41" s="9"/>
      <c r="RGA41" s="9"/>
      <c r="RGB41" s="9"/>
      <c r="RGC41" s="9"/>
      <c r="RGD41" s="9"/>
      <c r="RGE41" s="9"/>
      <c r="RGF41" s="9"/>
      <c r="RGG41" s="9"/>
      <c r="RGH41" s="9"/>
      <c r="RGI41" s="9"/>
      <c r="RGJ41" s="9"/>
      <c r="RGK41" s="9"/>
      <c r="RGL41" s="9"/>
      <c r="RGM41" s="9"/>
      <c r="RGN41" s="9"/>
      <c r="RGO41" s="9"/>
      <c r="RGP41" s="9"/>
      <c r="RGQ41" s="9"/>
      <c r="RGR41" s="9"/>
      <c r="RGS41" s="9"/>
      <c r="RGT41" s="9"/>
      <c r="RGU41" s="9"/>
      <c r="RGV41" s="9"/>
      <c r="RGW41" s="9"/>
      <c r="RGX41" s="9"/>
      <c r="RGY41" s="9"/>
      <c r="RGZ41" s="9"/>
      <c r="RHA41" s="9"/>
      <c r="RHB41" s="9"/>
      <c r="RHC41" s="9"/>
      <c r="RHD41" s="9"/>
      <c r="RHE41" s="9"/>
      <c r="RHF41" s="9"/>
      <c r="RHG41" s="9"/>
      <c r="RHH41" s="9"/>
      <c r="RHI41" s="9"/>
      <c r="RHJ41" s="9"/>
      <c r="RHK41" s="9"/>
      <c r="RHL41" s="9"/>
      <c r="RHM41" s="9"/>
      <c r="RHN41" s="9"/>
      <c r="RHO41" s="9"/>
      <c r="RHP41" s="9"/>
      <c r="RHQ41" s="9"/>
      <c r="RHR41" s="9"/>
      <c r="RHS41" s="9"/>
      <c r="RHT41" s="9"/>
      <c r="RHU41" s="9"/>
      <c r="RHV41" s="9"/>
      <c r="RHW41" s="9"/>
      <c r="RHX41" s="9"/>
      <c r="RHY41" s="9"/>
      <c r="RHZ41" s="9"/>
      <c r="RIA41" s="9"/>
      <c r="RIB41" s="9"/>
      <c r="RIC41" s="9"/>
      <c r="RID41" s="9"/>
      <c r="RIE41" s="9"/>
      <c r="RIF41" s="9"/>
      <c r="RIG41" s="9"/>
      <c r="RIH41" s="9"/>
      <c r="RII41" s="9"/>
      <c r="RIJ41" s="9"/>
      <c r="RIK41" s="9"/>
      <c r="RIL41" s="9"/>
      <c r="RIM41" s="9"/>
      <c r="RIN41" s="9"/>
      <c r="RIO41" s="9"/>
      <c r="RIP41" s="9"/>
      <c r="RIQ41" s="9"/>
      <c r="RIR41" s="9"/>
      <c r="RIS41" s="9"/>
      <c r="RIT41" s="9"/>
      <c r="RIU41" s="9"/>
      <c r="RIV41" s="9"/>
      <c r="RIW41" s="9"/>
      <c r="RIX41" s="9"/>
      <c r="RIY41" s="9"/>
      <c r="RIZ41" s="9"/>
      <c r="RJA41" s="9"/>
      <c r="RJB41" s="9"/>
      <c r="RJC41" s="9"/>
      <c r="RJD41" s="9"/>
      <c r="RJE41" s="9"/>
      <c r="RJF41" s="9"/>
      <c r="RJG41" s="9"/>
      <c r="RJH41" s="9"/>
      <c r="RJI41" s="9"/>
      <c r="RJJ41" s="9"/>
      <c r="RJK41" s="9"/>
      <c r="RJL41" s="9"/>
      <c r="RJM41" s="9"/>
      <c r="RJN41" s="9"/>
      <c r="RJO41" s="9"/>
      <c r="RJP41" s="9"/>
      <c r="RJQ41" s="9"/>
      <c r="RJR41" s="9"/>
      <c r="RJS41" s="9"/>
      <c r="RJT41" s="9"/>
      <c r="RJU41" s="9"/>
      <c r="RJV41" s="9"/>
      <c r="RJW41" s="9"/>
      <c r="RJX41" s="9"/>
      <c r="RJY41" s="9"/>
      <c r="RJZ41" s="9"/>
      <c r="RKA41" s="9"/>
      <c r="RKB41" s="9"/>
      <c r="RKC41" s="9"/>
      <c r="RKD41" s="9"/>
      <c r="RKE41" s="9"/>
      <c r="RKF41" s="9"/>
      <c r="RKG41" s="9"/>
      <c r="RKH41" s="9"/>
      <c r="RKI41" s="9"/>
      <c r="RKJ41" s="9"/>
      <c r="RKK41" s="9"/>
      <c r="RKL41" s="9"/>
      <c r="RKM41" s="9"/>
      <c r="RKN41" s="9"/>
      <c r="RKO41" s="9"/>
      <c r="RKP41" s="9"/>
      <c r="RKQ41" s="9"/>
      <c r="RKR41" s="9"/>
      <c r="RKS41" s="9"/>
      <c r="RKT41" s="9"/>
      <c r="RKU41" s="9"/>
      <c r="RKV41" s="9"/>
      <c r="RKW41" s="9"/>
      <c r="RKX41" s="9"/>
      <c r="RKY41" s="9"/>
      <c r="RKZ41" s="9"/>
      <c r="RLA41" s="9"/>
      <c r="RLB41" s="9"/>
      <c r="RLC41" s="9"/>
      <c r="RLD41" s="9"/>
      <c r="RLE41" s="9"/>
      <c r="RLF41" s="9"/>
      <c r="RLG41" s="9"/>
      <c r="RLH41" s="9"/>
      <c r="RLI41" s="9"/>
      <c r="RLJ41" s="9"/>
      <c r="RLK41" s="9"/>
      <c r="RLL41" s="9"/>
      <c r="RLM41" s="9"/>
      <c r="RLN41" s="9"/>
      <c r="RLO41" s="9"/>
      <c r="RLP41" s="9"/>
      <c r="RLQ41" s="9"/>
      <c r="RLR41" s="9"/>
      <c r="RLS41" s="9"/>
      <c r="RLT41" s="9"/>
      <c r="RLU41" s="9"/>
      <c r="RLV41" s="9"/>
      <c r="RLW41" s="9"/>
      <c r="RLX41" s="9"/>
      <c r="RLY41" s="9"/>
      <c r="RLZ41" s="9"/>
      <c r="RMA41" s="9"/>
      <c r="RMB41" s="9"/>
      <c r="RMC41" s="9"/>
      <c r="RMD41" s="9"/>
      <c r="RME41" s="9"/>
      <c r="RMF41" s="9"/>
      <c r="RMG41" s="9"/>
      <c r="RMH41" s="9"/>
      <c r="RMI41" s="9"/>
      <c r="RMJ41" s="9"/>
      <c r="RMK41" s="9"/>
      <c r="RML41" s="9"/>
      <c r="RMM41" s="9"/>
      <c r="RMN41" s="9"/>
      <c r="RMO41" s="9"/>
      <c r="RMP41" s="9"/>
      <c r="RMQ41" s="9"/>
      <c r="RMR41" s="9"/>
      <c r="RMS41" s="9"/>
      <c r="RMT41" s="9"/>
      <c r="RMU41" s="9"/>
      <c r="RMV41" s="9"/>
      <c r="RMW41" s="9"/>
      <c r="RMX41" s="9"/>
      <c r="RMY41" s="9"/>
      <c r="RMZ41" s="9"/>
      <c r="RNA41" s="9"/>
      <c r="RNB41" s="9"/>
      <c r="RNC41" s="9"/>
      <c r="RND41" s="9"/>
      <c r="RNE41" s="9"/>
      <c r="RNF41" s="9"/>
      <c r="RNG41" s="9"/>
      <c r="RNH41" s="9"/>
      <c r="RNI41" s="9"/>
      <c r="RNJ41" s="9"/>
      <c r="RNK41" s="9"/>
      <c r="RNL41" s="9"/>
      <c r="RNM41" s="9"/>
      <c r="RNN41" s="9"/>
      <c r="RNO41" s="9"/>
      <c r="RNP41" s="9"/>
      <c r="RNQ41" s="9"/>
      <c r="RNR41" s="9"/>
      <c r="RNS41" s="9"/>
      <c r="RNT41" s="9"/>
      <c r="RNU41" s="9"/>
      <c r="RNV41" s="9"/>
      <c r="RNW41" s="9"/>
      <c r="RNX41" s="9"/>
      <c r="RNY41" s="9"/>
      <c r="RNZ41" s="9"/>
      <c r="ROA41" s="9"/>
      <c r="ROB41" s="9"/>
      <c r="ROC41" s="9"/>
      <c r="ROD41" s="9"/>
      <c r="ROE41" s="9"/>
      <c r="ROF41" s="9"/>
      <c r="ROG41" s="9"/>
      <c r="ROH41" s="9"/>
      <c r="ROI41" s="9"/>
      <c r="ROJ41" s="9"/>
      <c r="ROK41" s="9"/>
      <c r="ROL41" s="9"/>
      <c r="ROM41" s="9"/>
      <c r="RON41" s="9"/>
      <c r="ROO41" s="9"/>
      <c r="ROP41" s="9"/>
      <c r="ROQ41" s="9"/>
      <c r="ROR41" s="9"/>
      <c r="ROS41" s="9"/>
      <c r="ROT41" s="9"/>
      <c r="ROU41" s="9"/>
      <c r="ROV41" s="9"/>
      <c r="ROW41" s="9"/>
      <c r="ROX41" s="9"/>
      <c r="ROY41" s="9"/>
      <c r="ROZ41" s="9"/>
      <c r="RPA41" s="9"/>
      <c r="RPB41" s="9"/>
      <c r="RPC41" s="9"/>
      <c r="RPD41" s="9"/>
      <c r="RPE41" s="9"/>
      <c r="RPF41" s="9"/>
      <c r="RPG41" s="9"/>
      <c r="RPH41" s="9"/>
      <c r="RPI41" s="9"/>
      <c r="RPJ41" s="9"/>
      <c r="RPK41" s="9"/>
      <c r="RPL41" s="9"/>
      <c r="RPM41" s="9"/>
      <c r="RPN41" s="9"/>
      <c r="RPO41" s="9"/>
      <c r="RPP41" s="9"/>
      <c r="RPQ41" s="9"/>
      <c r="RPR41" s="9"/>
      <c r="RPS41" s="9"/>
      <c r="RPT41" s="9"/>
      <c r="RPU41" s="9"/>
      <c r="RPV41" s="9"/>
      <c r="RPW41" s="9"/>
      <c r="RPX41" s="9"/>
      <c r="RPY41" s="9"/>
      <c r="RPZ41" s="9"/>
      <c r="RQA41" s="9"/>
      <c r="RQB41" s="9"/>
      <c r="RQC41" s="9"/>
      <c r="RQD41" s="9"/>
      <c r="RQE41" s="9"/>
      <c r="RQF41" s="9"/>
      <c r="RQG41" s="9"/>
      <c r="RQH41" s="9"/>
      <c r="RQI41" s="9"/>
      <c r="RQJ41" s="9"/>
      <c r="RQK41" s="9"/>
      <c r="RQL41" s="9"/>
      <c r="RQM41" s="9"/>
      <c r="RQN41" s="9"/>
      <c r="RQO41" s="9"/>
      <c r="RQP41" s="9"/>
      <c r="RQQ41" s="9"/>
      <c r="RQR41" s="9"/>
      <c r="RQS41" s="9"/>
      <c r="RQT41" s="9"/>
      <c r="RQU41" s="9"/>
      <c r="RQV41" s="9"/>
      <c r="RQW41" s="9"/>
      <c r="RQX41" s="9"/>
      <c r="RQY41" s="9"/>
      <c r="RQZ41" s="9"/>
      <c r="RRA41" s="9"/>
      <c r="RRB41" s="9"/>
      <c r="RRC41" s="9"/>
      <c r="RRD41" s="9"/>
      <c r="RRE41" s="9"/>
      <c r="RRF41" s="9"/>
      <c r="RRG41" s="9"/>
      <c r="RRH41" s="9"/>
      <c r="RRI41" s="9"/>
      <c r="RRJ41" s="9"/>
      <c r="RRK41" s="9"/>
      <c r="RRL41" s="9"/>
      <c r="RRM41" s="9"/>
      <c r="RRN41" s="9"/>
      <c r="RRO41" s="9"/>
      <c r="RRP41" s="9"/>
      <c r="RRQ41" s="9"/>
      <c r="RRR41" s="9"/>
      <c r="RRS41" s="9"/>
      <c r="RRT41" s="9"/>
      <c r="RRU41" s="9"/>
      <c r="RRV41" s="9"/>
      <c r="RRW41" s="9"/>
      <c r="RRX41" s="9"/>
      <c r="RRY41" s="9"/>
      <c r="RRZ41" s="9"/>
      <c r="RSA41" s="9"/>
      <c r="RSB41" s="9"/>
      <c r="RSC41" s="9"/>
      <c r="RSD41" s="9"/>
      <c r="RSE41" s="9"/>
      <c r="RSF41" s="9"/>
      <c r="RSG41" s="9"/>
      <c r="RSH41" s="9"/>
      <c r="RSI41" s="9"/>
      <c r="RSJ41" s="9"/>
      <c r="RSK41" s="9"/>
      <c r="RSL41" s="9"/>
      <c r="RSM41" s="9"/>
      <c r="RSN41" s="9"/>
      <c r="RSO41" s="9"/>
      <c r="RSP41" s="9"/>
      <c r="RSQ41" s="9"/>
      <c r="RSR41" s="9"/>
      <c r="RSS41" s="9"/>
      <c r="RST41" s="9"/>
      <c r="RSU41" s="9"/>
      <c r="RSV41" s="9"/>
      <c r="RSW41" s="9"/>
      <c r="RSX41" s="9"/>
      <c r="RSY41" s="9"/>
      <c r="RSZ41" s="9"/>
      <c r="RTA41" s="9"/>
      <c r="RTB41" s="9"/>
      <c r="RTC41" s="9"/>
      <c r="RTD41" s="9"/>
      <c r="RTE41" s="9"/>
      <c r="RTF41" s="9"/>
      <c r="RTG41" s="9"/>
      <c r="RTH41" s="9"/>
      <c r="RTI41" s="9"/>
      <c r="RTJ41" s="9"/>
      <c r="RTK41" s="9"/>
      <c r="RTL41" s="9"/>
      <c r="RTM41" s="9"/>
      <c r="RTN41" s="9"/>
      <c r="RTO41" s="9"/>
      <c r="RTP41" s="9"/>
      <c r="RTQ41" s="9"/>
      <c r="RTR41" s="9"/>
      <c r="RTS41" s="9"/>
      <c r="RTT41" s="9"/>
      <c r="RTU41" s="9"/>
      <c r="RTV41" s="9"/>
      <c r="RTW41" s="9"/>
      <c r="RTX41" s="9"/>
      <c r="RTY41" s="9"/>
      <c r="RTZ41" s="9"/>
      <c r="RUA41" s="9"/>
      <c r="RUB41" s="9"/>
      <c r="RUC41" s="9"/>
      <c r="RUD41" s="9"/>
      <c r="RUE41" s="9"/>
      <c r="RUF41" s="9"/>
      <c r="RUG41" s="9"/>
      <c r="RUH41" s="9"/>
      <c r="RUI41" s="9"/>
      <c r="RUJ41" s="9"/>
      <c r="RUK41" s="9"/>
      <c r="RUL41" s="9"/>
      <c r="RUM41" s="9"/>
      <c r="RUN41" s="9"/>
      <c r="RUO41" s="9"/>
      <c r="RUP41" s="9"/>
      <c r="RUQ41" s="9"/>
      <c r="RUR41" s="9"/>
      <c r="RUS41" s="9"/>
      <c r="RUT41" s="9"/>
      <c r="RUU41" s="9"/>
      <c r="RUV41" s="9"/>
      <c r="RUW41" s="9"/>
      <c r="RUX41" s="9"/>
      <c r="RUY41" s="9"/>
      <c r="RUZ41" s="9"/>
      <c r="RVA41" s="9"/>
      <c r="RVB41" s="9"/>
      <c r="RVC41" s="9"/>
      <c r="RVD41" s="9"/>
      <c r="RVE41" s="9"/>
      <c r="RVF41" s="9"/>
      <c r="RVG41" s="9"/>
      <c r="RVH41" s="9"/>
      <c r="RVI41" s="9"/>
      <c r="RVJ41" s="9"/>
      <c r="RVK41" s="9"/>
      <c r="RVL41" s="9"/>
      <c r="RVM41" s="9"/>
      <c r="RVN41" s="9"/>
      <c r="RVO41" s="9"/>
      <c r="RVP41" s="9"/>
      <c r="RVQ41" s="9"/>
      <c r="RVR41" s="9"/>
      <c r="RVS41" s="9"/>
      <c r="RVT41" s="9"/>
      <c r="RVU41" s="9"/>
      <c r="RVV41" s="9"/>
      <c r="RVW41" s="9"/>
      <c r="RVX41" s="9"/>
      <c r="RVY41" s="9"/>
      <c r="RVZ41" s="9"/>
      <c r="RWA41" s="9"/>
      <c r="RWB41" s="9"/>
      <c r="RWC41" s="9"/>
      <c r="RWD41" s="9"/>
      <c r="RWE41" s="9"/>
      <c r="RWF41" s="9"/>
      <c r="RWG41" s="9"/>
      <c r="RWH41" s="9"/>
      <c r="RWI41" s="9"/>
      <c r="RWJ41" s="9"/>
      <c r="RWK41" s="9"/>
      <c r="RWL41" s="9"/>
      <c r="RWM41" s="9"/>
      <c r="RWN41" s="9"/>
      <c r="RWO41" s="9"/>
      <c r="RWP41" s="9"/>
      <c r="RWQ41" s="9"/>
      <c r="RWR41" s="9"/>
      <c r="RWS41" s="9"/>
      <c r="RWT41" s="9"/>
      <c r="RWU41" s="9"/>
      <c r="RWV41" s="9"/>
      <c r="RWW41" s="9"/>
      <c r="RWX41" s="9"/>
      <c r="RWY41" s="9"/>
      <c r="RWZ41" s="9"/>
      <c r="RXA41" s="9"/>
      <c r="RXB41" s="9"/>
      <c r="RXC41" s="9"/>
      <c r="RXD41" s="9"/>
      <c r="RXE41" s="9"/>
      <c r="RXF41" s="9"/>
      <c r="RXG41" s="9"/>
      <c r="RXH41" s="9"/>
      <c r="RXI41" s="9"/>
      <c r="RXJ41" s="9"/>
      <c r="RXK41" s="9"/>
      <c r="RXL41" s="9"/>
      <c r="RXM41" s="9"/>
      <c r="RXN41" s="9"/>
      <c r="RXO41" s="9"/>
      <c r="RXP41" s="9"/>
      <c r="RXQ41" s="9"/>
      <c r="RXR41" s="9"/>
      <c r="RXS41" s="9"/>
      <c r="RXT41" s="9"/>
      <c r="RXU41" s="9"/>
      <c r="RXV41" s="9"/>
      <c r="RXW41" s="9"/>
      <c r="RXX41" s="9"/>
      <c r="RXY41" s="9"/>
      <c r="RXZ41" s="9"/>
      <c r="RYA41" s="9"/>
      <c r="RYB41" s="9"/>
      <c r="RYC41" s="9"/>
      <c r="RYD41" s="9"/>
      <c r="RYE41" s="9"/>
      <c r="RYF41" s="9"/>
      <c r="RYG41" s="9"/>
      <c r="RYH41" s="9"/>
      <c r="RYI41" s="9"/>
      <c r="RYJ41" s="9"/>
      <c r="RYK41" s="9"/>
      <c r="RYL41" s="9"/>
      <c r="RYM41" s="9"/>
      <c r="RYN41" s="9"/>
      <c r="RYO41" s="9"/>
      <c r="RYP41" s="9"/>
      <c r="RYQ41" s="9"/>
      <c r="RYR41" s="9"/>
      <c r="RYS41" s="9"/>
      <c r="RYT41" s="9"/>
      <c r="RYU41" s="9"/>
      <c r="RYV41" s="9"/>
      <c r="RYW41" s="9"/>
      <c r="RYX41" s="9"/>
      <c r="RYY41" s="9"/>
      <c r="RYZ41" s="9"/>
      <c r="RZA41" s="9"/>
      <c r="RZB41" s="9"/>
      <c r="RZC41" s="9"/>
      <c r="RZD41" s="9"/>
      <c r="RZE41" s="9"/>
      <c r="RZF41" s="9"/>
      <c r="RZG41" s="9"/>
      <c r="RZH41" s="9"/>
      <c r="RZI41" s="9"/>
      <c r="RZJ41" s="9"/>
      <c r="RZK41" s="9"/>
      <c r="RZL41" s="9"/>
      <c r="RZM41" s="9"/>
      <c r="RZN41" s="9"/>
      <c r="RZO41" s="9"/>
      <c r="RZP41" s="9"/>
      <c r="RZQ41" s="9"/>
      <c r="RZR41" s="9"/>
      <c r="RZS41" s="9"/>
      <c r="RZT41" s="9"/>
      <c r="RZU41" s="9"/>
      <c r="RZV41" s="9"/>
      <c r="RZW41" s="9"/>
      <c r="RZX41" s="9"/>
      <c r="RZY41" s="9"/>
      <c r="RZZ41" s="9"/>
      <c r="SAA41" s="9"/>
      <c r="SAB41" s="9"/>
      <c r="SAC41" s="9"/>
      <c r="SAD41" s="9"/>
      <c r="SAE41" s="9"/>
      <c r="SAF41" s="9"/>
      <c r="SAG41" s="9"/>
      <c r="SAH41" s="9"/>
      <c r="SAI41" s="9"/>
      <c r="SAJ41" s="9"/>
      <c r="SAK41" s="9"/>
      <c r="SAL41" s="9"/>
      <c r="SAM41" s="9"/>
      <c r="SAN41" s="9"/>
      <c r="SAO41" s="9"/>
      <c r="SAP41" s="9"/>
      <c r="SAQ41" s="9"/>
      <c r="SAR41" s="9"/>
      <c r="SAS41" s="9"/>
      <c r="SAT41" s="9"/>
      <c r="SAU41" s="9"/>
      <c r="SAV41" s="9"/>
      <c r="SAW41" s="9"/>
      <c r="SAX41" s="9"/>
      <c r="SAY41" s="9"/>
      <c r="SAZ41" s="9"/>
      <c r="SBA41" s="9"/>
      <c r="SBB41" s="9"/>
      <c r="SBC41" s="9"/>
      <c r="SBD41" s="9"/>
      <c r="SBE41" s="9"/>
      <c r="SBF41" s="9"/>
      <c r="SBG41" s="9"/>
      <c r="SBH41" s="9"/>
      <c r="SBI41" s="9"/>
      <c r="SBJ41" s="9"/>
      <c r="SBK41" s="9"/>
      <c r="SBL41" s="9"/>
      <c r="SBM41" s="9"/>
      <c r="SBN41" s="9"/>
      <c r="SBO41" s="9"/>
      <c r="SBP41" s="9"/>
      <c r="SBQ41" s="9"/>
      <c r="SBR41" s="9"/>
      <c r="SBS41" s="9"/>
      <c r="SBT41" s="9"/>
      <c r="SBU41" s="9"/>
      <c r="SBV41" s="9"/>
      <c r="SBW41" s="9"/>
      <c r="SBX41" s="9"/>
      <c r="SBY41" s="9"/>
      <c r="SBZ41" s="9"/>
      <c r="SCA41" s="9"/>
      <c r="SCB41" s="9"/>
      <c r="SCC41" s="9"/>
      <c r="SCD41" s="9"/>
      <c r="SCE41" s="9"/>
      <c r="SCF41" s="9"/>
      <c r="SCG41" s="9"/>
      <c r="SCH41" s="9"/>
      <c r="SCI41" s="9"/>
      <c r="SCJ41" s="9"/>
      <c r="SCK41" s="9"/>
      <c r="SCL41" s="9"/>
      <c r="SCM41" s="9"/>
      <c r="SCN41" s="9"/>
      <c r="SCO41" s="9"/>
      <c r="SCP41" s="9"/>
      <c r="SCQ41" s="9"/>
      <c r="SCR41" s="9"/>
      <c r="SCS41" s="9"/>
      <c r="SCT41" s="9"/>
      <c r="SCU41" s="9"/>
      <c r="SCV41" s="9"/>
      <c r="SCW41" s="9"/>
      <c r="SCX41" s="9"/>
      <c r="SCY41" s="9"/>
      <c r="SCZ41" s="9"/>
      <c r="SDA41" s="9"/>
      <c r="SDB41" s="9"/>
      <c r="SDC41" s="9"/>
      <c r="SDD41" s="9"/>
      <c r="SDE41" s="9"/>
      <c r="SDF41" s="9"/>
      <c r="SDG41" s="9"/>
      <c r="SDH41" s="9"/>
      <c r="SDI41" s="9"/>
      <c r="SDJ41" s="9"/>
      <c r="SDK41" s="9"/>
      <c r="SDL41" s="9"/>
      <c r="SDM41" s="9"/>
      <c r="SDN41" s="9"/>
      <c r="SDO41" s="9"/>
      <c r="SDP41" s="9"/>
      <c r="SDQ41" s="9"/>
      <c r="SDR41" s="9"/>
      <c r="SDS41" s="9"/>
      <c r="SDT41" s="9"/>
      <c r="SDU41" s="9"/>
      <c r="SDV41" s="9"/>
      <c r="SDW41" s="9"/>
      <c r="SDX41" s="9"/>
      <c r="SDY41" s="9"/>
      <c r="SDZ41" s="9"/>
      <c r="SEA41" s="9"/>
      <c r="SEB41" s="9"/>
      <c r="SEC41" s="9"/>
      <c r="SED41" s="9"/>
      <c r="SEE41" s="9"/>
      <c r="SEF41" s="9"/>
      <c r="SEG41" s="9"/>
      <c r="SEH41" s="9"/>
      <c r="SEI41" s="9"/>
      <c r="SEJ41" s="9"/>
      <c r="SEK41" s="9"/>
      <c r="SEL41" s="9"/>
      <c r="SEM41" s="9"/>
      <c r="SEN41" s="9"/>
      <c r="SEO41" s="9"/>
      <c r="SEP41" s="9"/>
      <c r="SEQ41" s="9"/>
      <c r="SER41" s="9"/>
      <c r="SES41" s="9"/>
      <c r="SET41" s="9"/>
      <c r="SEU41" s="9"/>
      <c r="SEV41" s="9"/>
      <c r="SEW41" s="9"/>
      <c r="SEX41" s="9"/>
      <c r="SEY41" s="9"/>
      <c r="SEZ41" s="9"/>
      <c r="SFA41" s="9"/>
      <c r="SFB41" s="9"/>
      <c r="SFC41" s="9"/>
      <c r="SFD41" s="9"/>
      <c r="SFE41" s="9"/>
      <c r="SFF41" s="9"/>
      <c r="SFG41" s="9"/>
      <c r="SFH41" s="9"/>
      <c r="SFI41" s="9"/>
      <c r="SFJ41" s="9"/>
      <c r="SFK41" s="9"/>
      <c r="SFL41" s="9"/>
      <c r="SFM41" s="9"/>
      <c r="SFN41" s="9"/>
      <c r="SFO41" s="9"/>
      <c r="SFP41" s="9"/>
      <c r="SFQ41" s="9"/>
      <c r="SFR41" s="9"/>
      <c r="SFS41" s="9"/>
      <c r="SFT41" s="9"/>
      <c r="SFU41" s="9"/>
      <c r="SFV41" s="9"/>
      <c r="SFW41" s="9"/>
      <c r="SFX41" s="9"/>
      <c r="SFY41" s="9"/>
      <c r="SFZ41" s="9"/>
      <c r="SGA41" s="9"/>
      <c r="SGB41" s="9"/>
      <c r="SGC41" s="9"/>
      <c r="SGD41" s="9"/>
      <c r="SGE41" s="9"/>
      <c r="SGF41" s="9"/>
      <c r="SGG41" s="9"/>
      <c r="SGH41" s="9"/>
      <c r="SGI41" s="9"/>
      <c r="SGJ41" s="9"/>
      <c r="SGK41" s="9"/>
      <c r="SGL41" s="9"/>
      <c r="SGM41" s="9"/>
      <c r="SGN41" s="9"/>
      <c r="SGO41" s="9"/>
      <c r="SGP41" s="9"/>
      <c r="SGQ41" s="9"/>
      <c r="SGR41" s="9"/>
      <c r="SGS41" s="9"/>
      <c r="SGT41" s="9"/>
      <c r="SGU41" s="9"/>
      <c r="SGV41" s="9"/>
      <c r="SGW41" s="9"/>
      <c r="SGX41" s="9"/>
      <c r="SGY41" s="9"/>
      <c r="SGZ41" s="9"/>
      <c r="SHA41" s="9"/>
      <c r="SHB41" s="9"/>
      <c r="SHC41" s="9"/>
      <c r="SHD41" s="9"/>
      <c r="SHE41" s="9"/>
      <c r="SHF41" s="9"/>
      <c r="SHG41" s="9"/>
      <c r="SHH41" s="9"/>
      <c r="SHI41" s="9"/>
      <c r="SHJ41" s="9"/>
      <c r="SHK41" s="9"/>
      <c r="SHL41" s="9"/>
      <c r="SHM41" s="9"/>
      <c r="SHN41" s="9"/>
      <c r="SHO41" s="9"/>
      <c r="SHP41" s="9"/>
      <c r="SHQ41" s="9"/>
      <c r="SHR41" s="9"/>
      <c r="SHS41" s="9"/>
      <c r="SHT41" s="9"/>
      <c r="SHU41" s="9"/>
      <c r="SHV41" s="9"/>
      <c r="SHW41" s="9"/>
      <c r="SHX41" s="9"/>
      <c r="SHY41" s="9"/>
      <c r="SHZ41" s="9"/>
      <c r="SIA41" s="9"/>
      <c r="SIB41" s="9"/>
      <c r="SIC41" s="9"/>
      <c r="SID41" s="9"/>
      <c r="SIE41" s="9"/>
      <c r="SIF41" s="9"/>
      <c r="SIG41" s="9"/>
      <c r="SIH41" s="9"/>
      <c r="SII41" s="9"/>
      <c r="SIJ41" s="9"/>
      <c r="SIK41" s="9"/>
      <c r="SIL41" s="9"/>
      <c r="SIM41" s="9"/>
      <c r="SIN41" s="9"/>
      <c r="SIO41" s="9"/>
      <c r="SIP41" s="9"/>
      <c r="SIQ41" s="9"/>
      <c r="SIR41" s="9"/>
      <c r="SIS41" s="9"/>
      <c r="SIT41" s="9"/>
      <c r="SIU41" s="9"/>
      <c r="SIV41" s="9"/>
      <c r="SIW41" s="9"/>
      <c r="SIX41" s="9"/>
      <c r="SIY41" s="9"/>
      <c r="SIZ41" s="9"/>
      <c r="SJA41" s="9"/>
      <c r="SJB41" s="9"/>
      <c r="SJC41" s="9"/>
      <c r="SJD41" s="9"/>
      <c r="SJE41" s="9"/>
      <c r="SJF41" s="9"/>
      <c r="SJG41" s="9"/>
      <c r="SJH41" s="9"/>
      <c r="SJI41" s="9"/>
      <c r="SJJ41" s="9"/>
      <c r="SJK41" s="9"/>
      <c r="SJL41" s="9"/>
      <c r="SJM41" s="9"/>
      <c r="SJN41" s="9"/>
      <c r="SJO41" s="9"/>
      <c r="SJP41" s="9"/>
      <c r="SJQ41" s="9"/>
      <c r="SJR41" s="9"/>
      <c r="SJS41" s="9"/>
      <c r="SJT41" s="9"/>
      <c r="SJU41" s="9"/>
      <c r="SJV41" s="9"/>
      <c r="SJW41" s="9"/>
      <c r="SJX41" s="9"/>
      <c r="SJY41" s="9"/>
      <c r="SJZ41" s="9"/>
      <c r="SKA41" s="9"/>
      <c r="SKB41" s="9"/>
      <c r="SKC41" s="9"/>
      <c r="SKD41" s="9"/>
      <c r="SKE41" s="9"/>
      <c r="SKF41" s="9"/>
      <c r="SKG41" s="9"/>
      <c r="SKH41" s="9"/>
      <c r="SKI41" s="9"/>
      <c r="SKJ41" s="9"/>
      <c r="SKK41" s="9"/>
      <c r="SKL41" s="9"/>
      <c r="SKM41" s="9"/>
      <c r="SKN41" s="9"/>
      <c r="SKO41" s="9"/>
      <c r="SKP41" s="9"/>
      <c r="SKQ41" s="9"/>
      <c r="SKR41" s="9"/>
      <c r="SKS41" s="9"/>
      <c r="SKT41" s="9"/>
      <c r="SKU41" s="9"/>
      <c r="SKV41" s="9"/>
      <c r="SKW41" s="9"/>
      <c r="SKX41" s="9"/>
      <c r="SKY41" s="9"/>
      <c r="SKZ41" s="9"/>
      <c r="SLA41" s="9"/>
      <c r="SLB41" s="9"/>
      <c r="SLC41" s="9"/>
      <c r="SLD41" s="9"/>
      <c r="SLE41" s="9"/>
      <c r="SLF41" s="9"/>
      <c r="SLG41" s="9"/>
      <c r="SLH41" s="9"/>
      <c r="SLI41" s="9"/>
      <c r="SLJ41" s="9"/>
      <c r="SLK41" s="9"/>
      <c r="SLL41" s="9"/>
      <c r="SLM41" s="9"/>
      <c r="SLN41" s="9"/>
      <c r="SLO41" s="9"/>
      <c r="SLP41" s="9"/>
      <c r="SLQ41" s="9"/>
      <c r="SLR41" s="9"/>
      <c r="SLS41" s="9"/>
      <c r="SLT41" s="9"/>
      <c r="SLU41" s="9"/>
      <c r="SLV41" s="9"/>
      <c r="SLW41" s="9"/>
      <c r="SLX41" s="9"/>
      <c r="SLY41" s="9"/>
      <c r="SLZ41" s="9"/>
      <c r="SMA41" s="9"/>
      <c r="SMB41" s="9"/>
      <c r="SMC41" s="9"/>
      <c r="SMD41" s="9"/>
      <c r="SME41" s="9"/>
      <c r="SMF41" s="9"/>
      <c r="SMG41" s="9"/>
      <c r="SMH41" s="9"/>
      <c r="SMI41" s="9"/>
      <c r="SMJ41" s="9"/>
      <c r="SMK41" s="9"/>
      <c r="SML41" s="9"/>
      <c r="SMM41" s="9"/>
      <c r="SMN41" s="9"/>
      <c r="SMO41" s="9"/>
      <c r="SMP41" s="9"/>
      <c r="SMQ41" s="9"/>
      <c r="SMR41" s="9"/>
      <c r="SMS41" s="9"/>
      <c r="SMT41" s="9"/>
      <c r="SMU41" s="9"/>
      <c r="SMV41" s="9"/>
      <c r="SMW41" s="9"/>
      <c r="SMX41" s="9"/>
      <c r="SMY41" s="9"/>
      <c r="SMZ41" s="9"/>
      <c r="SNA41" s="9"/>
      <c r="SNB41" s="9"/>
      <c r="SNC41" s="9"/>
      <c r="SND41" s="9"/>
      <c r="SNE41" s="9"/>
      <c r="SNF41" s="9"/>
      <c r="SNG41" s="9"/>
      <c r="SNH41" s="9"/>
      <c r="SNI41" s="9"/>
      <c r="SNJ41" s="9"/>
      <c r="SNK41" s="9"/>
      <c r="SNL41" s="9"/>
      <c r="SNM41" s="9"/>
      <c r="SNN41" s="9"/>
      <c r="SNO41" s="9"/>
      <c r="SNP41" s="9"/>
      <c r="SNQ41" s="9"/>
      <c r="SNR41" s="9"/>
      <c r="SNS41" s="9"/>
      <c r="SNT41" s="9"/>
      <c r="SNU41" s="9"/>
      <c r="SNV41" s="9"/>
      <c r="SNW41" s="9"/>
      <c r="SNX41" s="9"/>
      <c r="SNY41" s="9"/>
      <c r="SNZ41" s="9"/>
      <c r="SOA41" s="9"/>
      <c r="SOB41" s="9"/>
      <c r="SOC41" s="9"/>
      <c r="SOD41" s="9"/>
      <c r="SOE41" s="9"/>
      <c r="SOF41" s="9"/>
      <c r="SOG41" s="9"/>
      <c r="SOH41" s="9"/>
      <c r="SOI41" s="9"/>
      <c r="SOJ41" s="9"/>
      <c r="SOK41" s="9"/>
      <c r="SOL41" s="9"/>
      <c r="SOM41" s="9"/>
      <c r="SON41" s="9"/>
      <c r="SOO41" s="9"/>
      <c r="SOP41" s="9"/>
      <c r="SOQ41" s="9"/>
      <c r="SOR41" s="9"/>
      <c r="SOS41" s="9"/>
      <c r="SOT41" s="9"/>
      <c r="SOU41" s="9"/>
      <c r="SOV41" s="9"/>
      <c r="SOW41" s="9"/>
      <c r="SOX41" s="9"/>
      <c r="SOY41" s="9"/>
      <c r="SOZ41" s="9"/>
      <c r="SPA41" s="9"/>
      <c r="SPB41" s="9"/>
      <c r="SPC41" s="9"/>
      <c r="SPD41" s="9"/>
      <c r="SPE41" s="9"/>
      <c r="SPF41" s="9"/>
      <c r="SPG41" s="9"/>
      <c r="SPH41" s="9"/>
      <c r="SPI41" s="9"/>
      <c r="SPJ41" s="9"/>
      <c r="SPK41" s="9"/>
      <c r="SPL41" s="9"/>
      <c r="SPM41" s="9"/>
      <c r="SPN41" s="9"/>
      <c r="SPO41" s="9"/>
      <c r="SPP41" s="9"/>
      <c r="SPQ41" s="9"/>
      <c r="SPR41" s="9"/>
      <c r="SPS41" s="9"/>
      <c r="SPT41" s="9"/>
      <c r="SPU41" s="9"/>
      <c r="SPV41" s="9"/>
      <c r="SPW41" s="9"/>
      <c r="SPX41" s="9"/>
      <c r="SPY41" s="9"/>
      <c r="SPZ41" s="9"/>
      <c r="SQA41" s="9"/>
      <c r="SQB41" s="9"/>
      <c r="SQC41" s="9"/>
      <c r="SQD41" s="9"/>
      <c r="SQE41" s="9"/>
      <c r="SQF41" s="9"/>
      <c r="SQG41" s="9"/>
      <c r="SQH41" s="9"/>
      <c r="SQI41" s="9"/>
      <c r="SQJ41" s="9"/>
      <c r="SQK41" s="9"/>
      <c r="SQL41" s="9"/>
      <c r="SQM41" s="9"/>
      <c r="SQN41" s="9"/>
      <c r="SQO41" s="9"/>
      <c r="SQP41" s="9"/>
      <c r="SQQ41" s="9"/>
      <c r="SQR41" s="9"/>
      <c r="SQS41" s="9"/>
      <c r="SQT41" s="9"/>
      <c r="SQU41" s="9"/>
      <c r="SQV41" s="9"/>
      <c r="SQW41" s="9"/>
      <c r="SQX41" s="9"/>
      <c r="SQY41" s="9"/>
      <c r="SQZ41" s="9"/>
      <c r="SRA41" s="9"/>
      <c r="SRB41" s="9"/>
      <c r="SRC41" s="9"/>
      <c r="SRD41" s="9"/>
      <c r="SRE41" s="9"/>
      <c r="SRF41" s="9"/>
      <c r="SRG41" s="9"/>
      <c r="SRH41" s="9"/>
      <c r="SRI41" s="9"/>
      <c r="SRJ41" s="9"/>
      <c r="SRK41" s="9"/>
      <c r="SRL41" s="9"/>
      <c r="SRM41" s="9"/>
      <c r="SRN41" s="9"/>
      <c r="SRO41" s="9"/>
      <c r="SRP41" s="9"/>
      <c r="SRQ41" s="9"/>
      <c r="SRR41" s="9"/>
      <c r="SRS41" s="9"/>
      <c r="SRT41" s="9"/>
      <c r="SRU41" s="9"/>
      <c r="SRV41" s="9"/>
      <c r="SRW41" s="9"/>
      <c r="SRX41" s="9"/>
      <c r="SRY41" s="9"/>
      <c r="SRZ41" s="9"/>
      <c r="SSA41" s="9"/>
      <c r="SSB41" s="9"/>
      <c r="SSC41" s="9"/>
      <c r="SSD41" s="9"/>
      <c r="SSE41" s="9"/>
      <c r="SSF41" s="9"/>
      <c r="SSG41" s="9"/>
      <c r="SSH41" s="9"/>
      <c r="SSI41" s="9"/>
      <c r="SSJ41" s="9"/>
      <c r="SSK41" s="9"/>
      <c r="SSL41" s="9"/>
      <c r="SSM41" s="9"/>
      <c r="SSN41" s="9"/>
      <c r="SSO41" s="9"/>
      <c r="SSP41" s="9"/>
      <c r="SSQ41" s="9"/>
      <c r="SSR41" s="9"/>
      <c r="SSS41" s="9"/>
      <c r="SST41" s="9"/>
      <c r="SSU41" s="9"/>
      <c r="SSV41" s="9"/>
      <c r="SSW41" s="9"/>
      <c r="SSX41" s="9"/>
      <c r="SSY41" s="9"/>
      <c r="SSZ41" s="9"/>
      <c r="STA41" s="9"/>
      <c r="STB41" s="9"/>
      <c r="STC41" s="9"/>
      <c r="STD41" s="9"/>
      <c r="STE41" s="9"/>
      <c r="STF41" s="9"/>
      <c r="STG41" s="9"/>
      <c r="STH41" s="9"/>
      <c r="STI41" s="9"/>
      <c r="STJ41" s="9"/>
      <c r="STK41" s="9"/>
      <c r="STL41" s="9"/>
      <c r="STM41" s="9"/>
      <c r="STN41" s="9"/>
      <c r="STO41" s="9"/>
      <c r="STP41" s="9"/>
      <c r="STQ41" s="9"/>
      <c r="STR41" s="9"/>
      <c r="STS41" s="9"/>
      <c r="STT41" s="9"/>
      <c r="STU41" s="9"/>
      <c r="STV41" s="9"/>
      <c r="STW41" s="9"/>
      <c r="STX41" s="9"/>
      <c r="STY41" s="9"/>
      <c r="STZ41" s="9"/>
      <c r="SUA41" s="9"/>
      <c r="SUB41" s="9"/>
      <c r="SUC41" s="9"/>
      <c r="SUD41" s="9"/>
      <c r="SUE41" s="9"/>
      <c r="SUF41" s="9"/>
      <c r="SUG41" s="9"/>
      <c r="SUH41" s="9"/>
      <c r="SUI41" s="9"/>
      <c r="SUJ41" s="9"/>
      <c r="SUK41" s="9"/>
      <c r="SUL41" s="9"/>
      <c r="SUM41" s="9"/>
      <c r="SUN41" s="9"/>
      <c r="SUO41" s="9"/>
      <c r="SUP41" s="9"/>
      <c r="SUQ41" s="9"/>
      <c r="SUR41" s="9"/>
      <c r="SUS41" s="9"/>
      <c r="SUT41" s="9"/>
      <c r="SUU41" s="9"/>
      <c r="SUV41" s="9"/>
      <c r="SUW41" s="9"/>
      <c r="SUX41" s="9"/>
      <c r="SUY41" s="9"/>
      <c r="SUZ41" s="9"/>
      <c r="SVA41" s="9"/>
      <c r="SVB41" s="9"/>
      <c r="SVC41" s="9"/>
      <c r="SVD41" s="9"/>
      <c r="SVE41" s="9"/>
      <c r="SVF41" s="9"/>
      <c r="SVG41" s="9"/>
      <c r="SVH41" s="9"/>
      <c r="SVI41" s="9"/>
      <c r="SVJ41" s="9"/>
      <c r="SVK41" s="9"/>
      <c r="SVL41" s="9"/>
      <c r="SVM41" s="9"/>
      <c r="SVN41" s="9"/>
      <c r="SVO41" s="9"/>
      <c r="SVP41" s="9"/>
      <c r="SVQ41" s="9"/>
      <c r="SVR41" s="9"/>
      <c r="SVS41" s="9"/>
      <c r="SVT41" s="9"/>
      <c r="SVU41" s="9"/>
      <c r="SVV41" s="9"/>
      <c r="SVW41" s="9"/>
      <c r="SVX41" s="9"/>
      <c r="SVY41" s="9"/>
      <c r="SVZ41" s="9"/>
      <c r="SWA41" s="9"/>
      <c r="SWB41" s="9"/>
      <c r="SWC41" s="9"/>
      <c r="SWD41" s="9"/>
      <c r="SWE41" s="9"/>
      <c r="SWF41" s="9"/>
      <c r="SWG41" s="9"/>
      <c r="SWH41" s="9"/>
      <c r="SWI41" s="9"/>
      <c r="SWJ41" s="9"/>
      <c r="SWK41" s="9"/>
      <c r="SWL41" s="9"/>
      <c r="SWM41" s="9"/>
      <c r="SWN41" s="9"/>
      <c r="SWO41" s="9"/>
      <c r="SWP41" s="9"/>
      <c r="SWQ41" s="9"/>
      <c r="SWR41" s="9"/>
      <c r="SWS41" s="9"/>
      <c r="SWT41" s="9"/>
      <c r="SWU41" s="9"/>
      <c r="SWV41" s="9"/>
      <c r="SWW41" s="9"/>
      <c r="SWX41" s="9"/>
      <c r="SWY41" s="9"/>
      <c r="SWZ41" s="9"/>
      <c r="SXA41" s="9"/>
      <c r="SXB41" s="9"/>
      <c r="SXC41" s="9"/>
      <c r="SXD41" s="9"/>
      <c r="SXE41" s="9"/>
      <c r="SXF41" s="9"/>
      <c r="SXG41" s="9"/>
      <c r="SXH41" s="9"/>
      <c r="SXI41" s="9"/>
      <c r="SXJ41" s="9"/>
      <c r="SXK41" s="9"/>
      <c r="SXL41" s="9"/>
      <c r="SXM41" s="9"/>
      <c r="SXN41" s="9"/>
      <c r="SXO41" s="9"/>
      <c r="SXP41" s="9"/>
      <c r="SXQ41" s="9"/>
      <c r="SXR41" s="9"/>
      <c r="SXS41" s="9"/>
      <c r="SXT41" s="9"/>
      <c r="SXU41" s="9"/>
      <c r="SXV41" s="9"/>
      <c r="SXW41" s="9"/>
      <c r="SXX41" s="9"/>
      <c r="SXY41" s="9"/>
      <c r="SXZ41" s="9"/>
      <c r="SYA41" s="9"/>
      <c r="SYB41" s="9"/>
      <c r="SYC41" s="9"/>
      <c r="SYD41" s="9"/>
      <c r="SYE41" s="9"/>
      <c r="SYF41" s="9"/>
      <c r="SYG41" s="9"/>
      <c r="SYH41" s="9"/>
      <c r="SYI41" s="9"/>
      <c r="SYJ41" s="9"/>
      <c r="SYK41" s="9"/>
      <c r="SYL41" s="9"/>
      <c r="SYM41" s="9"/>
      <c r="SYN41" s="9"/>
      <c r="SYO41" s="9"/>
      <c r="SYP41" s="9"/>
      <c r="SYQ41" s="9"/>
      <c r="SYR41" s="9"/>
      <c r="SYS41" s="9"/>
      <c r="SYT41" s="9"/>
      <c r="SYU41" s="9"/>
      <c r="SYV41" s="9"/>
      <c r="SYW41" s="9"/>
      <c r="SYX41" s="9"/>
      <c r="SYY41" s="9"/>
      <c r="SYZ41" s="9"/>
      <c r="SZA41" s="9"/>
      <c r="SZB41" s="9"/>
      <c r="SZC41" s="9"/>
      <c r="SZD41" s="9"/>
      <c r="SZE41" s="9"/>
      <c r="SZF41" s="9"/>
      <c r="SZG41" s="9"/>
      <c r="SZH41" s="9"/>
      <c r="SZI41" s="9"/>
      <c r="SZJ41" s="9"/>
      <c r="SZK41" s="9"/>
      <c r="SZL41" s="9"/>
      <c r="SZM41" s="9"/>
      <c r="SZN41" s="9"/>
      <c r="SZO41" s="9"/>
      <c r="SZP41" s="9"/>
      <c r="SZQ41" s="9"/>
      <c r="SZR41" s="9"/>
      <c r="SZS41" s="9"/>
      <c r="SZT41" s="9"/>
      <c r="SZU41" s="9"/>
      <c r="SZV41" s="9"/>
      <c r="SZW41" s="9"/>
      <c r="SZX41" s="9"/>
      <c r="SZY41" s="9"/>
      <c r="SZZ41" s="9"/>
      <c r="TAA41" s="9"/>
      <c r="TAB41" s="9"/>
      <c r="TAC41" s="9"/>
      <c r="TAD41" s="9"/>
      <c r="TAE41" s="9"/>
      <c r="TAF41" s="9"/>
      <c r="TAG41" s="9"/>
      <c r="TAH41" s="9"/>
      <c r="TAI41" s="9"/>
      <c r="TAJ41" s="9"/>
      <c r="TAK41" s="9"/>
      <c r="TAL41" s="9"/>
      <c r="TAM41" s="9"/>
      <c r="TAN41" s="9"/>
      <c r="TAO41" s="9"/>
      <c r="TAP41" s="9"/>
      <c r="TAQ41" s="9"/>
      <c r="TAR41" s="9"/>
      <c r="TAS41" s="9"/>
      <c r="TAT41" s="9"/>
      <c r="TAU41" s="9"/>
      <c r="TAV41" s="9"/>
      <c r="TAW41" s="9"/>
      <c r="TAX41" s="9"/>
      <c r="TAY41" s="9"/>
      <c r="TAZ41" s="9"/>
      <c r="TBA41" s="9"/>
      <c r="TBB41" s="9"/>
      <c r="TBC41" s="9"/>
      <c r="TBD41" s="9"/>
      <c r="TBE41" s="9"/>
      <c r="TBF41" s="9"/>
      <c r="TBG41" s="9"/>
      <c r="TBH41" s="9"/>
      <c r="TBI41" s="9"/>
      <c r="TBJ41" s="9"/>
      <c r="TBK41" s="9"/>
      <c r="TBL41" s="9"/>
      <c r="TBM41" s="9"/>
      <c r="TBN41" s="9"/>
      <c r="TBO41" s="9"/>
      <c r="TBP41" s="9"/>
      <c r="TBQ41" s="9"/>
      <c r="TBR41" s="9"/>
      <c r="TBS41" s="9"/>
      <c r="TBT41" s="9"/>
      <c r="TBU41" s="9"/>
      <c r="TBV41" s="9"/>
      <c r="TBW41" s="9"/>
      <c r="TBX41" s="9"/>
      <c r="TBY41" s="9"/>
      <c r="TBZ41" s="9"/>
      <c r="TCA41" s="9"/>
      <c r="TCB41" s="9"/>
      <c r="TCC41" s="9"/>
      <c r="TCD41" s="9"/>
      <c r="TCE41" s="9"/>
      <c r="TCF41" s="9"/>
      <c r="TCG41" s="9"/>
      <c r="TCH41" s="9"/>
      <c r="TCI41" s="9"/>
      <c r="TCJ41" s="9"/>
      <c r="TCK41" s="9"/>
      <c r="TCL41" s="9"/>
      <c r="TCM41" s="9"/>
      <c r="TCN41" s="9"/>
      <c r="TCO41" s="9"/>
      <c r="TCP41" s="9"/>
      <c r="TCQ41" s="9"/>
      <c r="TCR41" s="9"/>
      <c r="TCS41" s="9"/>
      <c r="TCT41" s="9"/>
      <c r="TCU41" s="9"/>
      <c r="TCV41" s="9"/>
      <c r="TCW41" s="9"/>
      <c r="TCX41" s="9"/>
      <c r="TCY41" s="9"/>
      <c r="TCZ41" s="9"/>
      <c r="TDA41" s="9"/>
      <c r="TDB41" s="9"/>
      <c r="TDC41" s="9"/>
      <c r="TDD41" s="9"/>
      <c r="TDE41" s="9"/>
      <c r="TDF41" s="9"/>
      <c r="TDG41" s="9"/>
      <c r="TDH41" s="9"/>
      <c r="TDI41" s="9"/>
      <c r="TDJ41" s="9"/>
      <c r="TDK41" s="9"/>
      <c r="TDL41" s="9"/>
      <c r="TDM41" s="9"/>
      <c r="TDN41" s="9"/>
      <c r="TDO41" s="9"/>
      <c r="TDP41" s="9"/>
      <c r="TDQ41" s="9"/>
      <c r="TDR41" s="9"/>
      <c r="TDS41" s="9"/>
      <c r="TDT41" s="9"/>
      <c r="TDU41" s="9"/>
      <c r="TDV41" s="9"/>
      <c r="TDW41" s="9"/>
      <c r="TDX41" s="9"/>
      <c r="TDY41" s="9"/>
      <c r="TDZ41" s="9"/>
      <c r="TEA41" s="9"/>
      <c r="TEB41" s="9"/>
      <c r="TEC41" s="9"/>
      <c r="TED41" s="9"/>
      <c r="TEE41" s="9"/>
      <c r="TEF41" s="9"/>
      <c r="TEG41" s="9"/>
      <c r="TEH41" s="9"/>
      <c r="TEI41" s="9"/>
      <c r="TEJ41" s="9"/>
      <c r="TEK41" s="9"/>
      <c r="TEL41" s="9"/>
      <c r="TEM41" s="9"/>
      <c r="TEN41" s="9"/>
      <c r="TEO41" s="9"/>
      <c r="TEP41" s="9"/>
      <c r="TEQ41" s="9"/>
      <c r="TER41" s="9"/>
      <c r="TES41" s="9"/>
      <c r="TET41" s="9"/>
      <c r="TEU41" s="9"/>
      <c r="TEV41" s="9"/>
      <c r="TEW41" s="9"/>
      <c r="TEX41" s="9"/>
      <c r="TEY41" s="9"/>
      <c r="TEZ41" s="9"/>
      <c r="TFA41" s="9"/>
      <c r="TFB41" s="9"/>
      <c r="TFC41" s="9"/>
      <c r="TFD41" s="9"/>
      <c r="TFE41" s="9"/>
      <c r="TFF41" s="9"/>
      <c r="TFG41" s="9"/>
      <c r="TFH41" s="9"/>
      <c r="TFI41" s="9"/>
      <c r="TFJ41" s="9"/>
      <c r="TFK41" s="9"/>
      <c r="TFL41" s="9"/>
      <c r="TFM41" s="9"/>
      <c r="TFN41" s="9"/>
      <c r="TFO41" s="9"/>
      <c r="TFP41" s="9"/>
      <c r="TFQ41" s="9"/>
      <c r="TFR41" s="9"/>
      <c r="TFS41" s="9"/>
      <c r="TFT41" s="9"/>
      <c r="TFU41" s="9"/>
      <c r="TFV41" s="9"/>
      <c r="TFW41" s="9"/>
      <c r="TFX41" s="9"/>
      <c r="TFY41" s="9"/>
      <c r="TFZ41" s="9"/>
      <c r="TGA41" s="9"/>
      <c r="TGB41" s="9"/>
      <c r="TGC41" s="9"/>
      <c r="TGD41" s="9"/>
      <c r="TGE41" s="9"/>
      <c r="TGF41" s="9"/>
      <c r="TGG41" s="9"/>
      <c r="TGH41" s="9"/>
      <c r="TGI41" s="9"/>
      <c r="TGJ41" s="9"/>
      <c r="TGK41" s="9"/>
      <c r="TGL41" s="9"/>
      <c r="TGM41" s="9"/>
      <c r="TGN41" s="9"/>
      <c r="TGO41" s="9"/>
      <c r="TGP41" s="9"/>
      <c r="TGQ41" s="9"/>
      <c r="TGR41" s="9"/>
      <c r="TGS41" s="9"/>
      <c r="TGT41" s="9"/>
      <c r="TGU41" s="9"/>
      <c r="TGV41" s="9"/>
      <c r="TGW41" s="9"/>
      <c r="TGX41" s="9"/>
      <c r="TGY41" s="9"/>
      <c r="TGZ41" s="9"/>
      <c r="THA41" s="9"/>
      <c r="THB41" s="9"/>
      <c r="THC41" s="9"/>
      <c r="THD41" s="9"/>
      <c r="THE41" s="9"/>
      <c r="THF41" s="9"/>
      <c r="THG41" s="9"/>
      <c r="THH41" s="9"/>
      <c r="THI41" s="9"/>
      <c r="THJ41" s="9"/>
      <c r="THK41" s="9"/>
      <c r="THL41" s="9"/>
      <c r="THM41" s="9"/>
      <c r="THN41" s="9"/>
      <c r="THO41" s="9"/>
      <c r="THP41" s="9"/>
      <c r="THQ41" s="9"/>
      <c r="THR41" s="9"/>
      <c r="THS41" s="9"/>
      <c r="THT41" s="9"/>
      <c r="THU41" s="9"/>
      <c r="THV41" s="9"/>
      <c r="THW41" s="9"/>
      <c r="THX41" s="9"/>
      <c r="THY41" s="9"/>
      <c r="THZ41" s="9"/>
      <c r="TIA41" s="9"/>
      <c r="TIB41" s="9"/>
      <c r="TIC41" s="9"/>
      <c r="TID41" s="9"/>
      <c r="TIE41" s="9"/>
      <c r="TIF41" s="9"/>
      <c r="TIG41" s="9"/>
      <c r="TIH41" s="9"/>
      <c r="TII41" s="9"/>
      <c r="TIJ41" s="9"/>
      <c r="TIK41" s="9"/>
      <c r="TIL41" s="9"/>
      <c r="TIM41" s="9"/>
      <c r="TIN41" s="9"/>
      <c r="TIO41" s="9"/>
      <c r="TIP41" s="9"/>
      <c r="TIQ41" s="9"/>
      <c r="TIR41" s="9"/>
      <c r="TIS41" s="9"/>
      <c r="TIT41" s="9"/>
      <c r="TIU41" s="9"/>
      <c r="TIV41" s="9"/>
      <c r="TIW41" s="9"/>
      <c r="TIX41" s="9"/>
      <c r="TIY41" s="9"/>
      <c r="TIZ41" s="9"/>
      <c r="TJA41" s="9"/>
      <c r="TJB41" s="9"/>
      <c r="TJC41" s="9"/>
      <c r="TJD41" s="9"/>
      <c r="TJE41" s="9"/>
      <c r="TJF41" s="9"/>
      <c r="TJG41" s="9"/>
      <c r="TJH41" s="9"/>
      <c r="TJI41" s="9"/>
      <c r="TJJ41" s="9"/>
      <c r="TJK41" s="9"/>
      <c r="TJL41" s="9"/>
      <c r="TJM41" s="9"/>
      <c r="TJN41" s="9"/>
      <c r="TJO41" s="9"/>
      <c r="TJP41" s="9"/>
      <c r="TJQ41" s="9"/>
      <c r="TJR41" s="9"/>
      <c r="TJS41" s="9"/>
      <c r="TJT41" s="9"/>
      <c r="TJU41" s="9"/>
      <c r="TJV41" s="9"/>
      <c r="TJW41" s="9"/>
      <c r="TJX41" s="9"/>
      <c r="TJY41" s="9"/>
      <c r="TJZ41" s="9"/>
      <c r="TKA41" s="9"/>
      <c r="TKB41" s="9"/>
      <c r="TKC41" s="9"/>
      <c r="TKD41" s="9"/>
      <c r="TKE41" s="9"/>
      <c r="TKF41" s="9"/>
      <c r="TKG41" s="9"/>
      <c r="TKH41" s="9"/>
      <c r="TKI41" s="9"/>
      <c r="TKJ41" s="9"/>
      <c r="TKK41" s="9"/>
      <c r="TKL41" s="9"/>
      <c r="TKM41" s="9"/>
      <c r="TKN41" s="9"/>
      <c r="TKO41" s="9"/>
      <c r="TKP41" s="9"/>
      <c r="TKQ41" s="9"/>
      <c r="TKR41" s="9"/>
      <c r="TKS41" s="9"/>
      <c r="TKT41" s="9"/>
      <c r="TKU41" s="9"/>
      <c r="TKV41" s="9"/>
      <c r="TKW41" s="9"/>
      <c r="TKX41" s="9"/>
      <c r="TKY41" s="9"/>
      <c r="TKZ41" s="9"/>
      <c r="TLA41" s="9"/>
      <c r="TLB41" s="9"/>
      <c r="TLC41" s="9"/>
      <c r="TLD41" s="9"/>
      <c r="TLE41" s="9"/>
      <c r="TLF41" s="9"/>
      <c r="TLG41" s="9"/>
      <c r="TLH41" s="9"/>
      <c r="TLI41" s="9"/>
      <c r="TLJ41" s="9"/>
      <c r="TLK41" s="9"/>
      <c r="TLL41" s="9"/>
      <c r="TLM41" s="9"/>
      <c r="TLN41" s="9"/>
      <c r="TLO41" s="9"/>
      <c r="TLP41" s="9"/>
      <c r="TLQ41" s="9"/>
      <c r="TLR41" s="9"/>
      <c r="TLS41" s="9"/>
      <c r="TLT41" s="9"/>
      <c r="TLU41" s="9"/>
      <c r="TLV41" s="9"/>
      <c r="TLW41" s="9"/>
      <c r="TLX41" s="9"/>
      <c r="TLY41" s="9"/>
      <c r="TLZ41" s="9"/>
      <c r="TMA41" s="9"/>
      <c r="TMB41" s="9"/>
      <c r="TMC41" s="9"/>
      <c r="TMD41" s="9"/>
      <c r="TME41" s="9"/>
      <c r="TMF41" s="9"/>
      <c r="TMG41" s="9"/>
      <c r="TMH41" s="9"/>
      <c r="TMI41" s="9"/>
      <c r="TMJ41" s="9"/>
      <c r="TMK41" s="9"/>
      <c r="TML41" s="9"/>
      <c r="TMM41" s="9"/>
      <c r="TMN41" s="9"/>
      <c r="TMO41" s="9"/>
      <c r="TMP41" s="9"/>
      <c r="TMQ41" s="9"/>
      <c r="TMR41" s="9"/>
      <c r="TMS41" s="9"/>
      <c r="TMT41" s="9"/>
      <c r="TMU41" s="9"/>
      <c r="TMV41" s="9"/>
      <c r="TMW41" s="9"/>
      <c r="TMX41" s="9"/>
      <c r="TMY41" s="9"/>
      <c r="TMZ41" s="9"/>
      <c r="TNA41" s="9"/>
      <c r="TNB41" s="9"/>
      <c r="TNC41" s="9"/>
      <c r="TND41" s="9"/>
      <c r="TNE41" s="9"/>
      <c r="TNF41" s="9"/>
      <c r="TNG41" s="9"/>
      <c r="TNH41" s="9"/>
      <c r="TNI41" s="9"/>
      <c r="TNJ41" s="9"/>
      <c r="TNK41" s="9"/>
      <c r="TNL41" s="9"/>
      <c r="TNM41" s="9"/>
      <c r="TNN41" s="9"/>
      <c r="TNO41" s="9"/>
      <c r="TNP41" s="9"/>
      <c r="TNQ41" s="9"/>
      <c r="TNR41" s="9"/>
      <c r="TNS41" s="9"/>
      <c r="TNT41" s="9"/>
      <c r="TNU41" s="9"/>
      <c r="TNV41" s="9"/>
      <c r="TNW41" s="9"/>
      <c r="TNX41" s="9"/>
      <c r="TNY41" s="9"/>
      <c r="TNZ41" s="9"/>
      <c r="TOA41" s="9"/>
      <c r="TOB41" s="9"/>
      <c r="TOC41" s="9"/>
      <c r="TOD41" s="9"/>
      <c r="TOE41" s="9"/>
      <c r="TOF41" s="9"/>
      <c r="TOG41" s="9"/>
      <c r="TOH41" s="9"/>
      <c r="TOI41" s="9"/>
      <c r="TOJ41" s="9"/>
      <c r="TOK41" s="9"/>
      <c r="TOL41" s="9"/>
      <c r="TOM41" s="9"/>
      <c r="TON41" s="9"/>
      <c r="TOO41" s="9"/>
      <c r="TOP41" s="9"/>
      <c r="TOQ41" s="9"/>
      <c r="TOR41" s="9"/>
      <c r="TOS41" s="9"/>
      <c r="TOT41" s="9"/>
      <c r="TOU41" s="9"/>
      <c r="TOV41" s="9"/>
      <c r="TOW41" s="9"/>
      <c r="TOX41" s="9"/>
      <c r="TOY41" s="9"/>
      <c r="TOZ41" s="9"/>
      <c r="TPA41" s="9"/>
      <c r="TPB41" s="9"/>
      <c r="TPC41" s="9"/>
      <c r="TPD41" s="9"/>
      <c r="TPE41" s="9"/>
      <c r="TPF41" s="9"/>
      <c r="TPG41" s="9"/>
      <c r="TPH41" s="9"/>
      <c r="TPI41" s="9"/>
      <c r="TPJ41" s="9"/>
      <c r="TPK41" s="9"/>
      <c r="TPL41" s="9"/>
      <c r="TPM41" s="9"/>
      <c r="TPN41" s="9"/>
      <c r="TPO41" s="9"/>
      <c r="TPP41" s="9"/>
      <c r="TPQ41" s="9"/>
      <c r="TPR41" s="9"/>
      <c r="TPS41" s="9"/>
      <c r="TPT41" s="9"/>
      <c r="TPU41" s="9"/>
      <c r="TPV41" s="9"/>
      <c r="TPW41" s="9"/>
      <c r="TPX41" s="9"/>
      <c r="TPY41" s="9"/>
      <c r="TPZ41" s="9"/>
      <c r="TQA41" s="9"/>
      <c r="TQB41" s="9"/>
      <c r="TQC41" s="9"/>
      <c r="TQD41" s="9"/>
      <c r="TQE41" s="9"/>
      <c r="TQF41" s="9"/>
      <c r="TQG41" s="9"/>
      <c r="TQH41" s="9"/>
      <c r="TQI41" s="9"/>
      <c r="TQJ41" s="9"/>
      <c r="TQK41" s="9"/>
      <c r="TQL41" s="9"/>
      <c r="TQM41" s="9"/>
      <c r="TQN41" s="9"/>
      <c r="TQO41" s="9"/>
      <c r="TQP41" s="9"/>
      <c r="TQQ41" s="9"/>
      <c r="TQR41" s="9"/>
      <c r="TQS41" s="9"/>
      <c r="TQT41" s="9"/>
      <c r="TQU41" s="9"/>
      <c r="TQV41" s="9"/>
      <c r="TQW41" s="9"/>
      <c r="TQX41" s="9"/>
      <c r="TQY41" s="9"/>
      <c r="TQZ41" s="9"/>
      <c r="TRA41" s="9"/>
      <c r="TRB41" s="9"/>
      <c r="TRC41" s="9"/>
      <c r="TRD41" s="9"/>
      <c r="TRE41" s="9"/>
      <c r="TRF41" s="9"/>
      <c r="TRG41" s="9"/>
      <c r="TRH41" s="9"/>
      <c r="TRI41" s="9"/>
      <c r="TRJ41" s="9"/>
      <c r="TRK41" s="9"/>
      <c r="TRL41" s="9"/>
      <c r="TRM41" s="9"/>
      <c r="TRN41" s="9"/>
      <c r="TRO41" s="9"/>
      <c r="TRP41" s="9"/>
      <c r="TRQ41" s="9"/>
      <c r="TRR41" s="9"/>
      <c r="TRS41" s="9"/>
      <c r="TRT41" s="9"/>
      <c r="TRU41" s="9"/>
      <c r="TRV41" s="9"/>
      <c r="TRW41" s="9"/>
      <c r="TRX41" s="9"/>
      <c r="TRY41" s="9"/>
      <c r="TRZ41" s="9"/>
      <c r="TSA41" s="9"/>
      <c r="TSB41" s="9"/>
      <c r="TSC41" s="9"/>
      <c r="TSD41" s="9"/>
      <c r="TSE41" s="9"/>
      <c r="TSF41" s="9"/>
      <c r="TSG41" s="9"/>
      <c r="TSH41" s="9"/>
      <c r="TSI41" s="9"/>
      <c r="TSJ41" s="9"/>
      <c r="TSK41" s="9"/>
      <c r="TSL41" s="9"/>
      <c r="TSM41" s="9"/>
      <c r="TSN41" s="9"/>
      <c r="TSO41" s="9"/>
      <c r="TSP41" s="9"/>
      <c r="TSQ41" s="9"/>
      <c r="TSR41" s="9"/>
      <c r="TSS41" s="9"/>
      <c r="TST41" s="9"/>
      <c r="TSU41" s="9"/>
      <c r="TSV41" s="9"/>
      <c r="TSW41" s="9"/>
      <c r="TSX41" s="9"/>
      <c r="TSY41" s="9"/>
      <c r="TSZ41" s="9"/>
      <c r="TTA41" s="9"/>
      <c r="TTB41" s="9"/>
      <c r="TTC41" s="9"/>
      <c r="TTD41" s="9"/>
      <c r="TTE41" s="9"/>
      <c r="TTF41" s="9"/>
      <c r="TTG41" s="9"/>
      <c r="TTH41" s="9"/>
      <c r="TTI41" s="9"/>
      <c r="TTJ41" s="9"/>
      <c r="TTK41" s="9"/>
      <c r="TTL41" s="9"/>
      <c r="TTM41" s="9"/>
      <c r="TTN41" s="9"/>
      <c r="TTO41" s="9"/>
      <c r="TTP41" s="9"/>
      <c r="TTQ41" s="9"/>
      <c r="TTR41" s="9"/>
      <c r="TTS41" s="9"/>
      <c r="TTT41" s="9"/>
      <c r="TTU41" s="9"/>
      <c r="TTV41" s="9"/>
      <c r="TTW41" s="9"/>
      <c r="TTX41" s="9"/>
      <c r="TTY41" s="9"/>
      <c r="TTZ41" s="9"/>
      <c r="TUA41" s="9"/>
      <c r="TUB41" s="9"/>
      <c r="TUC41" s="9"/>
      <c r="TUD41" s="9"/>
      <c r="TUE41" s="9"/>
      <c r="TUF41" s="9"/>
      <c r="TUG41" s="9"/>
      <c r="TUH41" s="9"/>
      <c r="TUI41" s="9"/>
      <c r="TUJ41" s="9"/>
      <c r="TUK41" s="9"/>
      <c r="TUL41" s="9"/>
      <c r="TUM41" s="9"/>
      <c r="TUN41" s="9"/>
      <c r="TUO41" s="9"/>
      <c r="TUP41" s="9"/>
      <c r="TUQ41" s="9"/>
      <c r="TUR41" s="9"/>
      <c r="TUS41" s="9"/>
      <c r="TUT41" s="9"/>
      <c r="TUU41" s="9"/>
      <c r="TUV41" s="9"/>
      <c r="TUW41" s="9"/>
      <c r="TUX41" s="9"/>
      <c r="TUY41" s="9"/>
      <c r="TUZ41" s="9"/>
      <c r="TVA41" s="9"/>
      <c r="TVB41" s="9"/>
      <c r="TVC41" s="9"/>
      <c r="TVD41" s="9"/>
      <c r="TVE41" s="9"/>
      <c r="TVF41" s="9"/>
      <c r="TVG41" s="9"/>
      <c r="TVH41" s="9"/>
      <c r="TVI41" s="9"/>
      <c r="TVJ41" s="9"/>
      <c r="TVK41" s="9"/>
      <c r="TVL41" s="9"/>
      <c r="TVM41" s="9"/>
      <c r="TVN41" s="9"/>
      <c r="TVO41" s="9"/>
      <c r="TVP41" s="9"/>
      <c r="TVQ41" s="9"/>
      <c r="TVR41" s="9"/>
      <c r="TVS41" s="9"/>
      <c r="TVT41" s="9"/>
      <c r="TVU41" s="9"/>
      <c r="TVV41" s="9"/>
      <c r="TVW41" s="9"/>
      <c r="TVX41" s="9"/>
      <c r="TVY41" s="9"/>
      <c r="TVZ41" s="9"/>
      <c r="TWA41" s="9"/>
      <c r="TWB41" s="9"/>
      <c r="TWC41" s="9"/>
      <c r="TWD41" s="9"/>
      <c r="TWE41" s="9"/>
      <c r="TWF41" s="9"/>
      <c r="TWG41" s="9"/>
      <c r="TWH41" s="9"/>
      <c r="TWI41" s="9"/>
      <c r="TWJ41" s="9"/>
      <c r="TWK41" s="9"/>
      <c r="TWL41" s="9"/>
      <c r="TWM41" s="9"/>
      <c r="TWN41" s="9"/>
      <c r="TWO41" s="9"/>
      <c r="TWP41" s="9"/>
      <c r="TWQ41" s="9"/>
      <c r="TWR41" s="9"/>
      <c r="TWS41" s="9"/>
      <c r="TWT41" s="9"/>
      <c r="TWU41" s="9"/>
      <c r="TWV41" s="9"/>
      <c r="TWW41" s="9"/>
      <c r="TWX41" s="9"/>
      <c r="TWY41" s="9"/>
      <c r="TWZ41" s="9"/>
      <c r="TXA41" s="9"/>
      <c r="TXB41" s="9"/>
      <c r="TXC41" s="9"/>
      <c r="TXD41" s="9"/>
      <c r="TXE41" s="9"/>
      <c r="TXF41" s="9"/>
      <c r="TXG41" s="9"/>
      <c r="TXH41" s="9"/>
      <c r="TXI41" s="9"/>
      <c r="TXJ41" s="9"/>
      <c r="TXK41" s="9"/>
      <c r="TXL41" s="9"/>
      <c r="TXM41" s="9"/>
      <c r="TXN41" s="9"/>
      <c r="TXO41" s="9"/>
      <c r="TXP41" s="9"/>
      <c r="TXQ41" s="9"/>
      <c r="TXR41" s="9"/>
      <c r="TXS41" s="9"/>
      <c r="TXT41" s="9"/>
      <c r="TXU41" s="9"/>
      <c r="TXV41" s="9"/>
      <c r="TXW41" s="9"/>
      <c r="TXX41" s="9"/>
      <c r="TXY41" s="9"/>
      <c r="TXZ41" s="9"/>
      <c r="TYA41" s="9"/>
      <c r="TYB41" s="9"/>
      <c r="TYC41" s="9"/>
      <c r="TYD41" s="9"/>
      <c r="TYE41" s="9"/>
      <c r="TYF41" s="9"/>
      <c r="TYG41" s="9"/>
      <c r="TYH41" s="9"/>
      <c r="TYI41" s="9"/>
      <c r="TYJ41" s="9"/>
      <c r="TYK41" s="9"/>
      <c r="TYL41" s="9"/>
      <c r="TYM41" s="9"/>
      <c r="TYN41" s="9"/>
      <c r="TYO41" s="9"/>
      <c r="TYP41" s="9"/>
      <c r="TYQ41" s="9"/>
      <c r="TYR41" s="9"/>
      <c r="TYS41" s="9"/>
      <c r="TYT41" s="9"/>
      <c r="TYU41" s="9"/>
      <c r="TYV41" s="9"/>
      <c r="TYW41" s="9"/>
      <c r="TYX41" s="9"/>
      <c r="TYY41" s="9"/>
      <c r="TYZ41" s="9"/>
      <c r="TZA41" s="9"/>
      <c r="TZB41" s="9"/>
      <c r="TZC41" s="9"/>
      <c r="TZD41" s="9"/>
      <c r="TZE41" s="9"/>
      <c r="TZF41" s="9"/>
      <c r="TZG41" s="9"/>
      <c r="TZH41" s="9"/>
      <c r="TZI41" s="9"/>
      <c r="TZJ41" s="9"/>
      <c r="TZK41" s="9"/>
      <c r="TZL41" s="9"/>
      <c r="TZM41" s="9"/>
      <c r="TZN41" s="9"/>
      <c r="TZO41" s="9"/>
      <c r="TZP41" s="9"/>
      <c r="TZQ41" s="9"/>
      <c r="TZR41" s="9"/>
      <c r="TZS41" s="9"/>
      <c r="TZT41" s="9"/>
      <c r="TZU41" s="9"/>
      <c r="TZV41" s="9"/>
      <c r="TZW41" s="9"/>
      <c r="TZX41" s="9"/>
      <c r="TZY41" s="9"/>
      <c r="TZZ41" s="9"/>
      <c r="UAA41" s="9"/>
      <c r="UAB41" s="9"/>
      <c r="UAC41" s="9"/>
      <c r="UAD41" s="9"/>
      <c r="UAE41" s="9"/>
      <c r="UAF41" s="9"/>
      <c r="UAG41" s="9"/>
      <c r="UAH41" s="9"/>
      <c r="UAI41" s="9"/>
      <c r="UAJ41" s="9"/>
      <c r="UAK41" s="9"/>
      <c r="UAL41" s="9"/>
      <c r="UAM41" s="9"/>
      <c r="UAN41" s="9"/>
      <c r="UAO41" s="9"/>
      <c r="UAP41" s="9"/>
      <c r="UAQ41" s="9"/>
      <c r="UAR41" s="9"/>
      <c r="UAS41" s="9"/>
      <c r="UAT41" s="9"/>
      <c r="UAU41" s="9"/>
      <c r="UAV41" s="9"/>
      <c r="UAW41" s="9"/>
      <c r="UAX41" s="9"/>
      <c r="UAY41" s="9"/>
      <c r="UAZ41" s="9"/>
      <c r="UBA41" s="9"/>
      <c r="UBB41" s="9"/>
      <c r="UBC41" s="9"/>
      <c r="UBD41" s="9"/>
      <c r="UBE41" s="9"/>
      <c r="UBF41" s="9"/>
      <c r="UBG41" s="9"/>
      <c r="UBH41" s="9"/>
      <c r="UBI41" s="9"/>
      <c r="UBJ41" s="9"/>
      <c r="UBK41" s="9"/>
      <c r="UBL41" s="9"/>
      <c r="UBM41" s="9"/>
      <c r="UBN41" s="9"/>
      <c r="UBO41" s="9"/>
      <c r="UBP41" s="9"/>
      <c r="UBQ41" s="9"/>
      <c r="UBR41" s="9"/>
      <c r="UBS41" s="9"/>
      <c r="UBT41" s="9"/>
      <c r="UBU41" s="9"/>
      <c r="UBV41" s="9"/>
      <c r="UBW41" s="9"/>
      <c r="UBX41" s="9"/>
      <c r="UBY41" s="9"/>
      <c r="UBZ41" s="9"/>
      <c r="UCA41" s="9"/>
      <c r="UCB41" s="9"/>
      <c r="UCC41" s="9"/>
      <c r="UCD41" s="9"/>
      <c r="UCE41" s="9"/>
      <c r="UCF41" s="9"/>
      <c r="UCG41" s="9"/>
      <c r="UCH41" s="9"/>
      <c r="UCI41" s="9"/>
      <c r="UCJ41" s="9"/>
      <c r="UCK41" s="9"/>
      <c r="UCL41" s="9"/>
      <c r="UCM41" s="9"/>
      <c r="UCN41" s="9"/>
      <c r="UCO41" s="9"/>
      <c r="UCP41" s="9"/>
      <c r="UCQ41" s="9"/>
      <c r="UCR41" s="9"/>
      <c r="UCS41" s="9"/>
      <c r="UCT41" s="9"/>
      <c r="UCU41" s="9"/>
      <c r="UCV41" s="9"/>
      <c r="UCW41" s="9"/>
      <c r="UCX41" s="9"/>
      <c r="UCY41" s="9"/>
      <c r="UCZ41" s="9"/>
      <c r="UDA41" s="9"/>
      <c r="UDB41" s="9"/>
      <c r="UDC41" s="9"/>
      <c r="UDD41" s="9"/>
      <c r="UDE41" s="9"/>
      <c r="UDF41" s="9"/>
      <c r="UDG41" s="9"/>
      <c r="UDH41" s="9"/>
      <c r="UDI41" s="9"/>
      <c r="UDJ41" s="9"/>
      <c r="UDK41" s="9"/>
      <c r="UDL41" s="9"/>
      <c r="UDM41" s="9"/>
      <c r="UDN41" s="9"/>
      <c r="UDO41" s="9"/>
      <c r="UDP41" s="9"/>
      <c r="UDQ41" s="9"/>
      <c r="UDR41" s="9"/>
      <c r="UDS41" s="9"/>
      <c r="UDT41" s="9"/>
      <c r="UDU41" s="9"/>
      <c r="UDV41" s="9"/>
      <c r="UDW41" s="9"/>
      <c r="UDX41" s="9"/>
      <c r="UDY41" s="9"/>
      <c r="UDZ41" s="9"/>
      <c r="UEA41" s="9"/>
      <c r="UEB41" s="9"/>
      <c r="UEC41" s="9"/>
      <c r="UED41" s="9"/>
      <c r="UEE41" s="9"/>
      <c r="UEF41" s="9"/>
      <c r="UEG41" s="9"/>
      <c r="UEH41" s="9"/>
      <c r="UEI41" s="9"/>
      <c r="UEJ41" s="9"/>
      <c r="UEK41" s="9"/>
      <c r="UEL41" s="9"/>
      <c r="UEM41" s="9"/>
      <c r="UEN41" s="9"/>
      <c r="UEO41" s="9"/>
      <c r="UEP41" s="9"/>
      <c r="UEQ41" s="9"/>
      <c r="UER41" s="9"/>
      <c r="UES41" s="9"/>
      <c r="UET41" s="9"/>
      <c r="UEU41" s="9"/>
      <c r="UEV41" s="9"/>
      <c r="UEW41" s="9"/>
      <c r="UEX41" s="9"/>
      <c r="UEY41" s="9"/>
      <c r="UEZ41" s="9"/>
      <c r="UFA41" s="9"/>
      <c r="UFB41" s="9"/>
      <c r="UFC41" s="9"/>
      <c r="UFD41" s="9"/>
      <c r="UFE41" s="9"/>
      <c r="UFF41" s="9"/>
      <c r="UFG41" s="9"/>
      <c r="UFH41" s="9"/>
      <c r="UFI41" s="9"/>
      <c r="UFJ41" s="9"/>
      <c r="UFK41" s="9"/>
      <c r="UFL41" s="9"/>
      <c r="UFM41" s="9"/>
      <c r="UFN41" s="9"/>
      <c r="UFO41" s="9"/>
      <c r="UFP41" s="9"/>
      <c r="UFQ41" s="9"/>
      <c r="UFR41" s="9"/>
      <c r="UFS41" s="9"/>
      <c r="UFT41" s="9"/>
      <c r="UFU41" s="9"/>
      <c r="UFV41" s="9"/>
      <c r="UFW41" s="9"/>
      <c r="UFX41" s="9"/>
      <c r="UFY41" s="9"/>
      <c r="UFZ41" s="9"/>
      <c r="UGA41" s="9"/>
      <c r="UGB41" s="9"/>
      <c r="UGC41" s="9"/>
      <c r="UGD41" s="9"/>
      <c r="UGE41" s="9"/>
      <c r="UGF41" s="9"/>
      <c r="UGG41" s="9"/>
      <c r="UGH41" s="9"/>
      <c r="UGI41" s="9"/>
      <c r="UGJ41" s="9"/>
      <c r="UGK41" s="9"/>
      <c r="UGL41" s="9"/>
      <c r="UGM41" s="9"/>
      <c r="UGN41" s="9"/>
      <c r="UGO41" s="9"/>
      <c r="UGP41" s="9"/>
      <c r="UGQ41" s="9"/>
      <c r="UGR41" s="9"/>
      <c r="UGS41" s="9"/>
      <c r="UGT41" s="9"/>
      <c r="UGU41" s="9"/>
      <c r="UGV41" s="9"/>
      <c r="UGW41" s="9"/>
      <c r="UGX41" s="9"/>
      <c r="UGY41" s="9"/>
      <c r="UGZ41" s="9"/>
      <c r="UHA41" s="9"/>
      <c r="UHB41" s="9"/>
      <c r="UHC41" s="9"/>
      <c r="UHD41" s="9"/>
      <c r="UHE41" s="9"/>
      <c r="UHF41" s="9"/>
      <c r="UHG41" s="9"/>
      <c r="UHH41" s="9"/>
      <c r="UHI41" s="9"/>
      <c r="UHJ41" s="9"/>
      <c r="UHK41" s="9"/>
      <c r="UHL41" s="9"/>
      <c r="UHM41" s="9"/>
      <c r="UHN41" s="9"/>
      <c r="UHO41" s="9"/>
      <c r="UHP41" s="9"/>
      <c r="UHQ41" s="9"/>
      <c r="UHR41" s="9"/>
      <c r="UHS41" s="9"/>
      <c r="UHT41" s="9"/>
      <c r="UHU41" s="9"/>
      <c r="UHV41" s="9"/>
      <c r="UHW41" s="9"/>
      <c r="UHX41" s="9"/>
      <c r="UHY41" s="9"/>
      <c r="UHZ41" s="9"/>
      <c r="UIA41" s="9"/>
      <c r="UIB41" s="9"/>
      <c r="UIC41" s="9"/>
      <c r="UID41" s="9"/>
      <c r="UIE41" s="9"/>
      <c r="UIF41" s="9"/>
      <c r="UIG41" s="9"/>
      <c r="UIH41" s="9"/>
      <c r="UII41" s="9"/>
      <c r="UIJ41" s="9"/>
      <c r="UIK41" s="9"/>
      <c r="UIL41" s="9"/>
      <c r="UIM41" s="9"/>
      <c r="UIN41" s="9"/>
      <c r="UIO41" s="9"/>
      <c r="UIP41" s="9"/>
      <c r="UIQ41" s="9"/>
      <c r="UIR41" s="9"/>
      <c r="UIS41" s="9"/>
      <c r="UIT41" s="9"/>
      <c r="UIU41" s="9"/>
      <c r="UIV41" s="9"/>
      <c r="UIW41" s="9"/>
      <c r="UIX41" s="9"/>
      <c r="UIY41" s="9"/>
      <c r="UIZ41" s="9"/>
      <c r="UJA41" s="9"/>
      <c r="UJB41" s="9"/>
      <c r="UJC41" s="9"/>
      <c r="UJD41" s="9"/>
      <c r="UJE41" s="9"/>
      <c r="UJF41" s="9"/>
      <c r="UJG41" s="9"/>
      <c r="UJH41" s="9"/>
      <c r="UJI41" s="9"/>
      <c r="UJJ41" s="9"/>
      <c r="UJK41" s="9"/>
      <c r="UJL41" s="9"/>
      <c r="UJM41" s="9"/>
      <c r="UJN41" s="9"/>
      <c r="UJO41" s="9"/>
      <c r="UJP41" s="9"/>
      <c r="UJQ41" s="9"/>
      <c r="UJR41" s="9"/>
      <c r="UJS41" s="9"/>
      <c r="UJT41" s="9"/>
      <c r="UJU41" s="9"/>
      <c r="UJV41" s="9"/>
      <c r="UJW41" s="9"/>
      <c r="UJX41" s="9"/>
      <c r="UJY41" s="9"/>
      <c r="UJZ41" s="9"/>
      <c r="UKA41" s="9"/>
      <c r="UKB41" s="9"/>
      <c r="UKC41" s="9"/>
      <c r="UKD41" s="9"/>
      <c r="UKE41" s="9"/>
      <c r="UKF41" s="9"/>
      <c r="UKG41" s="9"/>
      <c r="UKH41" s="9"/>
      <c r="UKI41" s="9"/>
      <c r="UKJ41" s="9"/>
      <c r="UKK41" s="9"/>
      <c r="UKL41" s="9"/>
      <c r="UKM41" s="9"/>
      <c r="UKN41" s="9"/>
      <c r="UKO41" s="9"/>
      <c r="UKP41" s="9"/>
      <c r="UKQ41" s="9"/>
      <c r="UKR41" s="9"/>
      <c r="UKS41" s="9"/>
      <c r="UKT41" s="9"/>
      <c r="UKU41" s="9"/>
      <c r="UKV41" s="9"/>
      <c r="UKW41" s="9"/>
      <c r="UKX41" s="9"/>
      <c r="UKY41" s="9"/>
      <c r="UKZ41" s="9"/>
      <c r="ULA41" s="9"/>
      <c r="ULB41" s="9"/>
      <c r="ULC41" s="9"/>
      <c r="ULD41" s="9"/>
      <c r="ULE41" s="9"/>
      <c r="ULF41" s="9"/>
      <c r="ULG41" s="9"/>
      <c r="ULH41" s="9"/>
      <c r="ULI41" s="9"/>
      <c r="ULJ41" s="9"/>
      <c r="ULK41" s="9"/>
      <c r="ULL41" s="9"/>
      <c r="ULM41" s="9"/>
      <c r="ULN41" s="9"/>
      <c r="ULO41" s="9"/>
      <c r="ULP41" s="9"/>
      <c r="ULQ41" s="9"/>
      <c r="ULR41" s="9"/>
      <c r="ULS41" s="9"/>
      <c r="ULT41" s="9"/>
      <c r="ULU41" s="9"/>
      <c r="ULV41" s="9"/>
      <c r="ULW41" s="9"/>
      <c r="ULX41" s="9"/>
      <c r="ULY41" s="9"/>
      <c r="ULZ41" s="9"/>
      <c r="UMA41" s="9"/>
      <c r="UMB41" s="9"/>
      <c r="UMC41" s="9"/>
      <c r="UMD41" s="9"/>
      <c r="UME41" s="9"/>
      <c r="UMF41" s="9"/>
      <c r="UMG41" s="9"/>
      <c r="UMH41" s="9"/>
      <c r="UMI41" s="9"/>
      <c r="UMJ41" s="9"/>
      <c r="UMK41" s="9"/>
      <c r="UML41" s="9"/>
      <c r="UMM41" s="9"/>
      <c r="UMN41" s="9"/>
      <c r="UMO41" s="9"/>
      <c r="UMP41" s="9"/>
      <c r="UMQ41" s="9"/>
      <c r="UMR41" s="9"/>
      <c r="UMS41" s="9"/>
      <c r="UMT41" s="9"/>
      <c r="UMU41" s="9"/>
      <c r="UMV41" s="9"/>
      <c r="UMW41" s="9"/>
      <c r="UMX41" s="9"/>
      <c r="UMY41" s="9"/>
      <c r="UMZ41" s="9"/>
      <c r="UNA41" s="9"/>
      <c r="UNB41" s="9"/>
      <c r="UNC41" s="9"/>
      <c r="UND41" s="9"/>
      <c r="UNE41" s="9"/>
      <c r="UNF41" s="9"/>
      <c r="UNG41" s="9"/>
      <c r="UNH41" s="9"/>
      <c r="UNI41" s="9"/>
      <c r="UNJ41" s="9"/>
      <c r="UNK41" s="9"/>
      <c r="UNL41" s="9"/>
      <c r="UNM41" s="9"/>
      <c r="UNN41" s="9"/>
      <c r="UNO41" s="9"/>
      <c r="UNP41" s="9"/>
      <c r="UNQ41" s="9"/>
      <c r="UNR41" s="9"/>
      <c r="UNS41" s="9"/>
      <c r="UNT41" s="9"/>
      <c r="UNU41" s="9"/>
      <c r="UNV41" s="9"/>
      <c r="UNW41" s="9"/>
      <c r="UNX41" s="9"/>
      <c r="UNY41" s="9"/>
      <c r="UNZ41" s="9"/>
      <c r="UOA41" s="9"/>
      <c r="UOB41" s="9"/>
      <c r="UOC41" s="9"/>
      <c r="UOD41" s="9"/>
      <c r="UOE41" s="9"/>
      <c r="UOF41" s="9"/>
      <c r="UOG41" s="9"/>
      <c r="UOH41" s="9"/>
      <c r="UOI41" s="9"/>
      <c r="UOJ41" s="9"/>
      <c r="UOK41" s="9"/>
      <c r="UOL41" s="9"/>
      <c r="UOM41" s="9"/>
      <c r="UON41" s="9"/>
      <c r="UOO41" s="9"/>
      <c r="UOP41" s="9"/>
      <c r="UOQ41" s="9"/>
      <c r="UOR41" s="9"/>
      <c r="UOS41" s="9"/>
      <c r="UOT41" s="9"/>
      <c r="UOU41" s="9"/>
      <c r="UOV41" s="9"/>
      <c r="UOW41" s="9"/>
      <c r="UOX41" s="9"/>
      <c r="UOY41" s="9"/>
      <c r="UOZ41" s="9"/>
      <c r="UPA41" s="9"/>
      <c r="UPB41" s="9"/>
      <c r="UPC41" s="9"/>
      <c r="UPD41" s="9"/>
      <c r="UPE41" s="9"/>
      <c r="UPF41" s="9"/>
      <c r="UPG41" s="9"/>
      <c r="UPH41" s="9"/>
      <c r="UPI41" s="9"/>
      <c r="UPJ41" s="9"/>
      <c r="UPK41" s="9"/>
      <c r="UPL41" s="9"/>
      <c r="UPM41" s="9"/>
      <c r="UPN41" s="9"/>
      <c r="UPO41" s="9"/>
      <c r="UPP41" s="9"/>
      <c r="UPQ41" s="9"/>
      <c r="UPR41" s="9"/>
      <c r="UPS41" s="9"/>
      <c r="UPT41" s="9"/>
      <c r="UPU41" s="9"/>
      <c r="UPV41" s="9"/>
      <c r="UPW41" s="9"/>
      <c r="UPX41" s="9"/>
      <c r="UPY41" s="9"/>
      <c r="UPZ41" s="9"/>
      <c r="UQA41" s="9"/>
      <c r="UQB41" s="9"/>
      <c r="UQC41" s="9"/>
      <c r="UQD41" s="9"/>
      <c r="UQE41" s="9"/>
      <c r="UQF41" s="9"/>
      <c r="UQG41" s="9"/>
      <c r="UQH41" s="9"/>
      <c r="UQI41" s="9"/>
      <c r="UQJ41" s="9"/>
      <c r="UQK41" s="9"/>
      <c r="UQL41" s="9"/>
      <c r="UQM41" s="9"/>
      <c r="UQN41" s="9"/>
      <c r="UQO41" s="9"/>
      <c r="UQP41" s="9"/>
      <c r="UQQ41" s="9"/>
      <c r="UQR41" s="9"/>
      <c r="UQS41" s="9"/>
      <c r="UQT41" s="9"/>
      <c r="UQU41" s="9"/>
      <c r="UQV41" s="9"/>
      <c r="UQW41" s="9"/>
      <c r="UQX41" s="9"/>
      <c r="UQY41" s="9"/>
      <c r="UQZ41" s="9"/>
      <c r="URA41" s="9"/>
      <c r="URB41" s="9"/>
      <c r="URC41" s="9"/>
      <c r="URD41" s="9"/>
      <c r="URE41" s="9"/>
      <c r="URF41" s="9"/>
      <c r="URG41" s="9"/>
      <c r="URH41" s="9"/>
      <c r="URI41" s="9"/>
      <c r="URJ41" s="9"/>
      <c r="URK41" s="9"/>
      <c r="URL41" s="9"/>
      <c r="URM41" s="9"/>
      <c r="URN41" s="9"/>
      <c r="URO41" s="9"/>
      <c r="URP41" s="9"/>
      <c r="URQ41" s="9"/>
      <c r="URR41" s="9"/>
      <c r="URS41" s="9"/>
      <c r="URT41" s="9"/>
      <c r="URU41" s="9"/>
      <c r="URV41" s="9"/>
      <c r="URW41" s="9"/>
      <c r="URX41" s="9"/>
      <c r="URY41" s="9"/>
      <c r="URZ41" s="9"/>
      <c r="USA41" s="9"/>
      <c r="USB41" s="9"/>
      <c r="USC41" s="9"/>
      <c r="USD41" s="9"/>
      <c r="USE41" s="9"/>
      <c r="USF41" s="9"/>
      <c r="USG41" s="9"/>
      <c r="USH41" s="9"/>
      <c r="USI41" s="9"/>
      <c r="USJ41" s="9"/>
      <c r="USK41" s="9"/>
      <c r="USL41" s="9"/>
      <c r="USM41" s="9"/>
      <c r="USN41" s="9"/>
      <c r="USO41" s="9"/>
      <c r="USP41" s="9"/>
      <c r="USQ41" s="9"/>
      <c r="USR41" s="9"/>
      <c r="USS41" s="9"/>
      <c r="UST41" s="9"/>
      <c r="USU41" s="9"/>
      <c r="USV41" s="9"/>
      <c r="USW41" s="9"/>
      <c r="USX41" s="9"/>
      <c r="USY41" s="9"/>
      <c r="USZ41" s="9"/>
      <c r="UTA41" s="9"/>
      <c r="UTB41" s="9"/>
      <c r="UTC41" s="9"/>
      <c r="UTD41" s="9"/>
      <c r="UTE41" s="9"/>
      <c r="UTF41" s="9"/>
      <c r="UTG41" s="9"/>
      <c r="UTH41" s="9"/>
      <c r="UTI41" s="9"/>
      <c r="UTJ41" s="9"/>
      <c r="UTK41" s="9"/>
      <c r="UTL41" s="9"/>
      <c r="UTM41" s="9"/>
      <c r="UTN41" s="9"/>
      <c r="UTO41" s="9"/>
      <c r="UTP41" s="9"/>
      <c r="UTQ41" s="9"/>
      <c r="UTR41" s="9"/>
      <c r="UTS41" s="9"/>
      <c r="UTT41" s="9"/>
      <c r="UTU41" s="9"/>
      <c r="UTV41" s="9"/>
      <c r="UTW41" s="9"/>
      <c r="UTX41" s="9"/>
      <c r="UTY41" s="9"/>
      <c r="UTZ41" s="9"/>
      <c r="UUA41" s="9"/>
      <c r="UUB41" s="9"/>
      <c r="UUC41" s="9"/>
      <c r="UUD41" s="9"/>
      <c r="UUE41" s="9"/>
      <c r="UUF41" s="9"/>
      <c r="UUG41" s="9"/>
      <c r="UUH41" s="9"/>
      <c r="UUI41" s="9"/>
      <c r="UUJ41" s="9"/>
      <c r="UUK41" s="9"/>
      <c r="UUL41" s="9"/>
      <c r="UUM41" s="9"/>
      <c r="UUN41" s="9"/>
      <c r="UUO41" s="9"/>
      <c r="UUP41" s="9"/>
      <c r="UUQ41" s="9"/>
      <c r="UUR41" s="9"/>
      <c r="UUS41" s="9"/>
      <c r="UUT41" s="9"/>
      <c r="UUU41" s="9"/>
      <c r="UUV41" s="9"/>
      <c r="UUW41" s="9"/>
      <c r="UUX41" s="9"/>
      <c r="UUY41" s="9"/>
      <c r="UUZ41" s="9"/>
      <c r="UVA41" s="9"/>
      <c r="UVB41" s="9"/>
      <c r="UVC41" s="9"/>
      <c r="UVD41" s="9"/>
      <c r="UVE41" s="9"/>
      <c r="UVF41" s="9"/>
      <c r="UVG41" s="9"/>
      <c r="UVH41" s="9"/>
      <c r="UVI41" s="9"/>
      <c r="UVJ41" s="9"/>
      <c r="UVK41" s="9"/>
      <c r="UVL41" s="9"/>
      <c r="UVM41" s="9"/>
      <c r="UVN41" s="9"/>
      <c r="UVO41" s="9"/>
      <c r="UVP41" s="9"/>
      <c r="UVQ41" s="9"/>
      <c r="UVR41" s="9"/>
      <c r="UVS41" s="9"/>
      <c r="UVT41" s="9"/>
      <c r="UVU41" s="9"/>
      <c r="UVV41" s="9"/>
      <c r="UVW41" s="9"/>
      <c r="UVX41" s="9"/>
      <c r="UVY41" s="9"/>
      <c r="UVZ41" s="9"/>
      <c r="UWA41" s="9"/>
      <c r="UWB41" s="9"/>
      <c r="UWC41" s="9"/>
      <c r="UWD41" s="9"/>
      <c r="UWE41" s="9"/>
      <c r="UWF41" s="9"/>
      <c r="UWG41" s="9"/>
      <c r="UWH41" s="9"/>
      <c r="UWI41" s="9"/>
      <c r="UWJ41" s="9"/>
      <c r="UWK41" s="9"/>
      <c r="UWL41" s="9"/>
      <c r="UWM41" s="9"/>
      <c r="UWN41" s="9"/>
      <c r="UWO41" s="9"/>
      <c r="UWP41" s="9"/>
      <c r="UWQ41" s="9"/>
      <c r="UWR41" s="9"/>
      <c r="UWS41" s="9"/>
      <c r="UWT41" s="9"/>
      <c r="UWU41" s="9"/>
      <c r="UWV41" s="9"/>
      <c r="UWW41" s="9"/>
      <c r="UWX41" s="9"/>
      <c r="UWY41" s="9"/>
      <c r="UWZ41" s="9"/>
      <c r="UXA41" s="9"/>
      <c r="UXB41" s="9"/>
      <c r="UXC41" s="9"/>
      <c r="UXD41" s="9"/>
      <c r="UXE41" s="9"/>
      <c r="UXF41" s="9"/>
      <c r="UXG41" s="9"/>
      <c r="UXH41" s="9"/>
      <c r="UXI41" s="9"/>
      <c r="UXJ41" s="9"/>
      <c r="UXK41" s="9"/>
      <c r="UXL41" s="9"/>
      <c r="UXM41" s="9"/>
      <c r="UXN41" s="9"/>
      <c r="UXO41" s="9"/>
      <c r="UXP41" s="9"/>
      <c r="UXQ41" s="9"/>
      <c r="UXR41" s="9"/>
      <c r="UXS41" s="9"/>
      <c r="UXT41" s="9"/>
      <c r="UXU41" s="9"/>
      <c r="UXV41" s="9"/>
      <c r="UXW41" s="9"/>
      <c r="UXX41" s="9"/>
      <c r="UXY41" s="9"/>
      <c r="UXZ41" s="9"/>
      <c r="UYA41" s="9"/>
      <c r="UYB41" s="9"/>
      <c r="UYC41" s="9"/>
      <c r="UYD41" s="9"/>
      <c r="UYE41" s="9"/>
      <c r="UYF41" s="9"/>
      <c r="UYG41" s="9"/>
      <c r="UYH41" s="9"/>
      <c r="UYI41" s="9"/>
      <c r="UYJ41" s="9"/>
      <c r="UYK41" s="9"/>
      <c r="UYL41" s="9"/>
      <c r="UYM41" s="9"/>
      <c r="UYN41" s="9"/>
      <c r="UYO41" s="9"/>
      <c r="UYP41" s="9"/>
      <c r="UYQ41" s="9"/>
      <c r="UYR41" s="9"/>
      <c r="UYS41" s="9"/>
      <c r="UYT41" s="9"/>
      <c r="UYU41" s="9"/>
      <c r="UYV41" s="9"/>
      <c r="UYW41" s="9"/>
      <c r="UYX41" s="9"/>
      <c r="UYY41" s="9"/>
      <c r="UYZ41" s="9"/>
      <c r="UZA41" s="9"/>
      <c r="UZB41" s="9"/>
      <c r="UZC41" s="9"/>
      <c r="UZD41" s="9"/>
      <c r="UZE41" s="9"/>
      <c r="UZF41" s="9"/>
      <c r="UZG41" s="9"/>
      <c r="UZH41" s="9"/>
      <c r="UZI41" s="9"/>
      <c r="UZJ41" s="9"/>
      <c r="UZK41" s="9"/>
      <c r="UZL41" s="9"/>
      <c r="UZM41" s="9"/>
      <c r="UZN41" s="9"/>
      <c r="UZO41" s="9"/>
      <c r="UZP41" s="9"/>
      <c r="UZQ41" s="9"/>
      <c r="UZR41" s="9"/>
      <c r="UZS41" s="9"/>
      <c r="UZT41" s="9"/>
      <c r="UZU41" s="9"/>
      <c r="UZV41" s="9"/>
      <c r="UZW41" s="9"/>
      <c r="UZX41" s="9"/>
      <c r="UZY41" s="9"/>
      <c r="UZZ41" s="9"/>
      <c r="VAA41" s="9"/>
      <c r="VAB41" s="9"/>
      <c r="VAC41" s="9"/>
      <c r="VAD41" s="9"/>
      <c r="VAE41" s="9"/>
      <c r="VAF41" s="9"/>
      <c r="VAG41" s="9"/>
      <c r="VAH41" s="9"/>
      <c r="VAI41" s="9"/>
      <c r="VAJ41" s="9"/>
      <c r="VAK41" s="9"/>
      <c r="VAL41" s="9"/>
      <c r="VAM41" s="9"/>
      <c r="VAN41" s="9"/>
      <c r="VAO41" s="9"/>
      <c r="VAP41" s="9"/>
      <c r="VAQ41" s="9"/>
      <c r="VAR41" s="9"/>
      <c r="VAS41" s="9"/>
      <c r="VAT41" s="9"/>
      <c r="VAU41" s="9"/>
      <c r="VAV41" s="9"/>
      <c r="VAW41" s="9"/>
      <c r="VAX41" s="9"/>
      <c r="VAY41" s="9"/>
      <c r="VAZ41" s="9"/>
      <c r="VBA41" s="9"/>
      <c r="VBB41" s="9"/>
      <c r="VBC41" s="9"/>
      <c r="VBD41" s="9"/>
      <c r="VBE41" s="9"/>
      <c r="VBF41" s="9"/>
      <c r="VBG41" s="9"/>
      <c r="VBH41" s="9"/>
      <c r="VBI41" s="9"/>
      <c r="VBJ41" s="9"/>
      <c r="VBK41" s="9"/>
      <c r="VBL41" s="9"/>
      <c r="VBM41" s="9"/>
      <c r="VBN41" s="9"/>
      <c r="VBO41" s="9"/>
      <c r="VBP41" s="9"/>
      <c r="VBQ41" s="9"/>
      <c r="VBR41" s="9"/>
      <c r="VBS41" s="9"/>
      <c r="VBT41" s="9"/>
      <c r="VBU41" s="9"/>
      <c r="VBV41" s="9"/>
      <c r="VBW41" s="9"/>
      <c r="VBX41" s="9"/>
      <c r="VBY41" s="9"/>
      <c r="VBZ41" s="9"/>
      <c r="VCA41" s="9"/>
      <c r="VCB41" s="9"/>
      <c r="VCC41" s="9"/>
      <c r="VCD41" s="9"/>
      <c r="VCE41" s="9"/>
      <c r="VCF41" s="9"/>
      <c r="VCG41" s="9"/>
      <c r="VCH41" s="9"/>
      <c r="VCI41" s="9"/>
      <c r="VCJ41" s="9"/>
      <c r="VCK41" s="9"/>
      <c r="VCL41" s="9"/>
      <c r="VCM41" s="9"/>
      <c r="VCN41" s="9"/>
      <c r="VCO41" s="9"/>
      <c r="VCP41" s="9"/>
      <c r="VCQ41" s="9"/>
      <c r="VCR41" s="9"/>
      <c r="VCS41" s="9"/>
      <c r="VCT41" s="9"/>
      <c r="VCU41" s="9"/>
      <c r="VCV41" s="9"/>
      <c r="VCW41" s="9"/>
      <c r="VCX41" s="9"/>
      <c r="VCY41" s="9"/>
      <c r="VCZ41" s="9"/>
      <c r="VDA41" s="9"/>
      <c r="VDB41" s="9"/>
      <c r="VDC41" s="9"/>
      <c r="VDD41" s="9"/>
      <c r="VDE41" s="9"/>
      <c r="VDF41" s="9"/>
      <c r="VDG41" s="9"/>
      <c r="VDH41" s="9"/>
      <c r="VDI41" s="9"/>
      <c r="VDJ41" s="9"/>
      <c r="VDK41" s="9"/>
      <c r="VDL41" s="9"/>
      <c r="VDM41" s="9"/>
      <c r="VDN41" s="9"/>
      <c r="VDO41" s="9"/>
      <c r="VDP41" s="9"/>
      <c r="VDQ41" s="9"/>
      <c r="VDR41" s="9"/>
      <c r="VDS41" s="9"/>
      <c r="VDT41" s="9"/>
      <c r="VDU41" s="9"/>
      <c r="VDV41" s="9"/>
      <c r="VDW41" s="9"/>
      <c r="VDX41" s="9"/>
      <c r="VDY41" s="9"/>
      <c r="VDZ41" s="9"/>
      <c r="VEA41" s="9"/>
      <c r="VEB41" s="9"/>
      <c r="VEC41" s="9"/>
      <c r="VED41" s="9"/>
      <c r="VEE41" s="9"/>
      <c r="VEF41" s="9"/>
      <c r="VEG41" s="9"/>
      <c r="VEH41" s="9"/>
      <c r="VEI41" s="9"/>
      <c r="VEJ41" s="9"/>
      <c r="VEK41" s="9"/>
      <c r="VEL41" s="9"/>
      <c r="VEM41" s="9"/>
      <c r="VEN41" s="9"/>
      <c r="VEO41" s="9"/>
      <c r="VEP41" s="9"/>
      <c r="VEQ41" s="9"/>
      <c r="VER41" s="9"/>
      <c r="VES41" s="9"/>
      <c r="VET41" s="9"/>
      <c r="VEU41" s="9"/>
      <c r="VEV41" s="9"/>
      <c r="VEW41" s="9"/>
      <c r="VEX41" s="9"/>
      <c r="VEY41" s="9"/>
      <c r="VEZ41" s="9"/>
      <c r="VFA41" s="9"/>
      <c r="VFB41" s="9"/>
      <c r="VFC41" s="9"/>
      <c r="VFD41" s="9"/>
      <c r="VFE41" s="9"/>
      <c r="VFF41" s="9"/>
      <c r="VFG41" s="9"/>
      <c r="VFH41" s="9"/>
      <c r="VFI41" s="9"/>
      <c r="VFJ41" s="9"/>
      <c r="VFK41" s="9"/>
      <c r="VFL41" s="9"/>
      <c r="VFM41" s="9"/>
      <c r="VFN41" s="9"/>
      <c r="VFO41" s="9"/>
      <c r="VFP41" s="9"/>
      <c r="VFQ41" s="9"/>
      <c r="VFR41" s="9"/>
      <c r="VFS41" s="9"/>
      <c r="VFT41" s="9"/>
      <c r="VFU41" s="9"/>
      <c r="VFV41" s="9"/>
      <c r="VFW41" s="9"/>
      <c r="VFX41" s="9"/>
      <c r="VFY41" s="9"/>
      <c r="VFZ41" s="9"/>
      <c r="VGA41" s="9"/>
      <c r="VGB41" s="9"/>
      <c r="VGC41" s="9"/>
      <c r="VGD41" s="9"/>
      <c r="VGE41" s="9"/>
      <c r="VGF41" s="9"/>
      <c r="VGG41" s="9"/>
      <c r="VGH41" s="9"/>
      <c r="VGI41" s="9"/>
      <c r="VGJ41" s="9"/>
      <c r="VGK41" s="9"/>
      <c r="VGL41" s="9"/>
      <c r="VGM41" s="9"/>
      <c r="VGN41" s="9"/>
      <c r="VGO41" s="9"/>
      <c r="VGP41" s="9"/>
      <c r="VGQ41" s="9"/>
      <c r="VGR41" s="9"/>
      <c r="VGS41" s="9"/>
      <c r="VGT41" s="9"/>
      <c r="VGU41" s="9"/>
      <c r="VGV41" s="9"/>
      <c r="VGW41" s="9"/>
      <c r="VGX41" s="9"/>
      <c r="VGY41" s="9"/>
      <c r="VGZ41" s="9"/>
      <c r="VHA41" s="9"/>
      <c r="VHB41" s="9"/>
      <c r="VHC41" s="9"/>
      <c r="VHD41" s="9"/>
      <c r="VHE41" s="9"/>
      <c r="VHF41" s="9"/>
      <c r="VHG41" s="9"/>
      <c r="VHH41" s="9"/>
      <c r="VHI41" s="9"/>
      <c r="VHJ41" s="9"/>
      <c r="VHK41" s="9"/>
      <c r="VHL41" s="9"/>
      <c r="VHM41" s="9"/>
      <c r="VHN41" s="9"/>
      <c r="VHO41" s="9"/>
      <c r="VHP41" s="9"/>
      <c r="VHQ41" s="9"/>
      <c r="VHR41" s="9"/>
      <c r="VHS41" s="9"/>
      <c r="VHT41" s="9"/>
      <c r="VHU41" s="9"/>
      <c r="VHV41" s="9"/>
      <c r="VHW41" s="9"/>
      <c r="VHX41" s="9"/>
      <c r="VHY41" s="9"/>
      <c r="VHZ41" s="9"/>
      <c r="VIA41" s="9"/>
      <c r="VIB41" s="9"/>
      <c r="VIC41" s="9"/>
      <c r="VID41" s="9"/>
      <c r="VIE41" s="9"/>
      <c r="VIF41" s="9"/>
      <c r="VIG41" s="9"/>
      <c r="VIH41" s="9"/>
      <c r="VII41" s="9"/>
      <c r="VIJ41" s="9"/>
      <c r="VIK41" s="9"/>
      <c r="VIL41" s="9"/>
      <c r="VIM41" s="9"/>
      <c r="VIN41" s="9"/>
      <c r="VIO41" s="9"/>
      <c r="VIP41" s="9"/>
      <c r="VIQ41" s="9"/>
    </row>
    <row r="42" spans="1:15123" s="1" customFormat="1" ht="14.25">
      <c r="B42" s="75"/>
      <c r="C42" s="230" t="s">
        <v>42</v>
      </c>
      <c r="D42" s="79"/>
      <c r="E42" s="231" t="s">
        <v>10</v>
      </c>
      <c r="F42" s="69">
        <f t="shared" ref="F42:H42" si="21">SUM(F43:F45)</f>
        <v>0</v>
      </c>
      <c r="G42" s="69">
        <f t="shared" si="21"/>
        <v>0</v>
      </c>
      <c r="H42" s="69">
        <f t="shared" si="21"/>
        <v>0</v>
      </c>
      <c r="I42" s="69">
        <f t="shared" ref="I42:J42" si="22">SUM(I43:I45)</f>
        <v>0</v>
      </c>
      <c r="J42" s="69">
        <f t="shared" si="22"/>
        <v>0</v>
      </c>
      <c r="K42" s="69">
        <f>SUM(K44:K45)</f>
        <v>657639</v>
      </c>
      <c r="L42" s="69">
        <f>SUM(L44:L45)</f>
        <v>996561</v>
      </c>
      <c r="M42" s="69">
        <f t="shared" ref="M42:N42" si="23">SUM(M44:M45)</f>
        <v>372148</v>
      </c>
      <c r="N42" s="69">
        <f t="shared" si="23"/>
        <v>0</v>
      </c>
      <c r="O42" s="69">
        <f t="shared" ref="O42:S42" si="24">SUM(O44:O45)</f>
        <v>0</v>
      </c>
      <c r="P42" s="69">
        <f t="shared" si="24"/>
        <v>0</v>
      </c>
      <c r="Q42" s="69">
        <f t="shared" si="24"/>
        <v>0</v>
      </c>
      <c r="R42" s="69">
        <f t="shared" si="24"/>
        <v>883832</v>
      </c>
      <c r="S42" s="69">
        <f t="shared" si="24"/>
        <v>614035</v>
      </c>
      <c r="T42" s="69">
        <f t="shared" ref="T42:U42" si="25">SUM(T43:T44)</f>
        <v>0</v>
      </c>
      <c r="U42" s="69">
        <f t="shared" si="25"/>
        <v>0</v>
      </c>
      <c r="V42" s="69">
        <f t="shared" ref="V42:W42" si="26">SUM(V43:V44)</f>
        <v>0</v>
      </c>
      <c r="W42" s="69">
        <f t="shared" si="26"/>
        <v>0</v>
      </c>
      <c r="X42" s="69">
        <f t="shared" ref="X42:Z42" si="27">SUM(X43:X44)</f>
        <v>0</v>
      </c>
      <c r="Y42" s="69">
        <f t="shared" si="27"/>
        <v>0</v>
      </c>
      <c r="Z42" s="69">
        <f t="shared" si="27"/>
        <v>0</v>
      </c>
      <c r="AA42" s="69">
        <f t="shared" ref="AA42:AB42" si="28">SUM(AA43:AA44)</f>
        <v>0</v>
      </c>
      <c r="AB42" s="69">
        <f t="shared" si="28"/>
        <v>0</v>
      </c>
      <c r="AC42" s="69">
        <f t="shared" ref="AC42" si="29">SUM(AC43:AC44)</f>
        <v>0</v>
      </c>
      <c r="AD42" s="69">
        <f>SUM(AD43:AD45)</f>
        <v>837121</v>
      </c>
      <c r="AE42" s="69">
        <f t="shared" ref="AE42:AF42" si="30">SUM(AE43:AE45)</f>
        <v>870072</v>
      </c>
      <c r="AF42" s="69">
        <f t="shared" si="30"/>
        <v>459773</v>
      </c>
      <c r="AG42" s="69">
        <f t="shared" ref="AG42:AH42" si="31">SUM(AG43:AG44)</f>
        <v>0</v>
      </c>
      <c r="AH42" s="69">
        <f t="shared" si="31"/>
        <v>0</v>
      </c>
      <c r="AI42" s="69">
        <f t="shared" ref="AI42" si="32">SUM(AI43:AI44)</f>
        <v>0</v>
      </c>
      <c r="AJ42" s="126"/>
      <c r="AK42" s="125">
        <f>SUM(F42:AI42)</f>
        <v>5691181</v>
      </c>
      <c r="AM42" s="127"/>
      <c r="AN42" s="116">
        <f t="shared" si="20"/>
        <v>0</v>
      </c>
      <c r="AO42" s="116"/>
      <c r="BV42" s="270"/>
      <c r="BZ42" s="271"/>
      <c r="CA42" s="287"/>
    </row>
    <row r="43" spans="1:15123" s="1" customFormat="1" ht="14.25" hidden="1">
      <c r="B43" s="75"/>
      <c r="C43" s="230" t="s">
        <v>46</v>
      </c>
      <c r="D43" s="79"/>
      <c r="E43" s="231" t="s">
        <v>10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/>
      <c r="O43" s="69"/>
      <c r="P43" s="69"/>
      <c r="Q43" s="69"/>
      <c r="R43" s="69"/>
      <c r="S43" s="69"/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/>
      <c r="AF43" s="69"/>
      <c r="AG43" s="69">
        <v>0</v>
      </c>
      <c r="AH43" s="69">
        <v>0</v>
      </c>
      <c r="AI43" s="69">
        <v>0</v>
      </c>
      <c r="AJ43" s="126"/>
      <c r="AK43" s="125">
        <f>SUM(F43:AI43)</f>
        <v>0</v>
      </c>
      <c r="AM43" s="127"/>
      <c r="AN43" s="116">
        <f t="shared" si="20"/>
        <v>0</v>
      </c>
      <c r="AO43" s="116"/>
      <c r="BV43" s="270"/>
      <c r="BZ43" s="271"/>
      <c r="CA43" s="271"/>
    </row>
    <row r="44" spans="1:15123" s="1" customFormat="1">
      <c r="B44" s="75"/>
      <c r="C44" s="230" t="s">
        <v>47</v>
      </c>
      <c r="D44" s="79"/>
      <c r="E44" s="231" t="s">
        <v>10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f>296804+98000</f>
        <v>394804</v>
      </c>
      <c r="L44" s="69">
        <f>500364+98100</f>
        <v>598464</v>
      </c>
      <c r="M44" s="69">
        <f>79850+143698</f>
        <v>223548</v>
      </c>
      <c r="N44" s="69">
        <v>0</v>
      </c>
      <c r="O44" s="69">
        <v>0</v>
      </c>
      <c r="P44" s="69">
        <v>0</v>
      </c>
      <c r="Q44" s="69">
        <v>0</v>
      </c>
      <c r="R44" s="69">
        <f>381589+R66</f>
        <v>531167</v>
      </c>
      <c r="S44" s="69">
        <f>273935+S66</f>
        <v>368935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f>330771+AD66</f>
        <v>503184</v>
      </c>
      <c r="AE44" s="69">
        <f>489159+AE66</f>
        <v>522527</v>
      </c>
      <c r="AF44" s="69">
        <f>189317+AF66</f>
        <v>276073</v>
      </c>
      <c r="AG44" s="69">
        <v>0</v>
      </c>
      <c r="AH44" s="69">
        <v>0</v>
      </c>
      <c r="AI44" s="69">
        <v>0</v>
      </c>
      <c r="AJ44" s="126"/>
      <c r="AK44" s="125">
        <f>SUM(F44:AI44)</f>
        <v>3418702</v>
      </c>
      <c r="AM44" s="127"/>
      <c r="AN44" s="116">
        <f t="shared" si="20"/>
        <v>0</v>
      </c>
      <c r="AO44" s="116"/>
      <c r="BV44" s="270"/>
      <c r="BZ44" s="271"/>
      <c r="CA44" s="293"/>
    </row>
    <row r="45" spans="1:15123" s="1" customFormat="1" ht="14.25">
      <c r="B45" s="75"/>
      <c r="C45" s="230" t="s">
        <v>48</v>
      </c>
      <c r="D45" s="79"/>
      <c r="E45" s="231" t="s">
        <v>10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262835</v>
      </c>
      <c r="L45" s="69">
        <v>398097</v>
      </c>
      <c r="M45" s="69">
        <v>148600</v>
      </c>
      <c r="N45" s="69">
        <v>0</v>
      </c>
      <c r="O45" s="69">
        <v>0</v>
      </c>
      <c r="P45" s="69">
        <v>0</v>
      </c>
      <c r="Q45" s="69">
        <v>0</v>
      </c>
      <c r="R45" s="69">
        <v>352665</v>
      </c>
      <c r="S45" s="69">
        <v>245100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333937</v>
      </c>
      <c r="AE45" s="69">
        <v>347545</v>
      </c>
      <c r="AF45" s="69">
        <v>183700</v>
      </c>
      <c r="AG45" s="69">
        <v>0</v>
      </c>
      <c r="AH45" s="69">
        <v>0</v>
      </c>
      <c r="AI45" s="69">
        <v>0</v>
      </c>
      <c r="AJ45" s="126"/>
      <c r="AK45" s="125">
        <f>SUM(F45:AI45)</f>
        <v>2272479</v>
      </c>
      <c r="AM45" s="127"/>
      <c r="AN45" s="116">
        <f t="shared" si="20"/>
        <v>0</v>
      </c>
      <c r="AO45" s="116"/>
      <c r="BV45" s="270"/>
    </row>
    <row r="46" spans="1:15123">
      <c r="B46" s="61"/>
      <c r="C46" s="232" t="s">
        <v>49</v>
      </c>
      <c r="D46" s="89"/>
      <c r="E46" s="89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139"/>
      <c r="AK46" s="233" t="s">
        <v>50</v>
      </c>
    </row>
    <row r="47" spans="1:15123">
      <c r="B47" s="81"/>
      <c r="C47" s="234" t="s">
        <v>51</v>
      </c>
      <c r="D47" s="74">
        <v>94.2</v>
      </c>
      <c r="E47" s="235" t="s">
        <v>13</v>
      </c>
      <c r="F47" s="91">
        <f t="shared" ref="F47:AI47" si="33">(F29/(F23+F24))*100</f>
        <v>95.372755842205464</v>
      </c>
      <c r="G47" s="91">
        <f t="shared" si="33"/>
        <v>95.307303501265423</v>
      </c>
      <c r="H47" s="91">
        <f t="shared" si="33"/>
        <v>95.386382691846677</v>
      </c>
      <c r="I47" s="91">
        <f t="shared" si="33"/>
        <v>95.433168970801319</v>
      </c>
      <c r="J47" s="91">
        <f t="shared" si="33"/>
        <v>95.323693718751855</v>
      </c>
      <c r="K47" s="91">
        <f t="shared" si="33"/>
        <v>95.325415017017434</v>
      </c>
      <c r="L47" s="91">
        <f t="shared" si="33"/>
        <v>95.389816560183718</v>
      </c>
      <c r="M47" s="91">
        <f t="shared" si="33"/>
        <v>95.367141281088735</v>
      </c>
      <c r="N47" s="91">
        <f t="shared" si="33"/>
        <v>95.334435884725849</v>
      </c>
      <c r="O47" s="91">
        <f t="shared" si="33"/>
        <v>95.365138814958286</v>
      </c>
      <c r="P47" s="91">
        <f t="shared" si="33"/>
        <v>95.376999969315364</v>
      </c>
      <c r="Q47" s="91">
        <f t="shared" si="33"/>
        <v>95.383421995696054</v>
      </c>
      <c r="R47" s="91">
        <f t="shared" si="33"/>
        <v>95.35879165642902</v>
      </c>
      <c r="S47" s="91">
        <f t="shared" si="33"/>
        <v>95.35649542808838</v>
      </c>
      <c r="T47" s="91">
        <f t="shared" si="33"/>
        <v>95.376013217536496</v>
      </c>
      <c r="U47" s="91">
        <f t="shared" si="33"/>
        <v>95.378815012254975</v>
      </c>
      <c r="V47" s="91">
        <f t="shared" si="33"/>
        <v>95.347542404186711</v>
      </c>
      <c r="W47" s="91">
        <f t="shared" si="33"/>
        <v>95.385611649295981</v>
      </c>
      <c r="X47" s="91">
        <f t="shared" si="33"/>
        <v>95.362649014613893</v>
      </c>
      <c r="Y47" s="91">
        <f t="shared" si="33"/>
        <v>95.355211497147934</v>
      </c>
      <c r="Z47" s="91">
        <f t="shared" si="33"/>
        <v>95.166636884178388</v>
      </c>
      <c r="AA47" s="91">
        <f t="shared" si="33"/>
        <v>95.329373809341263</v>
      </c>
      <c r="AB47" s="91">
        <f t="shared" si="33"/>
        <v>95.350491726189986</v>
      </c>
      <c r="AC47" s="91">
        <f t="shared" si="33"/>
        <v>95.197029290406718</v>
      </c>
      <c r="AD47" s="91">
        <f t="shared" si="33"/>
        <v>94.995458033107852</v>
      </c>
      <c r="AE47" s="91">
        <f t="shared" si="33"/>
        <v>95.187583569382227</v>
      </c>
      <c r="AF47" s="91">
        <f t="shared" si="33"/>
        <v>95.329390323839547</v>
      </c>
      <c r="AG47" s="91">
        <f t="shared" si="33"/>
        <v>95.122936361451821</v>
      </c>
      <c r="AH47" s="91">
        <f t="shared" si="33"/>
        <v>95.323068281935591</v>
      </c>
      <c r="AI47" s="91">
        <f t="shared" si="33"/>
        <v>95.573506500307673</v>
      </c>
      <c r="AJ47" s="131"/>
      <c r="AK47" s="141">
        <f>AK29/(SUM(AK23:AK24))*100</f>
        <v>95.324293191550765</v>
      </c>
      <c r="AN47" s="264">
        <f>AN29/AN23*100</f>
        <v>95.303967099972581</v>
      </c>
      <c r="AO47" s="264"/>
    </row>
    <row r="48" spans="1:15123">
      <c r="B48" s="81"/>
      <c r="C48" s="234" t="s">
        <v>34</v>
      </c>
      <c r="D48" s="74">
        <v>5</v>
      </c>
      <c r="E48" s="235" t="s">
        <v>13</v>
      </c>
      <c r="F48" s="91">
        <f t="shared" ref="F48:AI48" si="34">(F30/(F23+F24))*100</f>
        <v>4.0080702455205337</v>
      </c>
      <c r="G48" s="91">
        <f t="shared" si="34"/>
        <v>4.0595093008722634</v>
      </c>
      <c r="H48" s="91">
        <f t="shared" si="34"/>
        <v>4.0032831850545714</v>
      </c>
      <c r="I48" s="91">
        <f t="shared" si="34"/>
        <v>3.9631950296325344</v>
      </c>
      <c r="J48" s="91">
        <f t="shared" si="34"/>
        <v>4.0790542494703468</v>
      </c>
      <c r="K48" s="91">
        <f t="shared" si="34"/>
        <v>4.0752240050010418</v>
      </c>
      <c r="L48" s="91">
        <f t="shared" si="34"/>
        <v>4.0110430880611201</v>
      </c>
      <c r="M48" s="91">
        <f t="shared" si="34"/>
        <v>4.0084758825734861</v>
      </c>
      <c r="N48" s="91">
        <f t="shared" si="34"/>
        <v>4.0310651128465036</v>
      </c>
      <c r="O48" s="91">
        <f t="shared" si="34"/>
        <v>4.0151481141816356</v>
      </c>
      <c r="P48" s="91">
        <f t="shared" si="34"/>
        <v>4.0139425779406164</v>
      </c>
      <c r="Q48" s="91">
        <f t="shared" si="34"/>
        <v>4.0155038660951003</v>
      </c>
      <c r="R48" s="91">
        <f t="shared" si="34"/>
        <v>4.0425972144990885</v>
      </c>
      <c r="S48" s="91">
        <f t="shared" si="34"/>
        <v>4.0275270075958671</v>
      </c>
      <c r="T48" s="91">
        <f t="shared" si="34"/>
        <v>4.0128733782560593</v>
      </c>
      <c r="U48" s="91">
        <f t="shared" si="34"/>
        <v>4.0032155965414375</v>
      </c>
      <c r="V48" s="91">
        <f t="shared" si="34"/>
        <v>4.0530556670389091</v>
      </c>
      <c r="W48" s="91">
        <f t="shared" si="34"/>
        <v>4.0192127624198193</v>
      </c>
      <c r="X48" s="91">
        <f t="shared" si="34"/>
        <v>4.0281920370232775</v>
      </c>
      <c r="Y48" s="91">
        <f t="shared" si="34"/>
        <v>4.0271131194903322</v>
      </c>
      <c r="Z48" s="91">
        <f t="shared" si="34"/>
        <v>4.2377476817293962</v>
      </c>
      <c r="AA48" s="91">
        <f t="shared" si="34"/>
        <v>4.0371220119257565</v>
      </c>
      <c r="AB48" s="91">
        <f t="shared" si="34"/>
        <v>4.0426034327595852</v>
      </c>
      <c r="AC48" s="91">
        <f t="shared" si="34"/>
        <v>4.2013652010399936</v>
      </c>
      <c r="AD48" s="91">
        <f t="shared" si="34"/>
        <v>4.3880691790064121</v>
      </c>
      <c r="AE48" s="91">
        <f t="shared" si="34"/>
        <v>4.210251094747262</v>
      </c>
      <c r="AF48" s="91">
        <f t="shared" si="34"/>
        <v>4.0747739228758597</v>
      </c>
      <c r="AG48" s="91">
        <f t="shared" si="34"/>
        <v>4.2535623168992123</v>
      </c>
      <c r="AH48" s="91">
        <f t="shared" si="34"/>
        <v>4.0752444587486343</v>
      </c>
      <c r="AI48" s="91">
        <f t="shared" si="34"/>
        <v>3.8216310338958643</v>
      </c>
      <c r="AJ48" s="131"/>
      <c r="AK48" s="141">
        <f>AK30/(AK23+AK24)*100</f>
        <v>4.0658540376770276</v>
      </c>
      <c r="AN48" s="264">
        <f>AN30/AN23*100</f>
        <v>4.0882547002319711</v>
      </c>
      <c r="AO48" s="264"/>
      <c r="AP48" s="269">
        <f>100-AN47-AN48</f>
        <v>0.60777819979544745</v>
      </c>
    </row>
    <row r="49" spans="2:74 15124:15137">
      <c r="B49" s="81"/>
      <c r="C49" s="234" t="s">
        <v>36</v>
      </c>
      <c r="D49" s="74">
        <v>82</v>
      </c>
      <c r="E49" s="235" t="s">
        <v>13</v>
      </c>
      <c r="F49" s="92">
        <f t="shared" ref="F49:AI49" si="35">(F33/F32)*100</f>
        <v>84.924362878746336</v>
      </c>
      <c r="G49" s="92">
        <f t="shared" si="35"/>
        <v>83.448373024983823</v>
      </c>
      <c r="H49" s="92">
        <f t="shared" si="35"/>
        <v>82.848996349023693</v>
      </c>
      <c r="I49" s="92">
        <f t="shared" si="35"/>
        <v>82.284412579622384</v>
      </c>
      <c r="J49" s="92">
        <f t="shared" si="35"/>
        <v>82.150961812781404</v>
      </c>
      <c r="K49" s="92" t="e">
        <f t="shared" si="35"/>
        <v>#DIV/0!</v>
      </c>
      <c r="L49" s="92" t="e">
        <f t="shared" si="35"/>
        <v>#DIV/0!</v>
      </c>
      <c r="M49" s="92">
        <f t="shared" si="35"/>
        <v>82.037296851985914</v>
      </c>
      <c r="N49" s="92">
        <f t="shared" si="35"/>
        <v>82.016823477426797</v>
      </c>
      <c r="O49" s="92">
        <f t="shared" si="35"/>
        <v>82.931654328623623</v>
      </c>
      <c r="P49" s="92">
        <f t="shared" si="35"/>
        <v>82.825914634555261</v>
      </c>
      <c r="Q49" s="92">
        <f t="shared" si="35"/>
        <v>82.054519943876528</v>
      </c>
      <c r="R49" s="92" t="e">
        <f t="shared" si="35"/>
        <v>#DIV/0!</v>
      </c>
      <c r="S49" s="92">
        <f t="shared" si="35"/>
        <v>82.04495425154218</v>
      </c>
      <c r="T49" s="92">
        <f t="shared" si="35"/>
        <v>82.067963518916116</v>
      </c>
      <c r="U49" s="92">
        <f t="shared" si="35"/>
        <v>82.046458794438109</v>
      </c>
      <c r="V49" s="92">
        <f t="shared" si="35"/>
        <v>82.69383798153018</v>
      </c>
      <c r="W49" s="92">
        <f t="shared" si="35"/>
        <v>82.483332703690962</v>
      </c>
      <c r="X49" s="92">
        <f t="shared" si="35"/>
        <v>82.973697019101024</v>
      </c>
      <c r="Y49" s="92">
        <f t="shared" si="35"/>
        <v>82.818275810529911</v>
      </c>
      <c r="Z49" s="92">
        <f t="shared" si="35"/>
        <v>82.614395136313661</v>
      </c>
      <c r="AA49" s="92">
        <f t="shared" si="35"/>
        <v>82.974928713110955</v>
      </c>
      <c r="AB49" s="92">
        <f t="shared" si="35"/>
        <v>82.904324931070477</v>
      </c>
      <c r="AC49" s="92">
        <f t="shared" si="35"/>
        <v>82.006393474496193</v>
      </c>
      <c r="AD49" s="92" t="e">
        <f t="shared" si="35"/>
        <v>#DIV/0!</v>
      </c>
      <c r="AE49" s="92" t="e">
        <f t="shared" si="35"/>
        <v>#DIV/0!</v>
      </c>
      <c r="AF49" s="92">
        <f t="shared" si="35"/>
        <v>82.109109689197425</v>
      </c>
      <c r="AG49" s="92">
        <f t="shared" si="35"/>
        <v>82.564381941077031</v>
      </c>
      <c r="AH49" s="92">
        <f t="shared" si="35"/>
        <v>83.373027457372999</v>
      </c>
      <c r="AI49" s="92">
        <f t="shared" si="35"/>
        <v>83.53064270343495</v>
      </c>
      <c r="AJ49" s="131"/>
      <c r="AK49" s="141">
        <f>AK33/AK32*100</f>
        <v>82.764340498272333</v>
      </c>
      <c r="AN49" s="264">
        <f>AN33/AN32*100</f>
        <v>82.709208946637034</v>
      </c>
      <c r="AO49" s="264"/>
    </row>
    <row r="50" spans="2:74 15124:15137">
      <c r="B50" s="81"/>
      <c r="C50" s="234" t="s">
        <v>52</v>
      </c>
      <c r="D50" s="74">
        <v>18</v>
      </c>
      <c r="E50" s="235" t="s">
        <v>13</v>
      </c>
      <c r="F50" s="92">
        <f t="shared" ref="F50:AI50" si="36">(F34/F32)*100</f>
        <v>15.075637121253656</v>
      </c>
      <c r="G50" s="92">
        <f t="shared" si="36"/>
        <v>16.551626975016177</v>
      </c>
      <c r="H50" s="92">
        <f t="shared" si="36"/>
        <v>17.151003650976307</v>
      </c>
      <c r="I50" s="92">
        <f t="shared" si="36"/>
        <v>17.715587420377616</v>
      </c>
      <c r="J50" s="92">
        <f t="shared" si="36"/>
        <v>17.8490381872186</v>
      </c>
      <c r="K50" s="92" t="e">
        <f t="shared" si="36"/>
        <v>#DIV/0!</v>
      </c>
      <c r="L50" s="92" t="e">
        <f t="shared" si="36"/>
        <v>#DIV/0!</v>
      </c>
      <c r="M50" s="92">
        <f t="shared" si="36"/>
        <v>17.962703148014082</v>
      </c>
      <c r="N50" s="92">
        <f t="shared" si="36"/>
        <v>17.983176522573206</v>
      </c>
      <c r="O50" s="92">
        <f t="shared" si="36"/>
        <v>17.068345671376385</v>
      </c>
      <c r="P50" s="92">
        <f t="shared" si="36"/>
        <v>17.174085365444739</v>
      </c>
      <c r="Q50" s="92">
        <f t="shared" si="36"/>
        <v>17.945480056123472</v>
      </c>
      <c r="R50" s="92" t="e">
        <f t="shared" si="36"/>
        <v>#DIV/0!</v>
      </c>
      <c r="S50" s="92">
        <f t="shared" si="36"/>
        <v>17.955045748457827</v>
      </c>
      <c r="T50" s="92">
        <f t="shared" si="36"/>
        <v>17.932036481083873</v>
      </c>
      <c r="U50" s="92">
        <f t="shared" si="36"/>
        <v>17.953541205561894</v>
      </c>
      <c r="V50" s="92">
        <f t="shared" si="36"/>
        <v>17.306162018469813</v>
      </c>
      <c r="W50" s="92">
        <f t="shared" si="36"/>
        <v>17.516667296309034</v>
      </c>
      <c r="X50" s="92">
        <f t="shared" si="36"/>
        <v>17.026302980898976</v>
      </c>
      <c r="Y50" s="92">
        <f t="shared" si="36"/>
        <v>17.181724189470081</v>
      </c>
      <c r="Z50" s="92">
        <f t="shared" si="36"/>
        <v>17.38560486368635</v>
      </c>
      <c r="AA50" s="92">
        <f t="shared" si="36"/>
        <v>17.025071286889045</v>
      </c>
      <c r="AB50" s="92">
        <f t="shared" si="36"/>
        <v>17.095675068929523</v>
      </c>
      <c r="AC50" s="92">
        <f t="shared" si="36"/>
        <v>17.993606525503814</v>
      </c>
      <c r="AD50" s="92" t="e">
        <f t="shared" si="36"/>
        <v>#DIV/0!</v>
      </c>
      <c r="AE50" s="92" t="e">
        <f t="shared" si="36"/>
        <v>#DIV/0!</v>
      </c>
      <c r="AF50" s="92">
        <f t="shared" si="36"/>
        <v>17.890890310802572</v>
      </c>
      <c r="AG50" s="92">
        <f t="shared" si="36"/>
        <v>17.435618058922977</v>
      </c>
      <c r="AH50" s="92">
        <f t="shared" si="36"/>
        <v>16.626972542627005</v>
      </c>
      <c r="AI50" s="92">
        <f t="shared" si="36"/>
        <v>16.469357296565054</v>
      </c>
      <c r="AJ50" s="131"/>
      <c r="AK50" s="141">
        <f>AK34/AK32*100</f>
        <v>17.235659501727667</v>
      </c>
      <c r="AN50" s="264">
        <f>AN34/AN32*100</f>
        <v>17.290791053362966</v>
      </c>
      <c r="AO50" s="264"/>
    </row>
    <row r="51" spans="2:74 15124:15137">
      <c r="B51" s="81"/>
      <c r="C51" s="234" t="s">
        <v>41</v>
      </c>
      <c r="D51" s="74">
        <v>70</v>
      </c>
      <c r="E51" s="235" t="s">
        <v>13</v>
      </c>
      <c r="F51" s="92" t="e">
        <f t="shared" ref="F51:AC51" si="37">F38/F37*100</f>
        <v>#DIV/0!</v>
      </c>
      <c r="G51" s="92" t="e">
        <f t="shared" si="37"/>
        <v>#DIV/0!</v>
      </c>
      <c r="H51" s="92" t="e">
        <f t="shared" si="37"/>
        <v>#DIV/0!</v>
      </c>
      <c r="I51" s="92" t="e">
        <f t="shared" si="37"/>
        <v>#DIV/0!</v>
      </c>
      <c r="J51" s="92" t="e">
        <f t="shared" si="37"/>
        <v>#DIV/0!</v>
      </c>
      <c r="K51" s="92" t="e">
        <f t="shared" si="37"/>
        <v>#DIV/0!</v>
      </c>
      <c r="L51" s="92" t="e">
        <f t="shared" si="37"/>
        <v>#DIV/0!</v>
      </c>
      <c r="M51" s="92" t="e">
        <f t="shared" si="37"/>
        <v>#DIV/0!</v>
      </c>
      <c r="N51" s="92" t="e">
        <f t="shared" si="37"/>
        <v>#DIV/0!</v>
      </c>
      <c r="O51" s="92" t="e">
        <f t="shared" si="37"/>
        <v>#DIV/0!</v>
      </c>
      <c r="P51" s="92">
        <f t="shared" si="37"/>
        <v>70.898935966729155</v>
      </c>
      <c r="Q51" s="92">
        <f t="shared" si="37"/>
        <v>70.343013821274695</v>
      </c>
      <c r="R51" s="92" t="e">
        <f t="shared" si="37"/>
        <v>#DIV/0!</v>
      </c>
      <c r="S51" s="92" t="e">
        <f t="shared" si="37"/>
        <v>#DIV/0!</v>
      </c>
      <c r="T51" s="92" t="e">
        <f t="shared" si="37"/>
        <v>#DIV/0!</v>
      </c>
      <c r="U51" s="92" t="e">
        <f t="shared" si="37"/>
        <v>#DIV/0!</v>
      </c>
      <c r="V51" s="92" t="e">
        <f t="shared" si="37"/>
        <v>#DIV/0!</v>
      </c>
      <c r="W51" s="92" t="e">
        <f t="shared" si="37"/>
        <v>#DIV/0!</v>
      </c>
      <c r="X51" s="92" t="e">
        <f t="shared" si="37"/>
        <v>#DIV/0!</v>
      </c>
      <c r="Y51" s="92" t="e">
        <f t="shared" si="37"/>
        <v>#DIV/0!</v>
      </c>
      <c r="Z51" s="92" t="e">
        <f t="shared" si="37"/>
        <v>#DIV/0!</v>
      </c>
      <c r="AA51" s="92" t="e">
        <f t="shared" si="37"/>
        <v>#DIV/0!</v>
      </c>
      <c r="AB51" s="92" t="e">
        <f t="shared" si="37"/>
        <v>#DIV/0!</v>
      </c>
      <c r="AC51" s="92" t="e">
        <f t="shared" si="37"/>
        <v>#DIV/0!</v>
      </c>
      <c r="AD51" s="92" t="e">
        <f t="shared" ref="AD51:AI51" si="38">AD41/AD40*100</f>
        <v>#DIV/0!</v>
      </c>
      <c r="AE51" s="92" t="e">
        <f t="shared" si="38"/>
        <v>#DIV/0!</v>
      </c>
      <c r="AF51" s="92" t="e">
        <f t="shared" si="38"/>
        <v>#DIV/0!</v>
      </c>
      <c r="AG51" s="92" t="e">
        <f t="shared" si="38"/>
        <v>#DIV/0!</v>
      </c>
      <c r="AH51" s="92" t="e">
        <f t="shared" si="38"/>
        <v>#DIV/0!</v>
      </c>
      <c r="AI51" s="92" t="e">
        <f t="shared" si="38"/>
        <v>#DIV/0!</v>
      </c>
      <c r="AJ51" s="131"/>
      <c r="AK51" s="141">
        <f>AK38/AK37*100</f>
        <v>70.849472751351726</v>
      </c>
      <c r="AN51" s="264" t="e">
        <f>AN38/AN37*100</f>
        <v>#DIV/0!</v>
      </c>
      <c r="AO51" s="264"/>
    </row>
    <row r="52" spans="2:74 15124:15137">
      <c r="B52" s="81"/>
      <c r="C52" s="234" t="s">
        <v>52</v>
      </c>
      <c r="D52" s="74">
        <v>30</v>
      </c>
      <c r="E52" s="235" t="s">
        <v>13</v>
      </c>
      <c r="F52" s="92" t="e">
        <f t="shared" ref="F52:AC52" si="39">F39/F37*100</f>
        <v>#DIV/0!</v>
      </c>
      <c r="G52" s="92" t="e">
        <f t="shared" si="39"/>
        <v>#DIV/0!</v>
      </c>
      <c r="H52" s="92" t="e">
        <f t="shared" si="39"/>
        <v>#DIV/0!</v>
      </c>
      <c r="I52" s="92" t="e">
        <f t="shared" si="39"/>
        <v>#DIV/0!</v>
      </c>
      <c r="J52" s="92" t="e">
        <f t="shared" si="39"/>
        <v>#DIV/0!</v>
      </c>
      <c r="K52" s="92" t="e">
        <f t="shared" si="39"/>
        <v>#DIV/0!</v>
      </c>
      <c r="L52" s="92" t="e">
        <f t="shared" si="39"/>
        <v>#DIV/0!</v>
      </c>
      <c r="M52" s="92" t="e">
        <f t="shared" si="39"/>
        <v>#DIV/0!</v>
      </c>
      <c r="N52" s="92" t="e">
        <f t="shared" si="39"/>
        <v>#DIV/0!</v>
      </c>
      <c r="O52" s="92" t="e">
        <f t="shared" si="39"/>
        <v>#DIV/0!</v>
      </c>
      <c r="P52" s="92">
        <f t="shared" si="39"/>
        <v>29.101064033270852</v>
      </c>
      <c r="Q52" s="92">
        <f t="shared" si="39"/>
        <v>29.656986178725308</v>
      </c>
      <c r="R52" s="92" t="e">
        <f t="shared" si="39"/>
        <v>#DIV/0!</v>
      </c>
      <c r="S52" s="92" t="e">
        <f t="shared" si="39"/>
        <v>#DIV/0!</v>
      </c>
      <c r="T52" s="92" t="e">
        <f t="shared" si="39"/>
        <v>#DIV/0!</v>
      </c>
      <c r="U52" s="92" t="e">
        <f t="shared" si="39"/>
        <v>#DIV/0!</v>
      </c>
      <c r="V52" s="92" t="e">
        <f t="shared" si="39"/>
        <v>#DIV/0!</v>
      </c>
      <c r="W52" s="92" t="e">
        <f t="shared" si="39"/>
        <v>#DIV/0!</v>
      </c>
      <c r="X52" s="92" t="e">
        <f t="shared" si="39"/>
        <v>#DIV/0!</v>
      </c>
      <c r="Y52" s="92" t="e">
        <f t="shared" si="39"/>
        <v>#DIV/0!</v>
      </c>
      <c r="Z52" s="92" t="e">
        <f t="shared" si="39"/>
        <v>#DIV/0!</v>
      </c>
      <c r="AA52" s="92" t="e">
        <f t="shared" si="39"/>
        <v>#DIV/0!</v>
      </c>
      <c r="AB52" s="92" t="e">
        <f t="shared" si="39"/>
        <v>#DIV/0!</v>
      </c>
      <c r="AC52" s="92" t="e">
        <f t="shared" si="39"/>
        <v>#DIV/0!</v>
      </c>
      <c r="AD52" s="92" t="e">
        <f t="shared" ref="AD52:AI52" si="40">AD42/AD40*100</f>
        <v>#DIV/0!</v>
      </c>
      <c r="AE52" s="92" t="e">
        <f t="shared" si="40"/>
        <v>#DIV/0!</v>
      </c>
      <c r="AF52" s="92" t="e">
        <f t="shared" si="40"/>
        <v>#DIV/0!</v>
      </c>
      <c r="AG52" s="92" t="e">
        <f t="shared" si="40"/>
        <v>#DIV/0!</v>
      </c>
      <c r="AH52" s="92" t="e">
        <f t="shared" si="40"/>
        <v>#DIV/0!</v>
      </c>
      <c r="AI52" s="92" t="e">
        <f t="shared" si="40"/>
        <v>#DIV/0!</v>
      </c>
      <c r="AJ52" s="142"/>
      <c r="AK52" s="141">
        <f>AK39/AK37*100</f>
        <v>29.150527248648274</v>
      </c>
      <c r="AN52" s="264" t="e">
        <f>AN39/AN37*100</f>
        <v>#DIV/0!</v>
      </c>
      <c r="AO52" s="264"/>
    </row>
    <row r="53" spans="2:74 15124:15137">
      <c r="B53" s="81"/>
      <c r="C53" s="234" t="s">
        <v>45</v>
      </c>
      <c r="D53" s="74">
        <v>58</v>
      </c>
      <c r="E53" s="235" t="s">
        <v>13</v>
      </c>
      <c r="F53" s="92" t="e">
        <f t="shared" ref="F53:AI53" si="41">F44/F42*100</f>
        <v>#DIV/0!</v>
      </c>
      <c r="G53" s="92" t="e">
        <f t="shared" si="41"/>
        <v>#DIV/0!</v>
      </c>
      <c r="H53" s="92" t="e">
        <f t="shared" si="41"/>
        <v>#DIV/0!</v>
      </c>
      <c r="I53" s="92" t="e">
        <f t="shared" si="41"/>
        <v>#DIV/0!</v>
      </c>
      <c r="J53" s="92" t="e">
        <f t="shared" si="41"/>
        <v>#DIV/0!</v>
      </c>
      <c r="K53" s="92">
        <f t="shared" si="41"/>
        <v>60.033544239316704</v>
      </c>
      <c r="L53" s="92">
        <f t="shared" si="41"/>
        <v>60.052921998753718</v>
      </c>
      <c r="M53" s="92">
        <f t="shared" si="41"/>
        <v>60.069649709255458</v>
      </c>
      <c r="N53" s="92" t="e">
        <f t="shared" si="41"/>
        <v>#DIV/0!</v>
      </c>
      <c r="O53" s="92" t="e">
        <f t="shared" si="41"/>
        <v>#DIV/0!</v>
      </c>
      <c r="P53" s="92" t="e">
        <f t="shared" si="41"/>
        <v>#DIV/0!</v>
      </c>
      <c r="Q53" s="92" t="e">
        <f t="shared" si="41"/>
        <v>#DIV/0!</v>
      </c>
      <c r="R53" s="92">
        <f t="shared" si="41"/>
        <v>60.098186080612606</v>
      </c>
      <c r="S53" s="92">
        <f t="shared" si="41"/>
        <v>60.083708583386944</v>
      </c>
      <c r="T53" s="92" t="e">
        <f t="shared" ref="T53:W53" si="42">(T44+T43)/T42*100</f>
        <v>#DIV/0!</v>
      </c>
      <c r="U53" s="92" t="e">
        <f t="shared" si="42"/>
        <v>#DIV/0!</v>
      </c>
      <c r="V53" s="92" t="e">
        <f t="shared" si="42"/>
        <v>#DIV/0!</v>
      </c>
      <c r="W53" s="92" t="e">
        <f t="shared" si="42"/>
        <v>#DIV/0!</v>
      </c>
      <c r="X53" s="92" t="e">
        <f t="shared" si="41"/>
        <v>#DIV/0!</v>
      </c>
      <c r="Y53" s="92" t="e">
        <f t="shared" si="41"/>
        <v>#DIV/0!</v>
      </c>
      <c r="Z53" s="92" t="e">
        <f t="shared" si="41"/>
        <v>#DIV/0!</v>
      </c>
      <c r="AA53" s="92" t="e">
        <f t="shared" si="41"/>
        <v>#DIV/0!</v>
      </c>
      <c r="AB53" s="92" t="e">
        <f t="shared" si="41"/>
        <v>#DIV/0!</v>
      </c>
      <c r="AC53" s="92" t="e">
        <f t="shared" si="41"/>
        <v>#DIV/0!</v>
      </c>
      <c r="AD53" s="92">
        <f t="shared" si="41"/>
        <v>60.10887314975971</v>
      </c>
      <c r="AE53" s="92">
        <f t="shared" si="41"/>
        <v>60.055604593642819</v>
      </c>
      <c r="AF53" s="92">
        <f t="shared" si="41"/>
        <v>60.045500714483012</v>
      </c>
      <c r="AG53" s="92" t="e">
        <f t="shared" si="41"/>
        <v>#DIV/0!</v>
      </c>
      <c r="AH53" s="92" t="e">
        <f t="shared" si="41"/>
        <v>#DIV/0!</v>
      </c>
      <c r="AI53" s="92" t="e">
        <f t="shared" si="41"/>
        <v>#DIV/0!</v>
      </c>
      <c r="AJ53" s="131"/>
      <c r="AK53" s="141">
        <f>(AK44+AK43)/AK42*100</f>
        <v>60.070168212889385</v>
      </c>
      <c r="AN53" s="264" t="e">
        <f>AN44/AN42*100</f>
        <v>#DIV/0!</v>
      </c>
      <c r="AO53" s="264"/>
    </row>
    <row r="54" spans="2:74 15124:15137">
      <c r="B54" s="81"/>
      <c r="C54" s="234" t="s">
        <v>53</v>
      </c>
      <c r="D54" s="74">
        <v>42</v>
      </c>
      <c r="E54" s="235" t="s">
        <v>13</v>
      </c>
      <c r="F54" s="92" t="e">
        <f t="shared" ref="F54:AI54" si="43">F45/F42*100</f>
        <v>#DIV/0!</v>
      </c>
      <c r="G54" s="92" t="e">
        <f t="shared" si="43"/>
        <v>#DIV/0!</v>
      </c>
      <c r="H54" s="92" t="e">
        <f t="shared" si="43"/>
        <v>#DIV/0!</v>
      </c>
      <c r="I54" s="92" t="e">
        <f t="shared" si="43"/>
        <v>#DIV/0!</v>
      </c>
      <c r="J54" s="92" t="e">
        <f t="shared" si="43"/>
        <v>#DIV/0!</v>
      </c>
      <c r="K54" s="92">
        <f t="shared" si="43"/>
        <v>39.966455760683296</v>
      </c>
      <c r="L54" s="92">
        <f t="shared" si="43"/>
        <v>39.947078001246282</v>
      </c>
      <c r="M54" s="92">
        <f t="shared" si="43"/>
        <v>39.930350290744542</v>
      </c>
      <c r="N54" s="92" t="e">
        <f t="shared" si="43"/>
        <v>#DIV/0!</v>
      </c>
      <c r="O54" s="92" t="e">
        <f t="shared" si="43"/>
        <v>#DIV/0!</v>
      </c>
      <c r="P54" s="92" t="e">
        <f t="shared" si="43"/>
        <v>#DIV/0!</v>
      </c>
      <c r="Q54" s="92" t="e">
        <f t="shared" si="43"/>
        <v>#DIV/0!</v>
      </c>
      <c r="R54" s="92">
        <f t="shared" si="43"/>
        <v>39.901813919387394</v>
      </c>
      <c r="S54" s="92">
        <f t="shared" si="43"/>
        <v>39.916291416613056</v>
      </c>
      <c r="T54" s="92" t="e">
        <f t="shared" si="43"/>
        <v>#DIV/0!</v>
      </c>
      <c r="U54" s="92" t="e">
        <f t="shared" si="43"/>
        <v>#DIV/0!</v>
      </c>
      <c r="V54" s="92" t="e">
        <f t="shared" si="43"/>
        <v>#DIV/0!</v>
      </c>
      <c r="W54" s="92" t="e">
        <f t="shared" si="43"/>
        <v>#DIV/0!</v>
      </c>
      <c r="X54" s="92" t="e">
        <f t="shared" si="43"/>
        <v>#DIV/0!</v>
      </c>
      <c r="Y54" s="92" t="e">
        <f t="shared" si="43"/>
        <v>#DIV/0!</v>
      </c>
      <c r="Z54" s="92" t="e">
        <f t="shared" si="43"/>
        <v>#DIV/0!</v>
      </c>
      <c r="AA54" s="92" t="e">
        <f t="shared" si="43"/>
        <v>#DIV/0!</v>
      </c>
      <c r="AB54" s="92" t="e">
        <f t="shared" si="43"/>
        <v>#DIV/0!</v>
      </c>
      <c r="AC54" s="92" t="e">
        <f t="shared" si="43"/>
        <v>#DIV/0!</v>
      </c>
      <c r="AD54" s="92">
        <f t="shared" si="43"/>
        <v>39.89112685024029</v>
      </c>
      <c r="AE54" s="92">
        <f t="shared" si="43"/>
        <v>39.944395406357174</v>
      </c>
      <c r="AF54" s="92">
        <f t="shared" si="43"/>
        <v>39.954499285516981</v>
      </c>
      <c r="AG54" s="92" t="e">
        <f t="shared" si="43"/>
        <v>#DIV/0!</v>
      </c>
      <c r="AH54" s="92" t="e">
        <f t="shared" si="43"/>
        <v>#DIV/0!</v>
      </c>
      <c r="AI54" s="92" t="e">
        <f t="shared" si="43"/>
        <v>#DIV/0!</v>
      </c>
      <c r="AJ54" s="142"/>
      <c r="AK54" s="141">
        <f>AK45/AK42*100</f>
        <v>39.929831787110622</v>
      </c>
      <c r="AN54" s="264" t="e">
        <f>AN45/AN42*100</f>
        <v>#DIV/0!</v>
      </c>
      <c r="AO54" s="264"/>
    </row>
    <row r="55" spans="2:74 15124:15137">
      <c r="B55" s="58">
        <v>3</v>
      </c>
      <c r="C55" s="88" t="s">
        <v>54</v>
      </c>
      <c r="D55" s="89"/>
      <c r="E55" s="89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133"/>
      <c r="AK55" s="140" t="s">
        <v>55</v>
      </c>
    </row>
    <row r="56" spans="2:74 15124:15137">
      <c r="B56" s="61"/>
      <c r="C56" s="236" t="s">
        <v>56</v>
      </c>
      <c r="D56" s="74">
        <v>8</v>
      </c>
      <c r="E56" s="237" t="s">
        <v>57</v>
      </c>
      <c r="F56" s="64">
        <v>9284</v>
      </c>
      <c r="G56" s="64">
        <v>9410</v>
      </c>
      <c r="H56" s="64">
        <v>9673</v>
      </c>
      <c r="I56" s="64">
        <v>8691</v>
      </c>
      <c r="J56" s="64">
        <f>19205-J58</f>
        <v>7160</v>
      </c>
      <c r="K56" s="64">
        <f>18704-K58</f>
        <v>0</v>
      </c>
      <c r="L56" s="64">
        <f>11386-L58</f>
        <v>4466</v>
      </c>
      <c r="M56" s="64">
        <v>10076</v>
      </c>
      <c r="N56" s="64">
        <v>10460</v>
      </c>
      <c r="O56" s="64">
        <v>9858</v>
      </c>
      <c r="P56" s="64">
        <f>14138-P58</f>
        <v>8592</v>
      </c>
      <c r="Q56" s="64">
        <f>18986-Q58</f>
        <v>3092</v>
      </c>
      <c r="R56" s="64">
        <f>11670-R58</f>
        <v>0</v>
      </c>
      <c r="S56" s="64">
        <v>10565</v>
      </c>
      <c r="T56" s="64">
        <v>13684</v>
      </c>
      <c r="U56" s="64">
        <v>12528</v>
      </c>
      <c r="V56" s="64">
        <v>12774</v>
      </c>
      <c r="W56" s="64">
        <v>11890</v>
      </c>
      <c r="X56" s="64">
        <v>13508</v>
      </c>
      <c r="Y56" s="64">
        <v>10017</v>
      </c>
      <c r="Z56" s="64">
        <v>14516</v>
      </c>
      <c r="AA56" s="64">
        <v>12548</v>
      </c>
      <c r="AB56" s="64">
        <v>14465</v>
      </c>
      <c r="AC56" s="64">
        <f>30364-AC58</f>
        <v>14900</v>
      </c>
      <c r="AD56" s="64">
        <f>26498-AD58</f>
        <v>10858</v>
      </c>
      <c r="AE56" s="64">
        <f>11881-AE58</f>
        <v>3413</v>
      </c>
      <c r="AF56" s="64">
        <v>13894</v>
      </c>
      <c r="AG56" s="64">
        <v>14620</v>
      </c>
      <c r="AH56" s="64">
        <v>12044</v>
      </c>
      <c r="AI56" s="64">
        <v>12069</v>
      </c>
      <c r="AJ56" s="133"/>
      <c r="AK56" s="118">
        <f>SUM(F56:AI56)</f>
        <v>299055</v>
      </c>
      <c r="AN56" s="116">
        <f t="shared" ref="AN56" si="44">SUM(W56:AC56)</f>
        <v>91844</v>
      </c>
      <c r="AO56" s="116"/>
      <c r="AU56" s="3">
        <f>V56/(V23/1000)</f>
        <v>6.7993608366609788</v>
      </c>
    </row>
    <row r="57" spans="2:74 15124:15137">
      <c r="B57" s="81"/>
      <c r="C57" s="93"/>
      <c r="D57" s="79"/>
      <c r="E57" s="237" t="s">
        <v>13</v>
      </c>
      <c r="F57" s="91">
        <f>F56/F23*100</f>
        <v>0.58681202547487277</v>
      </c>
      <c r="G57" s="91">
        <f>G56/(G23-G41)*100</f>
        <v>0.56327202986239644</v>
      </c>
      <c r="H57" s="91">
        <f t="shared" ref="H57:AI57" si="45">H56/((H23+H24)-H41)*100</f>
        <v>0.58855168704358796</v>
      </c>
      <c r="I57" s="91">
        <f t="shared" ref="I57:O57" si="46">I56/((I23+I24)-I41)*100</f>
        <v>0.60426174524641874</v>
      </c>
      <c r="J57" s="91">
        <f t="shared" si="46"/>
        <v>0.94786087154597098</v>
      </c>
      <c r="K57" s="91">
        <f t="shared" si="46"/>
        <v>0</v>
      </c>
      <c r="L57" s="91">
        <f t="shared" si="46"/>
        <v>0.42590359305233133</v>
      </c>
      <c r="M57" s="91">
        <f t="shared" si="46"/>
        <v>0.67823215383134527</v>
      </c>
      <c r="N57" s="91">
        <f t="shared" si="46"/>
        <v>0.68133246744618225</v>
      </c>
      <c r="O57" s="91">
        <f t="shared" si="46"/>
        <v>0.6322189229575379</v>
      </c>
      <c r="P57" s="91">
        <f>P56/((P23+P24)-(P41+P36))*100</f>
        <v>0.77368332062209455</v>
      </c>
      <c r="Q57" s="91">
        <f>Q56/((Q23+Q24)-Q41)*100</f>
        <v>0.48043804337527329</v>
      </c>
      <c r="R57" s="91">
        <f t="shared" si="45"/>
        <v>0</v>
      </c>
      <c r="S57" s="91">
        <f t="shared" si="45"/>
        <v>0.63883409904740251</v>
      </c>
      <c r="T57" s="91">
        <f>T56/((T23+T24)-(T41+T36))*100</f>
        <v>0.79551710646639606</v>
      </c>
      <c r="U57" s="91">
        <f>U56/((U23+U24)-U36)*100</f>
        <v>0.70329946702385537</v>
      </c>
      <c r="V57" s="91">
        <f>V56/((V23+V24)-V41)*100</f>
        <v>0.67993608366609781</v>
      </c>
      <c r="W57" s="91">
        <f>W56/((W23+W24)-W41)*100</f>
        <v>0.65030672162278047</v>
      </c>
      <c r="X57" s="91">
        <f t="shared" si="45"/>
        <v>0.75463307726385731</v>
      </c>
      <c r="Y57" s="91">
        <f t="shared" si="45"/>
        <v>0.74205496703459517</v>
      </c>
      <c r="Z57" s="91">
        <f t="shared" si="45"/>
        <v>0.74753187284130607</v>
      </c>
      <c r="AA57" s="91">
        <f t="shared" si="45"/>
        <v>0.74008103851983786</v>
      </c>
      <c r="AB57" s="91">
        <f t="shared" si="45"/>
        <v>0.73297808514605844</v>
      </c>
      <c r="AC57" s="91">
        <f>AC56/((AC23+AC24)-AC41)*100</f>
        <v>1.6313628465173511</v>
      </c>
      <c r="AD57" s="91">
        <f t="shared" si="45"/>
        <v>1.2087505429606025</v>
      </c>
      <c r="AE57" s="91">
        <f t="shared" si="45"/>
        <v>0.30279340786679942</v>
      </c>
      <c r="AF57" s="91">
        <f t="shared" si="45"/>
        <v>0.75204777944550694</v>
      </c>
      <c r="AG57" s="91">
        <f t="shared" si="45"/>
        <v>0.7474857993036419</v>
      </c>
      <c r="AH57" s="91">
        <f t="shared" si="45"/>
        <v>0.74831901602635398</v>
      </c>
      <c r="AI57" s="91">
        <f t="shared" si="45"/>
        <v>0.7524309523497803</v>
      </c>
      <c r="AJ57" s="133"/>
      <c r="AK57" s="141">
        <f>AK56/(AK23-(AK36+AK41))*100</f>
        <v>0.69004705084863305</v>
      </c>
      <c r="AL57" s="19"/>
      <c r="AM57" s="18">
        <f>AK57*10</f>
        <v>6.9004705084863307</v>
      </c>
      <c r="AN57" s="267">
        <f>AN56/(AN23-(AN36+AN41))*100</f>
        <v>0.82957226462246592</v>
      </c>
      <c r="AO57" s="267">
        <f>AN57*10</f>
        <v>8.2957226462246592</v>
      </c>
      <c r="AP57" s="269">
        <f>AK57*10</f>
        <v>6.9004705084863307</v>
      </c>
      <c r="BV57" s="269">
        <f>AK57*10</f>
        <v>6.9004705084863307</v>
      </c>
    </row>
    <row r="58" spans="2:74 15124:15137" s="3" customFormat="1">
      <c r="B58" s="61"/>
      <c r="C58" s="238" t="s">
        <v>58</v>
      </c>
      <c r="D58" s="94">
        <v>18</v>
      </c>
      <c r="E58" s="239" t="s">
        <v>57</v>
      </c>
      <c r="F58" s="95">
        <v>0</v>
      </c>
      <c r="G58" s="95">
        <v>0</v>
      </c>
      <c r="H58" s="95">
        <v>0</v>
      </c>
      <c r="I58" s="95">
        <v>0</v>
      </c>
      <c r="J58" s="95">
        <v>12045</v>
      </c>
      <c r="K58" s="95">
        <v>18704</v>
      </c>
      <c r="L58" s="95">
        <v>6920</v>
      </c>
      <c r="M58" s="95">
        <v>0</v>
      </c>
      <c r="N58" s="95">
        <v>0</v>
      </c>
      <c r="O58" s="95">
        <v>0</v>
      </c>
      <c r="P58" s="95">
        <v>5546</v>
      </c>
      <c r="Q58" s="95">
        <v>15894</v>
      </c>
      <c r="R58" s="95">
        <v>11670</v>
      </c>
      <c r="S58" s="95">
        <v>0</v>
      </c>
      <c r="T58" s="95">
        <v>0</v>
      </c>
      <c r="U58" s="95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15464</v>
      </c>
      <c r="AD58" s="111">
        <v>15640</v>
      </c>
      <c r="AE58" s="111">
        <v>8468</v>
      </c>
      <c r="AF58" s="111">
        <v>0</v>
      </c>
      <c r="AG58" s="111">
        <v>0</v>
      </c>
      <c r="AH58" s="111">
        <v>0</v>
      </c>
      <c r="AI58" s="111">
        <v>0</v>
      </c>
      <c r="AJ58" s="133"/>
      <c r="AK58" s="143">
        <f>SUM(F58:AI58)</f>
        <v>110351</v>
      </c>
      <c r="AM58" s="18"/>
      <c r="AN58" s="116">
        <f t="shared" ref="AN58" si="47">SUM(W58:AC58)</f>
        <v>15464</v>
      </c>
      <c r="AO58" s="116"/>
      <c r="VIR58"/>
      <c r="VIS58"/>
      <c r="VIT58"/>
      <c r="VIU58"/>
      <c r="VIV58"/>
      <c r="VIW58"/>
      <c r="VIX58"/>
      <c r="VIY58"/>
      <c r="VIZ58"/>
      <c r="VJA58"/>
      <c r="VJB58"/>
      <c r="VJC58"/>
      <c r="VJD58"/>
      <c r="VJE58"/>
    </row>
    <row r="59" spans="2:74 15124:15137" s="3" customFormat="1">
      <c r="B59" s="81"/>
      <c r="C59" s="96"/>
      <c r="D59" s="97"/>
      <c r="E59" s="240" t="s">
        <v>13</v>
      </c>
      <c r="F59" s="98" t="e">
        <f>F58/F41*100</f>
        <v>#DIV/0!</v>
      </c>
      <c r="G59" s="98" t="e">
        <f>G58/G41*100</f>
        <v>#DIV/0!</v>
      </c>
      <c r="H59" s="98" t="e">
        <f t="shared" ref="H59:S59" si="48">H58/H41*100</f>
        <v>#DIV/0!</v>
      </c>
      <c r="I59" s="98" t="e">
        <f t="shared" si="48"/>
        <v>#DIV/0!</v>
      </c>
      <c r="J59" s="98">
        <f t="shared" si="48"/>
        <v>1.7459029814873599</v>
      </c>
      <c r="K59" s="98">
        <f t="shared" si="48"/>
        <v>1.789119343901973</v>
      </c>
      <c r="L59" s="108">
        <f t="shared" si="48"/>
        <v>1.7737500419093246</v>
      </c>
      <c r="M59" s="108" t="e">
        <f t="shared" si="48"/>
        <v>#DIV/0!</v>
      </c>
      <c r="N59" s="108" t="e">
        <f t="shared" si="48"/>
        <v>#DIV/0!</v>
      </c>
      <c r="O59" s="108" t="e">
        <f t="shared" si="48"/>
        <v>#DIV/0!</v>
      </c>
      <c r="P59" s="108">
        <f>P58/(P41+P36)*100</f>
        <v>1.316779456296173</v>
      </c>
      <c r="Q59" s="108">
        <f>Q58/Q41*100</f>
        <v>1.715285381384237</v>
      </c>
      <c r="R59" s="108">
        <f>R58/R41*100</f>
        <v>1.8123349623889951</v>
      </c>
      <c r="S59" s="108" t="e">
        <f t="shared" si="48"/>
        <v>#DIV/0!</v>
      </c>
      <c r="T59" s="108" t="e">
        <f>T58/(T41+T36)*100</f>
        <v>#DIV/0!</v>
      </c>
      <c r="U59" s="108" t="e">
        <f t="shared" ref="U59:AB59" si="49">U58/U41*100</f>
        <v>#DIV/0!</v>
      </c>
      <c r="V59" s="108" t="e">
        <f t="shared" si="49"/>
        <v>#DIV/0!</v>
      </c>
      <c r="W59" s="108" t="e">
        <f t="shared" si="49"/>
        <v>#DIV/0!</v>
      </c>
      <c r="X59" s="108" t="e">
        <f t="shared" si="49"/>
        <v>#DIV/0!</v>
      </c>
      <c r="Y59" s="108" t="e">
        <f t="shared" si="49"/>
        <v>#DIV/0!</v>
      </c>
      <c r="Z59" s="108" t="e">
        <f t="shared" si="49"/>
        <v>#DIV/0!</v>
      </c>
      <c r="AA59" s="108" t="e">
        <f t="shared" si="49"/>
        <v>#DIV/0!</v>
      </c>
      <c r="AB59" s="108" t="e">
        <f t="shared" si="49"/>
        <v>#DIV/0!</v>
      </c>
      <c r="AC59" s="98">
        <f>AC58/(AC41)*100</f>
        <v>1.7585592297252723</v>
      </c>
      <c r="AD59" s="108">
        <f t="shared" ref="AD59:AI59" si="50">AD58/AD41*100</f>
        <v>1.7075931229114452</v>
      </c>
      <c r="AE59" s="108">
        <f t="shared" si="50"/>
        <v>1.75314439444145</v>
      </c>
      <c r="AF59" s="108" t="e">
        <f t="shared" si="50"/>
        <v>#DIV/0!</v>
      </c>
      <c r="AG59" s="108" t="e">
        <f t="shared" si="50"/>
        <v>#DIV/0!</v>
      </c>
      <c r="AH59" s="108" t="e">
        <f t="shared" si="50"/>
        <v>#DIV/0!</v>
      </c>
      <c r="AI59" s="108" t="e">
        <f t="shared" si="50"/>
        <v>#DIV/0!</v>
      </c>
      <c r="AJ59" s="133"/>
      <c r="AK59" s="144">
        <f>AK58/(AK41+AK36)*100</f>
        <v>1.7254589444250088</v>
      </c>
      <c r="AL59" s="19"/>
      <c r="AM59" s="18">
        <f>AK59*10</f>
        <v>17.254589444250087</v>
      </c>
      <c r="AN59" s="267">
        <f>AN58/(AN36+AN41)*100</f>
        <v>1.1890488183990613</v>
      </c>
      <c r="AO59" s="267"/>
      <c r="AP59" s="269">
        <f>AK59*10</f>
        <v>17.254589444250087</v>
      </c>
      <c r="BV59" s="269">
        <f>AK59*10</f>
        <v>17.254589444250087</v>
      </c>
      <c r="VIR59"/>
      <c r="VIS59"/>
      <c r="VIT59"/>
      <c r="VIU59"/>
      <c r="VIV59"/>
      <c r="VIW59"/>
      <c r="VIX59"/>
      <c r="VIY59"/>
      <c r="VIZ59"/>
      <c r="VJA59"/>
      <c r="VJB59"/>
      <c r="VJC59"/>
      <c r="VJD59"/>
      <c r="VJE59"/>
    </row>
    <row r="60" spans="2:74 15124:15137">
      <c r="B60" s="81"/>
      <c r="C60" s="236" t="s">
        <v>59</v>
      </c>
      <c r="D60" s="74">
        <v>0.55000000000000004</v>
      </c>
      <c r="E60" s="237" t="s">
        <v>10</v>
      </c>
      <c r="F60" s="64">
        <v>845.4</v>
      </c>
      <c r="G60" s="64">
        <v>816.2</v>
      </c>
      <c r="H60" s="64">
        <v>759.1</v>
      </c>
      <c r="I60" s="64">
        <v>704.3</v>
      </c>
      <c r="J60" s="64">
        <v>794.1</v>
      </c>
      <c r="K60" s="64">
        <v>795.2</v>
      </c>
      <c r="L60" s="64">
        <v>719.4</v>
      </c>
      <c r="M60" s="64">
        <v>762.6</v>
      </c>
      <c r="N60" s="64">
        <v>749.7</v>
      </c>
      <c r="O60" s="64">
        <v>799.2</v>
      </c>
      <c r="P60" s="64">
        <v>740.5</v>
      </c>
      <c r="Q60" s="64">
        <v>756.8</v>
      </c>
      <c r="R60" s="64">
        <v>738.1</v>
      </c>
      <c r="S60" s="64">
        <v>812.7</v>
      </c>
      <c r="T60" s="64">
        <v>924.6</v>
      </c>
      <c r="U60" s="64">
        <v>936.2</v>
      </c>
      <c r="V60" s="64">
        <v>851.2</v>
      </c>
      <c r="W60" s="64">
        <v>863.9</v>
      </c>
      <c r="X60" s="64">
        <v>868.6</v>
      </c>
      <c r="Y60" s="64">
        <v>689.1</v>
      </c>
      <c r="Z60" s="64">
        <v>1005</v>
      </c>
      <c r="AA60" s="64">
        <v>870</v>
      </c>
      <c r="AB60" s="64">
        <v>970</v>
      </c>
      <c r="AC60" s="64">
        <v>861.87</v>
      </c>
      <c r="AD60" s="64">
        <v>910.66</v>
      </c>
      <c r="AE60" s="64">
        <v>771.9</v>
      </c>
      <c r="AF60" s="64">
        <v>876.8</v>
      </c>
      <c r="AG60" s="64">
        <v>994.7</v>
      </c>
      <c r="AH60" s="64">
        <v>809.2</v>
      </c>
      <c r="AI60" s="64">
        <v>733.5</v>
      </c>
      <c r="AJ60" s="133"/>
      <c r="AK60" s="143">
        <f>SUM(F60:AI60)</f>
        <v>24730.530000000002</v>
      </c>
      <c r="AN60" s="116">
        <f t="shared" ref="AN60" si="51">SUM(W60:AC60)</f>
        <v>6128.47</v>
      </c>
      <c r="AO60" s="116"/>
    </row>
    <row r="61" spans="2:74 15124:15137">
      <c r="B61" s="99"/>
      <c r="C61" s="100"/>
      <c r="D61" s="79"/>
      <c r="E61" s="241" t="s">
        <v>13</v>
      </c>
      <c r="F61" s="101">
        <f t="shared" ref="F61:AI61" si="52">F60/(F23+F24)*100</f>
        <v>5.3435037304659358E-2</v>
      </c>
      <c r="G61" s="101">
        <f t="shared" si="52"/>
        <v>4.8856815172549195E-2</v>
      </c>
      <c r="H61" s="101">
        <f t="shared" si="52"/>
        <v>4.6187282708031394E-2</v>
      </c>
      <c r="I61" s="115">
        <f t="shared" si="52"/>
        <v>4.8968075845938625E-2</v>
      </c>
      <c r="J61" s="101">
        <f t="shared" si="52"/>
        <v>5.4944142543413552E-2</v>
      </c>
      <c r="K61" s="101">
        <f t="shared" si="52"/>
        <v>5.5233729249149127E-2</v>
      </c>
      <c r="L61" s="101">
        <f t="shared" si="52"/>
        <v>5.0002502210285751E-2</v>
      </c>
      <c r="M61" s="101">
        <f t="shared" si="52"/>
        <v>5.1331861900732828E-2</v>
      </c>
      <c r="N61" s="101">
        <f t="shared" si="52"/>
        <v>4.8833169296788041E-2</v>
      </c>
      <c r="O61" s="101">
        <f t="shared" si="52"/>
        <v>5.1254753827111414E-2</v>
      </c>
      <c r="P61" s="101">
        <f t="shared" si="52"/>
        <v>4.834462898027108E-2</v>
      </c>
      <c r="Q61" s="101">
        <f t="shared" si="52"/>
        <v>4.8198019474088791E-2</v>
      </c>
      <c r="R61" s="101">
        <f t="shared" si="52"/>
        <v>4.7724656985089688E-2</v>
      </c>
      <c r="S61" s="101">
        <f t="shared" si="52"/>
        <v>4.9141549673054813E-2</v>
      </c>
      <c r="T61" s="101">
        <f t="shared" si="52"/>
        <v>5.3751470084685019E-2</v>
      </c>
      <c r="U61" s="101">
        <f t="shared" si="52"/>
        <v>5.2556590120349092E-2</v>
      </c>
      <c r="V61" s="101">
        <f t="shared" si="52"/>
        <v>4.530778099393945E-2</v>
      </c>
      <c r="W61" s="101">
        <f t="shared" si="52"/>
        <v>4.7249787788891516E-2</v>
      </c>
      <c r="X61" s="101">
        <f t="shared" si="52"/>
        <v>4.8524895684882031E-2</v>
      </c>
      <c r="Y61" s="101">
        <f t="shared" si="52"/>
        <v>5.1048225794503299E-2</v>
      </c>
      <c r="Z61" s="101">
        <f t="shared" si="52"/>
        <v>5.175458337045416E-2</v>
      </c>
      <c r="AA61" s="101">
        <f t="shared" si="52"/>
        <v>5.13125998973748E-2</v>
      </c>
      <c r="AB61" s="101">
        <f t="shared" si="52"/>
        <v>4.9152349989054739E-2</v>
      </c>
      <c r="AC61" s="101">
        <f t="shared" si="52"/>
        <v>4.8076563714123305E-2</v>
      </c>
      <c r="AD61" s="115">
        <f t="shared" si="52"/>
        <v>5.0196451092276884E-2</v>
      </c>
      <c r="AE61" s="115">
        <f t="shared" si="52"/>
        <v>4.7938471819146691E-2</v>
      </c>
      <c r="AF61" s="101">
        <f t="shared" si="52"/>
        <v>4.745901058138912E-2</v>
      </c>
      <c r="AG61" s="101">
        <f t="shared" si="52"/>
        <v>5.0856643267259402E-2</v>
      </c>
      <c r="AH61" s="115">
        <f t="shared" si="52"/>
        <v>5.0277295563643777E-2</v>
      </c>
      <c r="AI61" s="101">
        <f t="shared" si="52"/>
        <v>4.5729397924315511E-2</v>
      </c>
      <c r="AJ61" s="21"/>
      <c r="AK61" s="145">
        <f>AK60/(AK23)*100</f>
        <v>4.9725793161179081E-2</v>
      </c>
      <c r="AM61" s="18">
        <f>AK61*10</f>
        <v>0.49725793161179083</v>
      </c>
      <c r="AN61" s="268">
        <f>AN60/AN23*100</f>
        <v>4.9535867223018712E-2</v>
      </c>
      <c r="AO61" s="267">
        <f>AN61*10</f>
        <v>0.49535867223018715</v>
      </c>
      <c r="BV61" s="292">
        <f>AK61*10</f>
        <v>0.49725793161179083</v>
      </c>
    </row>
    <row r="62" spans="2:74 15124:15137" s="5" customFormat="1">
      <c r="B62" s="102">
        <v>4</v>
      </c>
      <c r="C62" s="242" t="s">
        <v>60</v>
      </c>
      <c r="D62" s="103">
        <v>0.8</v>
      </c>
      <c r="E62" s="243" t="s">
        <v>13</v>
      </c>
      <c r="F62" s="104">
        <f t="shared" ref="F62:AI62" si="53">((SUM(F29:F30))-(SUM(F23:F24)))/(SUM(F23:F24))*100</f>
        <v>-0.61917391227400398</v>
      </c>
      <c r="G62" s="104">
        <f t="shared" si="53"/>
        <v>-0.63318719786231981</v>
      </c>
      <c r="H62" s="104">
        <f t="shared" si="53"/>
        <v>-0.61033412309875235</v>
      </c>
      <c r="I62" s="104">
        <f t="shared" si="53"/>
        <v>-0.60363599956614966</v>
      </c>
      <c r="J62" s="104">
        <f t="shared" si="53"/>
        <v>-0.5972520317777934</v>
      </c>
      <c r="K62" s="104">
        <f t="shared" si="53"/>
        <v>-0.59936097798152388</v>
      </c>
      <c r="L62" s="104">
        <f t="shared" si="53"/>
        <v>-0.59914035175516156</v>
      </c>
      <c r="M62" s="104">
        <f t="shared" si="53"/>
        <v>-0.62438283633778868</v>
      </c>
      <c r="N62" s="104">
        <f t="shared" si="53"/>
        <v>-0.634499002427654</v>
      </c>
      <c r="O62" s="104">
        <f t="shared" si="53"/>
        <v>-0.61971307086008198</v>
      </c>
      <c r="P62" s="104">
        <f t="shared" si="53"/>
        <v>-0.60905745274402279</v>
      </c>
      <c r="Q62" s="104">
        <f t="shared" si="53"/>
        <v>-0.60107413820883981</v>
      </c>
      <c r="R62" s="104">
        <f t="shared" si="53"/>
        <v>-0.59861112907188763</v>
      </c>
      <c r="S62" s="104">
        <f t="shared" si="53"/>
        <v>-0.61597756431574913</v>
      </c>
      <c r="T62" s="104">
        <f t="shared" si="53"/>
        <v>-0.61111340420745064</v>
      </c>
      <c r="U62" s="104">
        <f t="shared" si="53"/>
        <v>-0.61796939120359196</v>
      </c>
      <c r="V62" s="104">
        <f t="shared" si="53"/>
        <v>-0.59940192877437981</v>
      </c>
      <c r="W62" s="104">
        <f t="shared" si="53"/>
        <v>-0.59517558828419659</v>
      </c>
      <c r="X62" s="104">
        <f t="shared" si="53"/>
        <v>-0.60915894836282947</v>
      </c>
      <c r="Y62" s="104">
        <f t="shared" si="53"/>
        <v>-0.61767538336173045</v>
      </c>
      <c r="Z62" s="104">
        <f t="shared" si="53"/>
        <v>-0.59561543409221174</v>
      </c>
      <c r="AA62" s="104">
        <f t="shared" si="53"/>
        <v>-0.63350417873299159</v>
      </c>
      <c r="AB62" s="104">
        <f t="shared" si="53"/>
        <v>-0.6069048410504212</v>
      </c>
      <c r="AC62" s="104">
        <f t="shared" si="53"/>
        <v>-0.60160550855328521</v>
      </c>
      <c r="AD62" s="104">
        <f>((SUM(AD29:AD30))-(SUM(AD23:AD24)))/(SUM(AD23:AD24))*100</f>
        <v>-0.61647278788573645</v>
      </c>
      <c r="AE62" s="104">
        <f t="shared" si="53"/>
        <v>-0.60216533587050958</v>
      </c>
      <c r="AF62" s="104">
        <f t="shared" si="53"/>
        <v>-0.59583575328459337</v>
      </c>
      <c r="AG62" s="104">
        <f t="shared" si="53"/>
        <v>-0.62350132164896799</v>
      </c>
      <c r="AH62" s="104">
        <f>((SUM(AH29:AH30))-(SUM(AH23:AH24)))/(SUM(AH23:AH24))*100</f>
        <v>-0.60168725931577649</v>
      </c>
      <c r="AI62" s="104">
        <f t="shared" si="53"/>
        <v>-0.60486246579646774</v>
      </c>
      <c r="AJ62" s="146"/>
      <c r="AK62" s="147">
        <f>((SUM(AK29:AK30))-(SUM(AK23:AK24)))/(SUM(AK23:AK24))*100</f>
        <v>-0.60985277077220335</v>
      </c>
      <c r="AM62" s="148"/>
    </row>
    <row r="63" spans="2:74 15124:15137" s="5" customFormat="1" ht="14.25">
      <c r="B63" s="80"/>
      <c r="C63" s="234" t="s">
        <v>61</v>
      </c>
      <c r="D63" s="105">
        <v>22</v>
      </c>
      <c r="E63" s="235" t="s">
        <v>13</v>
      </c>
      <c r="F63" s="92">
        <v>21.33</v>
      </c>
      <c r="G63" s="92">
        <v>21.3</v>
      </c>
      <c r="H63" s="92">
        <v>21.33</v>
      </c>
      <c r="I63" s="92">
        <v>21.35</v>
      </c>
      <c r="J63" s="92">
        <v>21.31</v>
      </c>
      <c r="K63" s="92">
        <v>21.33</v>
      </c>
      <c r="L63" s="92">
        <v>21.35</v>
      </c>
      <c r="M63" s="92">
        <v>21.37</v>
      </c>
      <c r="N63" s="92">
        <v>21.45</v>
      </c>
      <c r="O63" s="92">
        <v>21.43</v>
      </c>
      <c r="P63" s="92">
        <v>21.42</v>
      </c>
      <c r="Q63" s="92">
        <v>21.47</v>
      </c>
      <c r="R63" s="92">
        <v>21.41</v>
      </c>
      <c r="S63" s="92">
        <v>21.45</v>
      </c>
      <c r="T63" s="92">
        <v>21.38</v>
      </c>
      <c r="U63" s="92">
        <v>21.31</v>
      </c>
      <c r="V63" s="92">
        <v>21.28</v>
      </c>
      <c r="W63" s="92">
        <v>21.28</v>
      </c>
      <c r="X63" s="92">
        <v>21.27</v>
      </c>
      <c r="Y63" s="92">
        <v>21.28</v>
      </c>
      <c r="Z63" s="92">
        <v>21.33</v>
      </c>
      <c r="AA63" s="92">
        <v>21.32</v>
      </c>
      <c r="AB63" s="92">
        <v>21.31</v>
      </c>
      <c r="AC63" s="92">
        <v>21.34</v>
      </c>
      <c r="AD63" s="92">
        <v>21.37</v>
      </c>
      <c r="AE63" s="92">
        <v>21.34</v>
      </c>
      <c r="AF63" s="92">
        <v>21.37</v>
      </c>
      <c r="AG63" s="92">
        <v>21.36</v>
      </c>
      <c r="AH63" s="92">
        <v>21.33</v>
      </c>
      <c r="AI63" s="92">
        <v>21.3</v>
      </c>
      <c r="AJ63" s="149"/>
      <c r="AK63" s="150">
        <f>AVERAGE(F63:AI63)</f>
        <v>21.349</v>
      </c>
      <c r="AM63" s="148"/>
      <c r="AN63" s="266">
        <f>AVERAGE(P63:U63)</f>
        <v>21.406666666666666</v>
      </c>
      <c r="AO63" s="266"/>
    </row>
    <row r="64" spans="2:74 15124:15137" s="5" customFormat="1" ht="14.25">
      <c r="B64" s="106"/>
      <c r="C64" s="244" t="s">
        <v>62</v>
      </c>
      <c r="D64" s="79"/>
      <c r="E64" s="245" t="s">
        <v>10</v>
      </c>
      <c r="F64" s="92">
        <f t="shared" ref="F64:AI64" si="54">SUM(F56,F58)+(F63%*SUM(F56,F58))</f>
        <v>11264.2772</v>
      </c>
      <c r="G64" s="92">
        <f t="shared" si="54"/>
        <v>11414.33</v>
      </c>
      <c r="H64" s="92">
        <f t="shared" si="54"/>
        <v>11736.250899999999</v>
      </c>
      <c r="I64" s="92">
        <f t="shared" si="54"/>
        <v>10546.5285</v>
      </c>
      <c r="J64" s="92">
        <f t="shared" si="54"/>
        <v>23297.585500000001</v>
      </c>
      <c r="K64" s="92">
        <f t="shared" si="54"/>
        <v>22693.563200000001</v>
      </c>
      <c r="L64" s="92">
        <f t="shared" si="54"/>
        <v>13816.911</v>
      </c>
      <c r="M64" s="92">
        <f t="shared" si="54"/>
        <v>12229.2412</v>
      </c>
      <c r="N64" s="92">
        <f t="shared" si="54"/>
        <v>12703.67</v>
      </c>
      <c r="O64" s="92">
        <f t="shared" si="54"/>
        <v>11970.5694</v>
      </c>
      <c r="P64" s="92">
        <f t="shared" si="54"/>
        <v>17166.3596</v>
      </c>
      <c r="Q64" s="92">
        <f t="shared" si="54"/>
        <v>23062.2942</v>
      </c>
      <c r="R64" s="92">
        <f t="shared" si="54"/>
        <v>14168.547</v>
      </c>
      <c r="S64" s="92">
        <f t="shared" si="54"/>
        <v>12831.192500000001</v>
      </c>
      <c r="T64" s="92">
        <f t="shared" si="54"/>
        <v>16609.639200000001</v>
      </c>
      <c r="U64" s="92">
        <f t="shared" si="54"/>
        <v>15197.7168</v>
      </c>
      <c r="V64" s="92">
        <f t="shared" si="54"/>
        <v>15492.307199999999</v>
      </c>
      <c r="W64" s="92">
        <f t="shared" si="54"/>
        <v>14420.191999999999</v>
      </c>
      <c r="X64" s="92">
        <f t="shared" si="54"/>
        <v>16381.151600000001</v>
      </c>
      <c r="Y64" s="92">
        <f t="shared" si="54"/>
        <v>12148.6176</v>
      </c>
      <c r="Z64" s="92">
        <f t="shared" si="54"/>
        <v>17612.2628</v>
      </c>
      <c r="AA64" s="92">
        <f t="shared" si="54"/>
        <v>15223.2336</v>
      </c>
      <c r="AB64" s="92">
        <f t="shared" si="54"/>
        <v>17547.4915</v>
      </c>
      <c r="AC64" s="92">
        <f t="shared" si="54"/>
        <v>36843.677600000003</v>
      </c>
      <c r="AD64" s="92">
        <f t="shared" si="54"/>
        <v>32160.622599999999</v>
      </c>
      <c r="AE64" s="92">
        <f t="shared" si="54"/>
        <v>14416.4054</v>
      </c>
      <c r="AF64" s="92">
        <f t="shared" si="54"/>
        <v>16863.147799999999</v>
      </c>
      <c r="AG64" s="92">
        <f t="shared" si="54"/>
        <v>17742.831999999999</v>
      </c>
      <c r="AH64" s="92">
        <f t="shared" si="54"/>
        <v>14612.985199999999</v>
      </c>
      <c r="AI64" s="92">
        <f t="shared" si="54"/>
        <v>14639.697</v>
      </c>
      <c r="AJ64" s="149"/>
      <c r="AK64" s="150">
        <f>SUM(AK56,AK58)+(AK63%*SUM(AK56,AK58))</f>
        <v>496810.08694000001</v>
      </c>
      <c r="AM64" s="148"/>
    </row>
    <row r="65" spans="2:79">
      <c r="B65" s="58">
        <v>5</v>
      </c>
      <c r="C65" s="40" t="s">
        <v>63</v>
      </c>
      <c r="D65" s="59"/>
      <c r="E65" s="59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112"/>
      <c r="AD65" s="60"/>
      <c r="AE65" s="60"/>
      <c r="AF65" s="60"/>
      <c r="AG65" s="60"/>
      <c r="AH65" s="112"/>
      <c r="AI65" s="112"/>
      <c r="AJ65" s="116"/>
      <c r="AK65" s="233" t="s">
        <v>64</v>
      </c>
    </row>
    <row r="66" spans="2:79" s="6" customFormat="1">
      <c r="B66" s="65"/>
      <c r="C66" s="152" t="s">
        <v>65</v>
      </c>
      <c r="D66" s="153"/>
      <c r="E66" s="154" t="s">
        <v>10</v>
      </c>
      <c r="F66" s="155">
        <v>57895</v>
      </c>
      <c r="G66" s="155">
        <v>99836</v>
      </c>
      <c r="H66" s="155">
        <v>159120</v>
      </c>
      <c r="I66" s="155">
        <v>84501</v>
      </c>
      <c r="J66" s="155">
        <v>100069</v>
      </c>
      <c r="K66" s="155">
        <v>98000</v>
      </c>
      <c r="L66" s="155">
        <v>98100</v>
      </c>
      <c r="M66" s="155">
        <v>79850</v>
      </c>
      <c r="N66" s="155">
        <v>98980</v>
      </c>
      <c r="O66" s="155">
        <v>99230</v>
      </c>
      <c r="P66" s="155">
        <v>121600</v>
      </c>
      <c r="Q66" s="155">
        <v>95300</v>
      </c>
      <c r="R66" s="155">
        <v>149578</v>
      </c>
      <c r="S66" s="155">
        <v>95000</v>
      </c>
      <c r="T66" s="155">
        <v>70163</v>
      </c>
      <c r="U66" s="155">
        <v>99888</v>
      </c>
      <c r="V66" s="155">
        <v>99116</v>
      </c>
      <c r="W66" s="155">
        <v>98910</v>
      </c>
      <c r="X66" s="155">
        <v>94609</v>
      </c>
      <c r="Y66" s="155">
        <v>88559</v>
      </c>
      <c r="Z66" s="155">
        <v>85308</v>
      </c>
      <c r="AA66" s="155">
        <v>88982</v>
      </c>
      <c r="AB66" s="155">
        <v>85132</v>
      </c>
      <c r="AC66" s="155">
        <v>88025</v>
      </c>
      <c r="AD66" s="155">
        <v>172413</v>
      </c>
      <c r="AE66" s="155">
        <v>33368</v>
      </c>
      <c r="AF66" s="155">
        <v>86756</v>
      </c>
      <c r="AG66" s="155">
        <v>87016</v>
      </c>
      <c r="AH66" s="155">
        <v>86188</v>
      </c>
      <c r="AI66" s="155">
        <v>84500</v>
      </c>
      <c r="AJ66" s="176"/>
      <c r="AK66" s="177">
        <f>SUM(F66:AI66)</f>
        <v>2885992</v>
      </c>
      <c r="AM66" s="178"/>
    </row>
    <row r="67" spans="2:79" s="1" customFormat="1">
      <c r="B67" s="75"/>
      <c r="C67" s="246" t="s">
        <v>66</v>
      </c>
      <c r="D67" s="156"/>
      <c r="E67" s="247" t="s">
        <v>10</v>
      </c>
      <c r="F67" s="283">
        <v>115667.155</v>
      </c>
      <c r="G67" s="284">
        <v>115667.155</v>
      </c>
      <c r="H67" s="73">
        <v>115678.015</v>
      </c>
      <c r="I67" s="73">
        <v>115667.155</v>
      </c>
      <c r="J67" s="286">
        <v>0</v>
      </c>
      <c r="K67" s="73">
        <v>77111.429999999993</v>
      </c>
      <c r="L67" s="73">
        <v>76569.345000000001</v>
      </c>
      <c r="M67" s="73">
        <v>115688.875</v>
      </c>
      <c r="N67" s="285">
        <v>115678.92</v>
      </c>
      <c r="O67" s="285">
        <v>115678.015</v>
      </c>
      <c r="P67" s="73">
        <v>115743.175</v>
      </c>
      <c r="Q67" s="73">
        <v>0</v>
      </c>
      <c r="R67" s="73">
        <v>55629.445</v>
      </c>
      <c r="S67" s="73">
        <v>87376.849999999991</v>
      </c>
      <c r="T67" s="73">
        <v>115667.155</v>
      </c>
      <c r="U67" s="284">
        <v>115667.155</v>
      </c>
      <c r="V67" s="73">
        <v>115667.155</v>
      </c>
      <c r="W67" s="73">
        <v>77111.429999999993</v>
      </c>
      <c r="X67" s="73">
        <v>8.1549999999999994</v>
      </c>
      <c r="Y67" s="73">
        <v>62901.120000000003</v>
      </c>
      <c r="Z67" s="73">
        <v>102124.73</v>
      </c>
      <c r="AA67" s="73">
        <v>115688.875</v>
      </c>
      <c r="AB67" s="284">
        <v>115667.155</v>
      </c>
      <c r="AC67" s="73">
        <v>115667.155</v>
      </c>
      <c r="AD67" s="73">
        <v>77122.289999999994</v>
      </c>
      <c r="AE67" s="73">
        <v>74401.86</v>
      </c>
      <c r="AF67" s="73">
        <v>64296.630000000005</v>
      </c>
      <c r="AG67" s="73">
        <v>102091.245</v>
      </c>
      <c r="AH67" s="73">
        <v>115688.875</v>
      </c>
      <c r="AI67" s="284">
        <v>77122.289999999994</v>
      </c>
      <c r="AJ67" s="179"/>
      <c r="AK67" s="177">
        <f>SUM(F67:AI67)</f>
        <v>2669048.81</v>
      </c>
      <c r="AM67" s="127"/>
      <c r="BV67" s="180">
        <f>SUM(AK67,AK94)</f>
        <v>3038686.1350000002</v>
      </c>
    </row>
    <row r="68" spans="2:79" s="1" customFormat="1" ht="14.25">
      <c r="B68" s="75"/>
      <c r="C68" s="248" t="s">
        <v>67</v>
      </c>
      <c r="D68" s="79"/>
      <c r="E68" s="249" t="s">
        <v>10</v>
      </c>
      <c r="F68" s="92">
        <f t="shared" ref="F68:AI68" si="55">SUM(F72:F73)*10.86</f>
        <v>115659</v>
      </c>
      <c r="G68" s="92">
        <f t="shared" si="55"/>
        <v>115659</v>
      </c>
      <c r="H68" s="92">
        <f t="shared" si="55"/>
        <v>115669.86</v>
      </c>
      <c r="I68" s="92">
        <f t="shared" si="55"/>
        <v>115659</v>
      </c>
      <c r="J68" s="92">
        <f t="shared" si="55"/>
        <v>0</v>
      </c>
      <c r="K68" s="92">
        <f t="shared" si="55"/>
        <v>77106</v>
      </c>
      <c r="L68" s="92">
        <f t="shared" si="55"/>
        <v>76563</v>
      </c>
      <c r="M68" s="92">
        <f t="shared" si="55"/>
        <v>115680.72</v>
      </c>
      <c r="N68" s="92">
        <f t="shared" si="55"/>
        <v>115669.86</v>
      </c>
      <c r="O68" s="92">
        <f t="shared" si="55"/>
        <v>115669.86</v>
      </c>
      <c r="P68" s="92">
        <f t="shared" si="55"/>
        <v>115735.01999999999</v>
      </c>
      <c r="Q68" s="92">
        <f t="shared" si="55"/>
        <v>0</v>
      </c>
      <c r="R68" s="92">
        <f t="shared" si="55"/>
        <v>55624.92</v>
      </c>
      <c r="S68" s="92">
        <f t="shared" si="55"/>
        <v>87368.7</v>
      </c>
      <c r="T68" s="92">
        <f t="shared" si="55"/>
        <v>115659</v>
      </c>
      <c r="U68" s="92">
        <f t="shared" si="55"/>
        <v>115659</v>
      </c>
      <c r="V68" s="92">
        <f t="shared" si="55"/>
        <v>115659</v>
      </c>
      <c r="W68" s="92">
        <f t="shared" si="55"/>
        <v>77106</v>
      </c>
      <c r="X68" s="92">
        <f t="shared" si="55"/>
        <v>0</v>
      </c>
      <c r="Y68" s="92">
        <f t="shared" si="55"/>
        <v>62901.119999999995</v>
      </c>
      <c r="Z68" s="92">
        <f t="shared" si="55"/>
        <v>102116.58</v>
      </c>
      <c r="AA68" s="92">
        <f t="shared" si="55"/>
        <v>115680.72</v>
      </c>
      <c r="AB68" s="92">
        <f t="shared" si="55"/>
        <v>115659</v>
      </c>
      <c r="AC68" s="92">
        <f t="shared" si="55"/>
        <v>115659</v>
      </c>
      <c r="AD68" s="92">
        <f t="shared" si="55"/>
        <v>77116.86</v>
      </c>
      <c r="AE68" s="92">
        <f t="shared" si="55"/>
        <v>74401.86</v>
      </c>
      <c r="AF68" s="92">
        <f t="shared" si="55"/>
        <v>64291.199999999997</v>
      </c>
      <c r="AG68" s="92">
        <f t="shared" si="55"/>
        <v>102084</v>
      </c>
      <c r="AH68" s="92">
        <f t="shared" si="55"/>
        <v>115680.72</v>
      </c>
      <c r="AI68" s="92">
        <f t="shared" si="55"/>
        <v>77116.86</v>
      </c>
      <c r="AJ68" s="126"/>
      <c r="AK68" s="128">
        <f>SUM(F68:AI68)</f>
        <v>2668855.8599999994</v>
      </c>
      <c r="AL68" s="180"/>
      <c r="AM68" s="127"/>
      <c r="BV68" s="180">
        <f>SUM(AK69,AK96)</f>
        <v>221.03499999998283</v>
      </c>
      <c r="BY68" s="271"/>
      <c r="BZ68" s="271"/>
      <c r="CA68" s="271"/>
    </row>
    <row r="69" spans="2:79" s="1" customFormat="1" ht="14.25">
      <c r="B69" s="75"/>
      <c r="C69" s="248" t="s">
        <v>68</v>
      </c>
      <c r="D69" s="79"/>
      <c r="E69" s="249" t="s">
        <v>10</v>
      </c>
      <c r="F69" s="92">
        <f>F67-F68</f>
        <v>8.1549999999988358</v>
      </c>
      <c r="G69" s="92">
        <f t="shared" ref="G69:AI69" si="56">G67-G68</f>
        <v>8.1549999999988358</v>
      </c>
      <c r="H69" s="92">
        <f t="shared" si="56"/>
        <v>8.1549999999988358</v>
      </c>
      <c r="I69" s="92">
        <f t="shared" si="56"/>
        <v>8.1549999999988358</v>
      </c>
      <c r="J69" s="92">
        <f t="shared" si="56"/>
        <v>0</v>
      </c>
      <c r="K69" s="92">
        <f t="shared" si="56"/>
        <v>5.4299999999930151</v>
      </c>
      <c r="L69" s="92">
        <f t="shared" si="56"/>
        <v>6.3450000000011642</v>
      </c>
      <c r="M69" s="92">
        <f t="shared" si="56"/>
        <v>8.1549999999988358</v>
      </c>
      <c r="N69" s="92">
        <f t="shared" si="56"/>
        <v>9.0599999999976717</v>
      </c>
      <c r="O69" s="92">
        <f t="shared" si="56"/>
        <v>8.1549999999988358</v>
      </c>
      <c r="P69" s="92">
        <f t="shared" si="56"/>
        <v>8.1550000000133878</v>
      </c>
      <c r="Q69" s="92">
        <f t="shared" si="56"/>
        <v>0</v>
      </c>
      <c r="R69" s="92">
        <f t="shared" si="56"/>
        <v>4.5250000000014552</v>
      </c>
      <c r="S69" s="92">
        <f t="shared" si="56"/>
        <v>8.1499999999941792</v>
      </c>
      <c r="T69" s="92">
        <f t="shared" si="56"/>
        <v>8.1549999999988358</v>
      </c>
      <c r="U69" s="92">
        <f t="shared" si="56"/>
        <v>8.1549999999988358</v>
      </c>
      <c r="V69" s="92">
        <f t="shared" si="56"/>
        <v>8.1549999999988358</v>
      </c>
      <c r="W69" s="92">
        <f t="shared" si="56"/>
        <v>5.4299999999930151</v>
      </c>
      <c r="X69" s="92">
        <f t="shared" si="56"/>
        <v>8.1549999999999994</v>
      </c>
      <c r="Y69" s="92">
        <f t="shared" si="56"/>
        <v>0</v>
      </c>
      <c r="Z69" s="92">
        <f t="shared" si="56"/>
        <v>8.1499999999941792</v>
      </c>
      <c r="AA69" s="92">
        <f t="shared" si="56"/>
        <v>8.1549999999988358</v>
      </c>
      <c r="AB69" s="92">
        <f t="shared" si="56"/>
        <v>8.1549999999988358</v>
      </c>
      <c r="AC69" s="92">
        <f t="shared" si="56"/>
        <v>8.1549999999988358</v>
      </c>
      <c r="AD69" s="92">
        <f t="shared" si="56"/>
        <v>5.4299999999930151</v>
      </c>
      <c r="AE69" s="92">
        <f t="shared" si="56"/>
        <v>0</v>
      </c>
      <c r="AF69" s="92">
        <f t="shared" si="56"/>
        <v>5.430000000007567</v>
      </c>
      <c r="AG69" s="92">
        <f t="shared" si="56"/>
        <v>7.2449999999953434</v>
      </c>
      <c r="AH69" s="92">
        <f t="shared" si="56"/>
        <v>8.1549999999988358</v>
      </c>
      <c r="AI69" s="92">
        <f t="shared" si="56"/>
        <v>5.4299999999930151</v>
      </c>
      <c r="AJ69" s="126"/>
      <c r="AK69" s="128">
        <f>SUM(F69:AI69)</f>
        <v>192.94999999996188</v>
      </c>
      <c r="AM69" s="127"/>
      <c r="BV69" s="180">
        <f>SUM(AK69,AK96)</f>
        <v>221.03499999998283</v>
      </c>
      <c r="BY69" s="271"/>
      <c r="BZ69" s="271"/>
      <c r="CA69" s="271"/>
    </row>
    <row r="70" spans="2:79" s="1" customFormat="1" ht="14.25" hidden="1">
      <c r="B70" s="75"/>
      <c r="C70" s="248" t="s">
        <v>145</v>
      </c>
      <c r="D70" s="79"/>
      <c r="E70" s="75" t="s">
        <v>10</v>
      </c>
      <c r="F70" s="92">
        <v>0</v>
      </c>
      <c r="G70" s="92">
        <v>102.26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2">
        <v>0</v>
      </c>
      <c r="O70" s="92">
        <v>0</v>
      </c>
      <c r="P70" s="92">
        <v>0</v>
      </c>
      <c r="Q70" s="92">
        <v>0</v>
      </c>
      <c r="R70" s="92">
        <v>0</v>
      </c>
      <c r="S70" s="92">
        <v>6.56</v>
      </c>
      <c r="T70" s="92">
        <v>0</v>
      </c>
      <c r="U70" s="92">
        <v>0</v>
      </c>
      <c r="V70" s="92">
        <v>0</v>
      </c>
      <c r="W70" s="92">
        <v>0</v>
      </c>
      <c r="X70" s="92">
        <v>0</v>
      </c>
      <c r="Y70" s="92">
        <v>0</v>
      </c>
      <c r="Z70" s="92">
        <v>0</v>
      </c>
      <c r="AA70" s="92">
        <v>0</v>
      </c>
      <c r="AB70" s="92">
        <v>0</v>
      </c>
      <c r="AC70" s="92">
        <v>0</v>
      </c>
      <c r="AD70" s="92">
        <v>0</v>
      </c>
      <c r="AE70" s="92">
        <v>460</v>
      </c>
      <c r="AF70" s="92">
        <v>0</v>
      </c>
      <c r="AG70" s="92">
        <v>0</v>
      </c>
      <c r="AH70" s="92">
        <v>0</v>
      </c>
      <c r="AI70" s="92">
        <v>0</v>
      </c>
      <c r="AJ70" s="126"/>
      <c r="AK70" s="128">
        <f>SUM(F70:AI70)</f>
        <v>568.82000000000005</v>
      </c>
      <c r="AM70" s="127"/>
      <c r="BY70" s="271"/>
      <c r="BZ70" s="271"/>
      <c r="CA70" s="271"/>
    </row>
    <row r="71" spans="2:79" s="1" customFormat="1" ht="14.25">
      <c r="B71" s="75"/>
      <c r="C71" s="248" t="s">
        <v>69</v>
      </c>
      <c r="D71" s="79"/>
      <c r="E71" s="75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126"/>
      <c r="AK71" s="181" t="s">
        <v>69</v>
      </c>
      <c r="AM71" s="127"/>
      <c r="BY71" s="271"/>
      <c r="BZ71" s="271"/>
      <c r="CA71" s="271"/>
    </row>
    <row r="72" spans="2:79" s="7" customFormat="1" ht="14.25">
      <c r="B72" s="158"/>
      <c r="C72" s="250" t="s">
        <v>70</v>
      </c>
      <c r="D72" s="45"/>
      <c r="E72" s="251" t="s">
        <v>71</v>
      </c>
      <c r="F72" s="160">
        <v>3550</v>
      </c>
      <c r="G72" s="160">
        <v>3550</v>
      </c>
      <c r="H72" s="160">
        <v>3550</v>
      </c>
      <c r="I72" s="160">
        <v>3550</v>
      </c>
      <c r="J72" s="160">
        <v>0</v>
      </c>
      <c r="K72" s="160">
        <v>7100</v>
      </c>
      <c r="L72" s="160">
        <v>2350</v>
      </c>
      <c r="M72" s="160">
        <v>3550</v>
      </c>
      <c r="N72" s="160">
        <v>3550</v>
      </c>
      <c r="O72" s="160">
        <v>3550</v>
      </c>
      <c r="P72" s="160">
        <v>3550</v>
      </c>
      <c r="Q72" s="160">
        <v>0</v>
      </c>
      <c r="R72" s="160">
        <v>5122</v>
      </c>
      <c r="S72" s="160">
        <v>0</v>
      </c>
      <c r="T72" s="160">
        <v>3550</v>
      </c>
      <c r="U72" s="160">
        <v>3550</v>
      </c>
      <c r="V72" s="160">
        <v>3550</v>
      </c>
      <c r="W72" s="160">
        <v>7100</v>
      </c>
      <c r="X72" s="160">
        <v>0</v>
      </c>
      <c r="Y72" s="160">
        <v>5792</v>
      </c>
      <c r="Z72" s="160">
        <v>0</v>
      </c>
      <c r="AA72" s="160">
        <v>3550</v>
      </c>
      <c r="AB72" s="160">
        <v>3550</v>
      </c>
      <c r="AC72" s="160">
        <v>3550</v>
      </c>
      <c r="AD72" s="160">
        <v>7101</v>
      </c>
      <c r="AE72" s="160">
        <v>0</v>
      </c>
      <c r="AF72" s="160">
        <v>5920</v>
      </c>
      <c r="AG72" s="160">
        <v>0</v>
      </c>
      <c r="AH72" s="160">
        <v>3550</v>
      </c>
      <c r="AI72" s="160">
        <v>7101</v>
      </c>
      <c r="AJ72" s="182"/>
      <c r="AK72" s="183">
        <f>SUM(F72:AI72)</f>
        <v>100836</v>
      </c>
      <c r="AM72" s="184"/>
    </row>
    <row r="73" spans="2:79" s="7" customFormat="1" ht="14.25">
      <c r="B73" s="158"/>
      <c r="C73" s="250" t="s">
        <v>72</v>
      </c>
      <c r="D73" s="45"/>
      <c r="E73" s="251" t="s">
        <v>71</v>
      </c>
      <c r="F73" s="160">
        <v>7100</v>
      </c>
      <c r="G73" s="160">
        <v>7100</v>
      </c>
      <c r="H73" s="160">
        <v>7101</v>
      </c>
      <c r="I73" s="160">
        <v>7100</v>
      </c>
      <c r="J73" s="160">
        <v>0</v>
      </c>
      <c r="K73" s="160">
        <v>0</v>
      </c>
      <c r="L73" s="160">
        <v>4700</v>
      </c>
      <c r="M73" s="160">
        <v>7102</v>
      </c>
      <c r="N73" s="160">
        <v>7101</v>
      </c>
      <c r="O73" s="160">
        <v>7101</v>
      </c>
      <c r="P73" s="160">
        <v>7107</v>
      </c>
      <c r="Q73" s="160">
        <v>0</v>
      </c>
      <c r="R73" s="160">
        <v>0</v>
      </c>
      <c r="S73" s="160">
        <v>8045</v>
      </c>
      <c r="T73" s="160">
        <v>7100</v>
      </c>
      <c r="U73" s="160">
        <v>7100</v>
      </c>
      <c r="V73" s="160">
        <v>7100</v>
      </c>
      <c r="W73" s="160">
        <v>0</v>
      </c>
      <c r="X73" s="160">
        <v>0</v>
      </c>
      <c r="Y73" s="160">
        <v>0</v>
      </c>
      <c r="Z73" s="160">
        <v>9403</v>
      </c>
      <c r="AA73" s="160">
        <v>7102</v>
      </c>
      <c r="AB73" s="160">
        <v>7100</v>
      </c>
      <c r="AC73" s="160">
        <v>7100</v>
      </c>
      <c r="AD73" s="160">
        <v>0</v>
      </c>
      <c r="AE73" s="160">
        <v>6851</v>
      </c>
      <c r="AF73" s="160">
        <v>0</v>
      </c>
      <c r="AG73" s="160">
        <v>9400</v>
      </c>
      <c r="AH73" s="160">
        <v>7102</v>
      </c>
      <c r="AI73" s="160">
        <v>0</v>
      </c>
      <c r="AJ73" s="182"/>
      <c r="AK73" s="183">
        <f>SUM(F73:AI73)</f>
        <v>144915</v>
      </c>
      <c r="AM73" s="184"/>
    </row>
    <row r="74" spans="2:79" s="1" customFormat="1" ht="14.25">
      <c r="B74" s="75"/>
      <c r="C74" s="248" t="s">
        <v>73</v>
      </c>
      <c r="D74" s="79"/>
      <c r="E74" s="75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126"/>
      <c r="AK74" s="181" t="s">
        <v>73</v>
      </c>
      <c r="AM74" s="127"/>
    </row>
    <row r="75" spans="2:79" s="1" customFormat="1" ht="14.25">
      <c r="B75" s="75"/>
      <c r="C75" s="229" t="s">
        <v>70</v>
      </c>
      <c r="D75" s="79"/>
      <c r="E75" s="249" t="s">
        <v>73</v>
      </c>
      <c r="F75" s="64">
        <f t="shared" ref="F75:AI75" si="57">F72*12</f>
        <v>42600</v>
      </c>
      <c r="G75" s="64">
        <f t="shared" si="57"/>
        <v>42600</v>
      </c>
      <c r="H75" s="64">
        <f t="shared" si="57"/>
        <v>42600</v>
      </c>
      <c r="I75" s="64">
        <f t="shared" si="57"/>
        <v>42600</v>
      </c>
      <c r="J75" s="64">
        <f t="shared" si="57"/>
        <v>0</v>
      </c>
      <c r="K75" s="64">
        <f t="shared" si="57"/>
        <v>85200</v>
      </c>
      <c r="L75" s="64">
        <f t="shared" si="57"/>
        <v>28200</v>
      </c>
      <c r="M75" s="64">
        <f t="shared" si="57"/>
        <v>42600</v>
      </c>
      <c r="N75" s="64">
        <f t="shared" si="57"/>
        <v>42600</v>
      </c>
      <c r="O75" s="64">
        <f t="shared" si="57"/>
        <v>42600</v>
      </c>
      <c r="P75" s="64">
        <f t="shared" si="57"/>
        <v>42600</v>
      </c>
      <c r="Q75" s="64">
        <f t="shared" si="57"/>
        <v>0</v>
      </c>
      <c r="R75" s="64">
        <f t="shared" si="57"/>
        <v>61464</v>
      </c>
      <c r="S75" s="64">
        <f t="shared" si="57"/>
        <v>0</v>
      </c>
      <c r="T75" s="64">
        <f t="shared" si="57"/>
        <v>42600</v>
      </c>
      <c r="U75" s="64">
        <f t="shared" si="57"/>
        <v>42600</v>
      </c>
      <c r="V75" s="64">
        <f t="shared" si="57"/>
        <v>42600</v>
      </c>
      <c r="W75" s="64">
        <f t="shared" si="57"/>
        <v>85200</v>
      </c>
      <c r="X75" s="64">
        <f t="shared" si="57"/>
        <v>0</v>
      </c>
      <c r="Y75" s="64">
        <f t="shared" si="57"/>
        <v>69504</v>
      </c>
      <c r="Z75" s="64">
        <f t="shared" si="57"/>
        <v>0</v>
      </c>
      <c r="AA75" s="64">
        <f t="shared" si="57"/>
        <v>42600</v>
      </c>
      <c r="AB75" s="64">
        <f t="shared" si="57"/>
        <v>42600</v>
      </c>
      <c r="AC75" s="64">
        <f t="shared" si="57"/>
        <v>42600</v>
      </c>
      <c r="AD75" s="64">
        <f t="shared" si="57"/>
        <v>85212</v>
      </c>
      <c r="AE75" s="64">
        <f t="shared" si="57"/>
        <v>0</v>
      </c>
      <c r="AF75" s="64">
        <f t="shared" si="57"/>
        <v>71040</v>
      </c>
      <c r="AG75" s="64">
        <f t="shared" si="57"/>
        <v>0</v>
      </c>
      <c r="AH75" s="64">
        <f t="shared" si="57"/>
        <v>42600</v>
      </c>
      <c r="AI75" s="64">
        <f t="shared" si="57"/>
        <v>85212</v>
      </c>
      <c r="AJ75" s="126"/>
      <c r="AK75" s="183">
        <f>AK72*12</f>
        <v>1210032</v>
      </c>
      <c r="AM75" s="127"/>
    </row>
    <row r="76" spans="2:79" s="1" customFormat="1" ht="14.25">
      <c r="B76" s="75"/>
      <c r="C76" s="229" t="s">
        <v>72</v>
      </c>
      <c r="D76" s="79"/>
      <c r="E76" s="249" t="s">
        <v>73</v>
      </c>
      <c r="F76" s="64">
        <f t="shared" ref="F76:AI76" si="58">F73*6</f>
        <v>42600</v>
      </c>
      <c r="G76" s="64">
        <f t="shared" si="58"/>
        <v>42600</v>
      </c>
      <c r="H76" s="64">
        <f t="shared" si="58"/>
        <v>42606</v>
      </c>
      <c r="I76" s="64">
        <f t="shared" si="58"/>
        <v>42600</v>
      </c>
      <c r="J76" s="64">
        <f t="shared" si="58"/>
        <v>0</v>
      </c>
      <c r="K76" s="64">
        <f t="shared" si="58"/>
        <v>0</v>
      </c>
      <c r="L76" s="64">
        <f t="shared" si="58"/>
        <v>28200</v>
      </c>
      <c r="M76" s="64">
        <f t="shared" si="58"/>
        <v>42612</v>
      </c>
      <c r="N76" s="64">
        <f t="shared" si="58"/>
        <v>42606</v>
      </c>
      <c r="O76" s="64">
        <f t="shared" si="58"/>
        <v>42606</v>
      </c>
      <c r="P76" s="64">
        <f t="shared" si="58"/>
        <v>42642</v>
      </c>
      <c r="Q76" s="64">
        <f t="shared" si="58"/>
        <v>0</v>
      </c>
      <c r="R76" s="64">
        <f t="shared" si="58"/>
        <v>0</v>
      </c>
      <c r="S76" s="64">
        <f t="shared" si="58"/>
        <v>48270</v>
      </c>
      <c r="T76" s="64">
        <f t="shared" si="58"/>
        <v>42600</v>
      </c>
      <c r="U76" s="64">
        <f t="shared" si="58"/>
        <v>42600</v>
      </c>
      <c r="V76" s="64">
        <f t="shared" si="58"/>
        <v>42600</v>
      </c>
      <c r="W76" s="64">
        <f t="shared" si="58"/>
        <v>0</v>
      </c>
      <c r="X76" s="64">
        <f t="shared" si="58"/>
        <v>0</v>
      </c>
      <c r="Y76" s="64">
        <f t="shared" si="58"/>
        <v>0</v>
      </c>
      <c r="Z76" s="64">
        <f t="shared" si="58"/>
        <v>56418</v>
      </c>
      <c r="AA76" s="64">
        <f t="shared" si="58"/>
        <v>42612</v>
      </c>
      <c r="AB76" s="64">
        <f t="shared" si="58"/>
        <v>42600</v>
      </c>
      <c r="AC76" s="64">
        <f t="shared" si="58"/>
        <v>42600</v>
      </c>
      <c r="AD76" s="64">
        <f t="shared" si="58"/>
        <v>0</v>
      </c>
      <c r="AE76" s="64">
        <f t="shared" si="58"/>
        <v>41106</v>
      </c>
      <c r="AF76" s="64">
        <f t="shared" si="58"/>
        <v>0</v>
      </c>
      <c r="AG76" s="64">
        <f t="shared" si="58"/>
        <v>56400</v>
      </c>
      <c r="AH76" s="64">
        <f t="shared" si="58"/>
        <v>42612</v>
      </c>
      <c r="AI76" s="64">
        <f t="shared" si="58"/>
        <v>0</v>
      </c>
      <c r="AJ76" s="126"/>
      <c r="AK76" s="183">
        <f>AK73*6</f>
        <v>869490</v>
      </c>
      <c r="AM76" s="127"/>
    </row>
    <row r="77" spans="2:79" s="1" customFormat="1" ht="14.25">
      <c r="B77" s="75"/>
      <c r="C77" s="248" t="s">
        <v>74</v>
      </c>
      <c r="D77" s="79"/>
      <c r="E77" s="249" t="s">
        <v>75</v>
      </c>
      <c r="F77" s="161">
        <f>(F67*45)/1700</f>
        <v>3061.7776323529411</v>
      </c>
      <c r="G77" s="161">
        <f>(G67*45)/1700</f>
        <v>3061.7776323529411</v>
      </c>
      <c r="H77" s="161">
        <f t="shared" ref="H77:AI77" si="59">(H67*45)/1700</f>
        <v>3062.0651029411765</v>
      </c>
      <c r="I77" s="161">
        <f t="shared" si="59"/>
        <v>3061.7776323529411</v>
      </c>
      <c r="J77" s="161">
        <f t="shared" si="59"/>
        <v>0</v>
      </c>
      <c r="K77" s="161">
        <f t="shared" si="59"/>
        <v>2041.1849117647057</v>
      </c>
      <c r="L77" s="161">
        <f t="shared" si="59"/>
        <v>2026.8356029411764</v>
      </c>
      <c r="M77" s="161">
        <f t="shared" si="59"/>
        <v>3062.352573529412</v>
      </c>
      <c r="N77" s="161">
        <f t="shared" si="59"/>
        <v>3062.0890588235297</v>
      </c>
      <c r="O77" s="161">
        <f t="shared" si="59"/>
        <v>3062.0651029411765</v>
      </c>
      <c r="P77" s="161">
        <f t="shared" si="59"/>
        <v>3063.7899264705884</v>
      </c>
      <c r="Q77" s="161">
        <f t="shared" si="59"/>
        <v>0</v>
      </c>
      <c r="R77" s="161">
        <f t="shared" si="59"/>
        <v>1472.5441323529412</v>
      </c>
      <c r="S77" s="161">
        <f t="shared" si="59"/>
        <v>2312.9166176470585</v>
      </c>
      <c r="T77" s="161">
        <f t="shared" si="59"/>
        <v>3061.7776323529411</v>
      </c>
      <c r="U77" s="161">
        <f t="shared" si="59"/>
        <v>3061.7776323529411</v>
      </c>
      <c r="V77" s="161">
        <f t="shared" si="59"/>
        <v>3061.7776323529411</v>
      </c>
      <c r="W77" s="161">
        <f t="shared" si="59"/>
        <v>2041.1849117647057</v>
      </c>
      <c r="X77" s="168">
        <v>0</v>
      </c>
      <c r="Y77" s="161">
        <f t="shared" si="59"/>
        <v>1665.0296470588235</v>
      </c>
      <c r="Z77" s="161">
        <f t="shared" si="59"/>
        <v>2703.3016764705881</v>
      </c>
      <c r="AA77" s="161">
        <f t="shared" si="59"/>
        <v>3062.352573529412</v>
      </c>
      <c r="AB77" s="161">
        <f t="shared" si="59"/>
        <v>3061.7776323529411</v>
      </c>
      <c r="AC77" s="161">
        <f t="shared" si="59"/>
        <v>3061.7776323529411</v>
      </c>
      <c r="AD77" s="161">
        <f>(AD67*45)/1700</f>
        <v>2041.4723823529412</v>
      </c>
      <c r="AE77" s="161">
        <f t="shared" si="59"/>
        <v>1969.461</v>
      </c>
      <c r="AF77" s="161">
        <f t="shared" si="59"/>
        <v>1701.9696176470588</v>
      </c>
      <c r="AG77" s="161">
        <f t="shared" si="59"/>
        <v>2702.4153088235289</v>
      </c>
      <c r="AH77" s="161">
        <f t="shared" si="59"/>
        <v>3062.352573529412</v>
      </c>
      <c r="AI77" s="161">
        <f t="shared" si="59"/>
        <v>2041.4723823529412</v>
      </c>
      <c r="AJ77" s="126"/>
      <c r="AK77" s="183">
        <f>SUM(F77:AI77)</f>
        <v>70651.076161764693</v>
      </c>
      <c r="AM77" s="127"/>
      <c r="BV77" s="270">
        <f>SUM(AK77,AK103,AK130)/1000</f>
        <v>81.2203292470588</v>
      </c>
    </row>
    <row r="78" spans="2:79" s="1" customFormat="1" ht="14.25">
      <c r="B78" s="75"/>
      <c r="C78" s="248" t="s">
        <v>76</v>
      </c>
      <c r="D78" s="79"/>
      <c r="E78" s="249" t="s">
        <v>77</v>
      </c>
      <c r="F78" s="64">
        <f t="shared" ref="F78:AI78" si="60">SUM(F72:F73)/500</f>
        <v>21.3</v>
      </c>
      <c r="G78" s="64">
        <f t="shared" si="60"/>
        <v>21.3</v>
      </c>
      <c r="H78" s="64">
        <f t="shared" si="60"/>
        <v>21.302</v>
      </c>
      <c r="I78" s="64">
        <f t="shared" si="60"/>
        <v>21.3</v>
      </c>
      <c r="J78" s="64">
        <f t="shared" si="60"/>
        <v>0</v>
      </c>
      <c r="K78" s="64">
        <f t="shared" si="60"/>
        <v>14.2</v>
      </c>
      <c r="L78" s="64">
        <f t="shared" si="60"/>
        <v>14.1</v>
      </c>
      <c r="M78" s="64">
        <f t="shared" si="60"/>
        <v>21.303999999999998</v>
      </c>
      <c r="N78" s="64">
        <f t="shared" si="60"/>
        <v>21.302</v>
      </c>
      <c r="O78" s="64">
        <f t="shared" si="60"/>
        <v>21.302</v>
      </c>
      <c r="P78" s="64">
        <f t="shared" si="60"/>
        <v>21.314</v>
      </c>
      <c r="Q78" s="64">
        <f t="shared" si="60"/>
        <v>0</v>
      </c>
      <c r="R78" s="64">
        <f t="shared" si="60"/>
        <v>10.244</v>
      </c>
      <c r="S78" s="64">
        <f t="shared" si="60"/>
        <v>16.09</v>
      </c>
      <c r="T78" s="64">
        <f t="shared" si="60"/>
        <v>21.3</v>
      </c>
      <c r="U78" s="64">
        <f t="shared" si="60"/>
        <v>21.3</v>
      </c>
      <c r="V78" s="64">
        <f t="shared" si="60"/>
        <v>21.3</v>
      </c>
      <c r="W78" s="64">
        <f t="shared" si="60"/>
        <v>14.2</v>
      </c>
      <c r="X78" s="64">
        <f t="shared" si="60"/>
        <v>0</v>
      </c>
      <c r="Y78" s="64">
        <f t="shared" si="60"/>
        <v>11.584</v>
      </c>
      <c r="Z78" s="64">
        <f t="shared" si="60"/>
        <v>18.806000000000001</v>
      </c>
      <c r="AA78" s="64">
        <f t="shared" si="60"/>
        <v>21.303999999999998</v>
      </c>
      <c r="AB78" s="64">
        <f t="shared" si="60"/>
        <v>21.3</v>
      </c>
      <c r="AC78" s="64">
        <f t="shared" si="60"/>
        <v>21.3</v>
      </c>
      <c r="AD78" s="64">
        <f t="shared" si="60"/>
        <v>14.202</v>
      </c>
      <c r="AE78" s="64">
        <f t="shared" si="60"/>
        <v>13.702</v>
      </c>
      <c r="AF78" s="64">
        <f t="shared" si="60"/>
        <v>11.84</v>
      </c>
      <c r="AG78" s="64">
        <f t="shared" si="60"/>
        <v>18.8</v>
      </c>
      <c r="AH78" s="64">
        <f t="shared" si="60"/>
        <v>21.303999999999998</v>
      </c>
      <c r="AI78" s="64">
        <f t="shared" si="60"/>
        <v>14.202</v>
      </c>
      <c r="AJ78" s="126"/>
      <c r="AK78" s="183">
        <f>SUM(F78:AI78)</f>
        <v>491.5019999999999</v>
      </c>
      <c r="AM78" s="127"/>
    </row>
    <row r="79" spans="2:79">
      <c r="B79" s="61"/>
      <c r="C79" s="40" t="s">
        <v>78</v>
      </c>
      <c r="D79" s="59"/>
      <c r="E79" s="59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112"/>
      <c r="AD79" s="60"/>
      <c r="AE79" s="60"/>
      <c r="AF79" s="60"/>
      <c r="AG79" s="60"/>
      <c r="AH79" s="112"/>
      <c r="AI79" s="112"/>
      <c r="AJ79" s="116"/>
      <c r="AK79" s="233" t="s">
        <v>79</v>
      </c>
    </row>
    <row r="80" spans="2:79" s="1" customFormat="1" ht="14.25">
      <c r="B80" s="75"/>
      <c r="C80" s="248" t="s">
        <v>69</v>
      </c>
      <c r="D80" s="79"/>
      <c r="E80" s="75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126"/>
      <c r="AK80" s="181" t="s">
        <v>69</v>
      </c>
      <c r="AM80" s="127"/>
    </row>
    <row r="81" spans="1:15516" s="1" customFormat="1" ht="14.25">
      <c r="B81" s="75"/>
      <c r="C81" s="229" t="s">
        <v>70</v>
      </c>
      <c r="D81" s="79"/>
      <c r="E81" s="249" t="s">
        <v>71</v>
      </c>
      <c r="F81" s="64">
        <v>1</v>
      </c>
      <c r="G81" s="64">
        <v>3</v>
      </c>
      <c r="H81" s="64">
        <v>8</v>
      </c>
      <c r="I81" s="64">
        <v>0</v>
      </c>
      <c r="J81" s="64">
        <v>0</v>
      </c>
      <c r="K81" s="64">
        <v>5</v>
      </c>
      <c r="L81" s="64">
        <v>3</v>
      </c>
      <c r="M81" s="64">
        <v>0</v>
      </c>
      <c r="N81" s="64">
        <v>1</v>
      </c>
      <c r="O81" s="64">
        <v>0</v>
      </c>
      <c r="P81" s="64">
        <v>3</v>
      </c>
      <c r="Q81" s="64">
        <v>0</v>
      </c>
      <c r="R81" s="64">
        <v>6</v>
      </c>
      <c r="S81" s="64">
        <v>0</v>
      </c>
      <c r="T81" s="64">
        <v>13</v>
      </c>
      <c r="U81" s="64">
        <v>24</v>
      </c>
      <c r="V81" s="64">
        <v>6</v>
      </c>
      <c r="W81" s="64">
        <v>1</v>
      </c>
      <c r="X81" s="64">
        <v>0</v>
      </c>
      <c r="Y81" s="64">
        <v>6</v>
      </c>
      <c r="Z81" s="64">
        <v>0</v>
      </c>
      <c r="AA81" s="64">
        <v>1</v>
      </c>
      <c r="AB81" s="64">
        <v>8</v>
      </c>
      <c r="AC81" s="64">
        <v>1</v>
      </c>
      <c r="AD81" s="64">
        <v>3</v>
      </c>
      <c r="AE81" s="64">
        <v>0</v>
      </c>
      <c r="AF81" s="64">
        <v>6</v>
      </c>
      <c r="AG81" s="64">
        <v>0</v>
      </c>
      <c r="AH81" s="64">
        <v>1</v>
      </c>
      <c r="AI81" s="64">
        <v>3</v>
      </c>
      <c r="AJ81" s="126"/>
      <c r="AK81" s="183">
        <f>SUM(F81:AI81)</f>
        <v>103</v>
      </c>
      <c r="AM81" s="127"/>
    </row>
    <row r="82" spans="1:15516" s="1" customFormat="1" ht="14.25">
      <c r="B82" s="75"/>
      <c r="C82" s="229" t="s">
        <v>72</v>
      </c>
      <c r="D82" s="79"/>
      <c r="E82" s="249" t="s">
        <v>71</v>
      </c>
      <c r="F82" s="64">
        <v>3</v>
      </c>
      <c r="G82" s="64">
        <v>6</v>
      </c>
      <c r="H82" s="64">
        <v>4</v>
      </c>
      <c r="I82" s="64">
        <v>1</v>
      </c>
      <c r="J82" s="64">
        <v>0</v>
      </c>
      <c r="K82" s="64">
        <v>0</v>
      </c>
      <c r="L82" s="64">
        <v>10</v>
      </c>
      <c r="M82" s="64">
        <v>6</v>
      </c>
      <c r="N82" s="64">
        <v>10</v>
      </c>
      <c r="O82" s="64">
        <v>6</v>
      </c>
      <c r="P82" s="64">
        <v>10</v>
      </c>
      <c r="Q82" s="64">
        <v>0</v>
      </c>
      <c r="R82" s="64">
        <v>0</v>
      </c>
      <c r="S82" s="64">
        <v>11</v>
      </c>
      <c r="T82" s="64">
        <v>5</v>
      </c>
      <c r="U82" s="64">
        <v>5</v>
      </c>
      <c r="V82" s="64">
        <v>3</v>
      </c>
      <c r="W82" s="64">
        <v>0</v>
      </c>
      <c r="X82" s="64">
        <v>0</v>
      </c>
      <c r="Y82" s="64">
        <v>0</v>
      </c>
      <c r="Z82" s="64">
        <v>4</v>
      </c>
      <c r="AA82" s="64">
        <v>7</v>
      </c>
      <c r="AB82" s="64">
        <v>3</v>
      </c>
      <c r="AC82" s="64">
        <v>1</v>
      </c>
      <c r="AD82" s="64">
        <v>0</v>
      </c>
      <c r="AE82" s="64">
        <v>4</v>
      </c>
      <c r="AF82" s="64">
        <v>0</v>
      </c>
      <c r="AG82" s="64">
        <v>14</v>
      </c>
      <c r="AH82" s="64">
        <v>6</v>
      </c>
      <c r="AI82" s="64">
        <v>0</v>
      </c>
      <c r="AJ82" s="126"/>
      <c r="AK82" s="183">
        <f>SUM(F82:AI82)</f>
        <v>119</v>
      </c>
      <c r="AM82" s="127"/>
    </row>
    <row r="83" spans="1:15516" s="1" customFormat="1" ht="14.25">
      <c r="B83" s="75"/>
      <c r="C83" s="248" t="s">
        <v>73</v>
      </c>
      <c r="D83" s="79"/>
      <c r="E83" s="75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126"/>
      <c r="AK83" s="181" t="s">
        <v>73</v>
      </c>
      <c r="AM83" s="127"/>
    </row>
    <row r="84" spans="1:15516" s="1" customFormat="1" ht="14.25">
      <c r="B84" s="75"/>
      <c r="C84" s="229" t="s">
        <v>70</v>
      </c>
      <c r="D84" s="79"/>
      <c r="E84" s="249" t="s">
        <v>73</v>
      </c>
      <c r="F84" s="127">
        <v>5</v>
      </c>
      <c r="G84" s="160">
        <v>8</v>
      </c>
      <c r="H84" s="160">
        <v>7</v>
      </c>
      <c r="I84" s="64">
        <v>3</v>
      </c>
      <c r="J84" s="64">
        <v>0</v>
      </c>
      <c r="K84" s="64">
        <v>35</v>
      </c>
      <c r="L84" s="64">
        <v>4</v>
      </c>
      <c r="M84" s="64">
        <v>8</v>
      </c>
      <c r="N84" s="169">
        <v>1</v>
      </c>
      <c r="O84" s="64">
        <v>9</v>
      </c>
      <c r="P84" s="64">
        <v>6</v>
      </c>
      <c r="Q84" s="64">
        <v>0</v>
      </c>
      <c r="R84" s="64">
        <v>17</v>
      </c>
      <c r="S84" s="64">
        <v>0</v>
      </c>
      <c r="T84" s="64">
        <v>17</v>
      </c>
      <c r="U84" s="169">
        <v>12</v>
      </c>
      <c r="V84" s="64">
        <v>13</v>
      </c>
      <c r="W84" s="64">
        <v>40</v>
      </c>
      <c r="X84" s="64">
        <v>0</v>
      </c>
      <c r="Y84" s="64">
        <v>36</v>
      </c>
      <c r="Z84" s="64">
        <v>0</v>
      </c>
      <c r="AA84" s="64">
        <v>8</v>
      </c>
      <c r="AB84" s="169">
        <v>4</v>
      </c>
      <c r="AC84" s="64">
        <v>5</v>
      </c>
      <c r="AD84" s="64">
        <v>39</v>
      </c>
      <c r="AE84" s="64">
        <v>0</v>
      </c>
      <c r="AF84" s="64">
        <v>31</v>
      </c>
      <c r="AG84" s="160">
        <v>0</v>
      </c>
      <c r="AH84" s="160">
        <v>11</v>
      </c>
      <c r="AI84" s="64">
        <v>37</v>
      </c>
      <c r="AJ84" s="126"/>
      <c r="AK84" s="183">
        <f>SUM(F84:AI84)</f>
        <v>356</v>
      </c>
      <c r="AM84" s="127"/>
    </row>
    <row r="85" spans="1:15516" s="1" customFormat="1" ht="14.25">
      <c r="B85" s="75"/>
      <c r="C85" s="229" t="s">
        <v>72</v>
      </c>
      <c r="D85" s="79"/>
      <c r="E85" s="249" t="s">
        <v>73</v>
      </c>
      <c r="F85" s="127">
        <v>12</v>
      </c>
      <c r="G85" s="160">
        <v>4</v>
      </c>
      <c r="H85" s="160">
        <v>4</v>
      </c>
      <c r="I85" s="64">
        <v>6</v>
      </c>
      <c r="J85" s="64">
        <v>0</v>
      </c>
      <c r="K85" s="64">
        <v>0</v>
      </c>
      <c r="L85" s="64">
        <v>5</v>
      </c>
      <c r="M85" s="64">
        <v>6</v>
      </c>
      <c r="N85" s="169">
        <v>5</v>
      </c>
      <c r="O85" s="64">
        <v>10</v>
      </c>
      <c r="P85" s="64">
        <v>8</v>
      </c>
      <c r="Q85" s="64">
        <v>0</v>
      </c>
      <c r="R85" s="64">
        <v>0</v>
      </c>
      <c r="S85" s="64">
        <v>12</v>
      </c>
      <c r="T85" s="64">
        <v>2</v>
      </c>
      <c r="U85" s="169">
        <v>5</v>
      </c>
      <c r="V85" s="64">
        <v>5</v>
      </c>
      <c r="W85" s="64">
        <v>0</v>
      </c>
      <c r="X85" s="64">
        <v>0</v>
      </c>
      <c r="Y85" s="64">
        <v>0</v>
      </c>
      <c r="Z85" s="64">
        <v>17</v>
      </c>
      <c r="AA85" s="64">
        <v>13</v>
      </c>
      <c r="AB85" s="169">
        <v>23</v>
      </c>
      <c r="AC85" s="64">
        <v>9</v>
      </c>
      <c r="AD85" s="64">
        <v>0</v>
      </c>
      <c r="AE85" s="64">
        <v>6</v>
      </c>
      <c r="AF85" s="64">
        <v>0</v>
      </c>
      <c r="AG85" s="282">
        <v>15</v>
      </c>
      <c r="AH85" s="160">
        <v>0</v>
      </c>
      <c r="AI85" s="64">
        <v>0</v>
      </c>
      <c r="AJ85" s="126"/>
      <c r="AK85" s="183">
        <f>SUM(F85:AI85)</f>
        <v>167</v>
      </c>
      <c r="AM85" s="127"/>
    </row>
    <row r="86" spans="1:15516">
      <c r="B86" s="61"/>
      <c r="C86" s="40" t="s">
        <v>80</v>
      </c>
      <c r="D86" s="59"/>
      <c r="E86" s="59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112"/>
      <c r="AD86" s="60"/>
      <c r="AE86" s="60"/>
      <c r="AF86" s="60"/>
      <c r="AG86" s="60"/>
      <c r="AH86" s="112"/>
      <c r="AI86" s="112"/>
      <c r="AJ86" s="116"/>
      <c r="AK86" s="233" t="s">
        <v>79</v>
      </c>
    </row>
    <row r="87" spans="1:15516" s="1" customFormat="1" ht="14.25">
      <c r="B87" s="75"/>
      <c r="C87" s="248" t="s">
        <v>69</v>
      </c>
      <c r="D87" s="79"/>
      <c r="E87" s="75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126"/>
      <c r="AK87" s="181" t="s">
        <v>69</v>
      </c>
      <c r="AM87" s="127"/>
    </row>
    <row r="88" spans="1:15516" s="1" customFormat="1" ht="14.25">
      <c r="B88" s="75"/>
      <c r="C88" s="229" t="s">
        <v>70</v>
      </c>
      <c r="D88" s="74">
        <v>0.3</v>
      </c>
      <c r="E88" s="249" t="s">
        <v>13</v>
      </c>
      <c r="F88" s="92">
        <f t="shared" ref="F88:AI88" si="61">F81/F72*100</f>
        <v>2.8169014084507043E-2</v>
      </c>
      <c r="G88" s="92">
        <f t="shared" si="61"/>
        <v>8.4507042253521125E-2</v>
      </c>
      <c r="H88" s="92">
        <f t="shared" si="61"/>
        <v>0.22535211267605634</v>
      </c>
      <c r="I88" s="92">
        <f t="shared" si="61"/>
        <v>0</v>
      </c>
      <c r="J88" s="92" t="e">
        <f t="shared" si="61"/>
        <v>#DIV/0!</v>
      </c>
      <c r="K88" s="92">
        <f t="shared" si="61"/>
        <v>7.0422535211267609E-2</v>
      </c>
      <c r="L88" s="92">
        <f t="shared" si="61"/>
        <v>0.1276595744680851</v>
      </c>
      <c r="M88" s="92">
        <f t="shared" si="61"/>
        <v>0</v>
      </c>
      <c r="N88" s="92">
        <f t="shared" si="61"/>
        <v>2.8169014084507043E-2</v>
      </c>
      <c r="O88" s="92">
        <f t="shared" si="61"/>
        <v>0</v>
      </c>
      <c r="P88" s="92">
        <f t="shared" si="61"/>
        <v>8.4507042253521125E-2</v>
      </c>
      <c r="Q88" s="92" t="e">
        <f t="shared" si="61"/>
        <v>#DIV/0!</v>
      </c>
      <c r="R88" s="92">
        <f t="shared" si="61"/>
        <v>0.11714174150722373</v>
      </c>
      <c r="S88" s="92" t="e">
        <f t="shared" si="61"/>
        <v>#DIV/0!</v>
      </c>
      <c r="T88" s="92">
        <f t="shared" si="61"/>
        <v>0.36619718309859156</v>
      </c>
      <c r="U88" s="92">
        <f t="shared" si="61"/>
        <v>0.676056338028169</v>
      </c>
      <c r="V88" s="92">
        <f t="shared" si="61"/>
        <v>0.16901408450704225</v>
      </c>
      <c r="W88" s="92">
        <f t="shared" si="61"/>
        <v>1.4084507042253521E-2</v>
      </c>
      <c r="X88" s="92" t="e">
        <f t="shared" si="61"/>
        <v>#DIV/0!</v>
      </c>
      <c r="Y88" s="92">
        <f t="shared" si="61"/>
        <v>0.10359116022099447</v>
      </c>
      <c r="Z88" s="92" t="e">
        <f t="shared" si="61"/>
        <v>#DIV/0!</v>
      </c>
      <c r="AA88" s="92">
        <f t="shared" si="61"/>
        <v>2.8169014084507043E-2</v>
      </c>
      <c r="AB88" s="92">
        <f t="shared" si="61"/>
        <v>0.22535211267605634</v>
      </c>
      <c r="AC88" s="92">
        <f t="shared" si="61"/>
        <v>2.8169014084507043E-2</v>
      </c>
      <c r="AD88" s="92">
        <f t="shared" si="61"/>
        <v>4.2247570764681032E-2</v>
      </c>
      <c r="AE88" s="92" t="e">
        <f t="shared" si="61"/>
        <v>#DIV/0!</v>
      </c>
      <c r="AF88" s="92">
        <f t="shared" si="61"/>
        <v>0.10135135135135136</v>
      </c>
      <c r="AG88" s="92" t="e">
        <f t="shared" si="61"/>
        <v>#DIV/0!</v>
      </c>
      <c r="AH88" s="92">
        <f t="shared" si="61"/>
        <v>2.8169014084507043E-2</v>
      </c>
      <c r="AI88" s="92">
        <f t="shared" si="61"/>
        <v>4.2247570764681032E-2</v>
      </c>
      <c r="AJ88" s="126"/>
      <c r="AK88" s="128">
        <f>AK81/AK72*100</f>
        <v>0.1021460589472014</v>
      </c>
      <c r="AM88" s="127"/>
    </row>
    <row r="89" spans="1:15516" s="1" customFormat="1" ht="14.25">
      <c r="B89" s="75"/>
      <c r="C89" s="229" t="s">
        <v>72</v>
      </c>
      <c r="D89" s="74">
        <v>0.3</v>
      </c>
      <c r="E89" s="249" t="s">
        <v>13</v>
      </c>
      <c r="F89" s="92">
        <f t="shared" ref="F89:AI89" si="62">F82/F73*100</f>
        <v>4.2253521126760563E-2</v>
      </c>
      <c r="G89" s="92">
        <f t="shared" si="62"/>
        <v>8.4507042253521125E-2</v>
      </c>
      <c r="H89" s="92">
        <f t="shared" si="62"/>
        <v>5.6330094352908033E-2</v>
      </c>
      <c r="I89" s="92">
        <f t="shared" si="62"/>
        <v>1.4084507042253521E-2</v>
      </c>
      <c r="J89" s="92" t="e">
        <f t="shared" si="62"/>
        <v>#DIV/0!</v>
      </c>
      <c r="K89" s="92" t="e">
        <f t="shared" si="62"/>
        <v>#DIV/0!</v>
      </c>
      <c r="L89" s="92">
        <f t="shared" si="62"/>
        <v>0.21276595744680851</v>
      </c>
      <c r="M89" s="92">
        <f t="shared" si="62"/>
        <v>8.4483244156575613E-2</v>
      </c>
      <c r="N89" s="92">
        <f t="shared" si="62"/>
        <v>0.14082523588227008</v>
      </c>
      <c r="O89" s="92">
        <f t="shared" si="62"/>
        <v>8.4495141529362064E-2</v>
      </c>
      <c r="P89" s="92">
        <f t="shared" si="62"/>
        <v>0.14070634585619812</v>
      </c>
      <c r="Q89" s="92" t="e">
        <f t="shared" si="62"/>
        <v>#DIV/0!</v>
      </c>
      <c r="R89" s="92" t="e">
        <f t="shared" si="62"/>
        <v>#DIV/0!</v>
      </c>
      <c r="S89" s="92">
        <f t="shared" si="62"/>
        <v>0.13673088875077688</v>
      </c>
      <c r="T89" s="92">
        <f t="shared" si="62"/>
        <v>7.0422535211267609E-2</v>
      </c>
      <c r="U89" s="92">
        <f t="shared" si="62"/>
        <v>7.0422535211267609E-2</v>
      </c>
      <c r="V89" s="92">
        <f t="shared" si="62"/>
        <v>4.2253521126760563E-2</v>
      </c>
      <c r="W89" s="92" t="e">
        <f t="shared" si="62"/>
        <v>#DIV/0!</v>
      </c>
      <c r="X89" s="92" t="e">
        <f t="shared" si="62"/>
        <v>#DIV/0!</v>
      </c>
      <c r="Y89" s="92" t="e">
        <f t="shared" si="62"/>
        <v>#DIV/0!</v>
      </c>
      <c r="Z89" s="92">
        <f t="shared" si="62"/>
        <v>4.2539615016484102E-2</v>
      </c>
      <c r="AA89" s="92">
        <f t="shared" si="62"/>
        <v>9.8563784849338226E-2</v>
      </c>
      <c r="AB89" s="92">
        <f t="shared" si="62"/>
        <v>4.2253521126760563E-2</v>
      </c>
      <c r="AC89" s="92">
        <f t="shared" si="62"/>
        <v>1.4084507042253521E-2</v>
      </c>
      <c r="AD89" s="92" t="e">
        <f t="shared" si="62"/>
        <v>#DIV/0!</v>
      </c>
      <c r="AE89" s="92">
        <f t="shared" si="62"/>
        <v>5.8385637133265215E-2</v>
      </c>
      <c r="AF89" s="92" t="e">
        <f t="shared" si="62"/>
        <v>#DIV/0!</v>
      </c>
      <c r="AG89" s="92">
        <f t="shared" si="62"/>
        <v>0.14893617021276595</v>
      </c>
      <c r="AH89" s="92">
        <f t="shared" si="62"/>
        <v>8.4483244156575613E-2</v>
      </c>
      <c r="AI89" s="92" t="e">
        <f t="shared" si="62"/>
        <v>#DIV/0!</v>
      </c>
      <c r="AJ89" s="126"/>
      <c r="AK89" s="128">
        <f>AK82/AK73*100</f>
        <v>8.2117103129420693E-2</v>
      </c>
      <c r="AM89" s="127"/>
    </row>
    <row r="90" spans="1:15516" s="1" customFormat="1" ht="14.25">
      <c r="B90" s="75"/>
      <c r="C90" s="248" t="s">
        <v>73</v>
      </c>
      <c r="D90" s="74"/>
      <c r="E90" s="75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126"/>
      <c r="AK90" s="181" t="s">
        <v>73</v>
      </c>
      <c r="AM90" s="127"/>
    </row>
    <row r="91" spans="1:15516" s="1" customFormat="1" ht="14.25">
      <c r="B91" s="75"/>
      <c r="C91" s="229" t="s">
        <v>70</v>
      </c>
      <c r="D91" s="74">
        <v>0.5</v>
      </c>
      <c r="E91" s="249" t="s">
        <v>13</v>
      </c>
      <c r="F91" s="92">
        <f t="shared" ref="F91:AI91" si="63">F84/F75*100</f>
        <v>1.1737089201877934E-2</v>
      </c>
      <c r="G91" s="92">
        <f t="shared" si="63"/>
        <v>1.8779342723004695E-2</v>
      </c>
      <c r="H91" s="92">
        <f t="shared" si="63"/>
        <v>1.6431924882629106E-2</v>
      </c>
      <c r="I91" s="92">
        <f t="shared" si="63"/>
        <v>7.0422535211267607E-3</v>
      </c>
      <c r="J91" s="92" t="e">
        <f t="shared" si="63"/>
        <v>#DIV/0!</v>
      </c>
      <c r="K91" s="92">
        <f t="shared" si="63"/>
        <v>4.1079812206572766E-2</v>
      </c>
      <c r="L91" s="92">
        <f t="shared" si="63"/>
        <v>1.4184397163120567E-2</v>
      </c>
      <c r="M91" s="92">
        <f t="shared" si="63"/>
        <v>1.8779342723004695E-2</v>
      </c>
      <c r="N91" s="92">
        <f t="shared" si="63"/>
        <v>2.3474178403755869E-3</v>
      </c>
      <c r="O91" s="92">
        <f t="shared" si="63"/>
        <v>2.1126760563380281E-2</v>
      </c>
      <c r="P91" s="92">
        <f t="shared" si="63"/>
        <v>1.4084507042253521E-2</v>
      </c>
      <c r="Q91" s="92" t="e">
        <f t="shared" si="63"/>
        <v>#DIV/0!</v>
      </c>
      <c r="R91" s="92">
        <f t="shared" si="63"/>
        <v>2.7658466744761162E-2</v>
      </c>
      <c r="S91" s="92" t="e">
        <f t="shared" si="63"/>
        <v>#DIV/0!</v>
      </c>
      <c r="T91" s="92">
        <f t="shared" si="63"/>
        <v>3.9906103286384977E-2</v>
      </c>
      <c r="U91" s="92">
        <f t="shared" si="63"/>
        <v>2.8169014084507043E-2</v>
      </c>
      <c r="V91" s="92">
        <f t="shared" si="63"/>
        <v>3.0516431924882629E-2</v>
      </c>
      <c r="W91" s="92">
        <f t="shared" si="63"/>
        <v>4.6948356807511735E-2</v>
      </c>
      <c r="X91" s="92" t="e">
        <f t="shared" si="63"/>
        <v>#DIV/0!</v>
      </c>
      <c r="Y91" s="92">
        <f t="shared" si="63"/>
        <v>5.1795580110497237E-2</v>
      </c>
      <c r="Z91" s="92" t="e">
        <f t="shared" si="63"/>
        <v>#DIV/0!</v>
      </c>
      <c r="AA91" s="92">
        <f t="shared" si="63"/>
        <v>1.8779342723004695E-2</v>
      </c>
      <c r="AB91" s="92">
        <f t="shared" si="63"/>
        <v>9.3896713615023476E-3</v>
      </c>
      <c r="AC91" s="92">
        <f t="shared" si="63"/>
        <v>1.1737089201877934E-2</v>
      </c>
      <c r="AD91" s="92">
        <f t="shared" si="63"/>
        <v>4.5768201661737784E-2</v>
      </c>
      <c r="AE91" s="92" t="e">
        <f t="shared" si="63"/>
        <v>#DIV/0!</v>
      </c>
      <c r="AF91" s="92">
        <f t="shared" si="63"/>
        <v>4.3637387387387386E-2</v>
      </c>
      <c r="AG91" s="92" t="e">
        <f t="shared" si="63"/>
        <v>#DIV/0!</v>
      </c>
      <c r="AH91" s="92">
        <f t="shared" si="63"/>
        <v>2.5821596244131453E-2</v>
      </c>
      <c r="AI91" s="92">
        <f t="shared" si="63"/>
        <v>4.3421114397033285E-2</v>
      </c>
      <c r="AJ91" s="126"/>
      <c r="AK91" s="128">
        <f>AK84/AK75*100</f>
        <v>2.9420709534954449E-2</v>
      </c>
      <c r="AM91" s="127"/>
    </row>
    <row r="92" spans="1:15516" s="1" customFormat="1" ht="14.25">
      <c r="B92" s="75"/>
      <c r="C92" s="229" t="s">
        <v>72</v>
      </c>
      <c r="D92" s="74">
        <v>0.5</v>
      </c>
      <c r="E92" s="249" t="s">
        <v>13</v>
      </c>
      <c r="F92" s="92">
        <f t="shared" ref="F92:AI92" si="64">F85/F76*100</f>
        <v>2.8169014084507043E-2</v>
      </c>
      <c r="G92" s="92">
        <f t="shared" si="64"/>
        <v>9.3896713615023476E-3</v>
      </c>
      <c r="H92" s="92">
        <f t="shared" si="64"/>
        <v>9.3883490588180067E-3</v>
      </c>
      <c r="I92" s="92">
        <f t="shared" si="64"/>
        <v>1.4084507042253521E-2</v>
      </c>
      <c r="J92" s="92" t="e">
        <f t="shared" si="64"/>
        <v>#DIV/0!</v>
      </c>
      <c r="K92" s="92" t="e">
        <f t="shared" si="64"/>
        <v>#DIV/0!</v>
      </c>
      <c r="L92" s="92">
        <f t="shared" si="64"/>
        <v>1.7730496453900711E-2</v>
      </c>
      <c r="M92" s="92">
        <f t="shared" si="64"/>
        <v>1.4080540692762602E-2</v>
      </c>
      <c r="N92" s="92">
        <f t="shared" si="64"/>
        <v>1.1735436323522509E-2</v>
      </c>
      <c r="O92" s="92">
        <f t="shared" si="64"/>
        <v>2.3470872647045019E-2</v>
      </c>
      <c r="P92" s="92">
        <f t="shared" si="64"/>
        <v>1.8760846114159749E-2</v>
      </c>
      <c r="Q92" s="92" t="e">
        <f t="shared" si="64"/>
        <v>#DIV/0!</v>
      </c>
      <c r="R92" s="92" t="e">
        <f t="shared" si="64"/>
        <v>#DIV/0!</v>
      </c>
      <c r="S92" s="92">
        <f t="shared" si="64"/>
        <v>2.4860161591050343E-2</v>
      </c>
      <c r="T92" s="92">
        <f t="shared" si="64"/>
        <v>4.6948356807511738E-3</v>
      </c>
      <c r="U92" s="92">
        <f t="shared" si="64"/>
        <v>1.1737089201877934E-2</v>
      </c>
      <c r="V92" s="92">
        <f t="shared" si="64"/>
        <v>1.1737089201877934E-2</v>
      </c>
      <c r="W92" s="92" t="e">
        <f t="shared" si="64"/>
        <v>#DIV/0!</v>
      </c>
      <c r="X92" s="92" t="e">
        <f t="shared" si="64"/>
        <v>#DIV/0!</v>
      </c>
      <c r="Y92" s="92" t="e">
        <f t="shared" si="64"/>
        <v>#DIV/0!</v>
      </c>
      <c r="Z92" s="92">
        <f t="shared" si="64"/>
        <v>3.0132227303342907E-2</v>
      </c>
      <c r="AA92" s="92">
        <f t="shared" si="64"/>
        <v>3.0507838167652304E-2</v>
      </c>
      <c r="AB92" s="92">
        <f t="shared" si="64"/>
        <v>5.39906103286385E-2</v>
      </c>
      <c r="AC92" s="92">
        <f t="shared" si="64"/>
        <v>2.1126760563380281E-2</v>
      </c>
      <c r="AD92" s="92" t="e">
        <f t="shared" si="64"/>
        <v>#DIV/0!</v>
      </c>
      <c r="AE92" s="92">
        <f t="shared" si="64"/>
        <v>1.4596409283316304E-2</v>
      </c>
      <c r="AF92" s="92" t="e">
        <f t="shared" si="64"/>
        <v>#DIV/0!</v>
      </c>
      <c r="AG92" s="92">
        <f t="shared" si="64"/>
        <v>2.6595744680851064E-2</v>
      </c>
      <c r="AH92" s="92">
        <f t="shared" si="64"/>
        <v>0</v>
      </c>
      <c r="AI92" s="92" t="e">
        <f t="shared" si="64"/>
        <v>#DIV/0!</v>
      </c>
      <c r="AJ92" s="126"/>
      <c r="AK92" s="128">
        <f>AK85/AK76*100</f>
        <v>1.9206661376209043E-2</v>
      </c>
      <c r="AM92" s="127"/>
    </row>
    <row r="93" spans="1:15516" s="1" customFormat="1">
      <c r="A93" s="3"/>
      <c r="B93" s="58">
        <v>6</v>
      </c>
      <c r="C93" s="40" t="s">
        <v>81</v>
      </c>
      <c r="D93" s="59"/>
      <c r="E93" s="59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112"/>
      <c r="AD93" s="60"/>
      <c r="AE93" s="60"/>
      <c r="AF93" s="60"/>
      <c r="AG93" s="60"/>
      <c r="AH93" s="112"/>
      <c r="AI93" s="112"/>
      <c r="AJ93" s="116"/>
      <c r="AK93" s="233" t="s">
        <v>64</v>
      </c>
      <c r="AL93" s="3"/>
      <c r="AM93" s="3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QK93" s="3"/>
      <c r="AQL93" s="3"/>
      <c r="AQM93" s="3"/>
      <c r="AQN93" s="3"/>
      <c r="AQO93" s="3"/>
      <c r="AQP93" s="3"/>
      <c r="AQQ93" s="3"/>
      <c r="AQR93" s="3"/>
      <c r="AQS93" s="3"/>
      <c r="AQT93" s="3"/>
      <c r="AQU93" s="3"/>
      <c r="AQV93" s="3"/>
      <c r="AQW93" s="3"/>
      <c r="AQX93" s="3"/>
      <c r="AQY93" s="3"/>
      <c r="AQZ93" s="3"/>
      <c r="ARA93" s="3"/>
      <c r="ARB93" s="3"/>
      <c r="ARC93" s="3"/>
      <c r="ARD93" s="3"/>
      <c r="ARE93" s="3"/>
      <c r="ARF93" s="3"/>
      <c r="ARG93" s="3"/>
      <c r="ARH93" s="3"/>
      <c r="ARI93" s="3"/>
      <c r="ARJ93" s="3"/>
      <c r="ARK93" s="3"/>
      <c r="ARL93" s="3"/>
      <c r="ARM93" s="3"/>
      <c r="ARN93" s="3"/>
      <c r="ARO93" s="3"/>
      <c r="ARP93" s="3"/>
      <c r="ARQ93" s="3"/>
      <c r="ARR93" s="3"/>
      <c r="ARS93" s="3"/>
      <c r="ART93" s="3"/>
      <c r="ARU93" s="3"/>
      <c r="ARV93" s="3"/>
      <c r="ARW93" s="3"/>
      <c r="ARX93" s="3"/>
      <c r="ARY93" s="3"/>
      <c r="ARZ93" s="3"/>
      <c r="ASA93" s="3"/>
      <c r="ASB93" s="3"/>
      <c r="ASC93" s="3"/>
      <c r="ASD93" s="3"/>
      <c r="ASE93" s="3"/>
      <c r="ASF93" s="3"/>
      <c r="ASG93" s="3"/>
      <c r="ASH93" s="3"/>
      <c r="ASI93" s="3"/>
      <c r="ASJ93" s="3"/>
      <c r="ASK93" s="3"/>
      <c r="ASL93" s="3"/>
      <c r="ASM93" s="3"/>
      <c r="ASN93" s="3"/>
      <c r="ASO93" s="3"/>
      <c r="ASP93" s="3"/>
      <c r="ASQ93" s="3"/>
      <c r="ASR93" s="3"/>
      <c r="ASS93" s="3"/>
      <c r="AST93" s="3"/>
      <c r="ASU93" s="3"/>
      <c r="ASV93" s="3"/>
      <c r="ASW93" s="3"/>
      <c r="ASX93" s="3"/>
      <c r="ASY93" s="3"/>
      <c r="ASZ93" s="3"/>
      <c r="ATA93" s="3"/>
      <c r="ATB93" s="3"/>
      <c r="ATC93" s="3"/>
      <c r="ATD93" s="3"/>
      <c r="ATE93" s="3"/>
      <c r="ATF93" s="3"/>
      <c r="ATG93" s="3"/>
      <c r="ATH93" s="3"/>
      <c r="ATI93" s="3"/>
      <c r="ATJ93" s="3"/>
      <c r="ATK93" s="3"/>
      <c r="ATL93" s="3"/>
      <c r="ATM93" s="3"/>
      <c r="ATN93" s="3"/>
      <c r="ATO93" s="3"/>
      <c r="ATP93" s="3"/>
      <c r="ATQ93" s="3"/>
      <c r="ATR93" s="3"/>
      <c r="ATS93" s="3"/>
      <c r="ATT93" s="3"/>
      <c r="ATU93" s="3"/>
      <c r="ATV93" s="3"/>
      <c r="ATW93" s="3"/>
      <c r="ATX93" s="3"/>
      <c r="ATY93" s="3"/>
      <c r="ATZ93" s="3"/>
      <c r="AUA93" s="3"/>
      <c r="AUB93" s="3"/>
      <c r="AUC93" s="3"/>
      <c r="AUD93" s="3"/>
      <c r="AUE93" s="3"/>
      <c r="AUF93" s="3"/>
      <c r="AUG93" s="3"/>
      <c r="AUH93" s="3"/>
      <c r="AUI93" s="3"/>
      <c r="AUJ93" s="3"/>
      <c r="AUK93" s="3"/>
      <c r="AUL93" s="3"/>
      <c r="AUM93" s="3"/>
      <c r="AUN93" s="3"/>
      <c r="AUO93" s="3"/>
      <c r="AUP93" s="3"/>
      <c r="AUQ93" s="3"/>
      <c r="AUR93" s="3"/>
      <c r="AUS93" s="3"/>
      <c r="AUT93" s="3"/>
      <c r="AUU93" s="3"/>
      <c r="AUV93" s="3"/>
      <c r="AUW93" s="3"/>
      <c r="AUX93" s="3"/>
      <c r="AUY93" s="3"/>
      <c r="AUZ93" s="3"/>
      <c r="AVA93" s="3"/>
      <c r="AVB93" s="3"/>
      <c r="AVC93" s="3"/>
      <c r="AVD93" s="3"/>
      <c r="AVE93" s="3"/>
      <c r="AVF93" s="3"/>
      <c r="AVG93" s="3"/>
      <c r="AVH93" s="3"/>
      <c r="AVI93" s="3"/>
      <c r="AVJ93" s="3"/>
      <c r="AVK93" s="3"/>
      <c r="AVL93" s="3"/>
      <c r="AVM93" s="3"/>
      <c r="AVN93" s="3"/>
      <c r="AVO93" s="3"/>
      <c r="AVP93" s="3"/>
      <c r="AVQ93" s="3"/>
      <c r="AVR93" s="3"/>
      <c r="AVS93" s="3"/>
      <c r="AVT93" s="3"/>
      <c r="AVU93" s="3"/>
      <c r="AVV93" s="3"/>
      <c r="AVW93" s="3"/>
      <c r="AVX93" s="3"/>
      <c r="AVY93" s="3"/>
      <c r="AVZ93" s="3"/>
      <c r="AWA93" s="3"/>
      <c r="AWB93" s="3"/>
      <c r="AWC93" s="3"/>
      <c r="AWD93" s="3"/>
      <c r="AWE93" s="3"/>
      <c r="AWF93" s="3"/>
      <c r="AWG93" s="3"/>
      <c r="AWH93" s="3"/>
      <c r="AWI93" s="3"/>
      <c r="AWJ93" s="3"/>
      <c r="AWK93" s="3"/>
      <c r="AWL93" s="3"/>
      <c r="AWM93" s="3"/>
      <c r="AWN93" s="3"/>
      <c r="AWO93" s="3"/>
      <c r="AWP93" s="3"/>
      <c r="AWQ93" s="3"/>
      <c r="AWR93" s="3"/>
      <c r="AWS93" s="3"/>
      <c r="AWT93" s="3"/>
      <c r="AWU93" s="3"/>
      <c r="AWV93" s="3"/>
      <c r="AWW93" s="3"/>
      <c r="AWX93" s="3"/>
      <c r="AWY93" s="3"/>
      <c r="AWZ93" s="3"/>
      <c r="AXA93" s="3"/>
      <c r="AXB93" s="3"/>
      <c r="AXC93" s="3"/>
      <c r="AXD93" s="3"/>
      <c r="AXE93" s="3"/>
      <c r="AXF93" s="3"/>
      <c r="AXG93" s="3"/>
      <c r="AXH93" s="3"/>
      <c r="AXI93" s="3"/>
      <c r="AXJ93" s="3"/>
      <c r="AXK93" s="3"/>
      <c r="AXL93" s="3"/>
      <c r="AXM93" s="3"/>
      <c r="AXN93" s="3"/>
      <c r="AXO93" s="3"/>
      <c r="AXP93" s="3"/>
      <c r="AXQ93" s="3"/>
      <c r="AXR93" s="3"/>
      <c r="AXS93" s="3"/>
      <c r="AXT93" s="3"/>
      <c r="AXU93" s="3"/>
      <c r="AXV93" s="3"/>
      <c r="AXW93" s="3"/>
      <c r="AXX93" s="3"/>
      <c r="AXY93" s="3"/>
      <c r="AXZ93" s="3"/>
      <c r="AYA93" s="3"/>
      <c r="AYB93" s="3"/>
      <c r="AYC93" s="3"/>
      <c r="AYD93" s="3"/>
      <c r="AYE93" s="3"/>
      <c r="AYF93" s="3"/>
      <c r="AYG93" s="3"/>
      <c r="AYH93" s="3"/>
      <c r="AYI93" s="3"/>
      <c r="AYJ93" s="3"/>
      <c r="AYK93" s="3"/>
      <c r="AYL93" s="3"/>
      <c r="AYM93" s="3"/>
      <c r="AYN93" s="3"/>
      <c r="AYO93" s="3"/>
      <c r="AYP93" s="3"/>
      <c r="AYQ93" s="3"/>
      <c r="AYR93" s="3"/>
      <c r="AYS93" s="3"/>
      <c r="AYT93" s="3"/>
      <c r="AYU93" s="3"/>
      <c r="AYV93" s="3"/>
      <c r="AYW93" s="3"/>
      <c r="AYX93" s="3"/>
      <c r="AYY93" s="3"/>
      <c r="AYZ93" s="3"/>
      <c r="AZA93" s="3"/>
      <c r="AZB93" s="3"/>
      <c r="AZC93" s="3"/>
      <c r="AZD93" s="3"/>
      <c r="AZE93" s="3"/>
      <c r="AZF93" s="3"/>
      <c r="AZG93" s="3"/>
      <c r="AZH93" s="3"/>
      <c r="AZI93" s="3"/>
      <c r="AZJ93" s="3"/>
      <c r="AZK93" s="3"/>
      <c r="AZL93" s="3"/>
      <c r="AZM93" s="3"/>
      <c r="AZN93" s="3"/>
      <c r="AZO93" s="3"/>
      <c r="AZP93" s="3"/>
      <c r="AZQ93" s="3"/>
      <c r="AZR93" s="3"/>
      <c r="AZS93" s="3"/>
      <c r="AZT93" s="3"/>
      <c r="AZU93" s="3"/>
      <c r="AZV93" s="3"/>
      <c r="AZW93" s="3"/>
      <c r="AZX93" s="3"/>
      <c r="AZY93" s="3"/>
      <c r="AZZ93" s="3"/>
      <c r="BAA93" s="3"/>
      <c r="BAB93" s="3"/>
      <c r="BAC93" s="3"/>
      <c r="BAD93" s="3"/>
      <c r="BAE93" s="3"/>
      <c r="BAF93" s="3"/>
      <c r="BAG93" s="3"/>
      <c r="BAH93" s="3"/>
      <c r="BAI93" s="3"/>
      <c r="BAJ93" s="3"/>
      <c r="BAK93" s="3"/>
      <c r="BAL93" s="3"/>
      <c r="BAM93" s="3"/>
      <c r="BAN93" s="3"/>
      <c r="BAO93" s="3"/>
      <c r="BAP93" s="3"/>
      <c r="BAQ93" s="3"/>
      <c r="BAR93" s="3"/>
      <c r="BAS93" s="3"/>
      <c r="BAT93" s="3"/>
      <c r="BAU93" s="3"/>
      <c r="BAV93" s="3"/>
      <c r="BAW93" s="3"/>
      <c r="BAX93" s="3"/>
      <c r="BAY93" s="3"/>
      <c r="BAZ93" s="3"/>
      <c r="BBA93" s="3"/>
      <c r="BBB93" s="3"/>
      <c r="BBC93" s="3"/>
      <c r="BBD93" s="3"/>
      <c r="BBE93" s="3"/>
      <c r="BBF93" s="3"/>
      <c r="BBG93" s="3"/>
      <c r="BBH93" s="3"/>
      <c r="BBI93" s="3"/>
      <c r="BBJ93" s="3"/>
      <c r="BBK93" s="3"/>
      <c r="BBL93" s="3"/>
      <c r="BBM93" s="3"/>
      <c r="BBN93" s="3"/>
      <c r="BBO93" s="3"/>
      <c r="BBP93" s="3"/>
      <c r="BBQ93" s="3"/>
      <c r="BBR93" s="3"/>
      <c r="BBS93" s="3"/>
      <c r="BBT93" s="3"/>
      <c r="BBU93" s="3"/>
      <c r="BBV93" s="3"/>
      <c r="BBW93" s="3"/>
      <c r="BBX93" s="3"/>
      <c r="BBY93" s="3"/>
      <c r="BBZ93" s="3"/>
      <c r="BCA93" s="3"/>
      <c r="BCB93" s="3"/>
      <c r="BCC93" s="3"/>
      <c r="BCD93" s="3"/>
      <c r="BCE93" s="3"/>
      <c r="BCF93" s="3"/>
      <c r="BCG93" s="3"/>
      <c r="BCH93" s="3"/>
      <c r="BCI93" s="3"/>
      <c r="BCJ93" s="3"/>
      <c r="BCK93" s="3"/>
      <c r="BCL93" s="3"/>
      <c r="BCM93" s="3"/>
      <c r="BCN93" s="3"/>
      <c r="BCO93" s="3"/>
      <c r="BCP93" s="3"/>
      <c r="BCQ93" s="3"/>
      <c r="BCR93" s="3"/>
      <c r="BCS93" s="3"/>
      <c r="BCT93" s="3"/>
      <c r="BCU93" s="3"/>
      <c r="BCV93" s="3"/>
      <c r="BCW93" s="3"/>
      <c r="BCX93" s="3"/>
      <c r="BCY93" s="3"/>
      <c r="BCZ93" s="3"/>
      <c r="BDA93" s="3"/>
      <c r="BDB93" s="3"/>
      <c r="BDC93" s="3"/>
      <c r="BDD93" s="3"/>
      <c r="BDE93" s="3"/>
      <c r="BDF93" s="3"/>
      <c r="BDG93" s="3"/>
      <c r="BDH93" s="3"/>
      <c r="BDI93" s="3"/>
      <c r="BDJ93" s="3"/>
      <c r="BDK93" s="3"/>
      <c r="BDL93" s="3"/>
      <c r="BDM93" s="3"/>
      <c r="BDN93" s="3"/>
      <c r="BDO93" s="3"/>
      <c r="BDP93" s="3"/>
      <c r="BDQ93" s="3"/>
      <c r="BDR93" s="3"/>
      <c r="BDS93" s="3"/>
      <c r="BDT93" s="3"/>
      <c r="BDU93" s="3"/>
      <c r="BDV93" s="3"/>
      <c r="BDW93" s="3"/>
      <c r="BDX93" s="3"/>
      <c r="BDY93" s="3"/>
      <c r="BDZ93" s="3"/>
      <c r="BEA93" s="3"/>
      <c r="BEB93" s="3"/>
      <c r="BEC93" s="3"/>
      <c r="BED93" s="3"/>
      <c r="BEE93" s="3"/>
      <c r="BEF93" s="3"/>
      <c r="BEG93" s="3"/>
      <c r="BEH93" s="3"/>
      <c r="BEI93" s="3"/>
      <c r="BEJ93" s="3"/>
      <c r="BEK93" s="3"/>
      <c r="BEL93" s="3"/>
      <c r="BEM93" s="3"/>
      <c r="BEN93" s="3"/>
      <c r="BEO93" s="3"/>
      <c r="BEP93" s="3"/>
      <c r="BEQ93" s="3"/>
      <c r="BER93" s="3"/>
      <c r="BES93" s="3"/>
      <c r="BET93" s="3"/>
      <c r="BEU93" s="3"/>
      <c r="BEV93" s="3"/>
      <c r="BEW93" s="3"/>
      <c r="BEX93" s="3"/>
      <c r="BEY93" s="3"/>
      <c r="BEZ93" s="3"/>
      <c r="BFA93" s="3"/>
      <c r="BFB93" s="3"/>
      <c r="BFC93" s="3"/>
      <c r="BFD93" s="3"/>
      <c r="BFE93" s="3"/>
      <c r="BFF93" s="3"/>
      <c r="BFG93" s="3"/>
      <c r="BFH93" s="3"/>
      <c r="BFI93" s="3"/>
      <c r="BFJ93" s="3"/>
      <c r="BFK93" s="3"/>
      <c r="BFL93" s="3"/>
      <c r="BFM93" s="3"/>
      <c r="BFN93" s="3"/>
      <c r="BFO93" s="3"/>
      <c r="BFP93" s="3"/>
      <c r="BFQ93" s="3"/>
      <c r="BFR93" s="3"/>
      <c r="BFS93" s="3"/>
      <c r="BFT93" s="3"/>
      <c r="BFU93" s="3"/>
      <c r="BFV93" s="3"/>
      <c r="BFW93" s="3"/>
      <c r="BFX93" s="3"/>
      <c r="BFY93" s="3"/>
      <c r="BFZ93" s="3"/>
      <c r="BGA93" s="3"/>
      <c r="BGB93" s="3"/>
      <c r="BGC93" s="3"/>
      <c r="BGD93" s="3"/>
      <c r="BGE93" s="3"/>
      <c r="BGF93" s="3"/>
      <c r="BGG93" s="3"/>
      <c r="BGH93" s="3"/>
      <c r="BGI93" s="3"/>
      <c r="BGJ93" s="3"/>
      <c r="BGK93" s="3"/>
      <c r="BGL93" s="3"/>
      <c r="BGM93" s="3"/>
      <c r="BGN93" s="3"/>
      <c r="BGO93" s="3"/>
      <c r="BGP93" s="3"/>
      <c r="BGQ93" s="3"/>
      <c r="BGR93" s="3"/>
      <c r="BGS93" s="3"/>
      <c r="BGT93" s="3"/>
      <c r="BGU93" s="3"/>
      <c r="BGV93" s="3"/>
      <c r="BGW93" s="3"/>
      <c r="BGX93" s="3"/>
      <c r="BGY93" s="3"/>
      <c r="BGZ93" s="3"/>
      <c r="BHA93" s="3"/>
      <c r="BHB93" s="3"/>
      <c r="BHC93" s="3"/>
      <c r="BHD93" s="3"/>
      <c r="BHE93" s="3"/>
      <c r="BHF93" s="3"/>
      <c r="BHG93" s="3"/>
      <c r="BHH93" s="3"/>
      <c r="BHI93" s="3"/>
      <c r="BHJ93" s="3"/>
      <c r="BHK93" s="3"/>
      <c r="BHL93" s="3"/>
      <c r="BHM93" s="3"/>
      <c r="BHN93" s="3"/>
      <c r="BHO93" s="3"/>
      <c r="BHP93" s="3"/>
      <c r="BHQ93" s="3"/>
      <c r="BHR93" s="3"/>
      <c r="BHS93" s="3"/>
      <c r="BHT93" s="3"/>
      <c r="BHU93" s="3"/>
      <c r="BHV93" s="3"/>
      <c r="BHW93" s="3"/>
      <c r="BHX93" s="3"/>
      <c r="BHY93" s="3"/>
      <c r="BHZ93" s="3"/>
      <c r="BIA93" s="3"/>
      <c r="BIB93" s="3"/>
      <c r="BIC93" s="3"/>
      <c r="BID93" s="3"/>
      <c r="BIE93" s="3"/>
      <c r="BIF93" s="3"/>
      <c r="BIG93" s="3"/>
      <c r="BIH93" s="3"/>
      <c r="BII93" s="3"/>
      <c r="BIJ93" s="3"/>
      <c r="BIK93" s="3"/>
      <c r="BIL93" s="3"/>
      <c r="BIM93" s="3"/>
      <c r="BIN93" s="3"/>
      <c r="BIO93" s="3"/>
      <c r="BIP93" s="3"/>
      <c r="BIQ93" s="3"/>
      <c r="BIR93" s="3"/>
      <c r="BIS93" s="3"/>
      <c r="BIT93" s="3"/>
      <c r="BIU93" s="3"/>
      <c r="BIV93" s="3"/>
      <c r="BIW93" s="3"/>
      <c r="BIX93" s="3"/>
      <c r="BIY93" s="3"/>
      <c r="BIZ93" s="3"/>
      <c r="BJA93" s="3"/>
      <c r="BJB93" s="3"/>
      <c r="BJC93" s="3"/>
      <c r="BJD93" s="3"/>
      <c r="BJE93" s="3"/>
      <c r="BJF93" s="3"/>
      <c r="BJG93" s="3"/>
      <c r="BJH93" s="3"/>
      <c r="BJI93" s="3"/>
      <c r="BJJ93" s="3"/>
      <c r="BJK93" s="3"/>
      <c r="BJL93" s="3"/>
      <c r="BJM93" s="3"/>
      <c r="BJN93" s="3"/>
      <c r="BJO93" s="3"/>
      <c r="BJP93" s="3"/>
      <c r="BJQ93" s="3"/>
      <c r="BJR93" s="3"/>
      <c r="BJS93" s="3"/>
      <c r="BJT93" s="3"/>
      <c r="BJU93" s="3"/>
      <c r="BJV93" s="3"/>
      <c r="BJW93" s="3"/>
      <c r="BJX93" s="3"/>
      <c r="BJY93" s="3"/>
      <c r="BJZ93" s="3"/>
      <c r="BKA93" s="3"/>
      <c r="BKB93" s="3"/>
      <c r="BKC93" s="3"/>
      <c r="BKD93" s="3"/>
      <c r="BKE93" s="3"/>
      <c r="BKF93" s="3"/>
      <c r="BKG93" s="3"/>
      <c r="BKH93" s="3"/>
      <c r="BKI93" s="3"/>
      <c r="BKJ93" s="3"/>
      <c r="BKK93" s="3"/>
      <c r="BKL93" s="3"/>
      <c r="BKM93" s="3"/>
      <c r="BKN93" s="3"/>
      <c r="BKO93" s="3"/>
      <c r="BKP93" s="3"/>
      <c r="BKQ93" s="3"/>
      <c r="BKR93" s="3"/>
      <c r="BKS93" s="3"/>
      <c r="BKT93" s="3"/>
      <c r="BKU93" s="3"/>
      <c r="BKV93" s="3"/>
      <c r="BKW93" s="3"/>
      <c r="BKX93" s="3"/>
      <c r="BKY93" s="3"/>
      <c r="BKZ93" s="3"/>
      <c r="BLA93" s="3"/>
      <c r="BLB93" s="3"/>
      <c r="BLC93" s="3"/>
      <c r="BLD93" s="3"/>
      <c r="BLE93" s="3"/>
      <c r="BLF93" s="3"/>
      <c r="BLG93" s="3"/>
      <c r="BLH93" s="3"/>
      <c r="BLI93" s="3"/>
      <c r="BLJ93" s="3"/>
      <c r="BLK93" s="3"/>
      <c r="BLL93" s="3"/>
      <c r="BLM93" s="3"/>
      <c r="BLN93" s="3"/>
      <c r="BLO93" s="3"/>
      <c r="BLP93" s="3"/>
      <c r="BLQ93" s="3"/>
      <c r="BLR93" s="3"/>
      <c r="BLS93" s="3"/>
      <c r="BLT93" s="3"/>
      <c r="BLU93" s="3"/>
      <c r="BLV93" s="3"/>
      <c r="BLW93" s="3"/>
      <c r="BLX93" s="3"/>
      <c r="BLY93" s="3"/>
      <c r="BLZ93" s="3"/>
      <c r="BMA93" s="3"/>
      <c r="BMB93" s="3"/>
      <c r="BMC93" s="3"/>
      <c r="BMD93" s="3"/>
      <c r="BME93" s="3"/>
      <c r="BMF93" s="3"/>
      <c r="BMG93" s="3"/>
      <c r="BMH93" s="3"/>
      <c r="BMI93" s="3"/>
      <c r="BMJ93" s="3"/>
      <c r="BMK93" s="3"/>
      <c r="BML93" s="3"/>
      <c r="BMM93" s="3"/>
      <c r="BMN93" s="3"/>
      <c r="BMO93" s="3"/>
      <c r="BMP93" s="3"/>
      <c r="BMQ93" s="3"/>
      <c r="BMR93" s="3"/>
      <c r="BMS93" s="3"/>
      <c r="BMT93" s="3"/>
      <c r="BMU93" s="3"/>
      <c r="BMV93" s="3"/>
      <c r="BMW93" s="3"/>
      <c r="BMX93" s="3"/>
      <c r="BMY93" s="3"/>
      <c r="BMZ93" s="3"/>
      <c r="BNA93" s="3"/>
      <c r="BNB93" s="3"/>
      <c r="BNC93" s="3"/>
      <c r="BND93" s="3"/>
      <c r="BNE93" s="3"/>
      <c r="BNF93" s="3"/>
      <c r="BNG93" s="3"/>
      <c r="BNH93" s="3"/>
      <c r="BNI93" s="3"/>
      <c r="BNJ93" s="3"/>
      <c r="BNK93" s="3"/>
      <c r="BNL93" s="3"/>
      <c r="BNM93" s="3"/>
      <c r="BNN93" s="3"/>
      <c r="BNO93" s="3"/>
      <c r="BNP93" s="3"/>
      <c r="BNQ93" s="3"/>
      <c r="BNR93" s="3"/>
      <c r="BNS93" s="3"/>
      <c r="BNT93" s="3"/>
      <c r="BNU93" s="3"/>
      <c r="BNV93" s="3"/>
      <c r="BNW93" s="3"/>
      <c r="BNX93" s="3"/>
      <c r="BNY93" s="3"/>
      <c r="BNZ93" s="3"/>
      <c r="BOA93" s="3"/>
      <c r="BOB93" s="3"/>
      <c r="BOC93" s="3"/>
      <c r="BOD93" s="3"/>
      <c r="BOE93" s="3"/>
      <c r="BOF93" s="3"/>
      <c r="BOG93" s="3"/>
      <c r="BOH93" s="3"/>
      <c r="BOI93" s="3"/>
      <c r="BOJ93" s="3"/>
      <c r="BOK93" s="3"/>
      <c r="BOL93" s="3"/>
      <c r="BOM93" s="3"/>
      <c r="BON93" s="3"/>
      <c r="BOO93" s="3"/>
      <c r="BOP93" s="3"/>
      <c r="BOQ93" s="3"/>
      <c r="BOR93" s="3"/>
      <c r="BOS93" s="3"/>
      <c r="BOT93" s="3"/>
      <c r="BOU93" s="3"/>
      <c r="BOV93" s="3"/>
      <c r="BOW93" s="3"/>
      <c r="BOX93" s="3"/>
      <c r="BOY93" s="3"/>
      <c r="BOZ93" s="3"/>
      <c r="BPA93" s="3"/>
      <c r="BPB93" s="3"/>
      <c r="BPC93" s="3"/>
      <c r="BPD93" s="3"/>
      <c r="BPE93" s="3"/>
      <c r="BPF93" s="3"/>
      <c r="BPG93" s="3"/>
      <c r="BPH93" s="3"/>
      <c r="BPI93" s="3"/>
      <c r="BPJ93" s="3"/>
      <c r="BPK93" s="3"/>
      <c r="BPL93" s="3"/>
      <c r="BPM93" s="3"/>
      <c r="BPN93" s="3"/>
      <c r="BPO93" s="3"/>
      <c r="BPP93" s="3"/>
      <c r="BPQ93" s="3"/>
      <c r="BPR93" s="3"/>
      <c r="BPS93" s="3"/>
      <c r="BPT93" s="3"/>
      <c r="BPU93" s="3"/>
      <c r="BPV93" s="3"/>
      <c r="BPW93" s="3"/>
      <c r="BPX93" s="3"/>
      <c r="BPY93" s="3"/>
      <c r="BPZ93" s="3"/>
      <c r="BQA93" s="3"/>
      <c r="BQB93" s="3"/>
      <c r="BQC93" s="3"/>
      <c r="BQD93" s="3"/>
      <c r="BQE93" s="3"/>
      <c r="BQF93" s="3"/>
      <c r="BQG93" s="3"/>
      <c r="BQH93" s="3"/>
      <c r="BQI93" s="3"/>
      <c r="BQJ93" s="3"/>
      <c r="BQK93" s="3"/>
      <c r="BQL93" s="3"/>
      <c r="BQM93" s="3"/>
      <c r="BQN93" s="3"/>
      <c r="BQO93" s="3"/>
      <c r="BQP93" s="3"/>
      <c r="BQQ93" s="3"/>
      <c r="BQR93" s="3"/>
      <c r="BQS93" s="3"/>
      <c r="BQT93" s="3"/>
      <c r="BQU93" s="3"/>
      <c r="BQV93" s="3"/>
      <c r="BQW93" s="3"/>
      <c r="BQX93" s="3"/>
      <c r="BQY93" s="3"/>
      <c r="BQZ93" s="3"/>
      <c r="BRA93" s="3"/>
      <c r="BRB93" s="3"/>
      <c r="BRC93" s="3"/>
      <c r="BRD93" s="3"/>
      <c r="BRE93" s="3"/>
      <c r="BRF93" s="3"/>
      <c r="BRG93" s="3"/>
      <c r="BRH93" s="3"/>
      <c r="BRI93" s="3"/>
      <c r="BRJ93" s="3"/>
      <c r="BRK93" s="3"/>
      <c r="BRL93" s="3"/>
      <c r="BRM93" s="3"/>
      <c r="BRN93" s="3"/>
      <c r="BRO93" s="3"/>
      <c r="BRP93" s="3"/>
      <c r="BRQ93" s="3"/>
      <c r="BRR93" s="3"/>
      <c r="BRS93" s="3"/>
      <c r="BRT93" s="3"/>
      <c r="BRU93" s="3"/>
      <c r="BRV93" s="3"/>
      <c r="BRW93" s="3"/>
      <c r="BRX93" s="3"/>
      <c r="BRY93" s="3"/>
      <c r="BRZ93" s="3"/>
      <c r="BSA93" s="3"/>
      <c r="BSB93" s="3"/>
      <c r="BSC93" s="3"/>
      <c r="BSD93" s="3"/>
      <c r="BSE93" s="3"/>
      <c r="BSF93" s="3"/>
      <c r="BSG93" s="3"/>
      <c r="BSH93" s="3"/>
      <c r="BSI93" s="3"/>
      <c r="BSJ93" s="3"/>
      <c r="BSK93" s="3"/>
      <c r="BSL93" s="3"/>
      <c r="BSM93" s="3"/>
      <c r="BSN93" s="3"/>
      <c r="BSO93" s="3"/>
      <c r="BSP93" s="3"/>
      <c r="BSQ93" s="3"/>
      <c r="BSR93" s="3"/>
      <c r="BSS93" s="3"/>
      <c r="BST93" s="3"/>
      <c r="BSU93" s="3"/>
      <c r="BSV93" s="3"/>
      <c r="BSW93" s="3"/>
      <c r="BSX93" s="3"/>
      <c r="BSY93" s="3"/>
      <c r="BSZ93" s="3"/>
      <c r="BTA93" s="3"/>
      <c r="BTB93" s="3"/>
      <c r="BTC93" s="3"/>
      <c r="BTD93" s="3"/>
      <c r="BTE93" s="3"/>
      <c r="BTF93" s="3"/>
      <c r="BTG93" s="3"/>
      <c r="BTH93" s="3"/>
      <c r="BTI93" s="3"/>
      <c r="BTJ93" s="3"/>
      <c r="BTK93" s="3"/>
      <c r="BTL93" s="3"/>
      <c r="BTM93" s="3"/>
      <c r="BTN93" s="3"/>
      <c r="BTO93" s="3"/>
      <c r="BTP93" s="3"/>
      <c r="BTQ93" s="3"/>
      <c r="BTR93" s="3"/>
      <c r="BTS93" s="3"/>
      <c r="BTT93" s="3"/>
      <c r="BTU93" s="3"/>
      <c r="BTV93" s="3"/>
      <c r="BTW93" s="3"/>
      <c r="BTX93" s="3"/>
      <c r="BTY93" s="3"/>
      <c r="BTZ93" s="3"/>
      <c r="BUA93" s="3"/>
      <c r="BUB93" s="3"/>
      <c r="BUC93" s="3"/>
      <c r="BUD93" s="3"/>
      <c r="BUE93" s="3"/>
      <c r="BUF93" s="3"/>
      <c r="BUG93" s="3"/>
      <c r="BUH93" s="3"/>
      <c r="BUI93" s="3"/>
      <c r="BUJ93" s="3"/>
      <c r="BUK93" s="3"/>
      <c r="BUL93" s="3"/>
      <c r="BUM93" s="3"/>
      <c r="BUN93" s="3"/>
      <c r="BUO93" s="3"/>
      <c r="BUP93" s="3"/>
      <c r="BUQ93" s="3"/>
      <c r="BUR93" s="3"/>
      <c r="BUS93" s="3"/>
      <c r="BUT93" s="3"/>
      <c r="BUU93" s="3"/>
      <c r="BUV93" s="3"/>
      <c r="BUW93" s="3"/>
      <c r="BUX93" s="3"/>
      <c r="BUY93" s="3"/>
      <c r="BUZ93" s="3"/>
      <c r="BVA93" s="3"/>
      <c r="BVB93" s="3"/>
      <c r="BVC93" s="3"/>
      <c r="BVD93" s="3"/>
      <c r="BVE93" s="3"/>
      <c r="BVF93" s="3"/>
      <c r="BVG93" s="3"/>
      <c r="BVH93" s="3"/>
      <c r="BVI93" s="3"/>
      <c r="BVJ93" s="3"/>
      <c r="BVK93" s="3"/>
      <c r="BVL93" s="3"/>
      <c r="BVM93" s="3"/>
      <c r="BVN93" s="3"/>
      <c r="BVO93" s="3"/>
      <c r="BVP93" s="3"/>
      <c r="BVQ93" s="3"/>
      <c r="BVR93" s="3"/>
      <c r="BVS93" s="3"/>
      <c r="BVT93" s="3"/>
      <c r="BVU93" s="3"/>
      <c r="BVV93" s="3"/>
      <c r="BVW93" s="3"/>
      <c r="BVX93" s="3"/>
      <c r="BVY93" s="3"/>
      <c r="BVZ93" s="3"/>
      <c r="BWA93" s="3"/>
      <c r="BWB93" s="3"/>
      <c r="BWC93" s="3"/>
      <c r="BWD93" s="3"/>
      <c r="BWE93" s="3"/>
      <c r="BWF93" s="3"/>
      <c r="BWG93" s="3"/>
      <c r="BWH93" s="3"/>
      <c r="BWI93" s="3"/>
      <c r="BWJ93" s="3"/>
      <c r="BWK93" s="3"/>
      <c r="BWL93" s="3"/>
      <c r="BWM93" s="3"/>
      <c r="BWN93" s="3"/>
      <c r="BWO93" s="3"/>
      <c r="BWP93" s="3"/>
      <c r="BWQ93" s="3"/>
      <c r="BWR93" s="3"/>
      <c r="BWS93" s="3"/>
      <c r="BWT93" s="3"/>
      <c r="BWU93" s="3"/>
      <c r="BWV93" s="3"/>
      <c r="BWW93" s="3"/>
      <c r="BWX93" s="3"/>
      <c r="BWY93" s="3"/>
      <c r="BWZ93" s="3"/>
      <c r="BXA93" s="3"/>
      <c r="BXB93" s="3"/>
      <c r="BXC93" s="3"/>
      <c r="BXD93" s="3"/>
      <c r="BXE93" s="3"/>
      <c r="BXF93" s="3"/>
      <c r="BXG93" s="3"/>
      <c r="BXH93" s="3"/>
      <c r="BXI93" s="3"/>
      <c r="BXJ93" s="3"/>
      <c r="BXK93" s="3"/>
      <c r="BXL93" s="3"/>
      <c r="BXM93" s="3"/>
      <c r="BXN93" s="3"/>
      <c r="BXO93" s="3"/>
      <c r="BXP93" s="3"/>
      <c r="BXQ93" s="3"/>
      <c r="BXR93" s="3"/>
      <c r="BXS93" s="3"/>
      <c r="BXT93" s="3"/>
      <c r="BXU93" s="3"/>
      <c r="BXV93" s="3"/>
      <c r="BXW93" s="3"/>
      <c r="BXX93" s="3"/>
      <c r="BXY93" s="3"/>
      <c r="BXZ93" s="3"/>
      <c r="BYA93" s="3"/>
      <c r="BYB93" s="3"/>
      <c r="BYC93" s="3"/>
      <c r="BYD93" s="3"/>
      <c r="BYE93" s="3"/>
      <c r="BYF93" s="3"/>
      <c r="BYG93" s="3"/>
      <c r="BYH93" s="3"/>
      <c r="BYI93" s="3"/>
      <c r="BYJ93" s="3"/>
      <c r="BYK93" s="3"/>
      <c r="BYL93" s="3"/>
      <c r="BYM93" s="3"/>
      <c r="BYN93" s="3"/>
      <c r="BYO93" s="3"/>
      <c r="BYP93" s="3"/>
      <c r="BYQ93" s="3"/>
      <c r="BYR93" s="3"/>
      <c r="BYS93" s="3"/>
      <c r="BYT93" s="3"/>
      <c r="BYU93" s="3"/>
      <c r="BYV93" s="3"/>
      <c r="BYW93" s="3"/>
      <c r="BYX93" s="3"/>
      <c r="BYY93" s="3"/>
      <c r="BYZ93" s="3"/>
      <c r="BZA93" s="3"/>
      <c r="BZB93" s="3"/>
      <c r="BZC93" s="3"/>
      <c r="BZD93" s="3"/>
      <c r="BZE93" s="3"/>
      <c r="BZF93" s="3"/>
      <c r="BZG93" s="3"/>
      <c r="BZH93" s="3"/>
      <c r="BZI93" s="3"/>
      <c r="BZJ93" s="3"/>
      <c r="BZK93" s="3"/>
      <c r="BZL93" s="3"/>
      <c r="BZM93" s="3"/>
      <c r="BZN93" s="3"/>
      <c r="BZO93" s="3"/>
      <c r="BZP93" s="3"/>
      <c r="BZQ93" s="3"/>
      <c r="BZR93" s="3"/>
      <c r="BZS93" s="3"/>
      <c r="BZT93" s="3"/>
      <c r="BZU93" s="3"/>
      <c r="BZV93" s="3"/>
      <c r="BZW93" s="3"/>
      <c r="BZX93" s="3"/>
      <c r="BZY93" s="3"/>
      <c r="BZZ93" s="3"/>
      <c r="CAA93" s="3"/>
      <c r="CAB93" s="3"/>
      <c r="CAC93" s="3"/>
      <c r="CAD93" s="3"/>
      <c r="CAE93" s="3"/>
      <c r="CAF93" s="3"/>
      <c r="CAG93" s="3"/>
      <c r="CAH93" s="3"/>
      <c r="CAI93" s="3"/>
      <c r="CAJ93" s="3"/>
      <c r="CAK93" s="3"/>
      <c r="CAL93" s="3"/>
      <c r="CAM93" s="3"/>
      <c r="CAN93" s="3"/>
      <c r="CAO93" s="3"/>
      <c r="CAP93" s="3"/>
      <c r="CAQ93" s="3"/>
      <c r="CAR93" s="3"/>
      <c r="CAS93" s="3"/>
      <c r="CAT93" s="3"/>
      <c r="CAU93" s="3"/>
      <c r="CAV93" s="3"/>
      <c r="CAW93" s="3"/>
      <c r="CAX93" s="3"/>
      <c r="CAY93" s="3"/>
      <c r="CAZ93" s="3"/>
      <c r="CBA93" s="3"/>
      <c r="CBB93" s="3"/>
      <c r="CBC93" s="3"/>
      <c r="CBD93" s="3"/>
      <c r="CBE93" s="3"/>
      <c r="CBF93" s="3"/>
      <c r="CBG93" s="3"/>
      <c r="CBH93" s="3"/>
      <c r="CBI93" s="3"/>
      <c r="CBJ93" s="3"/>
      <c r="CBK93" s="3"/>
      <c r="CBL93" s="3"/>
      <c r="CBM93" s="3"/>
      <c r="CBN93" s="3"/>
      <c r="CBO93" s="3"/>
      <c r="CBP93" s="3"/>
      <c r="CBQ93" s="3"/>
      <c r="CBR93" s="3"/>
      <c r="CBS93" s="3"/>
      <c r="CBT93" s="3"/>
      <c r="CBU93" s="3"/>
      <c r="CBV93" s="3"/>
      <c r="CBW93" s="3"/>
      <c r="CBX93" s="3"/>
      <c r="CBY93" s="3"/>
      <c r="CBZ93" s="3"/>
      <c r="CCA93" s="3"/>
      <c r="CCB93" s="3"/>
      <c r="CCC93" s="3"/>
      <c r="CCD93" s="3"/>
      <c r="CCE93" s="3"/>
      <c r="CCF93" s="3"/>
      <c r="CCG93" s="3"/>
      <c r="CCH93" s="3"/>
      <c r="CCI93" s="3"/>
      <c r="CCJ93" s="3"/>
      <c r="CCK93" s="3"/>
      <c r="CCL93" s="3"/>
      <c r="CCM93" s="3"/>
      <c r="CCN93" s="3"/>
      <c r="CCO93" s="3"/>
      <c r="CCP93" s="3"/>
      <c r="CCQ93" s="3"/>
      <c r="CCR93" s="3"/>
      <c r="CCS93" s="3"/>
      <c r="CCT93" s="3"/>
      <c r="CCU93" s="3"/>
      <c r="CCV93" s="3"/>
      <c r="CCW93" s="3"/>
      <c r="CCX93" s="3"/>
      <c r="CCY93" s="3"/>
      <c r="CCZ93" s="3"/>
      <c r="CDA93" s="3"/>
      <c r="CDB93" s="3"/>
      <c r="CDC93" s="3"/>
      <c r="CDD93" s="3"/>
      <c r="CDE93" s="3"/>
      <c r="CDF93" s="3"/>
      <c r="CDG93" s="3"/>
      <c r="CDH93" s="3"/>
      <c r="CDI93" s="3"/>
      <c r="CDJ93" s="3"/>
      <c r="CDK93" s="3"/>
      <c r="CDL93" s="3"/>
      <c r="CDM93" s="3"/>
      <c r="CDN93" s="3"/>
      <c r="CDO93" s="3"/>
      <c r="CDP93" s="3"/>
      <c r="CDQ93" s="3"/>
      <c r="CDR93" s="3"/>
      <c r="CDS93" s="3"/>
      <c r="CDT93" s="3"/>
      <c r="CDU93" s="3"/>
      <c r="CDV93" s="3"/>
      <c r="CDW93" s="3"/>
      <c r="CDX93" s="3"/>
      <c r="CDY93" s="3"/>
      <c r="CDZ93" s="3"/>
      <c r="CEA93" s="3"/>
      <c r="CEB93" s="3"/>
      <c r="CEC93" s="3"/>
      <c r="CED93" s="3"/>
      <c r="CEE93" s="3"/>
      <c r="CEF93" s="3"/>
      <c r="CEG93" s="3"/>
      <c r="CEH93" s="3"/>
      <c r="CEI93" s="3"/>
      <c r="CEJ93" s="3"/>
      <c r="CEK93" s="3"/>
      <c r="CEL93" s="3"/>
      <c r="CEM93" s="3"/>
      <c r="CEN93" s="3"/>
      <c r="CEO93" s="3"/>
      <c r="CEP93" s="3"/>
      <c r="CEQ93" s="3"/>
      <c r="CER93" s="3"/>
      <c r="CES93" s="3"/>
      <c r="CET93" s="3"/>
      <c r="CEU93" s="3"/>
      <c r="CEV93" s="3"/>
      <c r="CEW93" s="3"/>
      <c r="CEX93" s="3"/>
      <c r="CEY93" s="3"/>
      <c r="CEZ93" s="3"/>
      <c r="CFA93" s="3"/>
      <c r="CFB93" s="3"/>
      <c r="CFC93" s="3"/>
      <c r="CFD93" s="3"/>
      <c r="CFE93" s="3"/>
      <c r="CFF93" s="3"/>
      <c r="CFG93" s="3"/>
      <c r="CFH93" s="3"/>
      <c r="CFI93" s="3"/>
      <c r="CFJ93" s="3"/>
      <c r="CFK93" s="3"/>
      <c r="CFL93" s="3"/>
      <c r="CFM93" s="3"/>
      <c r="CFN93" s="3"/>
      <c r="CFO93" s="3"/>
      <c r="CFP93" s="3"/>
      <c r="CFQ93" s="3"/>
      <c r="CFR93" s="3"/>
      <c r="CFS93" s="3"/>
      <c r="CFT93" s="3"/>
      <c r="CFU93" s="3"/>
      <c r="CFV93" s="3"/>
      <c r="CFW93" s="3"/>
      <c r="CFX93" s="3"/>
      <c r="CFY93" s="3"/>
      <c r="CFZ93" s="3"/>
      <c r="CGA93" s="3"/>
      <c r="CGB93" s="3"/>
      <c r="CGC93" s="3"/>
      <c r="CGD93" s="3"/>
      <c r="CGE93" s="3"/>
      <c r="CGF93" s="3"/>
      <c r="CGG93" s="3"/>
      <c r="CGH93" s="3"/>
      <c r="CGI93" s="3"/>
      <c r="CGJ93" s="3"/>
      <c r="CGK93" s="3"/>
      <c r="CGL93" s="3"/>
      <c r="CGM93" s="3"/>
      <c r="CGN93" s="3"/>
      <c r="CGO93" s="3"/>
      <c r="CGP93" s="3"/>
      <c r="CGQ93" s="3"/>
      <c r="CGR93" s="3"/>
      <c r="CGS93" s="3"/>
      <c r="CGT93" s="3"/>
      <c r="CGU93" s="3"/>
      <c r="CGV93" s="3"/>
      <c r="CGW93" s="3"/>
      <c r="CGX93" s="3"/>
      <c r="CGY93" s="3"/>
      <c r="CGZ93" s="3"/>
      <c r="CHA93" s="3"/>
      <c r="CHB93" s="3"/>
      <c r="CHC93" s="3"/>
      <c r="CHD93" s="3"/>
      <c r="CHE93" s="3"/>
      <c r="CHF93" s="3"/>
      <c r="CHG93" s="3"/>
      <c r="CHH93" s="3"/>
      <c r="CHI93" s="3"/>
      <c r="CHJ93" s="3"/>
      <c r="CHK93" s="3"/>
      <c r="CHL93" s="3"/>
      <c r="CHM93" s="3"/>
      <c r="CHN93" s="3"/>
      <c r="CHO93" s="3"/>
      <c r="CHP93" s="3"/>
      <c r="CHQ93" s="3"/>
      <c r="CHR93" s="3"/>
      <c r="CHS93" s="3"/>
      <c r="CHT93" s="3"/>
      <c r="CHU93" s="3"/>
      <c r="CHV93" s="3"/>
      <c r="CHW93" s="3"/>
      <c r="CHX93" s="3"/>
      <c r="CHY93" s="3"/>
      <c r="CHZ93" s="3"/>
      <c r="CIA93" s="3"/>
      <c r="CIB93" s="3"/>
      <c r="CIC93" s="3"/>
      <c r="CID93" s="3"/>
      <c r="CIE93" s="3"/>
      <c r="CIF93" s="3"/>
      <c r="CIG93" s="3"/>
      <c r="CIH93" s="3"/>
      <c r="CII93" s="3"/>
      <c r="CIJ93" s="3"/>
      <c r="CIK93" s="3"/>
      <c r="CIL93" s="3"/>
      <c r="CIM93" s="3"/>
      <c r="CIN93" s="3"/>
      <c r="CIO93" s="3"/>
      <c r="CIP93" s="3"/>
      <c r="CIQ93" s="3"/>
      <c r="CIR93" s="3"/>
      <c r="CIS93" s="3"/>
      <c r="CIT93" s="3"/>
      <c r="CIU93" s="3"/>
      <c r="CIV93" s="3"/>
      <c r="CIW93" s="3"/>
      <c r="CIX93" s="3"/>
      <c r="CIY93" s="3"/>
      <c r="CIZ93" s="3"/>
      <c r="CJA93" s="3"/>
      <c r="CJB93" s="3"/>
      <c r="CJC93" s="3"/>
      <c r="CJD93" s="3"/>
      <c r="CJE93" s="3"/>
      <c r="CJF93" s="3"/>
      <c r="CJG93" s="3"/>
      <c r="CJH93" s="3"/>
      <c r="CJI93" s="3"/>
      <c r="CJJ93" s="3"/>
      <c r="CJK93" s="3"/>
      <c r="CJL93" s="3"/>
      <c r="CJM93" s="3"/>
      <c r="CJN93" s="3"/>
      <c r="CJO93" s="3"/>
      <c r="CJP93" s="3"/>
      <c r="CJQ93" s="3"/>
      <c r="CJR93" s="3"/>
      <c r="CJS93" s="3"/>
      <c r="CJT93" s="3"/>
      <c r="CJU93" s="3"/>
      <c r="CJV93" s="3"/>
      <c r="CJW93" s="3"/>
      <c r="CJX93" s="3"/>
      <c r="CJY93" s="3"/>
      <c r="CJZ93" s="3"/>
      <c r="CKA93" s="3"/>
      <c r="CKB93" s="3"/>
      <c r="CKC93" s="3"/>
      <c r="CKD93" s="3"/>
      <c r="CKE93" s="3"/>
      <c r="CKF93" s="3"/>
      <c r="CKG93" s="3"/>
      <c r="CKH93" s="3"/>
      <c r="CKI93" s="3"/>
      <c r="CKJ93" s="3"/>
      <c r="CKK93" s="3"/>
      <c r="CKL93" s="3"/>
      <c r="CKM93" s="3"/>
      <c r="CKN93" s="3"/>
      <c r="CKO93" s="3"/>
      <c r="CKP93" s="3"/>
      <c r="CKQ93" s="3"/>
      <c r="CKR93" s="3"/>
      <c r="CKS93" s="3"/>
      <c r="CKT93" s="3"/>
      <c r="CKU93" s="3"/>
      <c r="CKV93" s="3"/>
      <c r="CKW93" s="3"/>
      <c r="CKX93" s="3"/>
      <c r="CKY93" s="3"/>
      <c r="CKZ93" s="3"/>
      <c r="CLA93" s="3"/>
      <c r="CLB93" s="3"/>
      <c r="CLC93" s="3"/>
      <c r="CLD93" s="3"/>
      <c r="CLE93" s="3"/>
      <c r="CLF93" s="3"/>
      <c r="CLG93" s="3"/>
      <c r="CLH93" s="3"/>
      <c r="CLI93" s="3"/>
      <c r="CLJ93" s="3"/>
      <c r="CLK93" s="3"/>
      <c r="CLL93" s="3"/>
      <c r="CLM93" s="3"/>
      <c r="CLN93" s="3"/>
      <c r="CLO93" s="3"/>
      <c r="CLP93" s="3"/>
      <c r="CLQ93" s="3"/>
      <c r="CLR93" s="3"/>
      <c r="CLS93" s="3"/>
      <c r="CLT93" s="3"/>
      <c r="CLU93" s="3"/>
      <c r="CLV93" s="3"/>
      <c r="CLW93" s="3"/>
      <c r="CLX93" s="3"/>
      <c r="CLY93" s="3"/>
      <c r="CLZ93" s="3"/>
      <c r="CMA93" s="3"/>
      <c r="CMB93" s="3"/>
      <c r="CMC93" s="3"/>
      <c r="CMD93" s="3"/>
      <c r="CME93" s="3"/>
      <c r="CMF93" s="3"/>
      <c r="CMG93" s="3"/>
      <c r="CMH93" s="3"/>
      <c r="CMI93" s="3"/>
      <c r="CMJ93" s="3"/>
      <c r="CMK93" s="3"/>
      <c r="CML93" s="3"/>
      <c r="CMM93" s="3"/>
      <c r="CMN93" s="3"/>
      <c r="CMO93" s="3"/>
      <c r="CMP93" s="3"/>
      <c r="CMQ93" s="3"/>
      <c r="CMR93" s="3"/>
      <c r="CMS93" s="3"/>
      <c r="CMT93" s="3"/>
      <c r="CMU93" s="3"/>
      <c r="CMV93" s="3"/>
      <c r="CMW93" s="3"/>
      <c r="CMX93" s="3"/>
      <c r="CMY93" s="3"/>
      <c r="CMZ93" s="3"/>
      <c r="CNA93" s="3"/>
      <c r="CNB93" s="3"/>
      <c r="CNC93" s="3"/>
      <c r="CND93" s="3"/>
      <c r="CNE93" s="3"/>
      <c r="CNF93" s="3"/>
      <c r="CNG93" s="3"/>
      <c r="CNH93" s="3"/>
      <c r="CNI93" s="3"/>
      <c r="CNJ93" s="3"/>
      <c r="CNK93" s="3"/>
      <c r="CNL93" s="3"/>
      <c r="CNM93" s="3"/>
      <c r="CNN93" s="3"/>
      <c r="CNO93" s="3"/>
      <c r="CNP93" s="3"/>
      <c r="CNQ93" s="3"/>
      <c r="CNR93" s="3"/>
      <c r="CNS93" s="3"/>
      <c r="CNT93" s="3"/>
      <c r="CNU93" s="3"/>
      <c r="CNV93" s="3"/>
      <c r="CNW93" s="3"/>
      <c r="CNX93" s="3"/>
      <c r="CNY93" s="3"/>
      <c r="CNZ93" s="3"/>
      <c r="COA93" s="3"/>
      <c r="COB93" s="3"/>
      <c r="COC93" s="3"/>
      <c r="COD93" s="3"/>
      <c r="COE93" s="3"/>
      <c r="COF93" s="3"/>
      <c r="COG93" s="3"/>
      <c r="COH93" s="3"/>
      <c r="COI93" s="3"/>
      <c r="COJ93" s="3"/>
      <c r="COK93" s="3"/>
      <c r="COL93" s="3"/>
      <c r="COM93" s="3"/>
      <c r="CON93" s="3"/>
      <c r="COO93" s="3"/>
      <c r="COP93" s="3"/>
      <c r="COQ93" s="3"/>
      <c r="COR93" s="3"/>
      <c r="COS93" s="3"/>
      <c r="COT93" s="3"/>
      <c r="COU93" s="3"/>
      <c r="COV93" s="3"/>
      <c r="COW93" s="3"/>
      <c r="COX93" s="3"/>
      <c r="COY93" s="3"/>
      <c r="COZ93" s="3"/>
      <c r="CPA93" s="3"/>
      <c r="CPB93" s="3"/>
      <c r="CPC93" s="3"/>
      <c r="CPD93" s="3"/>
      <c r="CPE93" s="3"/>
      <c r="CPF93" s="3"/>
      <c r="CPG93" s="3"/>
      <c r="CPH93" s="3"/>
      <c r="CPI93" s="3"/>
      <c r="CPJ93" s="3"/>
      <c r="CPK93" s="3"/>
      <c r="CPL93" s="3"/>
      <c r="CPM93" s="3"/>
      <c r="CPN93" s="3"/>
      <c r="CPO93" s="3"/>
      <c r="CPP93" s="3"/>
      <c r="CPQ93" s="3"/>
      <c r="CPR93" s="3"/>
      <c r="CPS93" s="3"/>
      <c r="CPT93" s="3"/>
      <c r="CPU93" s="3"/>
      <c r="CPV93" s="3"/>
      <c r="CPW93" s="3"/>
      <c r="CPX93" s="3"/>
      <c r="CPY93" s="3"/>
      <c r="CPZ93" s="3"/>
      <c r="CQA93" s="3"/>
      <c r="CQB93" s="3"/>
      <c r="CQC93" s="3"/>
      <c r="CQD93" s="3"/>
      <c r="CQE93" s="3"/>
      <c r="CQF93" s="3"/>
      <c r="CQG93" s="3"/>
      <c r="CQH93" s="3"/>
      <c r="CQI93" s="3"/>
      <c r="CQJ93" s="3"/>
      <c r="CQK93" s="3"/>
      <c r="CQL93" s="3"/>
      <c r="CQM93" s="3"/>
      <c r="CQN93" s="3"/>
      <c r="CQO93" s="3"/>
      <c r="CQP93" s="3"/>
      <c r="CQQ93" s="3"/>
      <c r="CQR93" s="3"/>
      <c r="CQS93" s="3"/>
      <c r="CQT93" s="3"/>
      <c r="CQU93" s="3"/>
      <c r="CQV93" s="3"/>
      <c r="CQW93" s="3"/>
      <c r="CQX93" s="3"/>
      <c r="CQY93" s="3"/>
      <c r="CQZ93" s="3"/>
      <c r="CRA93" s="3"/>
      <c r="CRB93" s="3"/>
      <c r="CRC93" s="3"/>
      <c r="CRD93" s="3"/>
      <c r="CRE93" s="3"/>
      <c r="CRF93" s="3"/>
      <c r="CRG93" s="3"/>
      <c r="CRH93" s="3"/>
      <c r="CRI93" s="3"/>
      <c r="CRJ93" s="3"/>
      <c r="CRK93" s="3"/>
      <c r="CRL93" s="3"/>
      <c r="CRM93" s="3"/>
      <c r="CRN93" s="3"/>
      <c r="CRO93" s="3"/>
      <c r="CRP93" s="3"/>
      <c r="CRQ93" s="3"/>
      <c r="CRR93" s="3"/>
      <c r="CRS93" s="3"/>
      <c r="CRT93" s="3"/>
      <c r="CRU93" s="3"/>
      <c r="CRV93" s="3"/>
      <c r="CRW93" s="3"/>
      <c r="CRX93" s="3"/>
      <c r="CRY93" s="3"/>
      <c r="CRZ93" s="3"/>
      <c r="CSA93" s="3"/>
      <c r="CSB93" s="3"/>
      <c r="CSC93" s="3"/>
      <c r="CSD93" s="3"/>
      <c r="CSE93" s="3"/>
      <c r="CSF93" s="3"/>
      <c r="CSG93" s="3"/>
      <c r="CSH93" s="3"/>
      <c r="CSI93" s="3"/>
      <c r="CSJ93" s="3"/>
      <c r="CSK93" s="3"/>
      <c r="CSL93" s="3"/>
      <c r="CSM93" s="3"/>
      <c r="CSN93" s="3"/>
      <c r="CSO93" s="3"/>
      <c r="CSP93" s="3"/>
      <c r="CSQ93" s="3"/>
      <c r="CSR93" s="3"/>
      <c r="CSS93" s="3"/>
      <c r="CST93" s="3"/>
      <c r="CSU93" s="3"/>
      <c r="CSV93" s="3"/>
      <c r="CSW93" s="3"/>
      <c r="CSX93" s="3"/>
      <c r="CSY93" s="3"/>
      <c r="CSZ93" s="3"/>
      <c r="CTA93" s="3"/>
      <c r="CTB93" s="3"/>
      <c r="CTC93" s="3"/>
      <c r="CTD93" s="3"/>
      <c r="CTE93" s="3"/>
      <c r="CTF93" s="3"/>
      <c r="CTG93" s="3"/>
      <c r="CTH93" s="3"/>
      <c r="CTI93" s="3"/>
      <c r="CTJ93" s="3"/>
      <c r="CTK93" s="3"/>
      <c r="CTL93" s="3"/>
      <c r="CTM93" s="3"/>
      <c r="CTN93" s="3"/>
      <c r="CTO93" s="3"/>
      <c r="CTP93" s="3"/>
      <c r="CTQ93" s="3"/>
      <c r="CTR93" s="3"/>
      <c r="CTS93" s="3"/>
      <c r="CTT93" s="3"/>
      <c r="CTU93" s="3"/>
      <c r="CTV93" s="3"/>
      <c r="CTW93" s="3"/>
      <c r="CTX93" s="3"/>
      <c r="CTY93" s="3"/>
      <c r="CTZ93" s="3"/>
      <c r="CUA93" s="3"/>
      <c r="CUB93" s="3"/>
      <c r="CUC93" s="3"/>
      <c r="CUD93" s="3"/>
      <c r="CUE93" s="3"/>
      <c r="CUF93" s="3"/>
      <c r="CUG93" s="3"/>
      <c r="CUH93" s="3"/>
      <c r="CUI93" s="3"/>
      <c r="CUJ93" s="3"/>
      <c r="CUK93" s="3"/>
      <c r="CUL93" s="3"/>
      <c r="CUM93" s="3"/>
      <c r="CUN93" s="3"/>
      <c r="CUO93" s="3"/>
      <c r="CUP93" s="3"/>
      <c r="CUQ93" s="3"/>
      <c r="CUR93" s="3"/>
      <c r="CUS93" s="3"/>
      <c r="CUT93" s="3"/>
      <c r="CUU93" s="3"/>
      <c r="CUV93" s="3"/>
      <c r="CUW93" s="3"/>
      <c r="CUX93" s="3"/>
      <c r="CUY93" s="3"/>
      <c r="CUZ93" s="3"/>
      <c r="CVA93" s="3"/>
      <c r="CVB93" s="3"/>
      <c r="CVC93" s="3"/>
      <c r="CVD93" s="3"/>
      <c r="CVE93" s="3"/>
      <c r="CVF93" s="3"/>
      <c r="CVG93" s="3"/>
      <c r="CVH93" s="3"/>
      <c r="CVI93" s="3"/>
      <c r="CVJ93" s="3"/>
      <c r="CVK93" s="3"/>
      <c r="CVL93" s="3"/>
      <c r="CVM93" s="3"/>
      <c r="CVN93" s="3"/>
      <c r="CVO93" s="3"/>
      <c r="CVP93" s="3"/>
      <c r="CVQ93" s="3"/>
      <c r="CVR93" s="3"/>
      <c r="CVS93" s="3"/>
      <c r="CVT93" s="3"/>
      <c r="CVU93" s="3"/>
      <c r="CVV93" s="3"/>
      <c r="CVW93" s="3"/>
      <c r="CVX93" s="3"/>
      <c r="CVY93" s="3"/>
      <c r="CVZ93" s="3"/>
      <c r="CWA93" s="3"/>
      <c r="CWB93" s="3"/>
      <c r="CWC93" s="3"/>
      <c r="CWD93" s="3"/>
      <c r="CWE93" s="3"/>
      <c r="CWF93" s="3"/>
      <c r="CWG93" s="3"/>
      <c r="CWH93" s="3"/>
      <c r="CWI93" s="3"/>
      <c r="CWJ93" s="3"/>
      <c r="CWK93" s="3"/>
      <c r="CWL93" s="3"/>
      <c r="CWM93" s="3"/>
      <c r="CWN93" s="3"/>
      <c r="CWO93" s="3"/>
      <c r="CWP93" s="3"/>
      <c r="CWQ93" s="3"/>
      <c r="CWR93" s="3"/>
      <c r="CWS93" s="3"/>
      <c r="CWT93" s="3"/>
      <c r="CWU93" s="3"/>
      <c r="CWV93" s="3"/>
      <c r="CWW93" s="3"/>
      <c r="CWX93" s="3"/>
      <c r="CWY93" s="3"/>
      <c r="CWZ93" s="3"/>
      <c r="CXA93" s="3"/>
      <c r="CXB93" s="3"/>
      <c r="CXC93" s="3"/>
      <c r="CXD93" s="3"/>
      <c r="CXE93" s="3"/>
      <c r="CXF93" s="3"/>
      <c r="CXG93" s="3"/>
      <c r="CXH93" s="3"/>
      <c r="CXI93" s="3"/>
      <c r="CXJ93" s="3"/>
      <c r="CXK93" s="3"/>
      <c r="CXL93" s="3"/>
      <c r="CXM93" s="3"/>
      <c r="CXN93" s="3"/>
      <c r="CXO93" s="3"/>
      <c r="CXP93" s="3"/>
      <c r="CXQ93" s="3"/>
      <c r="CXR93" s="3"/>
      <c r="CXS93" s="3"/>
      <c r="CXT93" s="3"/>
      <c r="CXU93" s="3"/>
      <c r="CXV93" s="3"/>
      <c r="CXW93" s="3"/>
      <c r="CXX93" s="3"/>
      <c r="CXY93" s="3"/>
      <c r="CXZ93" s="3"/>
      <c r="CYA93" s="3"/>
      <c r="CYB93" s="3"/>
      <c r="CYC93" s="3"/>
      <c r="CYD93" s="3"/>
      <c r="CYE93" s="3"/>
      <c r="CYF93" s="3"/>
      <c r="CYG93" s="3"/>
      <c r="CYH93" s="3"/>
      <c r="CYI93" s="3"/>
      <c r="CYJ93" s="3"/>
      <c r="CYK93" s="3"/>
      <c r="CYL93" s="3"/>
      <c r="CYM93" s="3"/>
      <c r="CYN93" s="3"/>
      <c r="CYO93" s="3"/>
      <c r="CYP93" s="3"/>
      <c r="CYQ93" s="3"/>
      <c r="CYR93" s="3"/>
      <c r="CYS93" s="3"/>
      <c r="CYT93" s="3"/>
      <c r="CYU93" s="3"/>
      <c r="CYV93" s="3"/>
      <c r="CYW93" s="3"/>
      <c r="CYX93" s="3"/>
      <c r="CYY93" s="3"/>
      <c r="CYZ93" s="3"/>
      <c r="CZA93" s="3"/>
      <c r="CZB93" s="3"/>
      <c r="CZC93" s="3"/>
      <c r="CZD93" s="3"/>
      <c r="CZE93" s="3"/>
      <c r="CZF93" s="3"/>
      <c r="CZG93" s="3"/>
      <c r="CZH93" s="3"/>
      <c r="CZI93" s="3"/>
      <c r="CZJ93" s="3"/>
      <c r="CZK93" s="3"/>
      <c r="CZL93" s="3"/>
      <c r="CZM93" s="3"/>
      <c r="CZN93" s="3"/>
      <c r="CZO93" s="3"/>
      <c r="CZP93" s="3"/>
      <c r="CZQ93" s="3"/>
      <c r="CZR93" s="3"/>
      <c r="CZS93" s="3"/>
      <c r="CZT93" s="3"/>
      <c r="CZU93" s="3"/>
      <c r="CZV93" s="3"/>
      <c r="CZW93" s="3"/>
      <c r="CZX93" s="3"/>
      <c r="CZY93" s="3"/>
      <c r="CZZ93" s="3"/>
      <c r="DAA93" s="3"/>
      <c r="DAB93" s="3"/>
      <c r="DAC93" s="3"/>
      <c r="DAD93" s="3"/>
      <c r="DAE93" s="3"/>
      <c r="DAF93" s="3"/>
      <c r="DAG93" s="3"/>
      <c r="DAH93" s="3"/>
      <c r="DAI93" s="3"/>
      <c r="DAJ93" s="3"/>
      <c r="DAK93" s="3"/>
      <c r="DAL93" s="3"/>
      <c r="DAM93" s="3"/>
      <c r="DAN93" s="3"/>
      <c r="DAO93" s="3"/>
      <c r="DAP93" s="3"/>
      <c r="DAQ93" s="3"/>
      <c r="DAR93" s="3"/>
      <c r="DAS93" s="3"/>
      <c r="DAT93" s="3"/>
      <c r="DAU93" s="3"/>
      <c r="DAV93" s="3"/>
      <c r="DAW93" s="3"/>
      <c r="DAX93" s="3"/>
      <c r="DAY93" s="3"/>
      <c r="DAZ93" s="3"/>
      <c r="DBA93" s="3"/>
      <c r="DBB93" s="3"/>
      <c r="DBC93" s="3"/>
      <c r="DBD93" s="3"/>
      <c r="DBE93" s="3"/>
      <c r="DBF93" s="3"/>
      <c r="DBG93" s="3"/>
      <c r="DBH93" s="3"/>
      <c r="DBI93" s="3"/>
      <c r="DBJ93" s="3"/>
      <c r="DBK93" s="3"/>
      <c r="DBL93" s="3"/>
      <c r="DBM93" s="3"/>
      <c r="DBN93" s="3"/>
      <c r="DBO93" s="3"/>
      <c r="DBP93" s="3"/>
      <c r="DBQ93" s="3"/>
      <c r="DBR93" s="3"/>
      <c r="DBS93" s="3"/>
      <c r="DBT93" s="3"/>
      <c r="DBU93" s="3"/>
      <c r="DBV93" s="3"/>
      <c r="DBW93" s="3"/>
      <c r="DBX93" s="3"/>
      <c r="DBY93" s="3"/>
      <c r="DBZ93" s="3"/>
      <c r="DCA93" s="3"/>
      <c r="DCB93" s="3"/>
      <c r="DCC93" s="3"/>
      <c r="DCD93" s="3"/>
      <c r="DCE93" s="3"/>
      <c r="DCF93" s="3"/>
      <c r="DCG93" s="3"/>
      <c r="DCH93" s="3"/>
      <c r="DCI93" s="3"/>
      <c r="DCJ93" s="3"/>
      <c r="DCK93" s="3"/>
      <c r="DCL93" s="3"/>
      <c r="DCM93" s="3"/>
      <c r="DCN93" s="3"/>
      <c r="DCO93" s="3"/>
      <c r="DCP93" s="3"/>
      <c r="DCQ93" s="3"/>
      <c r="DCR93" s="3"/>
      <c r="DCS93" s="3"/>
      <c r="DCT93" s="3"/>
      <c r="DCU93" s="3"/>
      <c r="DCV93" s="3"/>
      <c r="DCW93" s="3"/>
      <c r="DCX93" s="3"/>
      <c r="DCY93" s="3"/>
      <c r="DCZ93" s="3"/>
      <c r="DDA93" s="3"/>
      <c r="DDB93" s="3"/>
      <c r="DDC93" s="3"/>
      <c r="DDD93" s="3"/>
      <c r="DDE93" s="3"/>
      <c r="DDF93" s="3"/>
      <c r="DDG93" s="3"/>
      <c r="DDH93" s="3"/>
      <c r="DDI93" s="3"/>
      <c r="DDJ93" s="3"/>
      <c r="DDK93" s="3"/>
      <c r="DDL93" s="3"/>
      <c r="DDM93" s="3"/>
      <c r="DDN93" s="3"/>
      <c r="DDO93" s="3"/>
      <c r="DDP93" s="3"/>
      <c r="DDQ93" s="3"/>
      <c r="DDR93" s="3"/>
      <c r="DDS93" s="3"/>
      <c r="DDT93" s="3"/>
      <c r="DDU93" s="3"/>
      <c r="DDV93" s="3"/>
      <c r="DDW93" s="3"/>
      <c r="DDX93" s="3"/>
      <c r="DDY93" s="3"/>
      <c r="DDZ93" s="3"/>
      <c r="DEA93" s="3"/>
      <c r="DEB93" s="3"/>
      <c r="DEC93" s="3"/>
      <c r="DED93" s="3"/>
      <c r="DEE93" s="3"/>
      <c r="DEF93" s="3"/>
      <c r="DEG93" s="3"/>
      <c r="DEH93" s="3"/>
      <c r="DEI93" s="3"/>
      <c r="DEJ93" s="3"/>
      <c r="DEK93" s="3"/>
      <c r="DEL93" s="3"/>
      <c r="DEM93" s="3"/>
      <c r="DEN93" s="3"/>
      <c r="DEO93" s="3"/>
      <c r="DEP93" s="3"/>
      <c r="DEQ93" s="3"/>
      <c r="DER93" s="3"/>
      <c r="DES93" s="3"/>
      <c r="DET93" s="3"/>
      <c r="DEU93" s="3"/>
      <c r="DEV93" s="3"/>
      <c r="DEW93" s="3"/>
      <c r="DEX93" s="3"/>
      <c r="DEY93" s="3"/>
      <c r="DEZ93" s="3"/>
      <c r="DFA93" s="3"/>
      <c r="DFB93" s="3"/>
      <c r="DFC93" s="3"/>
      <c r="DFD93" s="3"/>
      <c r="DFE93" s="3"/>
      <c r="DFF93" s="3"/>
      <c r="DFG93" s="3"/>
      <c r="DFH93" s="3"/>
      <c r="DFI93" s="3"/>
      <c r="DFJ93" s="3"/>
      <c r="DFK93" s="3"/>
      <c r="DFL93" s="3"/>
      <c r="DFM93" s="3"/>
      <c r="DFN93" s="3"/>
      <c r="DFO93" s="3"/>
      <c r="DFP93" s="3"/>
      <c r="DFQ93" s="3"/>
      <c r="DFR93" s="3"/>
      <c r="DFS93" s="3"/>
      <c r="DFT93" s="3"/>
      <c r="DFU93" s="3"/>
      <c r="DFV93" s="3"/>
      <c r="DFW93" s="3"/>
      <c r="DFX93" s="3"/>
      <c r="DFY93" s="3"/>
      <c r="DFZ93" s="3"/>
      <c r="DGA93" s="3"/>
      <c r="DGB93" s="3"/>
      <c r="DGC93" s="3"/>
      <c r="DGD93" s="3"/>
      <c r="DGE93" s="3"/>
      <c r="DGF93" s="3"/>
      <c r="DGG93" s="3"/>
      <c r="DGH93" s="3"/>
      <c r="DGI93" s="3"/>
      <c r="DGJ93" s="3"/>
      <c r="DGK93" s="3"/>
      <c r="DGL93" s="3"/>
      <c r="DGM93" s="3"/>
      <c r="DGN93" s="3"/>
      <c r="DGO93" s="3"/>
      <c r="DGP93" s="3"/>
      <c r="DGQ93" s="3"/>
      <c r="DGR93" s="3"/>
      <c r="DGS93" s="3"/>
      <c r="DGT93" s="3"/>
      <c r="DGU93" s="3"/>
      <c r="DGV93" s="3"/>
      <c r="DGW93" s="3"/>
      <c r="DGX93" s="3"/>
      <c r="DGY93" s="3"/>
      <c r="DGZ93" s="3"/>
      <c r="DHA93" s="3"/>
      <c r="DHB93" s="3"/>
      <c r="DHC93" s="3"/>
      <c r="DHD93" s="3"/>
      <c r="DHE93" s="3"/>
      <c r="DHF93" s="3"/>
      <c r="DHG93" s="3"/>
      <c r="DHH93" s="3"/>
      <c r="DHI93" s="3"/>
      <c r="DHJ93" s="3"/>
      <c r="DHK93" s="3"/>
      <c r="DHL93" s="3"/>
      <c r="DHM93" s="3"/>
      <c r="DHN93" s="3"/>
      <c r="DHO93" s="3"/>
      <c r="DHP93" s="3"/>
      <c r="DHQ93" s="3"/>
      <c r="DHR93" s="3"/>
      <c r="DHS93" s="3"/>
      <c r="DHT93" s="3"/>
      <c r="DHU93" s="3"/>
      <c r="DHV93" s="3"/>
      <c r="DHW93" s="3"/>
      <c r="DHX93" s="3"/>
      <c r="DHY93" s="3"/>
      <c r="DHZ93" s="3"/>
      <c r="DIA93" s="3"/>
      <c r="DIB93" s="3"/>
      <c r="DIC93" s="3"/>
      <c r="DID93" s="3"/>
      <c r="DIE93" s="3"/>
      <c r="DIF93" s="3"/>
      <c r="DIG93" s="3"/>
      <c r="DIH93" s="3"/>
      <c r="DII93" s="3"/>
      <c r="DIJ93" s="3"/>
      <c r="DIK93" s="3"/>
      <c r="DIL93" s="3"/>
      <c r="DIM93" s="3"/>
      <c r="DIN93" s="3"/>
      <c r="DIO93" s="3"/>
      <c r="DIP93" s="3"/>
      <c r="DIQ93" s="3"/>
      <c r="DIR93" s="3"/>
      <c r="DIS93" s="3"/>
      <c r="DIT93" s="3"/>
      <c r="DIU93" s="3"/>
      <c r="DIV93" s="3"/>
      <c r="DIW93" s="3"/>
      <c r="DIX93" s="3"/>
      <c r="DIY93" s="3"/>
      <c r="DIZ93" s="3"/>
      <c r="DJA93" s="3"/>
      <c r="DJB93" s="3"/>
      <c r="DJC93" s="3"/>
      <c r="DJD93" s="3"/>
      <c r="DJE93" s="3"/>
      <c r="DJF93" s="3"/>
      <c r="DJG93" s="3"/>
      <c r="DJH93" s="3"/>
      <c r="DJI93" s="3"/>
      <c r="DJJ93" s="3"/>
      <c r="DJK93" s="3"/>
      <c r="DJL93" s="3"/>
      <c r="DJM93" s="3"/>
      <c r="DJN93" s="3"/>
      <c r="DJO93" s="3"/>
      <c r="DJP93" s="3"/>
      <c r="DJQ93" s="3"/>
      <c r="DJR93" s="3"/>
      <c r="DJS93" s="3"/>
      <c r="DJT93" s="3"/>
      <c r="DJU93" s="3"/>
      <c r="DJV93" s="3"/>
      <c r="DJW93" s="3"/>
      <c r="DJX93" s="3"/>
      <c r="DJY93" s="3"/>
      <c r="DJZ93" s="3"/>
      <c r="DKA93" s="3"/>
      <c r="DKB93" s="3"/>
      <c r="DKC93" s="3"/>
      <c r="DKD93" s="3"/>
      <c r="DKE93" s="3"/>
      <c r="DKF93" s="3"/>
      <c r="DKG93" s="3"/>
      <c r="DKH93" s="3"/>
      <c r="DKI93" s="3"/>
      <c r="DKJ93" s="3"/>
      <c r="DKK93" s="3"/>
      <c r="DKL93" s="3"/>
      <c r="DKM93" s="3"/>
      <c r="DKN93" s="3"/>
      <c r="DKO93" s="3"/>
      <c r="DKP93" s="3"/>
      <c r="DKQ93" s="3"/>
      <c r="DKR93" s="3"/>
      <c r="DKS93" s="3"/>
      <c r="DKT93" s="3"/>
      <c r="DKU93" s="3"/>
      <c r="DKV93" s="3"/>
      <c r="DKW93" s="3"/>
      <c r="DKX93" s="3"/>
      <c r="DKY93" s="3"/>
      <c r="DKZ93" s="3"/>
      <c r="DLA93" s="3"/>
      <c r="DLB93" s="3"/>
      <c r="DLC93" s="3"/>
      <c r="DLD93" s="3"/>
      <c r="DLE93" s="3"/>
      <c r="DLF93" s="3"/>
      <c r="DLG93" s="3"/>
      <c r="DLH93" s="3"/>
      <c r="DLI93" s="3"/>
      <c r="DLJ93" s="3"/>
      <c r="DLK93" s="3"/>
      <c r="DLL93" s="3"/>
      <c r="DLM93" s="3"/>
      <c r="DLN93" s="3"/>
      <c r="DLO93" s="3"/>
      <c r="DLP93" s="3"/>
      <c r="DLQ93" s="3"/>
      <c r="DLR93" s="3"/>
      <c r="DLS93" s="3"/>
      <c r="DLT93" s="3"/>
      <c r="DLU93" s="3"/>
      <c r="DLV93" s="3"/>
      <c r="DLW93" s="3"/>
      <c r="DLX93" s="3"/>
      <c r="DLY93" s="3"/>
      <c r="DLZ93" s="3"/>
      <c r="DMA93" s="3"/>
      <c r="DMB93" s="3"/>
      <c r="DMC93" s="3"/>
      <c r="DMD93" s="3"/>
      <c r="DME93" s="3"/>
      <c r="DMF93" s="3"/>
      <c r="DMG93" s="3"/>
      <c r="DMH93" s="3"/>
      <c r="DMI93" s="3"/>
      <c r="DMJ93" s="3"/>
      <c r="DMK93" s="3"/>
      <c r="DML93" s="3"/>
      <c r="DMM93" s="3"/>
      <c r="DMN93" s="3"/>
      <c r="DMO93" s="3"/>
      <c r="DMP93" s="3"/>
      <c r="DMQ93" s="3"/>
      <c r="DMR93" s="3"/>
      <c r="DMS93" s="3"/>
      <c r="DMT93" s="3"/>
      <c r="DMU93" s="3"/>
      <c r="DMV93" s="3"/>
      <c r="DMW93" s="3"/>
      <c r="DMX93" s="3"/>
      <c r="DMY93" s="3"/>
      <c r="DMZ93" s="3"/>
      <c r="DNA93" s="3"/>
      <c r="DNB93" s="3"/>
      <c r="DNC93" s="3"/>
      <c r="DND93" s="3"/>
      <c r="DNE93" s="3"/>
      <c r="DNF93" s="3"/>
      <c r="DNG93" s="3"/>
      <c r="DNH93" s="3"/>
      <c r="DNI93" s="3"/>
      <c r="DNJ93" s="3"/>
      <c r="DNK93" s="3"/>
      <c r="DNL93" s="3"/>
      <c r="DNM93" s="3"/>
      <c r="DNN93" s="3"/>
      <c r="DNO93" s="3"/>
      <c r="DNP93" s="3"/>
      <c r="DNQ93" s="3"/>
      <c r="DNR93" s="3"/>
      <c r="DNS93" s="3"/>
      <c r="DNT93" s="3"/>
      <c r="DNU93" s="3"/>
      <c r="DNV93" s="3"/>
      <c r="DNW93" s="3"/>
      <c r="DNX93" s="3"/>
      <c r="DNY93" s="3"/>
      <c r="DNZ93" s="3"/>
      <c r="DOA93" s="3"/>
      <c r="DOB93" s="3"/>
      <c r="DOC93" s="3"/>
      <c r="DOD93" s="3"/>
      <c r="DOE93" s="3"/>
      <c r="DOF93" s="3"/>
      <c r="DOG93" s="3"/>
      <c r="DOH93" s="3"/>
      <c r="DOI93" s="3"/>
      <c r="DOJ93" s="3"/>
      <c r="DOK93" s="3"/>
      <c r="DOL93" s="3"/>
      <c r="DOM93" s="3"/>
      <c r="DON93" s="3"/>
      <c r="DOO93" s="3"/>
      <c r="DOP93" s="3"/>
      <c r="DOQ93" s="3"/>
      <c r="DOR93" s="3"/>
      <c r="DOS93" s="3"/>
      <c r="DOT93" s="3"/>
      <c r="DOU93" s="3"/>
      <c r="DOV93" s="3"/>
      <c r="DOW93" s="3"/>
      <c r="DOX93" s="3"/>
      <c r="DOY93" s="3"/>
      <c r="DOZ93" s="3"/>
      <c r="DPA93" s="3"/>
      <c r="DPB93" s="3"/>
      <c r="DPC93" s="3"/>
      <c r="DPD93" s="3"/>
      <c r="DPE93" s="3"/>
      <c r="DPF93" s="3"/>
      <c r="DPG93" s="3"/>
      <c r="DPH93" s="3"/>
      <c r="DPI93" s="3"/>
      <c r="DPJ93" s="3"/>
      <c r="DPK93" s="3"/>
      <c r="DPL93" s="3"/>
      <c r="DPM93" s="3"/>
      <c r="DPN93" s="3"/>
      <c r="DPO93" s="3"/>
      <c r="DPP93" s="3"/>
      <c r="DPQ93" s="3"/>
      <c r="DPR93" s="3"/>
      <c r="DPS93" s="3"/>
      <c r="DPT93" s="3"/>
      <c r="DPU93" s="3"/>
      <c r="DPV93" s="3"/>
      <c r="DPW93" s="3"/>
      <c r="DPX93" s="3"/>
      <c r="DPY93" s="3"/>
      <c r="DPZ93" s="3"/>
      <c r="DQA93" s="3"/>
      <c r="DQB93" s="3"/>
      <c r="DQC93" s="3"/>
      <c r="DQD93" s="3"/>
      <c r="DQE93" s="3"/>
      <c r="DQF93" s="3"/>
      <c r="DQG93" s="3"/>
      <c r="DQH93" s="3"/>
      <c r="DQI93" s="3"/>
      <c r="DQJ93" s="3"/>
      <c r="DQK93" s="3"/>
      <c r="DQL93" s="3"/>
      <c r="DQM93" s="3"/>
      <c r="DQN93" s="3"/>
      <c r="DQO93" s="3"/>
      <c r="DQP93" s="3"/>
      <c r="DQQ93" s="3"/>
      <c r="DQR93" s="3"/>
      <c r="DQS93" s="3"/>
      <c r="DQT93" s="3"/>
      <c r="DQU93" s="3"/>
      <c r="DQV93" s="3"/>
      <c r="DQW93" s="3"/>
      <c r="DQX93" s="3"/>
      <c r="DQY93" s="3"/>
      <c r="DQZ93" s="3"/>
      <c r="DRA93" s="3"/>
      <c r="DRB93" s="3"/>
      <c r="DRC93" s="3"/>
      <c r="DRD93" s="3"/>
      <c r="DRE93" s="3"/>
      <c r="DRF93" s="3"/>
      <c r="DRG93" s="3"/>
      <c r="DRH93" s="3"/>
      <c r="DRI93" s="3"/>
      <c r="DRJ93" s="3"/>
      <c r="DRK93" s="3"/>
      <c r="DRL93" s="3"/>
      <c r="DRM93" s="3"/>
      <c r="DRN93" s="3"/>
      <c r="DRO93" s="3"/>
      <c r="DRP93" s="3"/>
      <c r="DRQ93" s="3"/>
      <c r="DRR93" s="3"/>
      <c r="DRS93" s="3"/>
      <c r="DRT93" s="3"/>
      <c r="DRU93" s="3"/>
      <c r="DRV93" s="3"/>
      <c r="DRW93" s="3"/>
      <c r="DRX93" s="3"/>
      <c r="DRY93" s="3"/>
      <c r="DRZ93" s="3"/>
      <c r="DSA93" s="3"/>
      <c r="DSB93" s="3"/>
      <c r="DSC93" s="3"/>
      <c r="DSD93" s="3"/>
      <c r="DSE93" s="3"/>
      <c r="DSF93" s="3"/>
      <c r="DSG93" s="3"/>
      <c r="DSH93" s="3"/>
      <c r="DSI93" s="3"/>
      <c r="DSJ93" s="3"/>
      <c r="DSK93" s="3"/>
      <c r="DSL93" s="3"/>
      <c r="DSM93" s="3"/>
      <c r="DSN93" s="3"/>
      <c r="DSO93" s="3"/>
      <c r="DSP93" s="3"/>
      <c r="DSQ93" s="3"/>
      <c r="DSR93" s="3"/>
      <c r="DSS93" s="3"/>
      <c r="DST93" s="3"/>
      <c r="DSU93" s="3"/>
      <c r="DSV93" s="3"/>
      <c r="DSW93" s="3"/>
      <c r="DSX93" s="3"/>
      <c r="DSY93" s="3"/>
      <c r="DSZ93" s="3"/>
      <c r="DTA93" s="3"/>
      <c r="DTB93" s="3"/>
      <c r="DTC93" s="3"/>
      <c r="DTD93" s="3"/>
      <c r="DTE93" s="3"/>
      <c r="DTF93" s="3"/>
      <c r="DTG93" s="3"/>
      <c r="DTH93" s="3"/>
      <c r="DTI93" s="3"/>
      <c r="DTJ93" s="3"/>
      <c r="DTK93" s="3"/>
      <c r="DTL93" s="3"/>
      <c r="DTM93" s="3"/>
      <c r="DTN93" s="3"/>
      <c r="DTO93" s="3"/>
      <c r="DTP93" s="3"/>
      <c r="DTQ93" s="3"/>
      <c r="DTR93" s="3"/>
      <c r="DTS93" s="3"/>
      <c r="DTT93" s="3"/>
      <c r="DTU93" s="3"/>
      <c r="DTV93" s="3"/>
      <c r="DTW93" s="3"/>
      <c r="DTX93" s="3"/>
      <c r="DTY93" s="3"/>
      <c r="DTZ93" s="3"/>
      <c r="DUA93" s="3"/>
      <c r="DUB93" s="3"/>
      <c r="DUC93" s="3"/>
      <c r="DUD93" s="3"/>
      <c r="DUE93" s="3"/>
      <c r="DUF93" s="3"/>
      <c r="DUG93" s="3"/>
      <c r="DUH93" s="3"/>
      <c r="DUI93" s="3"/>
      <c r="DUJ93" s="3"/>
      <c r="DUK93" s="3"/>
      <c r="DUL93" s="3"/>
      <c r="DUM93" s="3"/>
      <c r="DUN93" s="3"/>
      <c r="DUO93" s="3"/>
      <c r="DUP93" s="3"/>
      <c r="DUQ93" s="3"/>
      <c r="DUR93" s="3"/>
      <c r="DUS93" s="3"/>
      <c r="DUT93" s="3"/>
      <c r="DUU93" s="3"/>
      <c r="DUV93" s="3"/>
      <c r="DUW93" s="3"/>
      <c r="DUX93" s="3"/>
      <c r="DUY93" s="3"/>
      <c r="DUZ93" s="3"/>
      <c r="DVA93" s="3"/>
      <c r="DVB93" s="3"/>
      <c r="DVC93" s="3"/>
      <c r="DVD93" s="3"/>
      <c r="DVE93" s="3"/>
      <c r="DVF93" s="3"/>
      <c r="DVG93" s="3"/>
      <c r="DVH93" s="3"/>
      <c r="DVI93" s="3"/>
      <c r="DVJ93" s="3"/>
      <c r="DVK93" s="3"/>
      <c r="DVL93" s="3"/>
      <c r="DVM93" s="3"/>
      <c r="DVN93" s="3"/>
      <c r="DVO93" s="3"/>
      <c r="DVP93" s="3"/>
      <c r="DVQ93" s="3"/>
      <c r="DVR93" s="3"/>
      <c r="DVS93" s="3"/>
      <c r="DVT93" s="3"/>
      <c r="DVU93" s="3"/>
      <c r="DVV93" s="3"/>
      <c r="DVW93" s="3"/>
      <c r="DVX93" s="3"/>
      <c r="DVY93" s="3"/>
      <c r="DVZ93" s="3"/>
      <c r="DWA93" s="3"/>
      <c r="DWB93" s="3"/>
      <c r="DWC93" s="3"/>
      <c r="DWD93" s="3"/>
      <c r="DWE93" s="3"/>
      <c r="DWF93" s="3"/>
      <c r="DWG93" s="3"/>
      <c r="DWH93" s="3"/>
      <c r="DWI93" s="3"/>
      <c r="DWJ93" s="3"/>
      <c r="DWK93" s="3"/>
      <c r="DWL93" s="3"/>
      <c r="DWM93" s="3"/>
      <c r="DWN93" s="3"/>
      <c r="DWO93" s="3"/>
      <c r="DWP93" s="3"/>
      <c r="DWQ93" s="3"/>
      <c r="DWR93" s="3"/>
      <c r="DWS93" s="3"/>
      <c r="DWT93" s="3"/>
      <c r="DWU93" s="3"/>
      <c r="DWV93" s="3"/>
      <c r="DWW93" s="3"/>
      <c r="DWX93" s="3"/>
      <c r="DWY93" s="3"/>
      <c r="DWZ93" s="3"/>
      <c r="DXA93" s="3"/>
      <c r="DXB93" s="3"/>
      <c r="DXC93" s="3"/>
      <c r="DXD93" s="3"/>
      <c r="DXE93" s="3"/>
      <c r="DXF93" s="3"/>
      <c r="DXG93" s="3"/>
      <c r="DXH93" s="3"/>
      <c r="DXI93" s="3"/>
      <c r="DXJ93" s="3"/>
      <c r="DXK93" s="3"/>
      <c r="DXL93" s="3"/>
      <c r="DXM93" s="3"/>
      <c r="DXN93" s="3"/>
      <c r="DXO93" s="3"/>
      <c r="DXP93" s="3"/>
      <c r="DXQ93" s="3"/>
      <c r="DXR93" s="3"/>
      <c r="DXS93" s="3"/>
      <c r="DXT93" s="3"/>
      <c r="DXU93" s="3"/>
      <c r="DXV93" s="3"/>
      <c r="DXW93" s="3"/>
      <c r="DXX93" s="3"/>
      <c r="DXY93" s="3"/>
      <c r="DXZ93" s="3"/>
      <c r="DYA93" s="3"/>
      <c r="DYB93" s="3"/>
      <c r="DYC93" s="3"/>
      <c r="DYD93" s="3"/>
      <c r="DYE93" s="3"/>
      <c r="DYF93" s="3"/>
      <c r="DYG93" s="3"/>
      <c r="DYH93" s="3"/>
      <c r="DYI93" s="3"/>
      <c r="DYJ93" s="3"/>
      <c r="DYK93" s="3"/>
      <c r="DYL93" s="3"/>
      <c r="DYM93" s="3"/>
      <c r="DYN93" s="3"/>
      <c r="DYO93" s="3"/>
      <c r="DYP93" s="3"/>
      <c r="DYQ93" s="3"/>
      <c r="DYR93" s="3"/>
      <c r="DYS93" s="3"/>
      <c r="DYT93" s="3"/>
      <c r="DYU93" s="3"/>
      <c r="DYV93" s="3"/>
      <c r="DYW93" s="3"/>
      <c r="DYX93" s="3"/>
      <c r="DYY93" s="3"/>
      <c r="DYZ93" s="3"/>
      <c r="DZA93" s="3"/>
      <c r="DZB93" s="3"/>
      <c r="DZC93" s="3"/>
      <c r="DZD93" s="3"/>
      <c r="DZE93" s="3"/>
      <c r="DZF93" s="3"/>
      <c r="DZG93" s="3"/>
      <c r="DZH93" s="3"/>
      <c r="DZI93" s="3"/>
      <c r="DZJ93" s="3"/>
      <c r="DZK93" s="3"/>
      <c r="DZL93" s="3"/>
      <c r="DZM93" s="3"/>
      <c r="DZN93" s="3"/>
      <c r="DZO93" s="3"/>
      <c r="DZP93" s="3"/>
      <c r="DZQ93" s="3"/>
      <c r="DZR93" s="3"/>
      <c r="DZS93" s="3"/>
      <c r="DZT93" s="3"/>
      <c r="DZU93" s="3"/>
      <c r="DZV93" s="3"/>
      <c r="DZW93" s="3"/>
      <c r="DZX93" s="3"/>
      <c r="DZY93" s="3"/>
      <c r="DZZ93" s="3"/>
      <c r="EAA93" s="3"/>
      <c r="EAB93" s="3"/>
      <c r="EAC93" s="3"/>
      <c r="EAD93" s="3"/>
      <c r="EAE93" s="3"/>
      <c r="EAF93" s="3"/>
      <c r="EAG93" s="3"/>
      <c r="EAH93" s="3"/>
      <c r="EAI93" s="3"/>
      <c r="EAJ93" s="3"/>
      <c r="EAK93" s="3"/>
      <c r="EAL93" s="3"/>
      <c r="EAM93" s="3"/>
      <c r="EAN93" s="3"/>
      <c r="EAO93" s="3"/>
      <c r="EAP93" s="3"/>
      <c r="EAQ93" s="3"/>
      <c r="EAR93" s="3"/>
      <c r="EAS93" s="3"/>
      <c r="EAT93" s="3"/>
      <c r="EAU93" s="3"/>
      <c r="EAV93" s="3"/>
      <c r="EAW93" s="3"/>
      <c r="EAX93" s="3"/>
      <c r="EAY93" s="3"/>
      <c r="EAZ93" s="3"/>
      <c r="EBA93" s="3"/>
      <c r="EBB93" s="3"/>
      <c r="EBC93" s="3"/>
      <c r="EBD93" s="3"/>
      <c r="EBE93" s="3"/>
      <c r="EBF93" s="3"/>
      <c r="EBG93" s="3"/>
      <c r="EBH93" s="3"/>
      <c r="EBI93" s="3"/>
      <c r="EBJ93" s="3"/>
      <c r="EBK93" s="3"/>
      <c r="EBL93" s="3"/>
      <c r="EBM93" s="3"/>
      <c r="EBN93" s="3"/>
      <c r="EBO93" s="3"/>
      <c r="EBP93" s="3"/>
      <c r="EBQ93" s="3"/>
      <c r="EBR93" s="3"/>
      <c r="EBS93" s="3"/>
      <c r="EBT93" s="3"/>
      <c r="EBU93" s="3"/>
      <c r="EBV93" s="3"/>
      <c r="EBW93" s="3"/>
      <c r="EBX93" s="3"/>
      <c r="EBY93" s="3"/>
      <c r="EBZ93" s="3"/>
      <c r="ECA93" s="3"/>
      <c r="ECB93" s="3"/>
      <c r="ECC93" s="3"/>
      <c r="ECD93" s="3"/>
      <c r="ECE93" s="3"/>
      <c r="ECF93" s="3"/>
      <c r="ECG93" s="3"/>
      <c r="ECH93" s="3"/>
      <c r="ECI93" s="3"/>
      <c r="ECJ93" s="3"/>
      <c r="ECK93" s="3"/>
      <c r="ECL93" s="3"/>
      <c r="ECM93" s="3"/>
      <c r="ECN93" s="3"/>
      <c r="ECO93" s="3"/>
      <c r="ECP93" s="3"/>
      <c r="ECQ93" s="3"/>
      <c r="ECR93" s="3"/>
      <c r="ECS93" s="3"/>
      <c r="ECT93" s="3"/>
      <c r="ECU93" s="3"/>
      <c r="ECV93" s="3"/>
      <c r="ECW93" s="3"/>
      <c r="ECX93" s="3"/>
      <c r="ECY93" s="3"/>
      <c r="ECZ93" s="3"/>
      <c r="EDA93" s="3"/>
      <c r="EDB93" s="3"/>
      <c r="EDC93" s="3"/>
      <c r="EDD93" s="3"/>
      <c r="EDE93" s="3"/>
      <c r="EDF93" s="3"/>
      <c r="EDG93" s="3"/>
      <c r="EDH93" s="3"/>
      <c r="EDI93" s="3"/>
      <c r="EDJ93" s="3"/>
      <c r="EDK93" s="3"/>
      <c r="EDL93" s="3"/>
      <c r="EDM93" s="3"/>
      <c r="EDN93" s="3"/>
      <c r="EDO93" s="3"/>
      <c r="EDP93" s="3"/>
      <c r="EDQ93" s="3"/>
      <c r="EDR93" s="3"/>
      <c r="EDS93" s="3"/>
      <c r="EDT93" s="3"/>
      <c r="EDU93" s="3"/>
      <c r="EDV93" s="3"/>
      <c r="EDW93" s="3"/>
      <c r="EDX93" s="3"/>
      <c r="EDY93" s="3"/>
      <c r="EDZ93" s="3"/>
      <c r="EEA93" s="3"/>
      <c r="EEB93" s="3"/>
      <c r="EEC93" s="3"/>
      <c r="EED93" s="3"/>
      <c r="EEE93" s="3"/>
      <c r="EEF93" s="3"/>
      <c r="EEG93" s="3"/>
      <c r="EEH93" s="3"/>
      <c r="EEI93" s="3"/>
      <c r="EEJ93" s="3"/>
      <c r="EEK93" s="3"/>
      <c r="EEL93" s="3"/>
      <c r="EEM93" s="3"/>
      <c r="EEN93" s="3"/>
      <c r="EEO93" s="3"/>
      <c r="EEP93" s="3"/>
      <c r="EEQ93" s="3"/>
      <c r="EER93" s="3"/>
      <c r="EES93" s="3"/>
      <c r="EET93" s="3"/>
      <c r="EEU93" s="3"/>
      <c r="EEV93" s="3"/>
      <c r="EEW93" s="3"/>
      <c r="EEX93" s="3"/>
      <c r="EEY93" s="3"/>
      <c r="EEZ93" s="3"/>
      <c r="EFA93" s="3"/>
      <c r="EFB93" s="3"/>
      <c r="EFC93" s="3"/>
      <c r="EFD93" s="3"/>
      <c r="EFE93" s="3"/>
      <c r="EFF93" s="3"/>
      <c r="EFG93" s="3"/>
      <c r="EFH93" s="3"/>
      <c r="EFI93" s="3"/>
      <c r="EFJ93" s="3"/>
      <c r="EFK93" s="3"/>
      <c r="EFL93" s="3"/>
      <c r="EFM93" s="3"/>
      <c r="EFN93" s="3"/>
      <c r="EFO93" s="3"/>
      <c r="EFP93" s="3"/>
      <c r="EFQ93" s="3"/>
      <c r="EFR93" s="3"/>
      <c r="EFS93" s="3"/>
      <c r="EFT93" s="3"/>
      <c r="EFU93" s="3"/>
      <c r="EFV93" s="3"/>
      <c r="EFW93" s="3"/>
      <c r="EFX93" s="3"/>
      <c r="EFY93" s="3"/>
      <c r="EFZ93" s="3"/>
      <c r="EGA93" s="3"/>
      <c r="EGB93" s="3"/>
      <c r="EGC93" s="3"/>
      <c r="EGD93" s="3"/>
      <c r="EGE93" s="3"/>
      <c r="EGF93" s="3"/>
      <c r="EGG93" s="3"/>
      <c r="EGH93" s="3"/>
      <c r="EGI93" s="3"/>
      <c r="EGJ93" s="3"/>
      <c r="EGK93" s="3"/>
      <c r="EGL93" s="3"/>
      <c r="EGM93" s="3"/>
      <c r="EGN93" s="3"/>
      <c r="EGO93" s="3"/>
      <c r="EGP93" s="3"/>
      <c r="EGQ93" s="3"/>
      <c r="EGR93" s="3"/>
      <c r="EGS93" s="3"/>
      <c r="EGT93" s="3"/>
      <c r="EGU93" s="3"/>
      <c r="EGV93" s="3"/>
      <c r="EGW93" s="3"/>
      <c r="EGX93" s="3"/>
      <c r="EGY93" s="3"/>
      <c r="EGZ93" s="3"/>
      <c r="EHA93" s="3"/>
      <c r="EHB93" s="3"/>
      <c r="EHC93" s="3"/>
      <c r="EHD93" s="3"/>
      <c r="EHE93" s="3"/>
      <c r="EHF93" s="3"/>
      <c r="EHG93" s="3"/>
      <c r="EHH93" s="3"/>
      <c r="EHI93" s="3"/>
      <c r="EHJ93" s="3"/>
      <c r="EHK93" s="3"/>
      <c r="EHL93" s="3"/>
      <c r="EHM93" s="3"/>
      <c r="EHN93" s="3"/>
      <c r="EHO93" s="3"/>
      <c r="EHP93" s="3"/>
      <c r="EHQ93" s="3"/>
      <c r="EHR93" s="3"/>
      <c r="EHS93" s="3"/>
      <c r="EHT93" s="3"/>
      <c r="EHU93" s="3"/>
      <c r="EHV93" s="3"/>
      <c r="EHW93" s="3"/>
      <c r="EHX93" s="3"/>
      <c r="EHY93" s="3"/>
      <c r="EHZ93" s="3"/>
      <c r="EIA93" s="3"/>
      <c r="EIB93" s="3"/>
      <c r="EIC93" s="3"/>
      <c r="EID93" s="3"/>
      <c r="EIE93" s="3"/>
      <c r="EIF93" s="3"/>
      <c r="EIG93" s="3"/>
      <c r="EIH93" s="3"/>
      <c r="EII93" s="3"/>
      <c r="EIJ93" s="3"/>
      <c r="EIK93" s="3"/>
      <c r="EIL93" s="3"/>
      <c r="EIM93" s="3"/>
      <c r="EIN93" s="3"/>
      <c r="EIO93" s="3"/>
      <c r="EIP93" s="3"/>
      <c r="EIQ93" s="3"/>
      <c r="EIR93" s="3"/>
      <c r="EIS93" s="3"/>
      <c r="EIT93" s="3"/>
      <c r="EIU93" s="3"/>
      <c r="EIV93" s="3"/>
      <c r="EIW93" s="3"/>
      <c r="EIX93" s="3"/>
      <c r="EIY93" s="3"/>
      <c r="EIZ93" s="3"/>
      <c r="EJA93" s="3"/>
      <c r="EJB93" s="3"/>
      <c r="EJC93" s="3"/>
      <c r="EJD93" s="3"/>
      <c r="EJE93" s="3"/>
      <c r="EJF93" s="3"/>
      <c r="EJG93" s="3"/>
      <c r="EJH93" s="3"/>
      <c r="EJI93" s="3"/>
      <c r="EJJ93" s="3"/>
      <c r="EJK93" s="3"/>
      <c r="EJL93" s="3"/>
      <c r="EJM93" s="3"/>
      <c r="EJN93" s="3"/>
      <c r="EJO93" s="3"/>
      <c r="EJP93" s="3"/>
      <c r="EJQ93" s="3"/>
      <c r="EJR93" s="3"/>
      <c r="EJS93" s="3"/>
      <c r="EJT93" s="3"/>
      <c r="EJU93" s="3"/>
      <c r="EJV93" s="3"/>
      <c r="EJW93" s="3"/>
      <c r="EJX93" s="3"/>
      <c r="EJY93" s="3"/>
      <c r="EJZ93" s="3"/>
      <c r="EKA93" s="3"/>
      <c r="EKB93" s="3"/>
      <c r="EKC93" s="3"/>
      <c r="EKD93" s="3"/>
      <c r="EKE93" s="3"/>
      <c r="EKF93" s="3"/>
      <c r="EKG93" s="3"/>
      <c r="EKH93" s="3"/>
      <c r="EKI93" s="3"/>
      <c r="EKJ93" s="3"/>
      <c r="EKK93" s="3"/>
      <c r="EKL93" s="3"/>
      <c r="EKM93" s="3"/>
      <c r="EKN93" s="3"/>
      <c r="EKO93" s="3"/>
      <c r="EKP93" s="3"/>
      <c r="EKQ93" s="3"/>
      <c r="EKR93" s="3"/>
      <c r="EKS93" s="3"/>
      <c r="EKT93" s="3"/>
      <c r="EKU93" s="3"/>
      <c r="EKV93" s="3"/>
      <c r="EKW93" s="3"/>
      <c r="EKX93" s="3"/>
      <c r="EKY93" s="3"/>
      <c r="EKZ93" s="3"/>
      <c r="ELA93" s="3"/>
      <c r="ELB93" s="3"/>
      <c r="ELC93" s="3"/>
      <c r="ELD93" s="3"/>
      <c r="ELE93" s="3"/>
      <c r="ELF93" s="3"/>
      <c r="ELG93" s="3"/>
      <c r="ELH93" s="3"/>
      <c r="ELI93" s="3"/>
      <c r="ELJ93" s="3"/>
      <c r="ELK93" s="3"/>
      <c r="ELL93" s="3"/>
      <c r="ELM93" s="3"/>
      <c r="ELN93" s="3"/>
      <c r="ELO93" s="3"/>
      <c r="ELP93" s="3"/>
      <c r="ELQ93" s="3"/>
      <c r="ELR93" s="3"/>
      <c r="ELS93" s="3"/>
      <c r="ELT93" s="3"/>
      <c r="ELU93" s="3"/>
      <c r="ELV93" s="3"/>
      <c r="ELW93" s="3"/>
      <c r="ELX93" s="3"/>
      <c r="ELY93" s="3"/>
      <c r="ELZ93" s="3"/>
      <c r="EMA93" s="3"/>
      <c r="EMB93" s="3"/>
      <c r="EMC93" s="3"/>
      <c r="EMD93" s="3"/>
      <c r="EME93" s="3"/>
      <c r="EMF93" s="3"/>
      <c r="EMG93" s="3"/>
      <c r="EMH93" s="3"/>
      <c r="EMI93" s="3"/>
      <c r="EMJ93" s="3"/>
      <c r="EMK93" s="3"/>
      <c r="EML93" s="3"/>
      <c r="EMM93" s="3"/>
      <c r="EMN93" s="3"/>
      <c r="EMO93" s="3"/>
      <c r="EMP93" s="3"/>
      <c r="EMQ93" s="3"/>
      <c r="EMR93" s="3"/>
      <c r="EMS93" s="3"/>
      <c r="EMT93" s="3"/>
      <c r="EMU93" s="3"/>
      <c r="EMV93" s="3"/>
      <c r="EMW93" s="3"/>
      <c r="EMX93" s="3"/>
      <c r="EMY93" s="3"/>
      <c r="EMZ93" s="3"/>
      <c r="ENA93" s="3"/>
      <c r="ENB93" s="3"/>
      <c r="ENC93" s="3"/>
      <c r="END93" s="3"/>
      <c r="ENE93" s="3"/>
      <c r="ENF93" s="3"/>
      <c r="ENG93" s="3"/>
      <c r="ENH93" s="3"/>
      <c r="ENI93" s="3"/>
      <c r="ENJ93" s="3"/>
      <c r="ENK93" s="3"/>
      <c r="ENL93" s="3"/>
      <c r="ENM93" s="3"/>
      <c r="ENN93" s="3"/>
      <c r="ENO93" s="3"/>
      <c r="ENP93" s="3"/>
      <c r="ENQ93" s="3"/>
      <c r="ENR93" s="3"/>
      <c r="ENS93" s="3"/>
      <c r="ENT93" s="3"/>
      <c r="ENU93" s="3"/>
      <c r="ENV93" s="3"/>
      <c r="ENW93" s="3"/>
      <c r="ENX93" s="3"/>
      <c r="ENY93" s="3"/>
      <c r="ENZ93" s="3"/>
      <c r="EOA93" s="3"/>
      <c r="EOB93" s="3"/>
      <c r="EOC93" s="3"/>
      <c r="EOD93" s="3"/>
      <c r="EOE93" s="3"/>
      <c r="EOF93" s="3"/>
      <c r="EOG93" s="3"/>
      <c r="EOH93" s="3"/>
      <c r="EOI93" s="3"/>
      <c r="EOJ93" s="3"/>
      <c r="EOK93" s="3"/>
      <c r="EOL93" s="3"/>
      <c r="EOM93" s="3"/>
      <c r="EON93" s="3"/>
      <c r="EOO93" s="3"/>
      <c r="EOP93" s="3"/>
      <c r="EOQ93" s="3"/>
      <c r="EOR93" s="3"/>
      <c r="EOS93" s="3"/>
      <c r="EOT93" s="3"/>
      <c r="EOU93" s="3"/>
      <c r="EOV93" s="3"/>
      <c r="EOW93" s="3"/>
      <c r="EOX93" s="3"/>
      <c r="EOY93" s="3"/>
      <c r="EOZ93" s="3"/>
      <c r="EPA93" s="3"/>
      <c r="EPB93" s="3"/>
      <c r="EPC93" s="3"/>
      <c r="EPD93" s="3"/>
      <c r="EPE93" s="3"/>
      <c r="EPF93" s="3"/>
      <c r="EPG93" s="3"/>
      <c r="EPH93" s="3"/>
      <c r="EPI93" s="3"/>
      <c r="EPJ93" s="3"/>
      <c r="EPK93" s="3"/>
      <c r="EPL93" s="3"/>
      <c r="EPM93" s="3"/>
      <c r="EPN93" s="3"/>
      <c r="EPO93" s="3"/>
      <c r="EPP93" s="3"/>
      <c r="EPQ93" s="3"/>
      <c r="EPR93" s="3"/>
      <c r="EPS93" s="3"/>
      <c r="EPT93" s="3"/>
      <c r="EPU93" s="3"/>
      <c r="EPV93" s="3"/>
      <c r="EPW93" s="3"/>
      <c r="EPX93" s="3"/>
      <c r="EPY93" s="3"/>
      <c r="EPZ93" s="3"/>
      <c r="EQA93" s="3"/>
      <c r="EQB93" s="3"/>
      <c r="EQC93" s="3"/>
      <c r="EQD93" s="3"/>
      <c r="EQE93" s="3"/>
      <c r="EQF93" s="3"/>
      <c r="EQG93" s="3"/>
      <c r="EQH93" s="3"/>
      <c r="EQI93" s="3"/>
      <c r="EQJ93" s="3"/>
      <c r="EQK93" s="3"/>
      <c r="EQL93" s="3"/>
      <c r="EQM93" s="3"/>
      <c r="EQN93" s="3"/>
      <c r="EQO93" s="3"/>
      <c r="EQP93" s="3"/>
      <c r="EQQ93" s="3"/>
      <c r="EQR93" s="3"/>
      <c r="EQS93" s="3"/>
      <c r="EQT93" s="3"/>
      <c r="EQU93" s="3"/>
      <c r="EQV93" s="3"/>
      <c r="EQW93" s="3"/>
      <c r="EQX93" s="3"/>
      <c r="EQY93" s="3"/>
      <c r="EQZ93" s="3"/>
      <c r="ERA93" s="3"/>
      <c r="ERB93" s="3"/>
      <c r="ERC93" s="3"/>
      <c r="ERD93" s="3"/>
      <c r="ERE93" s="3"/>
      <c r="ERF93" s="3"/>
      <c r="ERG93" s="3"/>
      <c r="ERH93" s="3"/>
      <c r="ERI93" s="3"/>
      <c r="ERJ93" s="3"/>
      <c r="ERK93" s="3"/>
      <c r="ERL93" s="3"/>
      <c r="ERM93" s="3"/>
      <c r="ERN93" s="3"/>
      <c r="ERO93" s="3"/>
      <c r="ERP93" s="3"/>
      <c r="ERQ93" s="3"/>
      <c r="ERR93" s="3"/>
      <c r="ERS93" s="3"/>
      <c r="ERT93" s="3"/>
      <c r="ERU93" s="3"/>
      <c r="ERV93" s="3"/>
      <c r="ERW93" s="3"/>
      <c r="ERX93" s="3"/>
      <c r="ERY93" s="3"/>
      <c r="ERZ93" s="3"/>
      <c r="ESA93" s="3"/>
      <c r="ESB93" s="3"/>
      <c r="ESC93" s="3"/>
      <c r="ESD93" s="3"/>
      <c r="ESE93" s="3"/>
      <c r="ESF93" s="3"/>
      <c r="ESG93" s="3"/>
      <c r="ESH93" s="3"/>
      <c r="ESI93" s="3"/>
      <c r="ESJ93" s="3"/>
      <c r="ESK93" s="3"/>
      <c r="ESL93" s="3"/>
      <c r="ESM93" s="3"/>
      <c r="ESN93" s="3"/>
      <c r="ESO93" s="3"/>
      <c r="ESP93" s="3"/>
      <c r="ESQ93" s="3"/>
      <c r="ESR93" s="3"/>
      <c r="ESS93" s="3"/>
      <c r="EST93" s="3"/>
      <c r="ESU93" s="3"/>
      <c r="ESV93" s="3"/>
      <c r="ESW93" s="3"/>
      <c r="ESX93" s="3"/>
      <c r="ESY93" s="3"/>
      <c r="ESZ93" s="3"/>
      <c r="ETA93" s="3"/>
      <c r="ETB93" s="3"/>
      <c r="ETC93" s="3"/>
      <c r="ETD93" s="3"/>
      <c r="ETE93" s="3"/>
      <c r="ETF93" s="3"/>
      <c r="ETG93" s="3"/>
      <c r="ETH93" s="3"/>
      <c r="ETI93" s="3"/>
      <c r="ETJ93" s="3"/>
      <c r="ETK93" s="3"/>
      <c r="ETL93" s="3"/>
      <c r="ETM93" s="3"/>
      <c r="ETN93" s="3"/>
      <c r="ETO93" s="3"/>
      <c r="ETP93" s="3"/>
      <c r="ETQ93" s="3"/>
      <c r="ETR93" s="3"/>
      <c r="ETS93" s="3"/>
      <c r="ETT93" s="3"/>
      <c r="ETU93" s="3"/>
      <c r="ETV93" s="3"/>
      <c r="ETW93" s="3"/>
      <c r="ETX93" s="3"/>
      <c r="ETY93" s="3"/>
      <c r="ETZ93" s="3"/>
      <c r="EUA93" s="3"/>
      <c r="EUB93" s="3"/>
      <c r="EUC93" s="3"/>
      <c r="EUD93" s="3"/>
      <c r="EUE93" s="3"/>
      <c r="EUF93" s="3"/>
      <c r="EUG93" s="3"/>
      <c r="EUH93" s="3"/>
      <c r="EUI93" s="3"/>
      <c r="EUJ93" s="3"/>
      <c r="EUK93" s="3"/>
      <c r="EUL93" s="3"/>
      <c r="EUM93" s="3"/>
      <c r="EUN93" s="3"/>
      <c r="EUO93" s="3"/>
      <c r="EUP93" s="3"/>
      <c r="EUQ93" s="3"/>
      <c r="EUR93" s="3"/>
      <c r="EUS93" s="3"/>
      <c r="EUT93" s="3"/>
      <c r="EUU93" s="3"/>
      <c r="EUV93" s="3"/>
      <c r="EUW93" s="3"/>
      <c r="EUX93" s="3"/>
      <c r="EUY93" s="3"/>
      <c r="EUZ93" s="3"/>
      <c r="EVA93" s="3"/>
      <c r="EVB93" s="3"/>
      <c r="EVC93" s="3"/>
      <c r="EVD93" s="3"/>
      <c r="EVE93" s="3"/>
      <c r="EVF93" s="3"/>
      <c r="EVG93" s="3"/>
      <c r="EVH93" s="3"/>
      <c r="EVI93" s="3"/>
      <c r="EVJ93" s="3"/>
      <c r="EVK93" s="3"/>
      <c r="EVL93" s="3"/>
      <c r="EVM93" s="3"/>
      <c r="EVN93" s="3"/>
      <c r="EVO93" s="3"/>
      <c r="EVP93" s="3"/>
      <c r="EVQ93" s="3"/>
      <c r="EVR93" s="3"/>
      <c r="EVS93" s="3"/>
      <c r="EVT93" s="3"/>
      <c r="EVU93" s="3"/>
      <c r="EVV93" s="3"/>
      <c r="EVW93" s="3"/>
      <c r="EVX93" s="3"/>
      <c r="EVY93" s="3"/>
      <c r="EVZ93" s="3"/>
      <c r="EWA93" s="3"/>
      <c r="EWB93" s="3"/>
      <c r="EWC93" s="3"/>
      <c r="EWD93" s="3"/>
      <c r="EWE93" s="3"/>
      <c r="EWF93" s="3"/>
      <c r="EWG93" s="3"/>
      <c r="EWH93" s="3"/>
      <c r="EWI93" s="3"/>
      <c r="EWJ93" s="3"/>
      <c r="EWK93" s="3"/>
      <c r="EWL93" s="3"/>
      <c r="EWM93" s="3"/>
      <c r="EWN93" s="3"/>
      <c r="EWO93" s="3"/>
      <c r="EWP93" s="3"/>
      <c r="EWQ93" s="3"/>
      <c r="EWR93" s="3"/>
      <c r="EWS93" s="3"/>
      <c r="EWT93" s="3"/>
      <c r="EWU93" s="3"/>
      <c r="EWV93" s="3"/>
      <c r="EWW93" s="3"/>
      <c r="EWX93" s="3"/>
      <c r="EWY93" s="3"/>
      <c r="EWZ93" s="3"/>
      <c r="EXA93" s="3"/>
      <c r="EXB93" s="3"/>
      <c r="EXC93" s="3"/>
      <c r="EXD93" s="3"/>
      <c r="EXE93" s="3"/>
      <c r="EXF93" s="3"/>
      <c r="EXG93" s="3"/>
      <c r="EXH93" s="3"/>
      <c r="EXI93" s="3"/>
      <c r="EXJ93" s="3"/>
      <c r="EXK93" s="3"/>
      <c r="EXL93" s="3"/>
      <c r="EXM93" s="3"/>
      <c r="EXN93" s="3"/>
      <c r="EXO93" s="3"/>
      <c r="EXP93" s="3"/>
      <c r="EXQ93" s="3"/>
      <c r="EXR93" s="3"/>
      <c r="EXS93" s="3"/>
      <c r="EXT93" s="3"/>
      <c r="EXU93" s="3"/>
      <c r="EXV93" s="3"/>
      <c r="EXW93" s="3"/>
      <c r="EXX93" s="3"/>
      <c r="EXY93" s="3"/>
      <c r="EXZ93" s="3"/>
      <c r="EYA93" s="3"/>
      <c r="EYB93" s="3"/>
      <c r="EYC93" s="3"/>
      <c r="EYD93" s="3"/>
      <c r="EYE93" s="3"/>
      <c r="EYF93" s="3"/>
      <c r="EYG93" s="3"/>
      <c r="EYH93" s="3"/>
      <c r="EYI93" s="3"/>
      <c r="EYJ93" s="3"/>
      <c r="EYK93" s="3"/>
      <c r="EYL93" s="3"/>
      <c r="EYM93" s="3"/>
      <c r="EYN93" s="3"/>
      <c r="EYO93" s="3"/>
      <c r="EYP93" s="3"/>
      <c r="EYQ93" s="3"/>
      <c r="EYR93" s="3"/>
      <c r="EYS93" s="3"/>
      <c r="EYT93" s="3"/>
      <c r="EYU93" s="3"/>
      <c r="EYV93" s="3"/>
      <c r="EYW93" s="3"/>
      <c r="EYX93" s="3"/>
      <c r="EYY93" s="3"/>
      <c r="EYZ93" s="3"/>
      <c r="EZA93" s="3"/>
      <c r="EZB93" s="3"/>
      <c r="EZC93" s="3"/>
      <c r="EZD93" s="3"/>
      <c r="EZE93" s="3"/>
      <c r="EZF93" s="3"/>
      <c r="EZG93" s="3"/>
      <c r="EZH93" s="3"/>
      <c r="EZI93" s="3"/>
      <c r="EZJ93" s="3"/>
      <c r="EZK93" s="3"/>
      <c r="EZL93" s="3"/>
      <c r="EZM93" s="3"/>
      <c r="EZN93" s="3"/>
      <c r="EZO93" s="3"/>
      <c r="EZP93" s="3"/>
      <c r="EZQ93" s="3"/>
      <c r="EZR93" s="3"/>
      <c r="EZS93" s="3"/>
      <c r="EZT93" s="3"/>
      <c r="EZU93" s="3"/>
      <c r="EZV93" s="3"/>
      <c r="EZW93" s="3"/>
      <c r="EZX93" s="3"/>
      <c r="EZY93" s="3"/>
      <c r="EZZ93" s="3"/>
      <c r="FAA93" s="3"/>
      <c r="FAB93" s="3"/>
      <c r="FAC93" s="3"/>
      <c r="FAD93" s="3"/>
      <c r="FAE93" s="3"/>
      <c r="FAF93" s="3"/>
      <c r="FAG93" s="3"/>
      <c r="FAH93" s="3"/>
      <c r="FAI93" s="3"/>
      <c r="FAJ93" s="3"/>
      <c r="FAK93" s="3"/>
      <c r="FAL93" s="3"/>
      <c r="FAM93" s="3"/>
      <c r="FAN93" s="3"/>
      <c r="FAO93" s="3"/>
      <c r="FAP93" s="3"/>
      <c r="FAQ93" s="3"/>
      <c r="FAR93" s="3"/>
      <c r="FAS93" s="3"/>
      <c r="FAT93" s="3"/>
      <c r="FAU93" s="3"/>
      <c r="FAV93" s="3"/>
      <c r="FAW93" s="3"/>
      <c r="FAX93" s="3"/>
      <c r="FAY93" s="3"/>
      <c r="FAZ93" s="3"/>
      <c r="FBA93" s="3"/>
      <c r="FBB93" s="3"/>
      <c r="FBC93" s="3"/>
      <c r="FBD93" s="3"/>
      <c r="FBE93" s="3"/>
      <c r="FBF93" s="3"/>
      <c r="FBG93" s="3"/>
      <c r="FBH93" s="3"/>
      <c r="FBI93" s="3"/>
      <c r="FBJ93" s="3"/>
      <c r="FBK93" s="3"/>
      <c r="FBL93" s="3"/>
      <c r="FBM93" s="3"/>
      <c r="FBN93" s="3"/>
      <c r="FBO93" s="3"/>
      <c r="FBP93" s="3"/>
      <c r="FBQ93" s="3"/>
      <c r="FBR93" s="3"/>
      <c r="FBS93" s="3"/>
      <c r="FBT93" s="3"/>
      <c r="FBU93" s="3"/>
      <c r="FBV93" s="3"/>
      <c r="FBW93" s="3"/>
      <c r="FBX93" s="3"/>
      <c r="FBY93" s="3"/>
      <c r="FBZ93" s="3"/>
      <c r="FCA93" s="3"/>
      <c r="FCB93" s="3"/>
      <c r="FCC93" s="3"/>
      <c r="FCD93" s="3"/>
      <c r="FCE93" s="3"/>
      <c r="FCF93" s="3"/>
      <c r="FCG93" s="3"/>
      <c r="FCH93" s="3"/>
      <c r="FCI93" s="3"/>
      <c r="FCJ93" s="3"/>
      <c r="FCK93" s="3"/>
      <c r="FCL93" s="3"/>
      <c r="FCM93" s="3"/>
      <c r="FCN93" s="3"/>
      <c r="FCO93" s="3"/>
      <c r="FCP93" s="3"/>
      <c r="FCQ93" s="3"/>
      <c r="FCR93" s="3"/>
      <c r="FCS93" s="3"/>
      <c r="FCT93" s="3"/>
      <c r="FCU93" s="3"/>
      <c r="FCV93" s="3"/>
      <c r="FCW93" s="3"/>
      <c r="FCX93" s="3"/>
      <c r="FCY93" s="3"/>
      <c r="FCZ93" s="3"/>
      <c r="FDA93" s="3"/>
      <c r="FDB93" s="3"/>
      <c r="FDC93" s="3"/>
      <c r="FDD93" s="3"/>
      <c r="FDE93" s="3"/>
      <c r="FDF93" s="3"/>
      <c r="FDG93" s="3"/>
      <c r="FDH93" s="3"/>
      <c r="FDI93" s="3"/>
      <c r="FDJ93" s="3"/>
      <c r="FDK93" s="3"/>
      <c r="FDL93" s="3"/>
      <c r="FDM93" s="3"/>
      <c r="FDN93" s="3"/>
      <c r="FDO93" s="3"/>
      <c r="FDP93" s="3"/>
      <c r="FDQ93" s="3"/>
      <c r="FDR93" s="3"/>
      <c r="FDS93" s="3"/>
      <c r="FDT93" s="3"/>
      <c r="FDU93" s="3"/>
      <c r="FDV93" s="3"/>
      <c r="FDW93" s="3"/>
      <c r="FDX93" s="3"/>
      <c r="FDY93" s="3"/>
      <c r="FDZ93" s="3"/>
      <c r="FEA93" s="3"/>
      <c r="FEB93" s="3"/>
      <c r="FEC93" s="3"/>
      <c r="FED93" s="3"/>
      <c r="FEE93" s="3"/>
      <c r="FEF93" s="3"/>
      <c r="FEG93" s="3"/>
      <c r="FEH93" s="3"/>
      <c r="FEI93" s="3"/>
      <c r="FEJ93" s="3"/>
      <c r="FEK93" s="3"/>
      <c r="FEL93" s="3"/>
      <c r="FEM93" s="3"/>
      <c r="FEN93" s="3"/>
      <c r="FEO93" s="3"/>
      <c r="FEP93" s="3"/>
      <c r="FEQ93" s="3"/>
      <c r="FER93" s="3"/>
      <c r="FES93" s="3"/>
      <c r="FET93" s="3"/>
      <c r="FEU93" s="3"/>
      <c r="FEV93" s="3"/>
      <c r="FEW93" s="3"/>
      <c r="FEX93" s="3"/>
      <c r="FEY93" s="3"/>
      <c r="FEZ93" s="3"/>
      <c r="FFA93" s="3"/>
      <c r="FFB93" s="3"/>
      <c r="FFC93" s="3"/>
      <c r="FFD93" s="3"/>
      <c r="FFE93" s="3"/>
      <c r="FFF93" s="3"/>
      <c r="FFG93" s="3"/>
      <c r="FFH93" s="3"/>
      <c r="FFI93" s="3"/>
      <c r="FFJ93" s="3"/>
      <c r="FFK93" s="3"/>
      <c r="FFL93" s="3"/>
      <c r="FFM93" s="3"/>
      <c r="FFN93" s="3"/>
      <c r="FFO93" s="3"/>
      <c r="FFP93" s="3"/>
      <c r="FFQ93" s="3"/>
      <c r="FFR93" s="3"/>
      <c r="FFS93" s="3"/>
      <c r="FFT93" s="3"/>
      <c r="FFU93" s="3"/>
      <c r="FFV93" s="3"/>
      <c r="FFW93" s="3"/>
      <c r="FFX93" s="3"/>
      <c r="FFY93" s="3"/>
      <c r="FFZ93" s="3"/>
      <c r="FGA93" s="3"/>
      <c r="FGB93" s="3"/>
      <c r="FGC93" s="3"/>
      <c r="FGD93" s="3"/>
      <c r="FGE93" s="3"/>
      <c r="FGF93" s="3"/>
      <c r="FGG93" s="3"/>
      <c r="FGH93" s="3"/>
      <c r="FGI93" s="3"/>
      <c r="FGJ93" s="3"/>
      <c r="FGK93" s="3"/>
      <c r="FGL93" s="3"/>
      <c r="FGM93" s="3"/>
      <c r="FGN93" s="3"/>
      <c r="FGO93" s="3"/>
      <c r="FGP93" s="3"/>
      <c r="FGQ93" s="3"/>
      <c r="FGR93" s="3"/>
      <c r="FGS93" s="3"/>
      <c r="FGT93" s="3"/>
      <c r="FGU93" s="3"/>
      <c r="FGV93" s="3"/>
      <c r="FGW93" s="3"/>
      <c r="FGX93" s="3"/>
      <c r="FGY93" s="3"/>
      <c r="FGZ93" s="3"/>
      <c r="FHA93" s="3"/>
      <c r="FHB93" s="3"/>
      <c r="FHC93" s="3"/>
      <c r="FHD93" s="3"/>
      <c r="FHE93" s="3"/>
      <c r="FHF93" s="3"/>
      <c r="FHG93" s="3"/>
      <c r="FHH93" s="3"/>
      <c r="FHI93" s="3"/>
      <c r="FHJ93" s="3"/>
      <c r="FHK93" s="3"/>
      <c r="FHL93" s="3"/>
      <c r="FHM93" s="3"/>
      <c r="FHN93" s="3"/>
      <c r="FHO93" s="3"/>
      <c r="FHP93" s="3"/>
      <c r="FHQ93" s="3"/>
      <c r="FHR93" s="3"/>
      <c r="FHS93" s="3"/>
      <c r="FHT93" s="3"/>
      <c r="FHU93" s="3"/>
      <c r="FHV93" s="3"/>
      <c r="FHW93" s="3"/>
      <c r="FHX93" s="3"/>
      <c r="FHY93" s="3"/>
      <c r="FHZ93" s="3"/>
      <c r="FIA93" s="3"/>
      <c r="FIB93" s="3"/>
      <c r="FIC93" s="3"/>
      <c r="FID93" s="3"/>
      <c r="FIE93" s="3"/>
      <c r="FIF93" s="3"/>
      <c r="FIG93" s="3"/>
      <c r="FIH93" s="3"/>
      <c r="FII93" s="3"/>
      <c r="FIJ93" s="3"/>
      <c r="FIK93" s="3"/>
      <c r="FIL93" s="3"/>
      <c r="FIM93" s="3"/>
      <c r="FIN93" s="3"/>
      <c r="FIO93" s="3"/>
      <c r="FIP93" s="3"/>
      <c r="FIQ93" s="3"/>
      <c r="FIR93" s="3"/>
      <c r="FIS93" s="3"/>
      <c r="FIT93" s="3"/>
      <c r="FIU93" s="3"/>
      <c r="FIV93" s="3"/>
      <c r="FIW93" s="3"/>
      <c r="FIX93" s="3"/>
      <c r="FIY93" s="3"/>
      <c r="FIZ93" s="3"/>
      <c r="FJA93" s="3"/>
      <c r="FJB93" s="3"/>
      <c r="FJC93" s="3"/>
      <c r="FJD93" s="3"/>
      <c r="FJE93" s="3"/>
      <c r="FJF93" s="3"/>
      <c r="FJG93" s="3"/>
      <c r="FJH93" s="3"/>
      <c r="FJI93" s="3"/>
      <c r="FJJ93" s="3"/>
      <c r="FJK93" s="3"/>
      <c r="FJL93" s="3"/>
      <c r="FJM93" s="3"/>
      <c r="FJN93" s="3"/>
      <c r="FJO93" s="3"/>
      <c r="FJP93" s="3"/>
      <c r="FJQ93" s="3"/>
      <c r="FJR93" s="3"/>
      <c r="FJS93" s="3"/>
      <c r="FJT93" s="3"/>
      <c r="FJU93" s="3"/>
      <c r="FJV93" s="3"/>
      <c r="FJW93" s="3"/>
      <c r="FJX93" s="3"/>
      <c r="FJY93" s="3"/>
      <c r="FJZ93" s="3"/>
      <c r="FKA93" s="3"/>
      <c r="FKB93" s="3"/>
      <c r="FKC93" s="3"/>
      <c r="FKD93" s="3"/>
      <c r="FKE93" s="3"/>
      <c r="FKF93" s="3"/>
      <c r="FKG93" s="3"/>
      <c r="FKH93" s="3"/>
      <c r="FKI93" s="3"/>
      <c r="FKJ93" s="3"/>
      <c r="FKK93" s="3"/>
      <c r="FKL93" s="3"/>
      <c r="FKM93" s="3"/>
      <c r="FKN93" s="3"/>
      <c r="FKO93" s="3"/>
      <c r="FKP93" s="3"/>
      <c r="FKQ93" s="3"/>
      <c r="FKR93" s="3"/>
      <c r="FKS93" s="3"/>
      <c r="FKT93" s="3"/>
      <c r="FKU93" s="3"/>
      <c r="FKV93" s="3"/>
      <c r="FKW93" s="3"/>
      <c r="FKX93" s="3"/>
      <c r="FKY93" s="3"/>
      <c r="FKZ93" s="3"/>
      <c r="FLA93" s="3"/>
      <c r="FLB93" s="3"/>
      <c r="FLC93" s="3"/>
      <c r="FLD93" s="3"/>
      <c r="FLE93" s="3"/>
      <c r="FLF93" s="3"/>
      <c r="FLG93" s="3"/>
      <c r="FLH93" s="3"/>
      <c r="FLI93" s="3"/>
      <c r="FLJ93" s="3"/>
      <c r="FLK93" s="3"/>
      <c r="FLL93" s="3"/>
      <c r="FLM93" s="3"/>
      <c r="FLN93" s="3"/>
      <c r="FLO93" s="3"/>
      <c r="FLP93" s="3"/>
      <c r="FLQ93" s="3"/>
      <c r="FLR93" s="3"/>
      <c r="FLS93" s="3"/>
      <c r="FLT93" s="3"/>
      <c r="FLU93" s="3"/>
      <c r="FLV93" s="3"/>
      <c r="FLW93" s="3"/>
      <c r="FLX93" s="3"/>
      <c r="FLY93" s="3"/>
      <c r="FLZ93" s="3"/>
      <c r="FMA93" s="3"/>
      <c r="FMB93" s="3"/>
      <c r="FMC93" s="3"/>
      <c r="FMD93" s="3"/>
      <c r="FME93" s="3"/>
      <c r="FMF93" s="3"/>
      <c r="FMG93" s="3"/>
      <c r="FMH93" s="3"/>
      <c r="FMI93" s="3"/>
      <c r="FMJ93" s="3"/>
      <c r="FMK93" s="3"/>
      <c r="FML93" s="3"/>
      <c r="FMM93" s="3"/>
      <c r="FMN93" s="3"/>
      <c r="FMO93" s="3"/>
      <c r="FMP93" s="3"/>
      <c r="FMQ93" s="3"/>
      <c r="FMR93" s="3"/>
      <c r="FMS93" s="3"/>
      <c r="FMT93" s="3"/>
      <c r="FMU93" s="3"/>
      <c r="FMV93" s="3"/>
      <c r="FMW93" s="3"/>
      <c r="FMX93" s="3"/>
      <c r="FMY93" s="3"/>
      <c r="FMZ93" s="3"/>
      <c r="FNA93" s="3"/>
      <c r="FNB93" s="3"/>
      <c r="FNC93" s="3"/>
      <c r="FND93" s="3"/>
      <c r="FNE93" s="3"/>
      <c r="FNF93" s="3"/>
      <c r="FNG93" s="3"/>
      <c r="FNH93" s="3"/>
      <c r="FNI93" s="3"/>
      <c r="FNJ93" s="3"/>
      <c r="FNK93" s="3"/>
      <c r="FNL93" s="3"/>
      <c r="FNM93" s="3"/>
      <c r="FNN93" s="3"/>
      <c r="FNO93" s="3"/>
      <c r="FNP93" s="3"/>
      <c r="FNQ93" s="3"/>
      <c r="FNR93" s="3"/>
      <c r="FNS93" s="3"/>
      <c r="FNT93" s="3"/>
      <c r="FNU93" s="3"/>
      <c r="FNV93" s="3"/>
      <c r="FNW93" s="3"/>
      <c r="FNX93" s="3"/>
      <c r="FNY93" s="3"/>
      <c r="FNZ93" s="3"/>
      <c r="FOA93" s="3"/>
      <c r="FOB93" s="3"/>
      <c r="FOC93" s="3"/>
      <c r="FOD93" s="3"/>
      <c r="FOE93" s="3"/>
      <c r="FOF93" s="3"/>
      <c r="FOG93" s="3"/>
      <c r="FOH93" s="3"/>
      <c r="FOI93" s="3"/>
      <c r="FOJ93" s="3"/>
      <c r="FOK93" s="3"/>
      <c r="FOL93" s="3"/>
      <c r="FOM93" s="3"/>
      <c r="FON93" s="3"/>
      <c r="FOO93" s="3"/>
      <c r="FOP93" s="3"/>
      <c r="FOQ93" s="3"/>
      <c r="FOR93" s="3"/>
      <c r="FOS93" s="3"/>
      <c r="FOT93" s="3"/>
      <c r="FOU93" s="3"/>
      <c r="FOV93" s="3"/>
      <c r="FOW93" s="3"/>
      <c r="FOX93" s="3"/>
      <c r="FOY93" s="3"/>
      <c r="FOZ93" s="3"/>
      <c r="FPA93" s="3"/>
      <c r="FPB93" s="3"/>
      <c r="FPC93" s="3"/>
      <c r="FPD93" s="3"/>
      <c r="FPE93" s="3"/>
      <c r="FPF93" s="3"/>
      <c r="FPG93" s="3"/>
      <c r="FPH93" s="3"/>
      <c r="FPI93" s="3"/>
      <c r="FPJ93" s="3"/>
      <c r="FPK93" s="3"/>
      <c r="FPL93" s="3"/>
      <c r="FPM93" s="3"/>
      <c r="FPN93" s="3"/>
      <c r="FPO93" s="3"/>
      <c r="FPP93" s="3"/>
      <c r="FPQ93" s="3"/>
      <c r="FPR93" s="3"/>
      <c r="FPS93" s="3"/>
      <c r="FPT93" s="3"/>
      <c r="FPU93" s="3"/>
      <c r="FPV93" s="3"/>
      <c r="FPW93" s="3"/>
      <c r="FPX93" s="3"/>
      <c r="FPY93" s="3"/>
      <c r="FPZ93" s="3"/>
      <c r="FQA93" s="3"/>
      <c r="FQB93" s="3"/>
      <c r="FQC93" s="3"/>
      <c r="FQD93" s="3"/>
      <c r="FQE93" s="3"/>
      <c r="FQF93" s="3"/>
      <c r="FQG93" s="3"/>
      <c r="FQH93" s="3"/>
      <c r="FQI93" s="3"/>
      <c r="FQJ93" s="3"/>
      <c r="FQK93" s="3"/>
      <c r="FQL93" s="3"/>
      <c r="FQM93" s="3"/>
      <c r="FQN93" s="3"/>
      <c r="FQO93" s="3"/>
      <c r="FQP93" s="3"/>
      <c r="FQQ93" s="3"/>
      <c r="FQR93" s="3"/>
      <c r="FQS93" s="3"/>
      <c r="FQT93" s="3"/>
      <c r="FQU93" s="3"/>
      <c r="FQV93" s="3"/>
      <c r="FQW93" s="3"/>
      <c r="FQX93" s="3"/>
      <c r="FQY93" s="3"/>
      <c r="FQZ93" s="3"/>
      <c r="FRA93" s="3"/>
      <c r="FRB93" s="3"/>
      <c r="FRC93" s="3"/>
      <c r="FRD93" s="3"/>
      <c r="FRE93" s="3"/>
      <c r="FRF93" s="3"/>
      <c r="FRG93" s="3"/>
      <c r="FRH93" s="3"/>
      <c r="FRI93" s="3"/>
      <c r="FRJ93" s="3"/>
      <c r="FRK93" s="3"/>
      <c r="FRL93" s="3"/>
      <c r="FRM93" s="3"/>
      <c r="FRN93" s="3"/>
      <c r="FRO93" s="3"/>
      <c r="FRP93" s="3"/>
      <c r="FRQ93" s="3"/>
      <c r="FRR93" s="3"/>
      <c r="FRS93" s="3"/>
      <c r="FRT93" s="3"/>
      <c r="FRU93" s="3"/>
      <c r="FRV93" s="3"/>
      <c r="FRW93" s="3"/>
      <c r="FRX93" s="3"/>
      <c r="FRY93" s="3"/>
      <c r="FRZ93" s="3"/>
      <c r="FSA93" s="3"/>
      <c r="FSB93" s="3"/>
      <c r="FSC93" s="3"/>
      <c r="FSD93" s="3"/>
      <c r="FSE93" s="3"/>
      <c r="FSF93" s="3"/>
      <c r="FSG93" s="3"/>
      <c r="FSH93" s="3"/>
      <c r="FSI93" s="3"/>
      <c r="FSJ93" s="3"/>
      <c r="FSK93" s="3"/>
      <c r="FSL93" s="3"/>
      <c r="FSM93" s="3"/>
      <c r="FSN93" s="3"/>
      <c r="FSO93" s="3"/>
      <c r="FSP93" s="3"/>
      <c r="FSQ93" s="3"/>
      <c r="FSR93" s="3"/>
      <c r="FSS93" s="3"/>
      <c r="FST93" s="3"/>
      <c r="FSU93" s="3"/>
      <c r="FSV93" s="3"/>
      <c r="FSW93" s="3"/>
      <c r="FSX93" s="3"/>
      <c r="FSY93" s="3"/>
      <c r="FSZ93" s="3"/>
      <c r="FTA93" s="3"/>
      <c r="FTB93" s="3"/>
      <c r="FTC93" s="3"/>
      <c r="FTD93" s="3"/>
      <c r="FTE93" s="3"/>
      <c r="FTF93" s="3"/>
      <c r="FTG93" s="3"/>
      <c r="FTH93" s="3"/>
      <c r="FTI93" s="3"/>
      <c r="FTJ93" s="3"/>
      <c r="FTK93" s="3"/>
      <c r="FTL93" s="3"/>
      <c r="FTM93" s="3"/>
      <c r="FTN93" s="3"/>
      <c r="FTO93" s="3"/>
      <c r="FTP93" s="3"/>
      <c r="FTQ93" s="3"/>
      <c r="FTR93" s="3"/>
      <c r="FTS93" s="3"/>
      <c r="FTT93" s="3"/>
      <c r="FTU93" s="3"/>
      <c r="FTV93" s="3"/>
      <c r="FTW93" s="3"/>
      <c r="FTX93" s="3"/>
      <c r="FTY93" s="3"/>
      <c r="FTZ93" s="3"/>
      <c r="FUA93" s="3"/>
      <c r="FUB93" s="3"/>
      <c r="FUC93" s="3"/>
      <c r="FUD93" s="3"/>
      <c r="FUE93" s="3"/>
      <c r="FUF93" s="3"/>
      <c r="FUG93" s="3"/>
      <c r="FUH93" s="3"/>
      <c r="FUI93" s="3"/>
      <c r="FUJ93" s="3"/>
      <c r="FUK93" s="3"/>
      <c r="FUL93" s="3"/>
      <c r="FUM93" s="3"/>
      <c r="FUN93" s="3"/>
      <c r="FUO93" s="3"/>
      <c r="FUP93" s="3"/>
      <c r="FUQ93" s="3"/>
      <c r="FUR93" s="3"/>
      <c r="FUS93" s="3"/>
      <c r="FUT93" s="3"/>
      <c r="FUU93" s="3"/>
      <c r="FUV93" s="3"/>
      <c r="FUW93" s="3"/>
      <c r="FUX93" s="3"/>
      <c r="FUY93" s="3"/>
      <c r="FUZ93" s="3"/>
      <c r="FVA93" s="3"/>
      <c r="FVB93" s="3"/>
      <c r="FVC93" s="3"/>
      <c r="FVD93" s="3"/>
      <c r="FVE93" s="3"/>
      <c r="FVF93" s="3"/>
      <c r="FVG93" s="3"/>
      <c r="FVH93" s="3"/>
      <c r="FVI93" s="3"/>
      <c r="FVJ93" s="3"/>
      <c r="FVK93" s="3"/>
      <c r="FVL93" s="3"/>
      <c r="FVM93" s="3"/>
      <c r="FVN93" s="3"/>
      <c r="FVO93" s="3"/>
      <c r="FVP93" s="3"/>
      <c r="FVQ93" s="3"/>
      <c r="FVR93" s="3"/>
      <c r="FVS93" s="3"/>
      <c r="FVT93" s="3"/>
      <c r="FVU93" s="3"/>
      <c r="FVV93" s="3"/>
      <c r="FVW93" s="3"/>
      <c r="FVX93" s="3"/>
      <c r="FVY93" s="3"/>
      <c r="FVZ93" s="3"/>
      <c r="FWA93" s="3"/>
      <c r="FWB93" s="3"/>
      <c r="FWC93" s="3"/>
      <c r="FWD93" s="3"/>
      <c r="FWE93" s="3"/>
      <c r="FWF93" s="3"/>
      <c r="FWG93" s="3"/>
      <c r="FWH93" s="3"/>
      <c r="FWI93" s="3"/>
      <c r="FWJ93" s="3"/>
      <c r="FWK93" s="3"/>
      <c r="FWL93" s="3"/>
      <c r="FWM93" s="3"/>
      <c r="FWN93" s="3"/>
      <c r="FWO93" s="3"/>
      <c r="FWP93" s="3"/>
      <c r="FWQ93" s="3"/>
      <c r="FWR93" s="3"/>
      <c r="FWS93" s="3"/>
      <c r="FWT93" s="3"/>
      <c r="FWU93" s="3"/>
      <c r="FWV93" s="3"/>
      <c r="FWW93" s="3"/>
      <c r="FWX93" s="3"/>
      <c r="FWY93" s="3"/>
      <c r="FWZ93" s="3"/>
      <c r="FXA93" s="3"/>
      <c r="FXB93" s="3"/>
      <c r="FXC93" s="3"/>
      <c r="FXD93" s="3"/>
      <c r="FXE93" s="3"/>
      <c r="FXF93" s="3"/>
      <c r="FXG93" s="3"/>
      <c r="FXH93" s="3"/>
      <c r="FXI93" s="3"/>
      <c r="FXJ93" s="3"/>
      <c r="FXK93" s="3"/>
      <c r="FXL93" s="3"/>
      <c r="FXM93" s="3"/>
      <c r="FXN93" s="3"/>
      <c r="FXO93" s="3"/>
      <c r="FXP93" s="3"/>
      <c r="FXQ93" s="3"/>
      <c r="FXR93" s="3"/>
      <c r="FXS93" s="3"/>
      <c r="FXT93" s="3"/>
      <c r="FXU93" s="3"/>
      <c r="FXV93" s="3"/>
      <c r="FXW93" s="3"/>
      <c r="FXX93" s="3"/>
      <c r="FXY93" s="3"/>
      <c r="FXZ93" s="3"/>
      <c r="FYA93" s="3"/>
      <c r="FYB93" s="3"/>
      <c r="FYC93" s="3"/>
      <c r="FYD93" s="3"/>
      <c r="FYE93" s="3"/>
      <c r="FYF93" s="3"/>
      <c r="FYG93" s="3"/>
      <c r="FYH93" s="3"/>
      <c r="FYI93" s="3"/>
      <c r="FYJ93" s="3"/>
      <c r="FYK93" s="3"/>
      <c r="FYL93" s="3"/>
      <c r="FYM93" s="3"/>
      <c r="FYN93" s="3"/>
      <c r="FYO93" s="3"/>
      <c r="FYP93" s="3"/>
      <c r="FYQ93" s="3"/>
      <c r="FYR93" s="3"/>
      <c r="FYS93" s="3"/>
      <c r="FYT93" s="3"/>
      <c r="FYU93" s="3"/>
      <c r="FYV93" s="3"/>
      <c r="FYW93" s="3"/>
      <c r="FYX93" s="3"/>
      <c r="FYY93" s="3"/>
      <c r="FYZ93" s="3"/>
      <c r="FZA93" s="3"/>
      <c r="FZB93" s="3"/>
      <c r="FZC93" s="3"/>
      <c r="FZD93" s="3"/>
      <c r="FZE93" s="3"/>
      <c r="FZF93" s="3"/>
      <c r="FZG93" s="3"/>
      <c r="FZH93" s="3"/>
      <c r="FZI93" s="3"/>
      <c r="FZJ93" s="3"/>
      <c r="FZK93" s="3"/>
      <c r="FZL93" s="3"/>
      <c r="FZM93" s="3"/>
      <c r="FZN93" s="3"/>
      <c r="FZO93" s="3"/>
      <c r="FZP93" s="3"/>
      <c r="FZQ93" s="3"/>
      <c r="FZR93" s="3"/>
      <c r="FZS93" s="3"/>
      <c r="FZT93" s="3"/>
      <c r="FZU93" s="3"/>
      <c r="FZV93" s="3"/>
      <c r="FZW93" s="3"/>
      <c r="FZX93" s="3"/>
      <c r="FZY93" s="3"/>
      <c r="FZZ93" s="3"/>
      <c r="GAA93" s="3"/>
      <c r="GAB93" s="3"/>
      <c r="GAC93" s="3"/>
      <c r="GAD93" s="3"/>
      <c r="GAE93" s="3"/>
      <c r="GAF93" s="3"/>
      <c r="GAG93" s="3"/>
      <c r="GAH93" s="3"/>
      <c r="GAI93" s="3"/>
      <c r="GAJ93" s="3"/>
      <c r="GAK93" s="3"/>
      <c r="GAL93" s="3"/>
      <c r="GAM93" s="3"/>
      <c r="GAN93" s="3"/>
      <c r="GAO93" s="3"/>
      <c r="GAP93" s="3"/>
      <c r="GAQ93" s="3"/>
      <c r="GAR93" s="3"/>
      <c r="GAS93" s="3"/>
      <c r="GAT93" s="3"/>
      <c r="GAU93" s="3"/>
      <c r="GAV93" s="3"/>
      <c r="GAW93" s="3"/>
      <c r="GAX93" s="3"/>
      <c r="GAY93" s="3"/>
      <c r="GAZ93" s="3"/>
      <c r="GBA93" s="3"/>
      <c r="GBB93" s="3"/>
      <c r="GBC93" s="3"/>
      <c r="GBD93" s="3"/>
      <c r="GBE93" s="3"/>
      <c r="GBF93" s="3"/>
      <c r="GBG93" s="3"/>
      <c r="GBH93" s="3"/>
      <c r="GBI93" s="3"/>
      <c r="GBJ93" s="3"/>
      <c r="GBK93" s="3"/>
      <c r="GBL93" s="3"/>
      <c r="GBM93" s="3"/>
      <c r="GBN93" s="3"/>
      <c r="GBO93" s="3"/>
      <c r="GBP93" s="3"/>
      <c r="GBQ93" s="3"/>
      <c r="GBR93" s="3"/>
      <c r="GBS93" s="3"/>
      <c r="GBT93" s="3"/>
      <c r="GBU93" s="3"/>
      <c r="GBV93" s="3"/>
      <c r="GBW93" s="3"/>
      <c r="GBX93" s="3"/>
      <c r="GBY93" s="3"/>
      <c r="GBZ93" s="3"/>
      <c r="GCA93" s="3"/>
      <c r="GCB93" s="3"/>
      <c r="GCC93" s="3"/>
      <c r="GCD93" s="3"/>
      <c r="GCE93" s="3"/>
      <c r="GCF93" s="3"/>
      <c r="GCG93" s="3"/>
      <c r="GCH93" s="3"/>
      <c r="GCI93" s="3"/>
      <c r="GCJ93" s="3"/>
      <c r="GCK93" s="3"/>
      <c r="GCL93" s="3"/>
      <c r="GCM93" s="3"/>
      <c r="GCN93" s="3"/>
      <c r="GCO93" s="3"/>
      <c r="GCP93" s="3"/>
      <c r="GCQ93" s="3"/>
      <c r="GCR93" s="3"/>
      <c r="GCS93" s="3"/>
      <c r="GCT93" s="3"/>
      <c r="GCU93" s="3"/>
      <c r="GCV93" s="3"/>
      <c r="GCW93" s="3"/>
      <c r="GCX93" s="3"/>
      <c r="GCY93" s="3"/>
      <c r="GCZ93" s="3"/>
      <c r="GDA93" s="3"/>
      <c r="GDB93" s="3"/>
      <c r="GDC93" s="3"/>
      <c r="GDD93" s="3"/>
      <c r="GDE93" s="3"/>
      <c r="GDF93" s="3"/>
      <c r="GDG93" s="3"/>
      <c r="GDH93" s="3"/>
      <c r="GDI93" s="3"/>
      <c r="GDJ93" s="3"/>
      <c r="GDK93" s="3"/>
      <c r="GDL93" s="3"/>
      <c r="GDM93" s="3"/>
      <c r="GDN93" s="3"/>
      <c r="GDO93" s="3"/>
      <c r="GDP93" s="3"/>
      <c r="GDQ93" s="3"/>
      <c r="GDR93" s="3"/>
      <c r="GDS93" s="3"/>
      <c r="GDT93" s="3"/>
      <c r="GDU93" s="3"/>
      <c r="GDV93" s="3"/>
      <c r="GDW93" s="3"/>
      <c r="GDX93" s="3"/>
      <c r="GDY93" s="3"/>
      <c r="GDZ93" s="3"/>
      <c r="GEA93" s="3"/>
      <c r="GEB93" s="3"/>
      <c r="GEC93" s="3"/>
      <c r="GED93" s="3"/>
      <c r="GEE93" s="3"/>
      <c r="GEF93" s="3"/>
      <c r="GEG93" s="3"/>
      <c r="GEH93" s="3"/>
      <c r="GEI93" s="3"/>
      <c r="GEJ93" s="3"/>
      <c r="GEK93" s="3"/>
      <c r="GEL93" s="3"/>
      <c r="GEM93" s="3"/>
      <c r="GEN93" s="3"/>
      <c r="GEO93" s="3"/>
      <c r="GEP93" s="3"/>
      <c r="GEQ93" s="3"/>
      <c r="GER93" s="3"/>
      <c r="GES93" s="3"/>
      <c r="GET93" s="3"/>
      <c r="GEU93" s="3"/>
      <c r="GEV93" s="3"/>
      <c r="GEW93" s="3"/>
      <c r="GEX93" s="3"/>
      <c r="GEY93" s="3"/>
      <c r="GEZ93" s="3"/>
      <c r="GFA93" s="3"/>
      <c r="GFB93" s="3"/>
      <c r="GFC93" s="3"/>
      <c r="GFD93" s="3"/>
      <c r="GFE93" s="3"/>
      <c r="GFF93" s="3"/>
      <c r="GFG93" s="3"/>
      <c r="GFH93" s="3"/>
      <c r="GFI93" s="3"/>
      <c r="GFJ93" s="3"/>
      <c r="GFK93" s="3"/>
      <c r="GFL93" s="3"/>
      <c r="GFM93" s="3"/>
      <c r="GFN93" s="3"/>
      <c r="GFO93" s="3"/>
      <c r="GFP93" s="3"/>
      <c r="GFQ93" s="3"/>
      <c r="GFR93" s="3"/>
      <c r="GFS93" s="3"/>
      <c r="GFT93" s="3"/>
      <c r="GFU93" s="3"/>
      <c r="GFV93" s="3"/>
      <c r="GFW93" s="3"/>
      <c r="GFX93" s="3"/>
      <c r="GFY93" s="3"/>
      <c r="GFZ93" s="3"/>
      <c r="GGA93" s="3"/>
      <c r="GGB93" s="3"/>
      <c r="GGC93" s="3"/>
      <c r="GGD93" s="3"/>
      <c r="GGE93" s="3"/>
      <c r="GGF93" s="3"/>
      <c r="GGG93" s="3"/>
      <c r="GGH93" s="3"/>
      <c r="GGI93" s="3"/>
      <c r="GGJ93" s="3"/>
      <c r="GGK93" s="3"/>
      <c r="GGL93" s="3"/>
      <c r="GGM93" s="3"/>
      <c r="GGN93" s="3"/>
      <c r="GGO93" s="3"/>
      <c r="GGP93" s="3"/>
      <c r="GGQ93" s="3"/>
      <c r="GGR93" s="3"/>
      <c r="GGS93" s="3"/>
      <c r="GGT93" s="3"/>
      <c r="GGU93" s="3"/>
      <c r="GGV93" s="3"/>
      <c r="GGW93" s="3"/>
      <c r="GGX93" s="3"/>
      <c r="GGY93" s="3"/>
      <c r="GGZ93" s="3"/>
      <c r="GHA93" s="3"/>
      <c r="GHB93" s="3"/>
      <c r="GHC93" s="3"/>
      <c r="GHD93" s="3"/>
      <c r="GHE93" s="3"/>
      <c r="GHF93" s="3"/>
      <c r="GHG93" s="3"/>
      <c r="GHH93" s="3"/>
      <c r="GHI93" s="3"/>
      <c r="GHJ93" s="3"/>
      <c r="GHK93" s="3"/>
      <c r="GHL93" s="3"/>
      <c r="GHM93" s="3"/>
      <c r="GHN93" s="3"/>
      <c r="GHO93" s="3"/>
      <c r="GHP93" s="3"/>
      <c r="GHQ93" s="3"/>
      <c r="GHR93" s="3"/>
      <c r="GHS93" s="3"/>
      <c r="GHT93" s="3"/>
      <c r="GHU93" s="3"/>
      <c r="GHV93" s="3"/>
      <c r="GHW93" s="3"/>
      <c r="GHX93" s="3"/>
      <c r="GHY93" s="3"/>
      <c r="GHZ93" s="3"/>
      <c r="GIA93" s="3"/>
      <c r="GIB93" s="3"/>
      <c r="GIC93" s="3"/>
      <c r="GID93" s="3"/>
      <c r="GIE93" s="3"/>
      <c r="GIF93" s="3"/>
      <c r="GIG93" s="3"/>
      <c r="GIH93" s="3"/>
      <c r="GII93" s="3"/>
      <c r="GIJ93" s="3"/>
      <c r="GIK93" s="3"/>
      <c r="GIL93" s="3"/>
      <c r="GIM93" s="3"/>
      <c r="GIN93" s="3"/>
      <c r="GIO93" s="3"/>
      <c r="GIP93" s="3"/>
      <c r="GIQ93" s="3"/>
      <c r="GIR93" s="3"/>
      <c r="GIS93" s="3"/>
      <c r="GIT93" s="3"/>
      <c r="GIU93" s="3"/>
      <c r="GIV93" s="3"/>
      <c r="GIW93" s="3"/>
      <c r="GIX93" s="3"/>
      <c r="GIY93" s="3"/>
      <c r="GIZ93" s="3"/>
      <c r="GJA93" s="3"/>
      <c r="GJB93" s="3"/>
      <c r="GJC93" s="3"/>
      <c r="GJD93" s="3"/>
      <c r="GJE93" s="3"/>
      <c r="GJF93" s="3"/>
      <c r="GJG93" s="3"/>
      <c r="GJH93" s="3"/>
      <c r="GJI93" s="3"/>
      <c r="GJJ93" s="3"/>
      <c r="GJK93" s="3"/>
      <c r="GJL93" s="3"/>
      <c r="GJM93" s="3"/>
      <c r="GJN93" s="3"/>
      <c r="GJO93" s="3"/>
      <c r="GJP93" s="3"/>
      <c r="GJQ93" s="3"/>
      <c r="GJR93" s="3"/>
      <c r="GJS93" s="3"/>
      <c r="GJT93" s="3"/>
      <c r="GJU93" s="3"/>
      <c r="GJV93" s="3"/>
      <c r="GJW93" s="3"/>
      <c r="GJX93" s="3"/>
      <c r="GJY93" s="3"/>
      <c r="GJZ93" s="3"/>
      <c r="GKA93" s="3"/>
      <c r="GKB93" s="3"/>
      <c r="GKC93" s="3"/>
      <c r="GKD93" s="3"/>
      <c r="GKE93" s="3"/>
      <c r="GKF93" s="3"/>
      <c r="GKG93" s="3"/>
      <c r="GKH93" s="3"/>
      <c r="GKI93" s="3"/>
      <c r="GKJ93" s="3"/>
      <c r="GKK93" s="3"/>
      <c r="GKL93" s="3"/>
      <c r="GKM93" s="3"/>
      <c r="GKN93" s="3"/>
      <c r="GKO93" s="3"/>
      <c r="GKP93" s="3"/>
      <c r="GKQ93" s="3"/>
      <c r="GKR93" s="3"/>
      <c r="GKS93" s="3"/>
      <c r="GKT93" s="3"/>
      <c r="GKU93" s="3"/>
      <c r="GKV93" s="3"/>
      <c r="GKW93" s="3"/>
      <c r="GKX93" s="3"/>
      <c r="GKY93" s="3"/>
      <c r="GKZ93" s="3"/>
      <c r="GLA93" s="3"/>
      <c r="GLB93" s="3"/>
      <c r="GLC93" s="3"/>
      <c r="GLD93" s="3"/>
      <c r="GLE93" s="3"/>
      <c r="GLF93" s="3"/>
      <c r="GLG93" s="3"/>
      <c r="GLH93" s="3"/>
      <c r="GLI93" s="3"/>
      <c r="GLJ93" s="3"/>
      <c r="GLK93" s="3"/>
      <c r="GLL93" s="3"/>
      <c r="GLM93" s="3"/>
      <c r="GLN93" s="3"/>
      <c r="GLO93" s="3"/>
      <c r="GLP93" s="3"/>
      <c r="GLQ93" s="3"/>
      <c r="GLR93" s="3"/>
      <c r="GLS93" s="3"/>
      <c r="GLT93" s="3"/>
      <c r="GLU93" s="3"/>
      <c r="GLV93" s="3"/>
      <c r="GLW93" s="3"/>
      <c r="GLX93" s="3"/>
      <c r="GLY93" s="3"/>
      <c r="GLZ93" s="3"/>
      <c r="GMA93" s="3"/>
      <c r="GMB93" s="3"/>
      <c r="GMC93" s="3"/>
      <c r="GMD93" s="3"/>
      <c r="GME93" s="3"/>
      <c r="GMF93" s="3"/>
      <c r="GMG93" s="3"/>
      <c r="GMH93" s="3"/>
      <c r="GMI93" s="3"/>
      <c r="GMJ93" s="3"/>
      <c r="GMK93" s="3"/>
      <c r="GML93" s="3"/>
      <c r="GMM93" s="3"/>
      <c r="GMN93" s="3"/>
      <c r="GMO93" s="3"/>
      <c r="GMP93" s="3"/>
      <c r="GMQ93" s="3"/>
      <c r="GMR93" s="3"/>
      <c r="GMS93" s="3"/>
      <c r="GMT93" s="3"/>
      <c r="GMU93" s="3"/>
      <c r="GMV93" s="3"/>
      <c r="GMW93" s="3"/>
      <c r="GMX93" s="3"/>
      <c r="GMY93" s="3"/>
      <c r="GMZ93" s="3"/>
      <c r="GNA93" s="3"/>
      <c r="GNB93" s="3"/>
      <c r="GNC93" s="3"/>
      <c r="GND93" s="3"/>
      <c r="GNE93" s="3"/>
      <c r="GNF93" s="3"/>
      <c r="GNG93" s="3"/>
      <c r="GNH93" s="3"/>
      <c r="GNI93" s="3"/>
      <c r="GNJ93" s="3"/>
      <c r="GNK93" s="3"/>
      <c r="GNL93" s="3"/>
      <c r="GNM93" s="3"/>
      <c r="GNN93" s="3"/>
      <c r="GNO93" s="3"/>
      <c r="GNP93" s="3"/>
      <c r="GNQ93" s="3"/>
      <c r="GNR93" s="3"/>
      <c r="GNS93" s="3"/>
      <c r="GNT93" s="3"/>
      <c r="GNU93" s="3"/>
      <c r="GNV93" s="3"/>
      <c r="GNW93" s="3"/>
      <c r="GNX93" s="3"/>
      <c r="GNY93" s="3"/>
      <c r="GNZ93" s="3"/>
      <c r="GOA93" s="3"/>
      <c r="GOB93" s="3"/>
      <c r="GOC93" s="3"/>
      <c r="GOD93" s="3"/>
      <c r="GOE93" s="3"/>
      <c r="GOF93" s="3"/>
      <c r="GOG93" s="3"/>
      <c r="GOH93" s="3"/>
      <c r="GOI93" s="3"/>
      <c r="GOJ93" s="3"/>
      <c r="GOK93" s="3"/>
      <c r="GOL93" s="3"/>
      <c r="GOM93" s="3"/>
      <c r="GON93" s="3"/>
      <c r="GOO93" s="3"/>
      <c r="GOP93" s="3"/>
      <c r="GOQ93" s="3"/>
      <c r="GOR93" s="3"/>
      <c r="GOS93" s="3"/>
      <c r="GOT93" s="3"/>
      <c r="GOU93" s="3"/>
      <c r="GOV93" s="3"/>
      <c r="GOW93" s="3"/>
      <c r="GOX93" s="3"/>
      <c r="GOY93" s="3"/>
      <c r="GOZ93" s="3"/>
      <c r="GPA93" s="3"/>
      <c r="GPB93" s="3"/>
      <c r="GPC93" s="3"/>
      <c r="GPD93" s="3"/>
      <c r="GPE93" s="3"/>
      <c r="GPF93" s="3"/>
      <c r="GPG93" s="3"/>
      <c r="GPH93" s="3"/>
      <c r="GPI93" s="3"/>
      <c r="GPJ93" s="3"/>
      <c r="GPK93" s="3"/>
      <c r="GPL93" s="3"/>
      <c r="GPM93" s="3"/>
      <c r="GPN93" s="3"/>
      <c r="GPO93" s="3"/>
      <c r="GPP93" s="3"/>
      <c r="GPQ93" s="3"/>
      <c r="GPR93" s="3"/>
      <c r="GPS93" s="3"/>
      <c r="GPT93" s="3"/>
      <c r="GPU93" s="3"/>
      <c r="GPV93" s="3"/>
      <c r="GPW93" s="3"/>
      <c r="GPX93" s="3"/>
      <c r="GPY93" s="3"/>
      <c r="GPZ93" s="3"/>
      <c r="GQA93" s="3"/>
      <c r="GQB93" s="3"/>
      <c r="GQC93" s="3"/>
      <c r="GQD93" s="3"/>
      <c r="GQE93" s="3"/>
      <c r="GQF93" s="3"/>
      <c r="GQG93" s="3"/>
      <c r="GQH93" s="3"/>
      <c r="GQI93" s="3"/>
      <c r="GQJ93" s="3"/>
      <c r="GQK93" s="3"/>
      <c r="GQL93" s="3"/>
      <c r="GQM93" s="3"/>
      <c r="GQN93" s="3"/>
      <c r="GQO93" s="3"/>
      <c r="GQP93" s="3"/>
      <c r="GQQ93" s="3"/>
      <c r="GQR93" s="3"/>
      <c r="GQS93" s="3"/>
      <c r="GQT93" s="3"/>
      <c r="GQU93" s="3"/>
      <c r="GQV93" s="3"/>
      <c r="GQW93" s="3"/>
      <c r="GQX93" s="3"/>
      <c r="GQY93" s="3"/>
      <c r="GQZ93" s="3"/>
      <c r="GRA93" s="3"/>
      <c r="GRB93" s="3"/>
      <c r="GRC93" s="3"/>
      <c r="GRD93" s="3"/>
      <c r="GRE93" s="3"/>
      <c r="GRF93" s="3"/>
      <c r="GRG93" s="3"/>
      <c r="GRH93" s="3"/>
      <c r="GRI93" s="3"/>
      <c r="GRJ93" s="3"/>
      <c r="GRK93" s="3"/>
      <c r="GRL93" s="3"/>
      <c r="GRM93" s="3"/>
      <c r="GRN93" s="3"/>
      <c r="GRO93" s="3"/>
      <c r="GRP93" s="3"/>
      <c r="GRQ93" s="3"/>
      <c r="GRR93" s="3"/>
      <c r="GRS93" s="3"/>
      <c r="GRT93" s="3"/>
      <c r="GRU93" s="3"/>
      <c r="GRV93" s="3"/>
      <c r="GRW93" s="3"/>
      <c r="GRX93" s="3"/>
      <c r="GRY93" s="3"/>
      <c r="GRZ93" s="3"/>
      <c r="GSA93" s="3"/>
      <c r="GSB93" s="3"/>
      <c r="GSC93" s="3"/>
      <c r="GSD93" s="3"/>
      <c r="GSE93" s="3"/>
      <c r="GSF93" s="3"/>
      <c r="GSG93" s="3"/>
      <c r="GSH93" s="3"/>
      <c r="GSI93" s="3"/>
      <c r="GSJ93" s="3"/>
      <c r="GSK93" s="3"/>
      <c r="GSL93" s="3"/>
      <c r="GSM93" s="3"/>
      <c r="GSN93" s="3"/>
      <c r="GSO93" s="3"/>
      <c r="GSP93" s="3"/>
      <c r="GSQ93" s="3"/>
      <c r="GSR93" s="3"/>
      <c r="GSS93" s="3"/>
      <c r="GST93" s="3"/>
      <c r="GSU93" s="3"/>
      <c r="GSV93" s="3"/>
      <c r="GSW93" s="3"/>
      <c r="GSX93" s="3"/>
      <c r="GSY93" s="3"/>
      <c r="GSZ93" s="3"/>
      <c r="GTA93" s="3"/>
      <c r="GTB93" s="3"/>
      <c r="GTC93" s="3"/>
      <c r="GTD93" s="3"/>
      <c r="GTE93" s="3"/>
      <c r="GTF93" s="3"/>
      <c r="GTG93" s="3"/>
      <c r="GTH93" s="3"/>
      <c r="GTI93" s="3"/>
      <c r="GTJ93" s="3"/>
      <c r="GTK93" s="3"/>
      <c r="GTL93" s="3"/>
      <c r="GTM93" s="3"/>
      <c r="GTN93" s="3"/>
      <c r="GTO93" s="3"/>
      <c r="GTP93" s="3"/>
      <c r="GTQ93" s="3"/>
      <c r="GTR93" s="3"/>
      <c r="GTS93" s="3"/>
      <c r="GTT93" s="3"/>
      <c r="GTU93" s="3"/>
      <c r="GTV93" s="3"/>
      <c r="GTW93" s="3"/>
      <c r="GTX93" s="3"/>
      <c r="GTY93" s="3"/>
      <c r="GTZ93" s="3"/>
      <c r="GUA93" s="3"/>
      <c r="GUB93" s="3"/>
      <c r="GUC93" s="3"/>
      <c r="GUD93" s="3"/>
      <c r="GUE93" s="3"/>
      <c r="GUF93" s="3"/>
      <c r="GUG93" s="3"/>
      <c r="GUH93" s="3"/>
      <c r="GUI93" s="3"/>
      <c r="GUJ93" s="3"/>
      <c r="GUK93" s="3"/>
      <c r="GUL93" s="3"/>
      <c r="GUM93" s="3"/>
      <c r="GUN93" s="3"/>
      <c r="GUO93" s="3"/>
      <c r="GUP93" s="3"/>
      <c r="GUQ93" s="3"/>
      <c r="GUR93" s="3"/>
      <c r="GUS93" s="3"/>
      <c r="GUT93" s="3"/>
      <c r="GUU93" s="3"/>
      <c r="GUV93" s="3"/>
      <c r="GUW93" s="3"/>
      <c r="GUX93" s="3"/>
      <c r="GUY93" s="3"/>
      <c r="GUZ93" s="3"/>
      <c r="GVA93" s="3"/>
      <c r="GVB93" s="3"/>
      <c r="GVC93" s="3"/>
      <c r="GVD93" s="3"/>
      <c r="GVE93" s="3"/>
      <c r="GVF93" s="3"/>
      <c r="GVG93" s="3"/>
      <c r="GVH93" s="3"/>
      <c r="GVI93" s="3"/>
      <c r="GVJ93" s="3"/>
      <c r="GVK93" s="3"/>
      <c r="GVL93" s="3"/>
      <c r="GVM93" s="3"/>
      <c r="GVN93" s="3"/>
      <c r="GVO93" s="3"/>
      <c r="GVP93" s="3"/>
      <c r="GVQ93" s="3"/>
      <c r="GVR93" s="3"/>
      <c r="GVS93" s="3"/>
      <c r="GVT93" s="3"/>
      <c r="GVU93" s="3"/>
      <c r="GVV93" s="3"/>
      <c r="GVW93" s="3"/>
      <c r="GVX93" s="3"/>
      <c r="GVY93" s="3"/>
      <c r="GVZ93" s="3"/>
      <c r="GWA93" s="3"/>
      <c r="GWB93" s="3"/>
      <c r="GWC93" s="3"/>
      <c r="GWD93" s="3"/>
      <c r="GWE93" s="3"/>
      <c r="GWF93" s="3"/>
      <c r="GWG93" s="3"/>
      <c r="GWH93" s="3"/>
      <c r="GWI93" s="3"/>
      <c r="GWJ93" s="3"/>
      <c r="GWK93" s="3"/>
      <c r="GWL93" s="3"/>
      <c r="GWM93" s="3"/>
      <c r="GWN93" s="3"/>
      <c r="GWO93" s="3"/>
      <c r="GWP93" s="3"/>
      <c r="GWQ93" s="3"/>
      <c r="GWR93" s="3"/>
      <c r="GWS93" s="3"/>
      <c r="GWT93" s="3"/>
      <c r="GWU93" s="3"/>
      <c r="GWV93" s="3"/>
      <c r="GWW93" s="3"/>
      <c r="GWX93" s="3"/>
      <c r="GWY93" s="3"/>
      <c r="GWZ93" s="3"/>
      <c r="GXA93" s="3"/>
      <c r="GXB93" s="3"/>
      <c r="GXC93" s="3"/>
      <c r="GXD93" s="3"/>
      <c r="GXE93" s="3"/>
      <c r="GXF93" s="3"/>
      <c r="GXG93" s="3"/>
      <c r="GXH93" s="3"/>
      <c r="GXI93" s="3"/>
      <c r="GXJ93" s="3"/>
      <c r="GXK93" s="3"/>
      <c r="GXL93" s="3"/>
      <c r="GXM93" s="3"/>
      <c r="GXN93" s="3"/>
      <c r="GXO93" s="3"/>
      <c r="GXP93" s="3"/>
      <c r="GXQ93" s="3"/>
      <c r="GXR93" s="3"/>
      <c r="GXS93" s="3"/>
      <c r="GXT93" s="3"/>
      <c r="GXU93" s="3"/>
      <c r="GXV93" s="3"/>
      <c r="GXW93" s="3"/>
      <c r="GXX93" s="3"/>
      <c r="GXY93" s="3"/>
      <c r="GXZ93" s="3"/>
      <c r="GYA93" s="3"/>
      <c r="GYB93" s="3"/>
      <c r="GYC93" s="3"/>
      <c r="GYD93" s="3"/>
      <c r="GYE93" s="3"/>
      <c r="GYF93" s="3"/>
      <c r="GYG93" s="3"/>
      <c r="GYH93" s="3"/>
      <c r="GYI93" s="3"/>
      <c r="GYJ93" s="3"/>
      <c r="GYK93" s="3"/>
      <c r="GYL93" s="3"/>
      <c r="GYM93" s="3"/>
      <c r="GYN93" s="3"/>
      <c r="GYO93" s="3"/>
      <c r="GYP93" s="3"/>
      <c r="GYQ93" s="3"/>
      <c r="GYR93" s="3"/>
      <c r="GYS93" s="3"/>
      <c r="GYT93" s="3"/>
      <c r="GYU93" s="3"/>
      <c r="GYV93" s="3"/>
      <c r="GYW93" s="3"/>
      <c r="GYX93" s="3"/>
      <c r="GYY93" s="3"/>
      <c r="GYZ93" s="3"/>
      <c r="GZA93" s="3"/>
      <c r="GZB93" s="3"/>
      <c r="GZC93" s="3"/>
      <c r="GZD93" s="3"/>
      <c r="GZE93" s="3"/>
      <c r="GZF93" s="3"/>
      <c r="GZG93" s="3"/>
      <c r="GZH93" s="3"/>
      <c r="GZI93" s="3"/>
      <c r="GZJ93" s="3"/>
      <c r="GZK93" s="3"/>
      <c r="GZL93" s="3"/>
      <c r="GZM93" s="3"/>
      <c r="GZN93" s="3"/>
      <c r="GZO93" s="3"/>
      <c r="GZP93" s="3"/>
      <c r="GZQ93" s="3"/>
      <c r="GZR93" s="3"/>
      <c r="GZS93" s="3"/>
      <c r="GZT93" s="3"/>
      <c r="GZU93" s="3"/>
      <c r="GZV93" s="3"/>
      <c r="GZW93" s="3"/>
      <c r="GZX93" s="3"/>
      <c r="GZY93" s="3"/>
      <c r="GZZ93" s="3"/>
      <c r="HAA93" s="3"/>
      <c r="HAB93" s="3"/>
      <c r="HAC93" s="3"/>
      <c r="HAD93" s="3"/>
      <c r="HAE93" s="3"/>
      <c r="HAF93" s="3"/>
      <c r="HAG93" s="3"/>
      <c r="HAH93" s="3"/>
      <c r="HAI93" s="3"/>
      <c r="HAJ93" s="3"/>
      <c r="HAK93" s="3"/>
      <c r="HAL93" s="3"/>
      <c r="HAM93" s="3"/>
      <c r="HAN93" s="3"/>
      <c r="HAO93" s="3"/>
      <c r="HAP93" s="3"/>
      <c r="HAQ93" s="3"/>
      <c r="HAR93" s="3"/>
      <c r="HAS93" s="3"/>
      <c r="HAT93" s="3"/>
      <c r="HAU93" s="3"/>
      <c r="HAV93" s="3"/>
      <c r="HAW93" s="3"/>
      <c r="HAX93" s="3"/>
      <c r="HAY93" s="3"/>
      <c r="HAZ93" s="3"/>
      <c r="HBA93" s="3"/>
      <c r="HBB93" s="3"/>
      <c r="HBC93" s="3"/>
      <c r="HBD93" s="3"/>
      <c r="HBE93" s="3"/>
      <c r="HBF93" s="3"/>
      <c r="HBG93" s="3"/>
      <c r="HBH93" s="3"/>
      <c r="HBI93" s="3"/>
      <c r="HBJ93" s="3"/>
      <c r="HBK93" s="3"/>
      <c r="HBL93" s="3"/>
      <c r="HBM93" s="3"/>
      <c r="HBN93" s="3"/>
      <c r="HBO93" s="3"/>
      <c r="HBP93" s="3"/>
      <c r="HBQ93" s="3"/>
      <c r="HBR93" s="3"/>
      <c r="HBS93" s="3"/>
      <c r="HBT93" s="3"/>
      <c r="HBU93" s="3"/>
      <c r="HBV93" s="3"/>
      <c r="HBW93" s="3"/>
      <c r="HBX93" s="3"/>
      <c r="HBY93" s="3"/>
      <c r="HBZ93" s="3"/>
      <c r="HCA93" s="3"/>
      <c r="HCB93" s="3"/>
      <c r="HCC93" s="3"/>
      <c r="HCD93" s="3"/>
      <c r="HCE93" s="3"/>
      <c r="HCF93" s="3"/>
      <c r="HCG93" s="3"/>
      <c r="HCH93" s="3"/>
      <c r="HCI93" s="3"/>
      <c r="HCJ93" s="3"/>
      <c r="HCK93" s="3"/>
      <c r="HCL93" s="3"/>
      <c r="HCM93" s="3"/>
      <c r="HCN93" s="3"/>
      <c r="HCO93" s="3"/>
      <c r="HCP93" s="3"/>
      <c r="HCQ93" s="3"/>
      <c r="HCR93" s="3"/>
      <c r="HCS93" s="3"/>
      <c r="HCT93" s="3"/>
      <c r="HCU93" s="3"/>
      <c r="HCV93" s="3"/>
      <c r="HCW93" s="3"/>
      <c r="HCX93" s="3"/>
      <c r="HCY93" s="3"/>
      <c r="HCZ93" s="3"/>
      <c r="HDA93" s="3"/>
      <c r="HDB93" s="3"/>
      <c r="HDC93" s="3"/>
      <c r="HDD93" s="3"/>
      <c r="HDE93" s="3"/>
      <c r="HDF93" s="3"/>
      <c r="HDG93" s="3"/>
      <c r="HDH93" s="3"/>
      <c r="HDI93" s="3"/>
      <c r="HDJ93" s="3"/>
      <c r="HDK93" s="3"/>
      <c r="HDL93" s="3"/>
      <c r="HDM93" s="3"/>
      <c r="HDN93" s="3"/>
      <c r="HDO93" s="3"/>
      <c r="HDP93" s="3"/>
      <c r="HDQ93" s="3"/>
      <c r="HDR93" s="3"/>
      <c r="HDS93" s="3"/>
      <c r="HDT93" s="3"/>
      <c r="HDU93" s="3"/>
      <c r="HDV93" s="3"/>
      <c r="HDW93" s="3"/>
      <c r="HDX93" s="3"/>
      <c r="HDY93" s="3"/>
      <c r="HDZ93" s="3"/>
      <c r="HEA93" s="3"/>
      <c r="HEB93" s="3"/>
      <c r="HEC93" s="3"/>
      <c r="HED93" s="3"/>
      <c r="HEE93" s="3"/>
      <c r="HEF93" s="3"/>
      <c r="HEG93" s="3"/>
      <c r="HEH93" s="3"/>
      <c r="HEI93" s="3"/>
      <c r="HEJ93" s="3"/>
      <c r="HEK93" s="3"/>
      <c r="HEL93" s="3"/>
      <c r="HEM93" s="3"/>
      <c r="HEN93" s="3"/>
      <c r="HEO93" s="3"/>
      <c r="HEP93" s="3"/>
      <c r="HEQ93" s="3"/>
      <c r="HER93" s="3"/>
      <c r="HES93" s="3"/>
      <c r="HET93" s="3"/>
      <c r="HEU93" s="3"/>
      <c r="HEV93" s="3"/>
      <c r="HEW93" s="3"/>
      <c r="HEX93" s="3"/>
      <c r="HEY93" s="3"/>
      <c r="HEZ93" s="3"/>
      <c r="HFA93" s="3"/>
      <c r="HFB93" s="3"/>
      <c r="HFC93" s="3"/>
      <c r="HFD93" s="3"/>
      <c r="HFE93" s="3"/>
      <c r="HFF93" s="3"/>
      <c r="HFG93" s="3"/>
      <c r="HFH93" s="3"/>
      <c r="HFI93" s="3"/>
      <c r="HFJ93" s="3"/>
      <c r="HFK93" s="3"/>
      <c r="HFL93" s="3"/>
      <c r="HFM93" s="3"/>
      <c r="HFN93" s="3"/>
      <c r="HFO93" s="3"/>
      <c r="HFP93" s="3"/>
      <c r="HFQ93" s="3"/>
      <c r="HFR93" s="3"/>
      <c r="HFS93" s="3"/>
      <c r="HFT93" s="3"/>
      <c r="HFU93" s="3"/>
      <c r="HFV93" s="3"/>
      <c r="HFW93" s="3"/>
      <c r="HFX93" s="3"/>
      <c r="HFY93" s="3"/>
      <c r="HFZ93" s="3"/>
      <c r="HGA93" s="3"/>
      <c r="HGB93" s="3"/>
      <c r="HGC93" s="3"/>
      <c r="HGD93" s="3"/>
      <c r="HGE93" s="3"/>
      <c r="HGF93" s="3"/>
      <c r="HGG93" s="3"/>
      <c r="HGH93" s="3"/>
      <c r="HGI93" s="3"/>
      <c r="HGJ93" s="3"/>
      <c r="HGK93" s="3"/>
      <c r="HGL93" s="3"/>
      <c r="HGM93" s="3"/>
      <c r="HGN93" s="3"/>
      <c r="HGO93" s="3"/>
      <c r="HGP93" s="3"/>
      <c r="HGQ93" s="3"/>
      <c r="HGR93" s="3"/>
      <c r="HGS93" s="3"/>
      <c r="HGT93" s="3"/>
      <c r="HGU93" s="3"/>
      <c r="HGV93" s="3"/>
      <c r="HGW93" s="3"/>
      <c r="HGX93" s="3"/>
      <c r="HGY93" s="3"/>
      <c r="HGZ93" s="3"/>
      <c r="HHA93" s="3"/>
      <c r="HHB93" s="3"/>
      <c r="HHC93" s="3"/>
      <c r="HHD93" s="3"/>
      <c r="HHE93" s="3"/>
      <c r="HHF93" s="3"/>
      <c r="HHG93" s="3"/>
      <c r="HHH93" s="3"/>
      <c r="HHI93" s="3"/>
      <c r="HHJ93" s="3"/>
      <c r="HHK93" s="3"/>
      <c r="HHL93" s="3"/>
      <c r="HHM93" s="3"/>
      <c r="HHN93" s="3"/>
      <c r="HHO93" s="3"/>
      <c r="HHP93" s="3"/>
      <c r="HHQ93" s="3"/>
      <c r="HHR93" s="3"/>
      <c r="HHS93" s="3"/>
      <c r="HHT93" s="3"/>
      <c r="HHU93" s="3"/>
      <c r="HHV93" s="3"/>
      <c r="HHW93" s="3"/>
      <c r="HHX93" s="3"/>
      <c r="HHY93" s="3"/>
      <c r="HHZ93" s="3"/>
      <c r="HIA93" s="3"/>
      <c r="HIB93" s="3"/>
      <c r="HIC93" s="3"/>
      <c r="HID93" s="3"/>
      <c r="HIE93" s="3"/>
      <c r="HIF93" s="3"/>
      <c r="HIG93" s="3"/>
      <c r="HIH93" s="3"/>
      <c r="HII93" s="3"/>
      <c r="HIJ93" s="3"/>
      <c r="HIK93" s="3"/>
      <c r="HIL93" s="3"/>
      <c r="HIM93" s="3"/>
      <c r="HIN93" s="3"/>
      <c r="HIO93" s="3"/>
      <c r="HIP93" s="3"/>
      <c r="HIQ93" s="3"/>
      <c r="HIR93" s="3"/>
      <c r="HIS93" s="3"/>
      <c r="HIT93" s="3"/>
      <c r="HIU93" s="3"/>
      <c r="HIV93" s="3"/>
      <c r="HIW93" s="3"/>
      <c r="HIX93" s="3"/>
      <c r="HIY93" s="3"/>
      <c r="HIZ93" s="3"/>
      <c r="HJA93" s="3"/>
      <c r="HJB93" s="3"/>
      <c r="HJC93" s="3"/>
      <c r="HJD93" s="3"/>
      <c r="HJE93" s="3"/>
      <c r="HJF93" s="3"/>
      <c r="HJG93" s="3"/>
      <c r="HJH93" s="3"/>
      <c r="HJI93" s="3"/>
      <c r="HJJ93" s="3"/>
      <c r="HJK93" s="3"/>
      <c r="HJL93" s="3"/>
      <c r="HJM93" s="3"/>
      <c r="HJN93" s="3"/>
      <c r="HJO93" s="3"/>
      <c r="HJP93" s="3"/>
      <c r="HJQ93" s="3"/>
      <c r="HJR93" s="3"/>
      <c r="HJS93" s="3"/>
      <c r="HJT93" s="3"/>
      <c r="HJU93" s="3"/>
      <c r="HJV93" s="3"/>
      <c r="HJW93" s="3"/>
      <c r="HJX93" s="3"/>
      <c r="HJY93" s="3"/>
      <c r="HJZ93" s="3"/>
      <c r="HKA93" s="3"/>
      <c r="HKB93" s="3"/>
      <c r="HKC93" s="3"/>
      <c r="HKD93" s="3"/>
      <c r="HKE93" s="3"/>
      <c r="HKF93" s="3"/>
      <c r="HKG93" s="3"/>
      <c r="HKH93" s="3"/>
      <c r="HKI93" s="3"/>
      <c r="HKJ93" s="3"/>
      <c r="HKK93" s="3"/>
      <c r="HKL93" s="3"/>
      <c r="HKM93" s="3"/>
      <c r="HKN93" s="3"/>
      <c r="HKO93" s="3"/>
      <c r="HKP93" s="3"/>
      <c r="HKQ93" s="3"/>
      <c r="HKR93" s="3"/>
      <c r="HKS93" s="3"/>
      <c r="HKT93" s="3"/>
      <c r="HKU93" s="3"/>
      <c r="HKV93" s="3"/>
      <c r="HKW93" s="3"/>
      <c r="HKX93" s="3"/>
      <c r="HKY93" s="3"/>
      <c r="HKZ93" s="3"/>
      <c r="HLA93" s="3"/>
      <c r="HLB93" s="3"/>
      <c r="HLC93" s="3"/>
      <c r="HLD93" s="3"/>
      <c r="HLE93" s="3"/>
      <c r="HLF93" s="3"/>
      <c r="HLG93" s="3"/>
      <c r="HLH93" s="3"/>
      <c r="HLI93" s="3"/>
      <c r="HLJ93" s="3"/>
      <c r="HLK93" s="3"/>
      <c r="HLL93" s="3"/>
      <c r="HLM93" s="3"/>
      <c r="HLN93" s="3"/>
      <c r="HLO93" s="3"/>
      <c r="HLP93" s="3"/>
      <c r="HLQ93" s="3"/>
      <c r="HLR93" s="3"/>
      <c r="HLS93" s="3"/>
      <c r="HLT93" s="3"/>
      <c r="HLU93" s="3"/>
      <c r="HLV93" s="3"/>
      <c r="HLW93" s="3"/>
      <c r="HLX93" s="3"/>
      <c r="HLY93" s="3"/>
      <c r="HLZ93" s="3"/>
      <c r="HMA93" s="3"/>
      <c r="HMB93" s="3"/>
      <c r="HMC93" s="3"/>
      <c r="HMD93" s="3"/>
      <c r="HME93" s="3"/>
      <c r="HMF93" s="3"/>
      <c r="HMG93" s="3"/>
      <c r="HMH93" s="3"/>
      <c r="HMI93" s="3"/>
      <c r="HMJ93" s="3"/>
      <c r="HMK93" s="3"/>
      <c r="HML93" s="3"/>
      <c r="HMM93" s="3"/>
      <c r="HMN93" s="3"/>
      <c r="HMO93" s="3"/>
      <c r="HMP93" s="3"/>
      <c r="HMQ93" s="3"/>
      <c r="HMR93" s="3"/>
      <c r="HMS93" s="3"/>
      <c r="HMT93" s="3"/>
      <c r="HMU93" s="3"/>
      <c r="HMV93" s="3"/>
      <c r="HMW93" s="3"/>
      <c r="HMX93" s="3"/>
      <c r="HMY93" s="3"/>
      <c r="HMZ93" s="3"/>
      <c r="HNA93" s="3"/>
      <c r="HNB93" s="3"/>
      <c r="HNC93" s="3"/>
      <c r="HND93" s="3"/>
      <c r="HNE93" s="3"/>
      <c r="HNF93" s="3"/>
      <c r="HNG93" s="3"/>
      <c r="HNH93" s="3"/>
      <c r="HNI93" s="3"/>
      <c r="HNJ93" s="3"/>
      <c r="HNK93" s="3"/>
      <c r="HNL93" s="3"/>
      <c r="HNM93" s="3"/>
      <c r="HNN93" s="3"/>
      <c r="HNO93" s="3"/>
      <c r="HNP93" s="3"/>
      <c r="HNQ93" s="3"/>
      <c r="HNR93" s="3"/>
      <c r="HNS93" s="3"/>
      <c r="HNT93" s="3"/>
      <c r="HNU93" s="3"/>
      <c r="HNV93" s="3"/>
      <c r="HNW93" s="3"/>
      <c r="HNX93" s="3"/>
      <c r="HNY93" s="3"/>
      <c r="HNZ93" s="3"/>
      <c r="HOA93" s="3"/>
      <c r="HOB93" s="3"/>
      <c r="HOC93" s="3"/>
      <c r="HOD93" s="3"/>
      <c r="HOE93" s="3"/>
      <c r="HOF93" s="3"/>
      <c r="HOG93" s="3"/>
      <c r="HOH93" s="3"/>
      <c r="HOI93" s="3"/>
      <c r="HOJ93" s="3"/>
      <c r="HOK93" s="3"/>
      <c r="HOL93" s="3"/>
      <c r="HOM93" s="3"/>
      <c r="HON93" s="3"/>
      <c r="HOO93" s="3"/>
      <c r="HOP93" s="3"/>
      <c r="HOQ93" s="3"/>
      <c r="HOR93" s="3"/>
      <c r="HOS93" s="3"/>
      <c r="HOT93" s="3"/>
      <c r="HOU93" s="3"/>
      <c r="HOV93" s="3"/>
      <c r="HOW93" s="3"/>
      <c r="HOX93" s="3"/>
      <c r="HOY93" s="3"/>
      <c r="HOZ93" s="3"/>
      <c r="HPA93" s="3"/>
      <c r="HPB93" s="3"/>
      <c r="HPC93" s="3"/>
      <c r="HPD93" s="3"/>
      <c r="HPE93" s="3"/>
      <c r="HPF93" s="3"/>
      <c r="HPG93" s="3"/>
      <c r="HPH93" s="3"/>
      <c r="HPI93" s="3"/>
      <c r="HPJ93" s="3"/>
      <c r="HPK93" s="3"/>
      <c r="HPL93" s="3"/>
      <c r="HPM93" s="3"/>
      <c r="HPN93" s="3"/>
      <c r="HPO93" s="3"/>
      <c r="HPP93" s="3"/>
      <c r="HPQ93" s="3"/>
      <c r="HPR93" s="3"/>
      <c r="HPS93" s="3"/>
      <c r="HPT93" s="3"/>
      <c r="HPU93" s="3"/>
      <c r="HPV93" s="3"/>
      <c r="HPW93" s="3"/>
      <c r="HPX93" s="3"/>
      <c r="HPY93" s="3"/>
      <c r="HPZ93" s="3"/>
      <c r="HQA93" s="3"/>
      <c r="HQB93" s="3"/>
      <c r="HQC93" s="3"/>
      <c r="HQD93" s="3"/>
      <c r="HQE93" s="3"/>
      <c r="HQF93" s="3"/>
      <c r="HQG93" s="3"/>
      <c r="HQH93" s="3"/>
      <c r="HQI93" s="3"/>
      <c r="HQJ93" s="3"/>
      <c r="HQK93" s="3"/>
      <c r="HQL93" s="3"/>
      <c r="HQM93" s="3"/>
      <c r="HQN93" s="3"/>
      <c r="HQO93" s="3"/>
      <c r="HQP93" s="3"/>
      <c r="HQQ93" s="3"/>
      <c r="HQR93" s="3"/>
      <c r="HQS93" s="3"/>
      <c r="HQT93" s="3"/>
      <c r="HQU93" s="3"/>
      <c r="HQV93" s="3"/>
      <c r="HQW93" s="3"/>
      <c r="HQX93" s="3"/>
      <c r="HQY93" s="3"/>
      <c r="HQZ93" s="3"/>
      <c r="HRA93" s="3"/>
      <c r="HRB93" s="3"/>
      <c r="HRC93" s="3"/>
      <c r="HRD93" s="3"/>
      <c r="HRE93" s="3"/>
      <c r="HRF93" s="3"/>
      <c r="HRG93" s="3"/>
      <c r="HRH93" s="3"/>
      <c r="HRI93" s="3"/>
      <c r="HRJ93" s="3"/>
      <c r="HRK93" s="3"/>
      <c r="HRL93" s="3"/>
      <c r="HRM93" s="3"/>
      <c r="HRN93" s="3"/>
      <c r="HRO93" s="3"/>
      <c r="HRP93" s="3"/>
      <c r="HRQ93" s="3"/>
      <c r="HRR93" s="3"/>
      <c r="HRS93" s="3"/>
      <c r="HRT93" s="3"/>
      <c r="HRU93" s="3"/>
      <c r="HRV93" s="3"/>
      <c r="HRW93" s="3"/>
      <c r="HRX93" s="3"/>
      <c r="HRY93" s="3"/>
      <c r="HRZ93" s="3"/>
      <c r="HSA93" s="3"/>
      <c r="HSB93" s="3"/>
      <c r="HSC93" s="3"/>
      <c r="HSD93" s="3"/>
      <c r="HSE93" s="3"/>
      <c r="HSF93" s="3"/>
      <c r="HSG93" s="3"/>
      <c r="HSH93" s="3"/>
      <c r="HSI93" s="3"/>
      <c r="HSJ93" s="3"/>
      <c r="HSK93" s="3"/>
      <c r="HSL93" s="3"/>
      <c r="HSM93" s="3"/>
      <c r="HSN93" s="3"/>
      <c r="HSO93" s="3"/>
      <c r="HSP93" s="3"/>
      <c r="HSQ93" s="3"/>
      <c r="HSR93" s="3"/>
      <c r="HSS93" s="3"/>
      <c r="HST93" s="3"/>
      <c r="HSU93" s="3"/>
      <c r="HSV93" s="3"/>
      <c r="HSW93" s="3"/>
      <c r="HSX93" s="3"/>
      <c r="HSY93" s="3"/>
      <c r="HSZ93" s="3"/>
      <c r="HTA93" s="3"/>
      <c r="HTB93" s="3"/>
      <c r="HTC93" s="3"/>
      <c r="HTD93" s="3"/>
      <c r="HTE93" s="3"/>
      <c r="HTF93" s="3"/>
      <c r="HTG93" s="3"/>
      <c r="HTH93" s="3"/>
      <c r="HTI93" s="3"/>
      <c r="HTJ93" s="3"/>
      <c r="HTK93" s="3"/>
      <c r="HTL93" s="3"/>
      <c r="HTM93" s="3"/>
      <c r="HTN93" s="3"/>
      <c r="HTO93" s="3"/>
      <c r="HTP93" s="3"/>
      <c r="HTQ93" s="3"/>
      <c r="HTR93" s="3"/>
      <c r="HTS93" s="3"/>
      <c r="HTT93" s="3"/>
      <c r="HTU93" s="3"/>
      <c r="HTV93" s="3"/>
      <c r="HTW93" s="3"/>
      <c r="HTX93" s="3"/>
      <c r="HTY93" s="3"/>
      <c r="HTZ93" s="3"/>
      <c r="HUA93" s="3"/>
      <c r="HUB93" s="3"/>
      <c r="HUC93" s="3"/>
      <c r="HUD93" s="3"/>
      <c r="HUE93" s="3"/>
      <c r="HUF93" s="3"/>
      <c r="HUG93" s="3"/>
      <c r="HUH93" s="3"/>
      <c r="HUI93" s="3"/>
      <c r="HUJ93" s="3"/>
      <c r="HUK93" s="3"/>
      <c r="HUL93" s="3"/>
      <c r="HUM93" s="3"/>
      <c r="HUN93" s="3"/>
      <c r="HUO93" s="3"/>
      <c r="HUP93" s="3"/>
      <c r="HUQ93" s="3"/>
      <c r="HUR93" s="3"/>
      <c r="HUS93" s="3"/>
      <c r="HUT93" s="3"/>
      <c r="HUU93" s="3"/>
      <c r="HUV93" s="3"/>
      <c r="HUW93" s="3"/>
      <c r="HUX93" s="3"/>
      <c r="HUY93" s="3"/>
      <c r="HUZ93" s="3"/>
      <c r="HVA93" s="3"/>
      <c r="HVB93" s="3"/>
      <c r="HVC93" s="3"/>
      <c r="HVD93" s="3"/>
      <c r="HVE93" s="3"/>
      <c r="HVF93" s="3"/>
      <c r="HVG93" s="3"/>
      <c r="HVH93" s="3"/>
      <c r="HVI93" s="3"/>
      <c r="HVJ93" s="3"/>
      <c r="HVK93" s="3"/>
      <c r="HVL93" s="3"/>
      <c r="HVM93" s="3"/>
      <c r="HVN93" s="3"/>
      <c r="HVO93" s="3"/>
      <c r="HVP93" s="3"/>
      <c r="HVQ93" s="3"/>
      <c r="HVR93" s="3"/>
      <c r="HVS93" s="3"/>
      <c r="HVT93" s="3"/>
      <c r="HVU93" s="3"/>
      <c r="HVV93" s="3"/>
      <c r="HVW93" s="3"/>
      <c r="HVX93" s="3"/>
      <c r="HVY93" s="3"/>
      <c r="HVZ93" s="3"/>
      <c r="HWA93" s="3"/>
      <c r="HWB93" s="3"/>
      <c r="HWC93" s="3"/>
      <c r="HWD93" s="3"/>
      <c r="HWE93" s="3"/>
      <c r="HWF93" s="3"/>
      <c r="HWG93" s="3"/>
      <c r="HWH93" s="3"/>
      <c r="HWI93" s="3"/>
      <c r="HWJ93" s="3"/>
      <c r="HWK93" s="3"/>
      <c r="HWL93" s="3"/>
      <c r="HWM93" s="3"/>
      <c r="HWN93" s="3"/>
      <c r="HWO93" s="3"/>
      <c r="HWP93" s="3"/>
      <c r="HWQ93" s="3"/>
      <c r="HWR93" s="3"/>
      <c r="HWS93" s="3"/>
      <c r="HWT93" s="3"/>
      <c r="HWU93" s="3"/>
      <c r="HWV93" s="3"/>
      <c r="HWW93" s="3"/>
      <c r="HWX93" s="3"/>
      <c r="HWY93" s="3"/>
      <c r="HWZ93" s="3"/>
      <c r="HXA93" s="3"/>
      <c r="HXB93" s="3"/>
      <c r="HXC93" s="3"/>
      <c r="HXD93" s="3"/>
      <c r="HXE93" s="3"/>
      <c r="HXF93" s="3"/>
      <c r="HXG93" s="3"/>
      <c r="HXH93" s="3"/>
      <c r="HXI93" s="3"/>
      <c r="HXJ93" s="3"/>
      <c r="HXK93" s="3"/>
      <c r="HXL93" s="3"/>
      <c r="HXM93" s="3"/>
      <c r="HXN93" s="3"/>
      <c r="HXO93" s="3"/>
      <c r="HXP93" s="3"/>
      <c r="HXQ93" s="3"/>
      <c r="HXR93" s="3"/>
      <c r="HXS93" s="3"/>
      <c r="HXT93" s="3"/>
      <c r="HXU93" s="3"/>
      <c r="HXV93" s="3"/>
      <c r="HXW93" s="3"/>
      <c r="HXX93" s="3"/>
      <c r="HXY93" s="3"/>
      <c r="HXZ93" s="3"/>
      <c r="HYA93" s="3"/>
      <c r="HYB93" s="3"/>
      <c r="HYC93" s="3"/>
      <c r="HYD93" s="3"/>
      <c r="HYE93" s="3"/>
      <c r="HYF93" s="3"/>
      <c r="HYG93" s="3"/>
      <c r="HYH93" s="3"/>
      <c r="HYI93" s="3"/>
      <c r="HYJ93" s="3"/>
      <c r="HYK93" s="3"/>
      <c r="HYL93" s="3"/>
      <c r="HYM93" s="3"/>
      <c r="HYN93" s="3"/>
      <c r="HYO93" s="3"/>
      <c r="HYP93" s="3"/>
      <c r="HYQ93" s="3"/>
      <c r="HYR93" s="3"/>
      <c r="HYS93" s="3"/>
      <c r="HYT93" s="3"/>
      <c r="HYU93" s="3"/>
      <c r="HYV93" s="3"/>
      <c r="HYW93" s="3"/>
      <c r="HYX93" s="3"/>
      <c r="HYY93" s="3"/>
      <c r="HYZ93" s="3"/>
      <c r="HZA93" s="3"/>
      <c r="HZB93" s="3"/>
      <c r="HZC93" s="3"/>
      <c r="HZD93" s="3"/>
      <c r="HZE93" s="3"/>
      <c r="HZF93" s="3"/>
      <c r="HZG93" s="3"/>
      <c r="HZH93" s="3"/>
      <c r="HZI93" s="3"/>
      <c r="HZJ93" s="3"/>
      <c r="HZK93" s="3"/>
      <c r="HZL93" s="3"/>
      <c r="HZM93" s="3"/>
      <c r="HZN93" s="3"/>
      <c r="HZO93" s="3"/>
      <c r="HZP93" s="3"/>
      <c r="HZQ93" s="3"/>
      <c r="HZR93" s="3"/>
      <c r="HZS93" s="3"/>
      <c r="HZT93" s="3"/>
      <c r="HZU93" s="3"/>
      <c r="HZV93" s="3"/>
      <c r="HZW93" s="3"/>
      <c r="HZX93" s="3"/>
      <c r="HZY93" s="3"/>
      <c r="HZZ93" s="3"/>
      <c r="IAA93" s="3"/>
      <c r="IAB93" s="3"/>
      <c r="IAC93" s="3"/>
      <c r="IAD93" s="3"/>
      <c r="IAE93" s="3"/>
      <c r="IAF93" s="3"/>
      <c r="IAG93" s="3"/>
      <c r="IAH93" s="3"/>
      <c r="IAI93" s="3"/>
      <c r="IAJ93" s="3"/>
      <c r="IAK93" s="3"/>
      <c r="IAL93" s="3"/>
      <c r="IAM93" s="3"/>
      <c r="IAN93" s="3"/>
      <c r="IAO93" s="3"/>
      <c r="IAP93" s="3"/>
      <c r="IAQ93" s="3"/>
      <c r="IAR93" s="3"/>
      <c r="IAS93" s="3"/>
      <c r="IAT93" s="3"/>
      <c r="IAU93" s="3"/>
      <c r="IAV93" s="3"/>
      <c r="IAW93" s="3"/>
      <c r="IAX93" s="3"/>
      <c r="IAY93" s="3"/>
      <c r="IAZ93" s="3"/>
      <c r="IBA93" s="3"/>
      <c r="IBB93" s="3"/>
      <c r="IBC93" s="3"/>
      <c r="IBD93" s="3"/>
      <c r="IBE93" s="3"/>
      <c r="IBF93" s="3"/>
      <c r="IBG93" s="3"/>
      <c r="IBH93" s="3"/>
      <c r="IBI93" s="3"/>
      <c r="IBJ93" s="3"/>
      <c r="IBK93" s="3"/>
      <c r="IBL93" s="3"/>
      <c r="IBM93" s="3"/>
      <c r="IBN93" s="3"/>
      <c r="IBO93" s="3"/>
      <c r="IBP93" s="3"/>
      <c r="IBQ93" s="3"/>
      <c r="IBR93" s="3"/>
      <c r="IBS93" s="3"/>
      <c r="IBT93" s="3"/>
      <c r="IBU93" s="3"/>
      <c r="IBV93" s="3"/>
      <c r="IBW93" s="3"/>
      <c r="IBX93" s="3"/>
      <c r="IBY93" s="3"/>
      <c r="IBZ93" s="3"/>
      <c r="ICA93" s="3"/>
      <c r="ICB93" s="3"/>
      <c r="ICC93" s="3"/>
      <c r="ICD93" s="3"/>
      <c r="ICE93" s="3"/>
      <c r="ICF93" s="3"/>
      <c r="ICG93" s="3"/>
      <c r="ICH93" s="3"/>
      <c r="ICI93" s="3"/>
      <c r="ICJ93" s="3"/>
      <c r="ICK93" s="3"/>
      <c r="ICL93" s="3"/>
      <c r="ICM93" s="3"/>
      <c r="ICN93" s="3"/>
      <c r="ICO93" s="3"/>
      <c r="ICP93" s="3"/>
      <c r="ICQ93" s="3"/>
      <c r="ICR93" s="3"/>
      <c r="ICS93" s="3"/>
      <c r="ICT93" s="3"/>
      <c r="ICU93" s="3"/>
      <c r="ICV93" s="3"/>
      <c r="ICW93" s="3"/>
      <c r="ICX93" s="3"/>
      <c r="ICY93" s="3"/>
      <c r="ICZ93" s="3"/>
      <c r="IDA93" s="3"/>
      <c r="IDB93" s="3"/>
      <c r="IDC93" s="3"/>
      <c r="IDD93" s="3"/>
      <c r="IDE93" s="3"/>
      <c r="IDF93" s="3"/>
      <c r="IDG93" s="3"/>
      <c r="IDH93" s="3"/>
      <c r="IDI93" s="3"/>
      <c r="IDJ93" s="3"/>
      <c r="IDK93" s="3"/>
      <c r="IDL93" s="3"/>
      <c r="IDM93" s="3"/>
      <c r="IDN93" s="3"/>
      <c r="IDO93" s="3"/>
      <c r="IDP93" s="3"/>
      <c r="IDQ93" s="3"/>
      <c r="IDR93" s="3"/>
      <c r="IDS93" s="3"/>
      <c r="IDT93" s="3"/>
      <c r="IDU93" s="3"/>
      <c r="IDV93" s="3"/>
      <c r="IDW93" s="3"/>
      <c r="IDX93" s="3"/>
      <c r="IDY93" s="3"/>
      <c r="IDZ93" s="3"/>
      <c r="IEA93" s="3"/>
      <c r="IEB93" s="3"/>
      <c r="IEC93" s="3"/>
      <c r="IED93" s="3"/>
      <c r="IEE93" s="3"/>
      <c r="IEF93" s="3"/>
      <c r="IEG93" s="3"/>
      <c r="IEH93" s="3"/>
      <c r="IEI93" s="3"/>
      <c r="IEJ93" s="3"/>
      <c r="IEK93" s="3"/>
      <c r="IEL93" s="3"/>
      <c r="IEM93" s="3"/>
      <c r="IEN93" s="3"/>
      <c r="IEO93" s="3"/>
      <c r="IEP93" s="3"/>
      <c r="IEQ93" s="3"/>
      <c r="IER93" s="3"/>
      <c r="IES93" s="3"/>
      <c r="IET93" s="3"/>
      <c r="IEU93" s="3"/>
      <c r="IEV93" s="3"/>
      <c r="IEW93" s="3"/>
      <c r="IEX93" s="3"/>
      <c r="IEY93" s="3"/>
      <c r="IEZ93" s="3"/>
      <c r="IFA93" s="3"/>
      <c r="IFB93" s="3"/>
      <c r="IFC93" s="3"/>
      <c r="IFD93" s="3"/>
      <c r="IFE93" s="3"/>
      <c r="IFF93" s="3"/>
      <c r="IFG93" s="3"/>
      <c r="IFH93" s="3"/>
      <c r="IFI93" s="3"/>
      <c r="IFJ93" s="3"/>
      <c r="IFK93" s="3"/>
      <c r="IFL93" s="3"/>
      <c r="IFM93" s="3"/>
      <c r="IFN93" s="3"/>
      <c r="IFO93" s="3"/>
      <c r="IFP93" s="3"/>
      <c r="IFQ93" s="3"/>
      <c r="IFR93" s="3"/>
      <c r="IFS93" s="3"/>
      <c r="IFT93" s="3"/>
      <c r="IFU93" s="3"/>
      <c r="IFV93" s="3"/>
      <c r="IFW93" s="3"/>
      <c r="IFX93" s="3"/>
      <c r="IFY93" s="3"/>
      <c r="IFZ93" s="3"/>
      <c r="IGA93" s="3"/>
      <c r="IGB93" s="3"/>
      <c r="IGC93" s="3"/>
      <c r="IGD93" s="3"/>
      <c r="IGE93" s="3"/>
      <c r="IGF93" s="3"/>
      <c r="IGG93" s="3"/>
      <c r="IGH93" s="3"/>
      <c r="IGI93" s="3"/>
      <c r="IGJ93" s="3"/>
      <c r="IGK93" s="3"/>
      <c r="IGL93" s="3"/>
      <c r="IGM93" s="3"/>
      <c r="IGN93" s="3"/>
      <c r="IGO93" s="3"/>
      <c r="IGP93" s="3"/>
      <c r="IGQ93" s="3"/>
      <c r="IGR93" s="3"/>
      <c r="IGS93" s="3"/>
      <c r="IGT93" s="3"/>
      <c r="IGU93" s="3"/>
      <c r="IGV93" s="3"/>
      <c r="IGW93" s="3"/>
      <c r="IGX93" s="3"/>
      <c r="IGY93" s="3"/>
      <c r="IGZ93" s="3"/>
      <c r="IHA93" s="3"/>
      <c r="IHB93" s="3"/>
      <c r="IHC93" s="3"/>
      <c r="IHD93" s="3"/>
      <c r="IHE93" s="3"/>
      <c r="IHF93" s="3"/>
      <c r="IHG93" s="3"/>
      <c r="IHH93" s="3"/>
      <c r="IHI93" s="3"/>
      <c r="IHJ93" s="3"/>
      <c r="IHK93" s="3"/>
      <c r="IHL93" s="3"/>
      <c r="IHM93" s="3"/>
      <c r="IHN93" s="3"/>
      <c r="IHO93" s="3"/>
      <c r="IHP93" s="3"/>
      <c r="IHQ93" s="3"/>
      <c r="IHR93" s="3"/>
      <c r="IHS93" s="3"/>
      <c r="IHT93" s="3"/>
      <c r="IHU93" s="3"/>
      <c r="IHV93" s="3"/>
      <c r="IHW93" s="3"/>
      <c r="IHX93" s="3"/>
      <c r="IHY93" s="3"/>
      <c r="IHZ93" s="3"/>
      <c r="IIA93" s="3"/>
      <c r="IIB93" s="3"/>
      <c r="IIC93" s="3"/>
      <c r="IID93" s="3"/>
      <c r="IIE93" s="3"/>
      <c r="IIF93" s="3"/>
      <c r="IIG93" s="3"/>
      <c r="IIH93" s="3"/>
      <c r="III93" s="3"/>
      <c r="IIJ93" s="3"/>
      <c r="IIK93" s="3"/>
      <c r="IIL93" s="3"/>
      <c r="IIM93" s="3"/>
      <c r="IIN93" s="3"/>
      <c r="IIO93" s="3"/>
      <c r="IIP93" s="3"/>
      <c r="IIQ93" s="3"/>
      <c r="IIR93" s="3"/>
      <c r="IIS93" s="3"/>
      <c r="IIT93" s="3"/>
      <c r="IIU93" s="3"/>
      <c r="IIV93" s="3"/>
      <c r="IIW93" s="3"/>
      <c r="IIX93" s="3"/>
      <c r="IIY93" s="3"/>
      <c r="IIZ93" s="3"/>
      <c r="IJA93" s="3"/>
      <c r="IJB93" s="3"/>
      <c r="IJC93" s="3"/>
      <c r="IJD93" s="3"/>
      <c r="IJE93" s="3"/>
      <c r="IJF93" s="3"/>
      <c r="IJG93" s="3"/>
      <c r="IJH93" s="3"/>
      <c r="IJI93" s="3"/>
      <c r="IJJ93" s="3"/>
      <c r="IJK93" s="3"/>
      <c r="IJL93" s="3"/>
      <c r="IJM93" s="3"/>
      <c r="IJN93" s="3"/>
      <c r="IJO93" s="3"/>
      <c r="IJP93" s="3"/>
      <c r="IJQ93" s="3"/>
      <c r="IJR93" s="3"/>
      <c r="IJS93" s="3"/>
      <c r="IJT93" s="3"/>
      <c r="IJU93" s="3"/>
      <c r="IJV93" s="3"/>
      <c r="IJW93" s="3"/>
      <c r="IJX93" s="3"/>
      <c r="IJY93" s="3"/>
      <c r="IJZ93" s="3"/>
      <c r="IKA93" s="3"/>
      <c r="IKB93" s="3"/>
      <c r="IKC93" s="3"/>
      <c r="IKD93" s="3"/>
      <c r="IKE93" s="3"/>
      <c r="IKF93" s="3"/>
      <c r="IKG93" s="3"/>
      <c r="IKH93" s="3"/>
      <c r="IKI93" s="3"/>
      <c r="IKJ93" s="3"/>
      <c r="IKK93" s="3"/>
      <c r="IKL93" s="3"/>
      <c r="IKM93" s="3"/>
      <c r="IKN93" s="3"/>
      <c r="IKO93" s="3"/>
      <c r="IKP93" s="3"/>
      <c r="IKQ93" s="3"/>
      <c r="IKR93" s="3"/>
      <c r="IKS93" s="3"/>
      <c r="IKT93" s="3"/>
      <c r="IKU93" s="3"/>
      <c r="IKV93" s="3"/>
      <c r="IKW93" s="3"/>
      <c r="IKX93" s="3"/>
      <c r="IKY93" s="3"/>
      <c r="IKZ93" s="3"/>
      <c r="ILA93" s="3"/>
      <c r="ILB93" s="3"/>
      <c r="ILC93" s="3"/>
      <c r="ILD93" s="3"/>
      <c r="ILE93" s="3"/>
      <c r="ILF93" s="3"/>
      <c r="ILG93" s="3"/>
      <c r="ILH93" s="3"/>
      <c r="ILI93" s="3"/>
      <c r="ILJ93" s="3"/>
      <c r="ILK93" s="3"/>
      <c r="ILL93" s="3"/>
      <c r="ILM93" s="3"/>
      <c r="ILN93" s="3"/>
      <c r="ILO93" s="3"/>
      <c r="ILP93" s="3"/>
      <c r="ILQ93" s="3"/>
      <c r="ILR93" s="3"/>
      <c r="ILS93" s="3"/>
      <c r="ILT93" s="3"/>
      <c r="ILU93" s="3"/>
      <c r="ILV93" s="3"/>
      <c r="ILW93" s="3"/>
      <c r="ILX93" s="3"/>
      <c r="ILY93" s="3"/>
      <c r="ILZ93" s="3"/>
      <c r="IMA93" s="3"/>
      <c r="IMB93" s="3"/>
      <c r="IMC93" s="3"/>
      <c r="IMD93" s="3"/>
      <c r="IME93" s="3"/>
      <c r="IMF93" s="3"/>
      <c r="IMG93" s="3"/>
      <c r="IMH93" s="3"/>
      <c r="IMI93" s="3"/>
      <c r="IMJ93" s="3"/>
      <c r="IMK93" s="3"/>
      <c r="IML93" s="3"/>
      <c r="IMM93" s="3"/>
      <c r="IMN93" s="3"/>
      <c r="IMO93" s="3"/>
      <c r="IMP93" s="3"/>
      <c r="IMQ93" s="3"/>
      <c r="IMR93" s="3"/>
      <c r="IMS93" s="3"/>
      <c r="IMT93" s="3"/>
      <c r="IMU93" s="3"/>
      <c r="IMV93" s="3"/>
      <c r="IMW93" s="3"/>
      <c r="IMX93" s="3"/>
      <c r="IMY93" s="3"/>
      <c r="IMZ93" s="3"/>
      <c r="INA93" s="3"/>
      <c r="INB93" s="3"/>
      <c r="INC93" s="3"/>
      <c r="IND93" s="3"/>
      <c r="INE93" s="3"/>
      <c r="INF93" s="3"/>
      <c r="ING93" s="3"/>
      <c r="INH93" s="3"/>
      <c r="INI93" s="3"/>
      <c r="INJ93" s="3"/>
      <c r="INK93" s="3"/>
      <c r="INL93" s="3"/>
      <c r="INM93" s="3"/>
      <c r="INN93" s="3"/>
      <c r="INO93" s="3"/>
      <c r="INP93" s="3"/>
      <c r="INQ93" s="3"/>
      <c r="INR93" s="3"/>
      <c r="INS93" s="3"/>
      <c r="INT93" s="3"/>
      <c r="INU93" s="3"/>
      <c r="INV93" s="3"/>
      <c r="INW93" s="3"/>
      <c r="INX93" s="3"/>
      <c r="INY93" s="3"/>
      <c r="INZ93" s="3"/>
      <c r="IOA93" s="3"/>
      <c r="IOB93" s="3"/>
      <c r="IOC93" s="3"/>
      <c r="IOD93" s="3"/>
      <c r="IOE93" s="3"/>
      <c r="IOF93" s="3"/>
      <c r="IOG93" s="3"/>
      <c r="IOH93" s="3"/>
      <c r="IOI93" s="3"/>
      <c r="IOJ93" s="3"/>
      <c r="IOK93" s="3"/>
      <c r="IOL93" s="3"/>
      <c r="IOM93" s="3"/>
      <c r="ION93" s="3"/>
      <c r="IOO93" s="3"/>
      <c r="IOP93" s="3"/>
      <c r="IOQ93" s="3"/>
      <c r="IOR93" s="3"/>
      <c r="IOS93" s="3"/>
      <c r="IOT93" s="3"/>
      <c r="IOU93" s="3"/>
      <c r="IOV93" s="3"/>
      <c r="IOW93" s="3"/>
      <c r="IOX93" s="3"/>
      <c r="IOY93" s="3"/>
      <c r="IOZ93" s="3"/>
      <c r="IPA93" s="3"/>
      <c r="IPB93" s="3"/>
      <c r="IPC93" s="3"/>
      <c r="IPD93" s="3"/>
      <c r="IPE93" s="3"/>
      <c r="IPF93" s="3"/>
      <c r="IPG93" s="3"/>
      <c r="IPH93" s="3"/>
      <c r="IPI93" s="3"/>
      <c r="IPJ93" s="3"/>
      <c r="IPK93" s="3"/>
      <c r="IPL93" s="3"/>
      <c r="IPM93" s="3"/>
      <c r="IPN93" s="3"/>
      <c r="IPO93" s="3"/>
      <c r="IPP93" s="3"/>
      <c r="IPQ93" s="3"/>
      <c r="IPR93" s="3"/>
      <c r="IPS93" s="3"/>
      <c r="IPT93" s="3"/>
      <c r="IPU93" s="3"/>
      <c r="IPV93" s="3"/>
      <c r="IPW93" s="3"/>
      <c r="IPX93" s="3"/>
      <c r="IPY93" s="3"/>
      <c r="IPZ93" s="3"/>
      <c r="IQA93" s="3"/>
      <c r="IQB93" s="3"/>
      <c r="IQC93" s="3"/>
      <c r="IQD93" s="3"/>
      <c r="IQE93" s="3"/>
      <c r="IQF93" s="3"/>
      <c r="IQG93" s="3"/>
      <c r="IQH93" s="3"/>
      <c r="IQI93" s="3"/>
      <c r="IQJ93" s="3"/>
      <c r="IQK93" s="3"/>
      <c r="IQL93" s="3"/>
      <c r="IQM93" s="3"/>
      <c r="IQN93" s="3"/>
      <c r="IQO93" s="3"/>
      <c r="IQP93" s="3"/>
      <c r="IQQ93" s="3"/>
      <c r="IQR93" s="3"/>
      <c r="IQS93" s="3"/>
      <c r="IQT93" s="3"/>
      <c r="IQU93" s="3"/>
      <c r="IQV93" s="3"/>
      <c r="IQW93" s="3"/>
      <c r="IQX93" s="3"/>
      <c r="IQY93" s="3"/>
      <c r="IQZ93" s="3"/>
      <c r="IRA93" s="3"/>
      <c r="IRB93" s="3"/>
      <c r="IRC93" s="3"/>
      <c r="IRD93" s="3"/>
      <c r="IRE93" s="3"/>
      <c r="IRF93" s="3"/>
      <c r="IRG93" s="3"/>
      <c r="IRH93" s="3"/>
      <c r="IRI93" s="3"/>
      <c r="IRJ93" s="3"/>
      <c r="IRK93" s="3"/>
      <c r="IRL93" s="3"/>
      <c r="IRM93" s="3"/>
      <c r="IRN93" s="3"/>
      <c r="IRO93" s="3"/>
      <c r="IRP93" s="3"/>
      <c r="IRQ93" s="3"/>
      <c r="IRR93" s="3"/>
      <c r="IRS93" s="3"/>
      <c r="IRT93" s="3"/>
      <c r="IRU93" s="3"/>
      <c r="IRV93" s="3"/>
      <c r="IRW93" s="3"/>
      <c r="IRX93" s="3"/>
      <c r="IRY93" s="3"/>
      <c r="IRZ93" s="3"/>
      <c r="ISA93" s="3"/>
      <c r="ISB93" s="3"/>
      <c r="ISC93" s="3"/>
      <c r="ISD93" s="3"/>
      <c r="ISE93" s="3"/>
      <c r="ISF93" s="3"/>
      <c r="ISG93" s="3"/>
      <c r="ISH93" s="3"/>
      <c r="ISI93" s="3"/>
      <c r="ISJ93" s="3"/>
      <c r="ISK93" s="3"/>
      <c r="ISL93" s="3"/>
      <c r="ISM93" s="3"/>
      <c r="ISN93" s="3"/>
      <c r="ISO93" s="3"/>
      <c r="ISP93" s="3"/>
      <c r="ISQ93" s="3"/>
      <c r="ISR93" s="3"/>
      <c r="ISS93" s="3"/>
      <c r="IST93" s="3"/>
      <c r="ISU93" s="3"/>
      <c r="ISV93" s="3"/>
      <c r="ISW93" s="3"/>
      <c r="ISX93" s="3"/>
      <c r="ISY93" s="3"/>
      <c r="ISZ93" s="3"/>
      <c r="ITA93" s="3"/>
      <c r="ITB93" s="3"/>
      <c r="ITC93" s="3"/>
      <c r="ITD93" s="3"/>
      <c r="ITE93" s="3"/>
      <c r="ITF93" s="3"/>
      <c r="ITG93" s="3"/>
      <c r="ITH93" s="3"/>
      <c r="ITI93" s="3"/>
      <c r="ITJ93" s="3"/>
      <c r="ITK93" s="3"/>
      <c r="ITL93" s="3"/>
      <c r="ITM93" s="3"/>
      <c r="ITN93" s="3"/>
      <c r="ITO93" s="3"/>
      <c r="ITP93" s="3"/>
      <c r="ITQ93" s="3"/>
      <c r="ITR93" s="3"/>
      <c r="ITS93" s="3"/>
      <c r="ITT93" s="3"/>
      <c r="ITU93" s="3"/>
      <c r="ITV93" s="3"/>
      <c r="ITW93" s="3"/>
      <c r="ITX93" s="3"/>
      <c r="ITY93" s="3"/>
      <c r="ITZ93" s="3"/>
      <c r="IUA93" s="3"/>
      <c r="IUB93" s="3"/>
      <c r="IUC93" s="3"/>
      <c r="IUD93" s="3"/>
      <c r="IUE93" s="3"/>
      <c r="IUF93" s="3"/>
      <c r="IUG93" s="3"/>
      <c r="IUH93" s="3"/>
      <c r="IUI93" s="3"/>
      <c r="IUJ93" s="3"/>
      <c r="IUK93" s="3"/>
      <c r="IUL93" s="3"/>
      <c r="IUM93" s="3"/>
      <c r="IUN93" s="3"/>
      <c r="IUO93" s="3"/>
      <c r="IUP93" s="3"/>
      <c r="IUQ93" s="3"/>
      <c r="IUR93" s="3"/>
      <c r="IUS93" s="3"/>
      <c r="IUT93" s="3"/>
      <c r="IUU93" s="3"/>
      <c r="IUV93" s="3"/>
      <c r="IUW93" s="3"/>
      <c r="IUX93" s="3"/>
      <c r="IUY93" s="3"/>
      <c r="IUZ93" s="3"/>
      <c r="IVA93" s="3"/>
      <c r="IVB93" s="3"/>
      <c r="IVC93" s="3"/>
      <c r="IVD93" s="3"/>
      <c r="IVE93" s="3"/>
      <c r="IVF93" s="3"/>
      <c r="IVG93" s="3"/>
      <c r="IVH93" s="3"/>
      <c r="IVI93" s="3"/>
      <c r="IVJ93" s="3"/>
      <c r="IVK93" s="3"/>
      <c r="IVL93" s="3"/>
      <c r="IVM93" s="3"/>
      <c r="IVN93" s="3"/>
      <c r="IVO93" s="3"/>
      <c r="IVP93" s="3"/>
      <c r="IVQ93" s="3"/>
      <c r="IVR93" s="3"/>
      <c r="IVS93" s="3"/>
      <c r="IVT93" s="3"/>
      <c r="IVU93" s="3"/>
      <c r="IVV93" s="3"/>
      <c r="IVW93" s="3"/>
      <c r="IVX93" s="3"/>
      <c r="IVY93" s="3"/>
      <c r="IVZ93" s="3"/>
      <c r="IWA93" s="3"/>
      <c r="IWB93" s="3"/>
      <c r="IWC93" s="3"/>
      <c r="IWD93" s="3"/>
      <c r="IWE93" s="3"/>
      <c r="IWF93" s="3"/>
      <c r="IWG93" s="3"/>
      <c r="IWH93" s="3"/>
      <c r="IWI93" s="3"/>
      <c r="IWJ93" s="3"/>
      <c r="IWK93" s="3"/>
      <c r="IWL93" s="3"/>
      <c r="IWM93" s="3"/>
      <c r="IWN93" s="3"/>
      <c r="IWO93" s="3"/>
      <c r="IWP93" s="3"/>
      <c r="IWQ93" s="3"/>
      <c r="IWR93" s="3"/>
      <c r="IWS93" s="3"/>
      <c r="IWT93" s="3"/>
      <c r="IWU93" s="3"/>
      <c r="IWV93" s="3"/>
      <c r="IWW93" s="3"/>
      <c r="IWX93" s="3"/>
      <c r="IWY93" s="3"/>
      <c r="IWZ93" s="3"/>
      <c r="IXA93" s="3"/>
      <c r="IXB93" s="3"/>
      <c r="IXC93" s="3"/>
      <c r="IXD93" s="3"/>
      <c r="IXE93" s="3"/>
      <c r="IXF93" s="3"/>
      <c r="IXG93" s="3"/>
      <c r="IXH93" s="3"/>
      <c r="IXI93" s="3"/>
      <c r="IXJ93" s="3"/>
      <c r="IXK93" s="3"/>
      <c r="IXL93" s="3"/>
      <c r="IXM93" s="3"/>
      <c r="IXN93" s="3"/>
      <c r="IXO93" s="3"/>
      <c r="IXP93" s="3"/>
      <c r="IXQ93" s="3"/>
      <c r="IXR93" s="3"/>
      <c r="IXS93" s="3"/>
      <c r="IXT93" s="3"/>
      <c r="IXU93" s="3"/>
      <c r="IXV93" s="3"/>
      <c r="IXW93" s="3"/>
      <c r="IXX93" s="3"/>
      <c r="IXY93" s="3"/>
      <c r="IXZ93" s="3"/>
      <c r="IYA93" s="3"/>
      <c r="IYB93" s="3"/>
      <c r="IYC93" s="3"/>
      <c r="IYD93" s="3"/>
      <c r="IYE93" s="3"/>
      <c r="IYF93" s="3"/>
      <c r="IYG93" s="3"/>
      <c r="IYH93" s="3"/>
      <c r="IYI93" s="3"/>
      <c r="IYJ93" s="3"/>
      <c r="IYK93" s="3"/>
      <c r="IYL93" s="3"/>
      <c r="IYM93" s="3"/>
      <c r="IYN93" s="3"/>
      <c r="IYO93" s="3"/>
      <c r="IYP93" s="3"/>
      <c r="IYQ93" s="3"/>
      <c r="IYR93" s="3"/>
      <c r="IYS93" s="3"/>
      <c r="IYT93" s="3"/>
      <c r="IYU93" s="3"/>
      <c r="IYV93" s="3"/>
      <c r="IYW93" s="3"/>
      <c r="IYX93" s="3"/>
      <c r="IYY93" s="3"/>
      <c r="IYZ93" s="3"/>
      <c r="IZA93" s="3"/>
      <c r="IZB93" s="3"/>
      <c r="IZC93" s="3"/>
      <c r="IZD93" s="3"/>
      <c r="IZE93" s="3"/>
      <c r="IZF93" s="3"/>
      <c r="IZG93" s="3"/>
      <c r="IZH93" s="3"/>
      <c r="IZI93" s="3"/>
      <c r="IZJ93" s="3"/>
      <c r="IZK93" s="3"/>
      <c r="IZL93" s="3"/>
      <c r="IZM93" s="3"/>
      <c r="IZN93" s="3"/>
      <c r="IZO93" s="3"/>
      <c r="IZP93" s="3"/>
      <c r="IZQ93" s="3"/>
      <c r="IZR93" s="3"/>
      <c r="IZS93" s="3"/>
      <c r="IZT93" s="3"/>
      <c r="IZU93" s="3"/>
      <c r="IZV93" s="3"/>
      <c r="IZW93" s="3"/>
      <c r="IZX93" s="3"/>
      <c r="IZY93" s="3"/>
      <c r="IZZ93" s="3"/>
      <c r="JAA93" s="3"/>
      <c r="JAB93" s="3"/>
      <c r="JAC93" s="3"/>
      <c r="JAD93" s="3"/>
      <c r="JAE93" s="3"/>
      <c r="JAF93" s="3"/>
      <c r="JAG93" s="3"/>
      <c r="JAH93" s="3"/>
      <c r="JAI93" s="3"/>
      <c r="JAJ93" s="3"/>
      <c r="JAK93" s="3"/>
      <c r="JAL93" s="3"/>
      <c r="JAM93" s="3"/>
      <c r="JAN93" s="3"/>
      <c r="JAO93" s="3"/>
      <c r="JAP93" s="3"/>
      <c r="JAQ93" s="3"/>
      <c r="JAR93" s="3"/>
      <c r="JAS93" s="3"/>
      <c r="JAT93" s="3"/>
      <c r="JAU93" s="3"/>
      <c r="JAV93" s="3"/>
      <c r="JAW93" s="3"/>
      <c r="JAX93" s="3"/>
      <c r="JAY93" s="3"/>
      <c r="JAZ93" s="3"/>
      <c r="JBA93" s="3"/>
      <c r="JBB93" s="3"/>
      <c r="JBC93" s="3"/>
      <c r="JBD93" s="3"/>
      <c r="JBE93" s="3"/>
      <c r="JBF93" s="3"/>
      <c r="JBG93" s="3"/>
      <c r="JBH93" s="3"/>
      <c r="JBI93" s="3"/>
      <c r="JBJ93" s="3"/>
      <c r="JBK93" s="3"/>
      <c r="JBL93" s="3"/>
      <c r="JBM93" s="3"/>
      <c r="JBN93" s="3"/>
      <c r="JBO93" s="3"/>
      <c r="JBP93" s="3"/>
      <c r="JBQ93" s="3"/>
      <c r="JBR93" s="3"/>
      <c r="JBS93" s="3"/>
      <c r="JBT93" s="3"/>
      <c r="JBU93" s="3"/>
      <c r="JBV93" s="3"/>
      <c r="JBW93" s="3"/>
      <c r="JBX93" s="3"/>
      <c r="JBY93" s="3"/>
      <c r="JBZ93" s="3"/>
      <c r="JCA93" s="3"/>
      <c r="JCB93" s="3"/>
      <c r="JCC93" s="3"/>
      <c r="JCD93" s="3"/>
      <c r="JCE93" s="3"/>
      <c r="JCF93" s="3"/>
      <c r="JCG93" s="3"/>
      <c r="JCH93" s="3"/>
      <c r="JCI93" s="3"/>
      <c r="JCJ93" s="3"/>
      <c r="JCK93" s="3"/>
      <c r="JCL93" s="3"/>
      <c r="JCM93" s="3"/>
      <c r="JCN93" s="3"/>
      <c r="JCO93" s="3"/>
      <c r="JCP93" s="3"/>
      <c r="JCQ93" s="3"/>
      <c r="JCR93" s="3"/>
      <c r="JCS93" s="3"/>
      <c r="JCT93" s="3"/>
      <c r="JCU93" s="3"/>
      <c r="JCV93" s="3"/>
      <c r="JCW93" s="3"/>
      <c r="JCX93" s="3"/>
      <c r="JCY93" s="3"/>
      <c r="JCZ93" s="3"/>
      <c r="JDA93" s="3"/>
      <c r="JDB93" s="3"/>
      <c r="JDC93" s="3"/>
      <c r="JDD93" s="3"/>
      <c r="JDE93" s="3"/>
      <c r="JDF93" s="3"/>
      <c r="JDG93" s="3"/>
      <c r="JDH93" s="3"/>
      <c r="JDI93" s="3"/>
      <c r="JDJ93" s="3"/>
      <c r="JDK93" s="3"/>
      <c r="JDL93" s="3"/>
      <c r="JDM93" s="3"/>
      <c r="JDN93" s="3"/>
      <c r="JDO93" s="3"/>
      <c r="JDP93" s="3"/>
      <c r="JDQ93" s="3"/>
      <c r="JDR93" s="3"/>
      <c r="JDS93" s="3"/>
      <c r="JDT93" s="3"/>
      <c r="JDU93" s="3"/>
      <c r="JDV93" s="3"/>
      <c r="JDW93" s="3"/>
      <c r="JDX93" s="3"/>
      <c r="JDY93" s="3"/>
      <c r="JDZ93" s="3"/>
      <c r="JEA93" s="3"/>
      <c r="JEB93" s="3"/>
      <c r="JEC93" s="3"/>
      <c r="JED93" s="3"/>
      <c r="JEE93" s="3"/>
      <c r="JEF93" s="3"/>
      <c r="JEG93" s="3"/>
      <c r="JEH93" s="3"/>
      <c r="JEI93" s="3"/>
      <c r="JEJ93" s="3"/>
      <c r="JEK93" s="3"/>
      <c r="JEL93" s="3"/>
      <c r="JEM93" s="3"/>
      <c r="JEN93" s="3"/>
      <c r="JEO93" s="3"/>
      <c r="JEP93" s="3"/>
      <c r="JEQ93" s="3"/>
      <c r="JER93" s="3"/>
      <c r="JES93" s="3"/>
      <c r="JET93" s="3"/>
      <c r="JEU93" s="3"/>
      <c r="JEV93" s="3"/>
      <c r="JEW93" s="3"/>
      <c r="JEX93" s="3"/>
      <c r="JEY93" s="3"/>
      <c r="JEZ93" s="3"/>
      <c r="JFA93" s="3"/>
      <c r="JFB93" s="3"/>
      <c r="JFC93" s="3"/>
      <c r="JFD93" s="3"/>
      <c r="JFE93" s="3"/>
      <c r="JFF93" s="3"/>
      <c r="JFG93" s="3"/>
      <c r="JFH93" s="3"/>
      <c r="JFI93" s="3"/>
      <c r="JFJ93" s="3"/>
      <c r="JFK93" s="3"/>
      <c r="JFL93" s="3"/>
      <c r="JFM93" s="3"/>
      <c r="JFN93" s="3"/>
      <c r="JFO93" s="3"/>
      <c r="JFP93" s="3"/>
      <c r="JFQ93" s="3"/>
      <c r="JFR93" s="3"/>
      <c r="JFS93" s="3"/>
      <c r="JFT93" s="3"/>
      <c r="JFU93" s="3"/>
      <c r="JFV93" s="3"/>
      <c r="JFW93" s="3"/>
      <c r="JFX93" s="3"/>
      <c r="JFY93" s="3"/>
      <c r="JFZ93" s="3"/>
      <c r="JGA93" s="3"/>
      <c r="JGB93" s="3"/>
      <c r="JGC93" s="3"/>
      <c r="JGD93" s="3"/>
      <c r="JGE93" s="3"/>
      <c r="JGF93" s="3"/>
      <c r="JGG93" s="3"/>
      <c r="JGH93" s="3"/>
      <c r="JGI93" s="3"/>
      <c r="JGJ93" s="3"/>
      <c r="JGK93" s="3"/>
      <c r="JGL93" s="3"/>
      <c r="JGM93" s="3"/>
      <c r="JGN93" s="3"/>
      <c r="JGO93" s="3"/>
      <c r="JGP93" s="3"/>
      <c r="JGQ93" s="3"/>
      <c r="JGR93" s="3"/>
      <c r="JGS93" s="3"/>
      <c r="JGT93" s="3"/>
      <c r="JGU93" s="3"/>
      <c r="JGV93" s="3"/>
      <c r="JGW93" s="3"/>
      <c r="JGX93" s="3"/>
      <c r="JGY93" s="3"/>
      <c r="JGZ93" s="3"/>
      <c r="JHA93" s="3"/>
      <c r="JHB93" s="3"/>
      <c r="JHC93" s="3"/>
      <c r="JHD93" s="3"/>
      <c r="JHE93" s="3"/>
      <c r="JHF93" s="3"/>
      <c r="JHG93" s="3"/>
      <c r="JHH93" s="3"/>
      <c r="JHI93" s="3"/>
      <c r="JHJ93" s="3"/>
      <c r="JHK93" s="3"/>
      <c r="JHL93" s="3"/>
      <c r="JHM93" s="3"/>
      <c r="JHN93" s="3"/>
      <c r="JHO93" s="3"/>
      <c r="JHP93" s="3"/>
      <c r="JHQ93" s="3"/>
      <c r="JHR93" s="3"/>
      <c r="JHS93" s="3"/>
      <c r="JHT93" s="3"/>
      <c r="JHU93" s="3"/>
      <c r="JHV93" s="3"/>
      <c r="JHW93" s="3"/>
      <c r="JHX93" s="3"/>
      <c r="JHY93" s="3"/>
      <c r="JHZ93" s="3"/>
      <c r="JIA93" s="3"/>
      <c r="JIB93" s="3"/>
      <c r="JIC93" s="3"/>
      <c r="JID93" s="3"/>
      <c r="JIE93" s="3"/>
      <c r="JIF93" s="3"/>
      <c r="JIG93" s="3"/>
      <c r="JIH93" s="3"/>
      <c r="JII93" s="3"/>
      <c r="JIJ93" s="3"/>
      <c r="JIK93" s="3"/>
      <c r="JIL93" s="3"/>
      <c r="JIM93" s="3"/>
      <c r="JIN93" s="3"/>
      <c r="JIO93" s="3"/>
      <c r="JIP93" s="3"/>
      <c r="JIQ93" s="3"/>
      <c r="JIR93" s="3"/>
      <c r="JIS93" s="3"/>
      <c r="JIT93" s="3"/>
      <c r="JIU93" s="3"/>
      <c r="JIV93" s="3"/>
      <c r="JIW93" s="3"/>
      <c r="JIX93" s="3"/>
      <c r="JIY93" s="3"/>
      <c r="JIZ93" s="3"/>
      <c r="JJA93" s="3"/>
      <c r="JJB93" s="3"/>
      <c r="JJC93" s="3"/>
      <c r="JJD93" s="3"/>
      <c r="JJE93" s="3"/>
      <c r="JJF93" s="3"/>
      <c r="JJG93" s="3"/>
      <c r="JJH93" s="3"/>
      <c r="JJI93" s="3"/>
      <c r="JJJ93" s="3"/>
      <c r="JJK93" s="3"/>
      <c r="JJL93" s="3"/>
      <c r="JJM93" s="3"/>
      <c r="JJN93" s="3"/>
      <c r="JJO93" s="3"/>
      <c r="JJP93" s="3"/>
      <c r="JJQ93" s="3"/>
      <c r="JJR93" s="3"/>
      <c r="JJS93" s="3"/>
      <c r="JJT93" s="3"/>
      <c r="JJU93" s="3"/>
      <c r="JJV93" s="3"/>
      <c r="JJW93" s="3"/>
      <c r="JJX93" s="3"/>
      <c r="JJY93" s="3"/>
      <c r="JJZ93" s="3"/>
      <c r="JKA93" s="3"/>
      <c r="JKB93" s="3"/>
      <c r="JKC93" s="3"/>
      <c r="JKD93" s="3"/>
      <c r="JKE93" s="3"/>
      <c r="JKF93" s="3"/>
      <c r="JKG93" s="3"/>
      <c r="JKH93" s="3"/>
      <c r="JKI93" s="3"/>
      <c r="JKJ93" s="3"/>
      <c r="JKK93" s="3"/>
      <c r="JKL93" s="3"/>
      <c r="JKM93" s="3"/>
      <c r="JKN93" s="3"/>
      <c r="JKO93" s="3"/>
      <c r="JKP93" s="3"/>
      <c r="JKQ93" s="3"/>
      <c r="JKR93" s="3"/>
      <c r="JKS93" s="3"/>
      <c r="JKT93" s="3"/>
      <c r="JKU93" s="3"/>
      <c r="JKV93" s="3"/>
      <c r="JKW93" s="3"/>
      <c r="JKX93" s="3"/>
      <c r="JKY93" s="3"/>
      <c r="JKZ93" s="3"/>
      <c r="JLA93" s="3"/>
      <c r="JLB93" s="3"/>
      <c r="JLC93" s="3"/>
      <c r="JLD93" s="3"/>
      <c r="JLE93" s="3"/>
      <c r="JLF93" s="3"/>
      <c r="JLG93" s="3"/>
      <c r="JLH93" s="3"/>
      <c r="JLI93" s="3"/>
      <c r="JLJ93" s="3"/>
      <c r="JLK93" s="3"/>
      <c r="JLL93" s="3"/>
      <c r="JLM93" s="3"/>
      <c r="JLN93" s="3"/>
      <c r="JLO93" s="3"/>
      <c r="JLP93" s="3"/>
      <c r="JLQ93" s="3"/>
      <c r="JLR93" s="3"/>
      <c r="JLS93" s="3"/>
      <c r="JLT93" s="3"/>
      <c r="JLU93" s="3"/>
      <c r="JLV93" s="3"/>
      <c r="JLW93" s="3"/>
      <c r="JLX93" s="3"/>
      <c r="JLY93" s="3"/>
      <c r="JLZ93" s="3"/>
      <c r="JMA93" s="3"/>
      <c r="JMB93" s="3"/>
      <c r="JMC93" s="3"/>
      <c r="JMD93" s="3"/>
      <c r="JME93" s="3"/>
      <c r="JMF93" s="3"/>
      <c r="JMG93" s="3"/>
      <c r="JMH93" s="3"/>
      <c r="JMI93" s="3"/>
      <c r="JMJ93" s="3"/>
      <c r="JMK93" s="3"/>
      <c r="JML93" s="3"/>
      <c r="JMM93" s="3"/>
      <c r="JMN93" s="3"/>
      <c r="JMO93" s="3"/>
      <c r="JMP93" s="3"/>
      <c r="JMQ93" s="3"/>
      <c r="JMR93" s="3"/>
      <c r="JMS93" s="3"/>
      <c r="JMT93" s="3"/>
      <c r="JMU93" s="3"/>
      <c r="JMV93" s="3"/>
      <c r="JMW93" s="3"/>
      <c r="JMX93" s="3"/>
      <c r="JMY93" s="3"/>
      <c r="JMZ93" s="3"/>
      <c r="JNA93" s="3"/>
      <c r="JNB93" s="3"/>
      <c r="JNC93" s="3"/>
      <c r="JND93" s="3"/>
      <c r="JNE93" s="3"/>
      <c r="JNF93" s="3"/>
      <c r="JNG93" s="3"/>
      <c r="JNH93" s="3"/>
      <c r="JNI93" s="3"/>
      <c r="JNJ93" s="3"/>
      <c r="JNK93" s="3"/>
      <c r="JNL93" s="3"/>
      <c r="JNM93" s="3"/>
      <c r="JNN93" s="3"/>
      <c r="JNO93" s="3"/>
      <c r="JNP93" s="3"/>
      <c r="JNQ93" s="3"/>
      <c r="JNR93" s="3"/>
      <c r="JNS93" s="3"/>
      <c r="JNT93" s="3"/>
      <c r="JNU93" s="3"/>
      <c r="JNV93" s="3"/>
      <c r="JNW93" s="3"/>
      <c r="JNX93" s="3"/>
      <c r="JNY93" s="3"/>
      <c r="JNZ93" s="3"/>
      <c r="JOA93" s="3"/>
      <c r="JOB93" s="3"/>
      <c r="JOC93" s="3"/>
      <c r="JOD93" s="3"/>
      <c r="JOE93" s="3"/>
      <c r="JOF93" s="3"/>
      <c r="JOG93" s="3"/>
      <c r="JOH93" s="3"/>
      <c r="JOI93" s="3"/>
      <c r="JOJ93" s="3"/>
      <c r="JOK93" s="3"/>
      <c r="JOL93" s="3"/>
      <c r="JOM93" s="3"/>
      <c r="JON93" s="3"/>
      <c r="JOO93" s="3"/>
      <c r="JOP93" s="3"/>
      <c r="JOQ93" s="3"/>
      <c r="JOR93" s="3"/>
      <c r="JOS93" s="3"/>
      <c r="JOT93" s="3"/>
      <c r="JOU93" s="3"/>
      <c r="JOV93" s="3"/>
      <c r="JOW93" s="3"/>
      <c r="JOX93" s="3"/>
      <c r="JOY93" s="3"/>
      <c r="JOZ93" s="3"/>
      <c r="JPA93" s="3"/>
      <c r="JPB93" s="3"/>
      <c r="JPC93" s="3"/>
      <c r="JPD93" s="3"/>
      <c r="JPE93" s="3"/>
      <c r="JPF93" s="3"/>
      <c r="JPG93" s="3"/>
      <c r="JPH93" s="3"/>
      <c r="JPI93" s="3"/>
      <c r="JPJ93" s="3"/>
      <c r="JPK93" s="3"/>
      <c r="JPL93" s="3"/>
      <c r="JPM93" s="3"/>
      <c r="JPN93" s="3"/>
      <c r="JPO93" s="3"/>
      <c r="JPP93" s="3"/>
      <c r="JPQ93" s="3"/>
      <c r="JPR93" s="3"/>
      <c r="JPS93" s="3"/>
      <c r="JPT93" s="3"/>
      <c r="JPU93" s="3"/>
      <c r="JPV93" s="3"/>
      <c r="JPW93" s="3"/>
      <c r="JPX93" s="3"/>
      <c r="JPY93" s="3"/>
      <c r="JPZ93" s="3"/>
      <c r="JQA93" s="3"/>
      <c r="JQB93" s="3"/>
      <c r="JQC93" s="3"/>
      <c r="JQD93" s="3"/>
      <c r="JQE93" s="3"/>
      <c r="JQF93" s="3"/>
      <c r="JQG93" s="3"/>
      <c r="JQH93" s="3"/>
      <c r="JQI93" s="3"/>
      <c r="JQJ93" s="3"/>
      <c r="JQK93" s="3"/>
      <c r="JQL93" s="3"/>
      <c r="JQM93" s="3"/>
      <c r="JQN93" s="3"/>
      <c r="JQO93" s="3"/>
      <c r="JQP93" s="3"/>
      <c r="JQQ93" s="3"/>
      <c r="JQR93" s="3"/>
      <c r="JQS93" s="3"/>
      <c r="JQT93" s="3"/>
      <c r="JQU93" s="3"/>
      <c r="JQV93" s="3"/>
      <c r="JQW93" s="3"/>
      <c r="JQX93" s="3"/>
      <c r="JQY93" s="3"/>
      <c r="JQZ93" s="3"/>
      <c r="JRA93" s="3"/>
      <c r="JRB93" s="3"/>
      <c r="JRC93" s="3"/>
      <c r="JRD93" s="3"/>
      <c r="JRE93" s="3"/>
      <c r="JRF93" s="3"/>
      <c r="JRG93" s="3"/>
      <c r="JRH93" s="3"/>
      <c r="JRI93" s="3"/>
      <c r="JRJ93" s="3"/>
      <c r="JRK93" s="3"/>
      <c r="JRL93" s="3"/>
      <c r="JRM93" s="3"/>
      <c r="JRN93" s="3"/>
      <c r="JRO93" s="3"/>
      <c r="JRP93" s="3"/>
      <c r="JRQ93" s="3"/>
      <c r="JRR93" s="3"/>
      <c r="JRS93" s="3"/>
      <c r="JRT93" s="3"/>
      <c r="JRU93" s="3"/>
      <c r="JRV93" s="3"/>
      <c r="JRW93" s="3"/>
      <c r="JRX93" s="3"/>
      <c r="JRY93" s="3"/>
      <c r="JRZ93" s="3"/>
      <c r="JSA93" s="3"/>
      <c r="JSB93" s="3"/>
      <c r="JSC93" s="3"/>
      <c r="JSD93" s="3"/>
      <c r="JSE93" s="3"/>
      <c r="JSF93" s="3"/>
      <c r="JSG93" s="3"/>
      <c r="JSH93" s="3"/>
      <c r="JSI93" s="3"/>
      <c r="JSJ93" s="3"/>
      <c r="JSK93" s="3"/>
      <c r="JSL93" s="3"/>
      <c r="JSM93" s="3"/>
      <c r="JSN93" s="3"/>
      <c r="JSO93" s="3"/>
      <c r="JSP93" s="3"/>
      <c r="JSQ93" s="3"/>
      <c r="JSR93" s="3"/>
      <c r="JSS93" s="3"/>
      <c r="JST93" s="3"/>
      <c r="JSU93" s="3"/>
      <c r="JSV93" s="3"/>
      <c r="JSW93" s="3"/>
      <c r="JSX93" s="3"/>
      <c r="JSY93" s="3"/>
      <c r="JSZ93" s="3"/>
      <c r="JTA93" s="3"/>
      <c r="JTB93" s="3"/>
      <c r="JTC93" s="3"/>
      <c r="JTD93" s="3"/>
      <c r="JTE93" s="3"/>
      <c r="JTF93" s="3"/>
      <c r="JTG93" s="3"/>
      <c r="JTH93" s="3"/>
      <c r="JTI93" s="3"/>
      <c r="JTJ93" s="3"/>
      <c r="JTK93" s="3"/>
      <c r="JTL93" s="3"/>
      <c r="JTM93" s="3"/>
      <c r="JTN93" s="3"/>
      <c r="JTO93" s="3"/>
      <c r="JTP93" s="3"/>
      <c r="JTQ93" s="3"/>
      <c r="JTR93" s="3"/>
      <c r="JTS93" s="3"/>
      <c r="JTT93" s="3"/>
      <c r="JTU93" s="3"/>
      <c r="JTV93" s="3"/>
      <c r="JTW93" s="3"/>
      <c r="JTX93" s="3"/>
      <c r="JTY93" s="3"/>
      <c r="JTZ93" s="3"/>
      <c r="JUA93" s="3"/>
      <c r="JUB93" s="3"/>
      <c r="JUC93" s="3"/>
      <c r="JUD93" s="3"/>
      <c r="JUE93" s="3"/>
      <c r="JUF93" s="3"/>
      <c r="JUG93" s="3"/>
      <c r="JUH93" s="3"/>
      <c r="JUI93" s="3"/>
      <c r="JUJ93" s="3"/>
      <c r="JUK93" s="3"/>
      <c r="JUL93" s="3"/>
      <c r="JUM93" s="3"/>
      <c r="JUN93" s="3"/>
      <c r="JUO93" s="3"/>
      <c r="JUP93" s="3"/>
      <c r="JUQ93" s="3"/>
      <c r="JUR93" s="3"/>
      <c r="JUS93" s="3"/>
      <c r="JUT93" s="3"/>
      <c r="JUU93" s="3"/>
      <c r="JUV93" s="3"/>
      <c r="JUW93" s="3"/>
      <c r="JUX93" s="3"/>
      <c r="JUY93" s="3"/>
      <c r="JUZ93" s="3"/>
      <c r="JVA93" s="3"/>
      <c r="JVB93" s="3"/>
      <c r="JVC93" s="3"/>
      <c r="JVD93" s="3"/>
      <c r="JVE93" s="3"/>
      <c r="JVF93" s="3"/>
      <c r="JVG93" s="3"/>
      <c r="JVH93" s="3"/>
      <c r="JVI93" s="3"/>
      <c r="JVJ93" s="3"/>
      <c r="JVK93" s="3"/>
      <c r="JVL93" s="3"/>
      <c r="JVM93" s="3"/>
      <c r="JVN93" s="3"/>
      <c r="JVO93" s="3"/>
      <c r="JVP93" s="3"/>
      <c r="JVQ93" s="3"/>
      <c r="JVR93" s="3"/>
      <c r="JVS93" s="3"/>
      <c r="JVT93" s="3"/>
      <c r="JVU93" s="3"/>
      <c r="JVV93" s="3"/>
      <c r="JVW93" s="3"/>
      <c r="JVX93" s="3"/>
      <c r="JVY93" s="3"/>
      <c r="JVZ93" s="3"/>
      <c r="JWA93" s="3"/>
      <c r="JWB93" s="3"/>
      <c r="JWC93" s="3"/>
      <c r="JWD93" s="3"/>
      <c r="JWE93" s="3"/>
      <c r="JWF93" s="3"/>
      <c r="JWG93" s="3"/>
      <c r="JWH93" s="3"/>
      <c r="JWI93" s="3"/>
      <c r="JWJ93" s="3"/>
      <c r="JWK93" s="3"/>
      <c r="JWL93" s="3"/>
      <c r="JWM93" s="3"/>
      <c r="JWN93" s="3"/>
      <c r="JWO93" s="3"/>
      <c r="JWP93" s="3"/>
      <c r="JWQ93" s="3"/>
      <c r="JWR93" s="3"/>
      <c r="JWS93" s="3"/>
      <c r="JWT93" s="3"/>
      <c r="JWU93" s="3"/>
      <c r="JWV93" s="3"/>
      <c r="JWW93" s="3"/>
      <c r="JWX93" s="3"/>
      <c r="JWY93" s="3"/>
      <c r="JWZ93" s="3"/>
      <c r="JXA93" s="3"/>
      <c r="JXB93" s="3"/>
      <c r="JXC93" s="3"/>
      <c r="JXD93" s="3"/>
      <c r="JXE93" s="3"/>
      <c r="JXF93" s="3"/>
      <c r="JXG93" s="3"/>
      <c r="JXH93" s="3"/>
      <c r="JXI93" s="3"/>
      <c r="JXJ93" s="3"/>
      <c r="JXK93" s="3"/>
      <c r="JXL93" s="3"/>
      <c r="JXM93" s="3"/>
      <c r="JXN93" s="3"/>
      <c r="JXO93" s="3"/>
      <c r="JXP93" s="3"/>
      <c r="JXQ93" s="3"/>
      <c r="JXR93" s="3"/>
      <c r="JXS93" s="3"/>
      <c r="JXT93" s="3"/>
      <c r="JXU93" s="3"/>
      <c r="JXV93" s="3"/>
      <c r="JXW93" s="3"/>
      <c r="JXX93" s="3"/>
      <c r="JXY93" s="3"/>
      <c r="JXZ93" s="3"/>
      <c r="JYA93" s="3"/>
      <c r="JYB93" s="3"/>
      <c r="JYC93" s="3"/>
      <c r="JYD93" s="3"/>
      <c r="JYE93" s="3"/>
      <c r="JYF93" s="3"/>
      <c r="JYG93" s="3"/>
      <c r="JYH93" s="3"/>
      <c r="JYI93" s="3"/>
      <c r="JYJ93" s="3"/>
      <c r="JYK93" s="3"/>
      <c r="JYL93" s="3"/>
      <c r="JYM93" s="3"/>
      <c r="JYN93" s="3"/>
      <c r="JYO93" s="3"/>
      <c r="JYP93" s="3"/>
      <c r="JYQ93" s="3"/>
      <c r="JYR93" s="3"/>
      <c r="JYS93" s="3"/>
      <c r="JYT93" s="3"/>
      <c r="JYU93" s="3"/>
      <c r="JYV93" s="3"/>
      <c r="JYW93" s="3"/>
      <c r="JYX93" s="3"/>
      <c r="JYY93" s="3"/>
      <c r="JYZ93" s="3"/>
      <c r="JZA93" s="3"/>
      <c r="JZB93" s="3"/>
      <c r="JZC93" s="3"/>
      <c r="JZD93" s="3"/>
      <c r="JZE93" s="3"/>
      <c r="JZF93" s="3"/>
      <c r="JZG93" s="3"/>
      <c r="JZH93" s="3"/>
      <c r="JZI93" s="3"/>
      <c r="JZJ93" s="3"/>
      <c r="JZK93" s="3"/>
      <c r="JZL93" s="3"/>
      <c r="JZM93" s="3"/>
      <c r="JZN93" s="3"/>
      <c r="JZO93" s="3"/>
      <c r="JZP93" s="3"/>
      <c r="JZQ93" s="3"/>
      <c r="JZR93" s="3"/>
      <c r="JZS93" s="3"/>
      <c r="JZT93" s="3"/>
      <c r="JZU93" s="3"/>
      <c r="JZV93" s="3"/>
      <c r="JZW93" s="3"/>
      <c r="JZX93" s="3"/>
      <c r="JZY93" s="3"/>
      <c r="JZZ93" s="3"/>
      <c r="KAA93" s="3"/>
      <c r="KAB93" s="3"/>
      <c r="KAC93" s="3"/>
      <c r="KAD93" s="3"/>
      <c r="KAE93" s="3"/>
      <c r="KAF93" s="3"/>
      <c r="KAG93" s="3"/>
      <c r="KAH93" s="3"/>
      <c r="KAI93" s="3"/>
      <c r="KAJ93" s="3"/>
      <c r="KAK93" s="3"/>
      <c r="KAL93" s="3"/>
      <c r="KAM93" s="3"/>
      <c r="KAN93" s="3"/>
      <c r="KAO93" s="3"/>
      <c r="KAP93" s="3"/>
      <c r="KAQ93" s="3"/>
      <c r="KAR93" s="3"/>
      <c r="KAS93" s="3"/>
      <c r="KAT93" s="3"/>
      <c r="KAU93" s="3"/>
      <c r="KAV93" s="3"/>
      <c r="KAW93" s="3"/>
      <c r="KAX93" s="3"/>
      <c r="KAY93" s="3"/>
      <c r="KAZ93" s="3"/>
      <c r="KBA93" s="3"/>
      <c r="KBB93" s="3"/>
      <c r="KBC93" s="3"/>
      <c r="KBD93" s="3"/>
      <c r="KBE93" s="3"/>
      <c r="KBF93" s="3"/>
      <c r="KBG93" s="3"/>
      <c r="KBH93" s="3"/>
      <c r="KBI93" s="3"/>
      <c r="KBJ93" s="3"/>
      <c r="KBK93" s="3"/>
      <c r="KBL93" s="3"/>
      <c r="KBM93" s="3"/>
      <c r="KBN93" s="3"/>
      <c r="KBO93" s="3"/>
      <c r="KBP93" s="3"/>
      <c r="KBQ93" s="3"/>
      <c r="KBR93" s="3"/>
      <c r="KBS93" s="3"/>
      <c r="KBT93" s="3"/>
      <c r="KBU93" s="3"/>
      <c r="KBV93" s="3"/>
      <c r="KBW93" s="3"/>
      <c r="KBX93" s="3"/>
      <c r="KBY93" s="3"/>
      <c r="KBZ93" s="3"/>
      <c r="KCA93" s="3"/>
      <c r="KCB93" s="3"/>
      <c r="KCC93" s="3"/>
      <c r="KCD93" s="3"/>
      <c r="KCE93" s="3"/>
      <c r="KCF93" s="3"/>
      <c r="KCG93" s="3"/>
      <c r="KCH93" s="3"/>
      <c r="KCI93" s="3"/>
      <c r="KCJ93" s="3"/>
      <c r="KCK93" s="3"/>
      <c r="KCL93" s="3"/>
      <c r="KCM93" s="3"/>
      <c r="KCN93" s="3"/>
      <c r="KCO93" s="3"/>
      <c r="KCP93" s="3"/>
      <c r="KCQ93" s="3"/>
      <c r="KCR93" s="3"/>
      <c r="KCS93" s="3"/>
      <c r="KCT93" s="3"/>
      <c r="KCU93" s="3"/>
      <c r="KCV93" s="3"/>
      <c r="KCW93" s="3"/>
      <c r="KCX93" s="3"/>
      <c r="KCY93" s="3"/>
      <c r="KCZ93" s="3"/>
      <c r="KDA93" s="3"/>
      <c r="KDB93" s="3"/>
      <c r="KDC93" s="3"/>
      <c r="KDD93" s="3"/>
      <c r="KDE93" s="3"/>
      <c r="KDF93" s="3"/>
      <c r="KDG93" s="3"/>
      <c r="KDH93" s="3"/>
      <c r="KDI93" s="3"/>
      <c r="KDJ93" s="3"/>
      <c r="KDK93" s="3"/>
      <c r="KDL93" s="3"/>
      <c r="KDM93" s="3"/>
      <c r="KDN93" s="3"/>
      <c r="KDO93" s="3"/>
      <c r="KDP93" s="3"/>
      <c r="KDQ93" s="3"/>
      <c r="KDR93" s="3"/>
      <c r="KDS93" s="3"/>
      <c r="KDT93" s="3"/>
      <c r="KDU93" s="3"/>
      <c r="KDV93" s="3"/>
      <c r="KDW93" s="3"/>
      <c r="KDX93" s="3"/>
      <c r="KDY93" s="3"/>
      <c r="KDZ93" s="3"/>
      <c r="KEA93" s="3"/>
      <c r="KEB93" s="3"/>
      <c r="KEC93" s="3"/>
      <c r="KED93" s="3"/>
      <c r="KEE93" s="3"/>
      <c r="KEF93" s="3"/>
      <c r="KEG93" s="3"/>
      <c r="KEH93" s="3"/>
      <c r="KEI93" s="3"/>
      <c r="KEJ93" s="3"/>
      <c r="KEK93" s="3"/>
      <c r="KEL93" s="3"/>
      <c r="KEM93" s="3"/>
      <c r="KEN93" s="3"/>
      <c r="KEO93" s="3"/>
      <c r="KEP93" s="3"/>
      <c r="KEQ93" s="3"/>
      <c r="KER93" s="3"/>
      <c r="KES93" s="3"/>
      <c r="KET93" s="3"/>
      <c r="KEU93" s="3"/>
      <c r="KEV93" s="3"/>
      <c r="KEW93" s="3"/>
      <c r="KEX93" s="3"/>
      <c r="KEY93" s="3"/>
      <c r="KEZ93" s="3"/>
      <c r="KFA93" s="3"/>
      <c r="KFB93" s="3"/>
      <c r="KFC93" s="3"/>
      <c r="KFD93" s="3"/>
      <c r="KFE93" s="3"/>
      <c r="KFF93" s="3"/>
      <c r="KFG93" s="3"/>
      <c r="KFH93" s="3"/>
      <c r="KFI93" s="3"/>
      <c r="KFJ93" s="3"/>
      <c r="KFK93" s="3"/>
      <c r="KFL93" s="3"/>
      <c r="KFM93" s="3"/>
      <c r="KFN93" s="3"/>
      <c r="KFO93" s="3"/>
      <c r="KFP93" s="3"/>
      <c r="KFQ93" s="3"/>
      <c r="KFR93" s="3"/>
      <c r="KFS93" s="3"/>
      <c r="KFT93" s="3"/>
      <c r="KFU93" s="3"/>
      <c r="KFV93" s="3"/>
      <c r="KFW93" s="3"/>
      <c r="KFX93" s="3"/>
      <c r="KFY93" s="3"/>
      <c r="KFZ93" s="3"/>
      <c r="KGA93" s="3"/>
      <c r="KGB93" s="3"/>
      <c r="KGC93" s="3"/>
      <c r="KGD93" s="3"/>
      <c r="KGE93" s="3"/>
      <c r="KGF93" s="3"/>
      <c r="KGG93" s="3"/>
      <c r="KGH93" s="3"/>
      <c r="KGI93" s="3"/>
      <c r="KGJ93" s="3"/>
      <c r="KGK93" s="3"/>
      <c r="KGL93" s="3"/>
      <c r="KGM93" s="3"/>
      <c r="KGN93" s="3"/>
      <c r="KGO93" s="3"/>
      <c r="KGP93" s="3"/>
      <c r="KGQ93" s="3"/>
      <c r="KGR93" s="3"/>
      <c r="KGS93" s="3"/>
      <c r="KGT93" s="3"/>
      <c r="KGU93" s="3"/>
      <c r="KGV93" s="3"/>
      <c r="KGW93" s="3"/>
      <c r="KGX93" s="3"/>
      <c r="KGY93" s="3"/>
      <c r="KGZ93" s="3"/>
      <c r="KHA93" s="3"/>
      <c r="KHB93" s="3"/>
      <c r="KHC93" s="3"/>
      <c r="KHD93" s="3"/>
      <c r="KHE93" s="3"/>
      <c r="KHF93" s="3"/>
      <c r="KHG93" s="3"/>
      <c r="KHH93" s="3"/>
      <c r="KHI93" s="3"/>
      <c r="KHJ93" s="3"/>
      <c r="KHK93" s="3"/>
      <c r="KHL93" s="3"/>
      <c r="KHM93" s="3"/>
      <c r="KHN93" s="3"/>
      <c r="KHO93" s="3"/>
      <c r="KHP93" s="3"/>
      <c r="KHQ93" s="3"/>
      <c r="KHR93" s="3"/>
      <c r="KHS93" s="3"/>
      <c r="KHT93" s="3"/>
      <c r="KHU93" s="3"/>
      <c r="KHV93" s="3"/>
      <c r="KHW93" s="3"/>
      <c r="KHX93" s="3"/>
      <c r="KHY93" s="3"/>
      <c r="KHZ93" s="3"/>
      <c r="KIA93" s="3"/>
      <c r="KIB93" s="3"/>
      <c r="KIC93" s="3"/>
      <c r="KID93" s="3"/>
      <c r="KIE93" s="3"/>
      <c r="KIF93" s="3"/>
      <c r="KIG93" s="3"/>
      <c r="KIH93" s="3"/>
      <c r="KII93" s="3"/>
      <c r="KIJ93" s="3"/>
      <c r="KIK93" s="3"/>
      <c r="KIL93" s="3"/>
      <c r="KIM93" s="3"/>
      <c r="KIN93" s="3"/>
      <c r="KIO93" s="3"/>
      <c r="KIP93" s="3"/>
      <c r="KIQ93" s="3"/>
      <c r="KIR93" s="3"/>
      <c r="KIS93" s="3"/>
      <c r="KIT93" s="3"/>
      <c r="KIU93" s="3"/>
      <c r="KIV93" s="3"/>
      <c r="KIW93" s="3"/>
      <c r="KIX93" s="3"/>
      <c r="KIY93" s="3"/>
      <c r="KIZ93" s="3"/>
      <c r="KJA93" s="3"/>
      <c r="KJB93" s="3"/>
      <c r="KJC93" s="3"/>
      <c r="KJD93" s="3"/>
      <c r="KJE93" s="3"/>
      <c r="KJF93" s="3"/>
      <c r="KJG93" s="3"/>
      <c r="KJH93" s="3"/>
      <c r="KJI93" s="3"/>
      <c r="KJJ93" s="3"/>
      <c r="KJK93" s="3"/>
      <c r="KJL93" s="3"/>
      <c r="KJM93" s="3"/>
      <c r="KJN93" s="3"/>
      <c r="KJO93" s="3"/>
      <c r="KJP93" s="3"/>
      <c r="KJQ93" s="3"/>
      <c r="KJR93" s="3"/>
      <c r="KJS93" s="3"/>
      <c r="KJT93" s="3"/>
      <c r="KJU93" s="3"/>
      <c r="KJV93" s="3"/>
      <c r="KJW93" s="3"/>
      <c r="KJX93" s="3"/>
      <c r="KJY93" s="3"/>
      <c r="KJZ93" s="3"/>
      <c r="KKA93" s="3"/>
      <c r="KKB93" s="3"/>
      <c r="KKC93" s="3"/>
      <c r="KKD93" s="3"/>
      <c r="KKE93" s="3"/>
      <c r="KKF93" s="3"/>
      <c r="KKG93" s="3"/>
      <c r="KKH93" s="3"/>
      <c r="KKI93" s="3"/>
      <c r="KKJ93" s="3"/>
      <c r="KKK93" s="3"/>
      <c r="KKL93" s="3"/>
      <c r="KKM93" s="3"/>
      <c r="KKN93" s="3"/>
      <c r="KKO93" s="3"/>
      <c r="KKP93" s="3"/>
      <c r="KKQ93" s="3"/>
      <c r="KKR93" s="3"/>
      <c r="KKS93" s="3"/>
      <c r="KKT93" s="3"/>
      <c r="KKU93" s="3"/>
      <c r="KKV93" s="3"/>
      <c r="KKW93" s="3"/>
      <c r="KKX93" s="3"/>
      <c r="KKY93" s="3"/>
      <c r="KKZ93" s="3"/>
      <c r="KLA93" s="3"/>
      <c r="KLB93" s="3"/>
      <c r="KLC93" s="3"/>
      <c r="KLD93" s="3"/>
      <c r="KLE93" s="3"/>
      <c r="KLF93" s="3"/>
      <c r="KLG93" s="3"/>
      <c r="KLH93" s="3"/>
      <c r="KLI93" s="3"/>
      <c r="KLJ93" s="3"/>
      <c r="KLK93" s="3"/>
      <c r="KLL93" s="3"/>
      <c r="KLM93" s="3"/>
      <c r="KLN93" s="3"/>
      <c r="KLO93" s="3"/>
      <c r="KLP93" s="3"/>
      <c r="KLQ93" s="3"/>
      <c r="KLR93" s="3"/>
      <c r="KLS93" s="3"/>
      <c r="KLT93" s="3"/>
      <c r="KLU93" s="3"/>
      <c r="KLV93" s="3"/>
      <c r="KLW93" s="3"/>
      <c r="KLX93" s="3"/>
      <c r="KLY93" s="3"/>
      <c r="KLZ93" s="3"/>
      <c r="KMA93" s="3"/>
      <c r="KMB93" s="3"/>
      <c r="KMC93" s="3"/>
      <c r="KMD93" s="3"/>
      <c r="KME93" s="3"/>
      <c r="KMF93" s="3"/>
      <c r="KMG93" s="3"/>
      <c r="KMH93" s="3"/>
      <c r="KMI93" s="3"/>
      <c r="KMJ93" s="3"/>
      <c r="KMK93" s="3"/>
      <c r="KML93" s="3"/>
      <c r="KMM93" s="3"/>
      <c r="KMN93" s="3"/>
      <c r="KMO93" s="3"/>
      <c r="KMP93" s="3"/>
      <c r="KMQ93" s="3"/>
      <c r="KMR93" s="3"/>
      <c r="KMS93" s="3"/>
      <c r="KMT93" s="3"/>
      <c r="KMU93" s="3"/>
      <c r="KMV93" s="3"/>
      <c r="KMW93" s="3"/>
      <c r="KMX93" s="3"/>
      <c r="KMY93" s="3"/>
      <c r="KMZ93" s="3"/>
      <c r="KNA93" s="3"/>
      <c r="KNB93" s="3"/>
      <c r="KNC93" s="3"/>
      <c r="KND93" s="3"/>
      <c r="KNE93" s="3"/>
      <c r="KNF93" s="3"/>
      <c r="KNG93" s="3"/>
      <c r="KNH93" s="3"/>
      <c r="KNI93" s="3"/>
      <c r="KNJ93" s="3"/>
      <c r="KNK93" s="3"/>
      <c r="KNL93" s="3"/>
      <c r="KNM93" s="3"/>
      <c r="KNN93" s="3"/>
      <c r="KNO93" s="3"/>
      <c r="KNP93" s="3"/>
      <c r="KNQ93" s="3"/>
      <c r="KNR93" s="3"/>
      <c r="KNS93" s="3"/>
      <c r="KNT93" s="3"/>
      <c r="KNU93" s="3"/>
      <c r="KNV93" s="3"/>
      <c r="KNW93" s="3"/>
      <c r="KNX93" s="3"/>
      <c r="KNY93" s="3"/>
      <c r="KNZ93" s="3"/>
      <c r="KOA93" s="3"/>
      <c r="KOB93" s="3"/>
      <c r="KOC93" s="3"/>
      <c r="KOD93" s="3"/>
      <c r="KOE93" s="3"/>
      <c r="KOF93" s="3"/>
      <c r="KOG93" s="3"/>
      <c r="KOH93" s="3"/>
      <c r="KOI93" s="3"/>
      <c r="KOJ93" s="3"/>
      <c r="KOK93" s="3"/>
      <c r="KOL93" s="3"/>
      <c r="KOM93" s="3"/>
      <c r="KON93" s="3"/>
      <c r="KOO93" s="3"/>
      <c r="KOP93" s="3"/>
      <c r="KOQ93" s="3"/>
      <c r="KOR93" s="3"/>
      <c r="KOS93" s="3"/>
      <c r="KOT93" s="3"/>
      <c r="KOU93" s="3"/>
      <c r="KOV93" s="3"/>
      <c r="KOW93" s="3"/>
      <c r="KOX93" s="3"/>
      <c r="KOY93" s="3"/>
      <c r="KOZ93" s="3"/>
      <c r="KPA93" s="3"/>
      <c r="KPB93" s="3"/>
      <c r="KPC93" s="3"/>
      <c r="KPD93" s="3"/>
      <c r="KPE93" s="3"/>
      <c r="KPF93" s="3"/>
      <c r="KPG93" s="3"/>
      <c r="KPH93" s="3"/>
      <c r="KPI93" s="3"/>
      <c r="KPJ93" s="3"/>
      <c r="KPK93" s="3"/>
      <c r="KPL93" s="3"/>
      <c r="KPM93" s="3"/>
      <c r="KPN93" s="3"/>
      <c r="KPO93" s="3"/>
      <c r="KPP93" s="3"/>
      <c r="KPQ93" s="3"/>
      <c r="KPR93" s="3"/>
      <c r="KPS93" s="3"/>
      <c r="KPT93" s="3"/>
      <c r="KPU93" s="3"/>
      <c r="KPV93" s="3"/>
      <c r="KPW93" s="3"/>
      <c r="KPX93" s="3"/>
      <c r="KPY93" s="3"/>
      <c r="KPZ93" s="3"/>
      <c r="KQA93" s="3"/>
      <c r="KQB93" s="3"/>
      <c r="KQC93" s="3"/>
      <c r="KQD93" s="3"/>
      <c r="KQE93" s="3"/>
      <c r="KQF93" s="3"/>
      <c r="KQG93" s="3"/>
      <c r="KQH93" s="3"/>
      <c r="KQI93" s="3"/>
      <c r="KQJ93" s="3"/>
      <c r="KQK93" s="3"/>
      <c r="KQL93" s="3"/>
      <c r="KQM93" s="3"/>
      <c r="KQN93" s="3"/>
      <c r="KQO93" s="3"/>
      <c r="KQP93" s="3"/>
      <c r="KQQ93" s="3"/>
      <c r="KQR93" s="3"/>
      <c r="KQS93" s="3"/>
      <c r="KQT93" s="3"/>
      <c r="KQU93" s="3"/>
      <c r="KQV93" s="3"/>
      <c r="KQW93" s="3"/>
      <c r="KQX93" s="3"/>
      <c r="KQY93" s="3"/>
      <c r="KQZ93" s="3"/>
      <c r="KRA93" s="3"/>
      <c r="KRB93" s="3"/>
      <c r="KRC93" s="3"/>
      <c r="KRD93" s="3"/>
      <c r="KRE93" s="3"/>
      <c r="KRF93" s="3"/>
      <c r="KRG93" s="3"/>
      <c r="KRH93" s="3"/>
      <c r="KRI93" s="3"/>
      <c r="KRJ93" s="3"/>
      <c r="KRK93" s="3"/>
      <c r="KRL93" s="3"/>
      <c r="KRM93" s="3"/>
      <c r="KRN93" s="3"/>
      <c r="KRO93" s="3"/>
      <c r="KRP93" s="3"/>
      <c r="KRQ93" s="3"/>
      <c r="KRR93" s="3"/>
      <c r="KRS93" s="3"/>
      <c r="KRT93" s="3"/>
      <c r="KRU93" s="3"/>
      <c r="KRV93" s="3"/>
      <c r="KRW93" s="3"/>
      <c r="KRX93" s="3"/>
      <c r="KRY93" s="3"/>
      <c r="KRZ93" s="3"/>
      <c r="KSA93" s="3"/>
      <c r="KSB93" s="3"/>
      <c r="KSC93" s="3"/>
      <c r="KSD93" s="3"/>
      <c r="KSE93" s="3"/>
      <c r="KSF93" s="3"/>
      <c r="KSG93" s="3"/>
      <c r="KSH93" s="3"/>
      <c r="KSI93" s="3"/>
      <c r="KSJ93" s="3"/>
      <c r="KSK93" s="3"/>
      <c r="KSL93" s="3"/>
      <c r="KSM93" s="3"/>
      <c r="KSN93" s="3"/>
      <c r="KSO93" s="3"/>
      <c r="KSP93" s="3"/>
      <c r="KSQ93" s="3"/>
      <c r="KSR93" s="3"/>
      <c r="KSS93" s="3"/>
      <c r="KST93" s="3"/>
      <c r="KSU93" s="3"/>
      <c r="KSV93" s="3"/>
      <c r="KSW93" s="3"/>
      <c r="KSX93" s="3"/>
      <c r="KSY93" s="3"/>
      <c r="KSZ93" s="3"/>
      <c r="KTA93" s="3"/>
      <c r="KTB93" s="3"/>
      <c r="KTC93" s="3"/>
      <c r="KTD93" s="3"/>
      <c r="KTE93" s="3"/>
      <c r="KTF93" s="3"/>
      <c r="KTG93" s="3"/>
      <c r="KTH93" s="3"/>
      <c r="KTI93" s="3"/>
      <c r="KTJ93" s="3"/>
      <c r="KTK93" s="3"/>
      <c r="KTL93" s="3"/>
      <c r="KTM93" s="3"/>
      <c r="KTN93" s="3"/>
      <c r="KTO93" s="3"/>
      <c r="KTP93" s="3"/>
      <c r="KTQ93" s="3"/>
      <c r="KTR93" s="3"/>
      <c r="KTS93" s="3"/>
      <c r="KTT93" s="3"/>
      <c r="KTU93" s="3"/>
      <c r="KTV93" s="3"/>
      <c r="KTW93" s="3"/>
      <c r="KTX93" s="3"/>
      <c r="KTY93" s="3"/>
      <c r="KTZ93" s="3"/>
      <c r="KUA93" s="3"/>
      <c r="KUB93" s="3"/>
      <c r="KUC93" s="3"/>
      <c r="KUD93" s="3"/>
      <c r="KUE93" s="3"/>
      <c r="KUF93" s="3"/>
      <c r="KUG93" s="3"/>
      <c r="KUH93" s="3"/>
      <c r="KUI93" s="3"/>
      <c r="KUJ93" s="3"/>
      <c r="KUK93" s="3"/>
      <c r="KUL93" s="3"/>
      <c r="KUM93" s="3"/>
      <c r="KUN93" s="3"/>
      <c r="KUO93" s="3"/>
      <c r="KUP93" s="3"/>
      <c r="KUQ93" s="3"/>
      <c r="KUR93" s="3"/>
      <c r="KUS93" s="3"/>
      <c r="KUT93" s="3"/>
      <c r="KUU93" s="3"/>
      <c r="KUV93" s="3"/>
      <c r="KUW93" s="3"/>
      <c r="KUX93" s="3"/>
      <c r="KUY93" s="3"/>
      <c r="KUZ93" s="3"/>
      <c r="KVA93" s="3"/>
      <c r="KVB93" s="3"/>
      <c r="KVC93" s="3"/>
      <c r="KVD93" s="3"/>
      <c r="KVE93" s="3"/>
      <c r="KVF93" s="3"/>
      <c r="KVG93" s="3"/>
      <c r="KVH93" s="3"/>
      <c r="KVI93" s="3"/>
      <c r="KVJ93" s="3"/>
      <c r="KVK93" s="3"/>
      <c r="KVL93" s="3"/>
      <c r="KVM93" s="3"/>
      <c r="KVN93" s="3"/>
      <c r="KVO93" s="3"/>
      <c r="KVP93" s="3"/>
      <c r="KVQ93" s="3"/>
      <c r="KVR93" s="3"/>
      <c r="KVS93" s="3"/>
      <c r="KVT93" s="3"/>
      <c r="KVU93" s="3"/>
      <c r="KVV93" s="3"/>
      <c r="KVW93" s="3"/>
      <c r="KVX93" s="3"/>
      <c r="KVY93" s="3"/>
      <c r="KVZ93" s="3"/>
      <c r="KWA93" s="3"/>
      <c r="KWB93" s="3"/>
      <c r="KWC93" s="3"/>
      <c r="KWD93" s="3"/>
      <c r="KWE93" s="3"/>
      <c r="KWF93" s="3"/>
      <c r="KWG93" s="3"/>
      <c r="KWH93" s="3"/>
      <c r="KWI93" s="3"/>
      <c r="KWJ93" s="3"/>
      <c r="KWK93" s="3"/>
      <c r="KWL93" s="3"/>
      <c r="KWM93" s="3"/>
      <c r="KWN93" s="3"/>
      <c r="KWO93" s="3"/>
      <c r="KWP93" s="3"/>
      <c r="KWQ93" s="3"/>
      <c r="KWR93" s="3"/>
      <c r="KWS93" s="3"/>
      <c r="KWT93" s="3"/>
      <c r="KWU93" s="3"/>
      <c r="KWV93" s="3"/>
      <c r="KWW93" s="3"/>
      <c r="KWX93" s="3"/>
      <c r="KWY93" s="3"/>
      <c r="KWZ93" s="3"/>
      <c r="KXA93" s="3"/>
      <c r="KXB93" s="3"/>
      <c r="KXC93" s="3"/>
      <c r="KXD93" s="3"/>
      <c r="KXE93" s="3"/>
      <c r="KXF93" s="3"/>
      <c r="KXG93" s="3"/>
      <c r="KXH93" s="3"/>
      <c r="KXI93" s="3"/>
      <c r="KXJ93" s="3"/>
      <c r="KXK93" s="3"/>
      <c r="KXL93" s="3"/>
      <c r="KXM93" s="3"/>
      <c r="KXN93" s="3"/>
      <c r="KXO93" s="3"/>
      <c r="KXP93" s="3"/>
      <c r="KXQ93" s="3"/>
      <c r="KXR93" s="3"/>
      <c r="KXS93" s="3"/>
      <c r="KXT93" s="3"/>
      <c r="KXU93" s="3"/>
      <c r="KXV93" s="3"/>
      <c r="KXW93" s="3"/>
      <c r="KXX93" s="3"/>
      <c r="KXY93" s="3"/>
      <c r="KXZ93" s="3"/>
      <c r="KYA93" s="3"/>
      <c r="KYB93" s="3"/>
      <c r="KYC93" s="3"/>
      <c r="KYD93" s="3"/>
      <c r="KYE93" s="3"/>
      <c r="KYF93" s="3"/>
      <c r="KYG93" s="3"/>
      <c r="KYH93" s="3"/>
      <c r="KYI93" s="3"/>
      <c r="KYJ93" s="3"/>
      <c r="KYK93" s="3"/>
      <c r="KYL93" s="3"/>
      <c r="KYM93" s="3"/>
      <c r="KYN93" s="3"/>
      <c r="KYO93" s="3"/>
      <c r="KYP93" s="3"/>
      <c r="KYQ93" s="3"/>
      <c r="KYR93" s="3"/>
      <c r="KYS93" s="3"/>
      <c r="KYT93" s="3"/>
      <c r="KYU93" s="3"/>
      <c r="KYV93" s="3"/>
      <c r="KYW93" s="3"/>
      <c r="KYX93" s="3"/>
      <c r="KYY93" s="3"/>
      <c r="KYZ93" s="3"/>
      <c r="KZA93" s="3"/>
      <c r="KZB93" s="3"/>
      <c r="KZC93" s="3"/>
      <c r="KZD93" s="3"/>
      <c r="KZE93" s="3"/>
      <c r="KZF93" s="3"/>
      <c r="KZG93" s="3"/>
      <c r="KZH93" s="3"/>
      <c r="KZI93" s="3"/>
      <c r="KZJ93" s="3"/>
      <c r="KZK93" s="3"/>
      <c r="KZL93" s="3"/>
      <c r="KZM93" s="3"/>
      <c r="KZN93" s="3"/>
      <c r="KZO93" s="3"/>
      <c r="KZP93" s="3"/>
      <c r="KZQ93" s="3"/>
      <c r="KZR93" s="3"/>
      <c r="KZS93" s="3"/>
      <c r="KZT93" s="3"/>
      <c r="KZU93" s="3"/>
      <c r="KZV93" s="3"/>
      <c r="KZW93" s="3"/>
      <c r="KZX93" s="3"/>
      <c r="KZY93" s="3"/>
      <c r="KZZ93" s="3"/>
      <c r="LAA93" s="3"/>
      <c r="LAB93" s="3"/>
      <c r="LAC93" s="3"/>
      <c r="LAD93" s="3"/>
      <c r="LAE93" s="3"/>
      <c r="LAF93" s="3"/>
      <c r="LAG93" s="3"/>
      <c r="LAH93" s="3"/>
      <c r="LAI93" s="3"/>
      <c r="LAJ93" s="3"/>
      <c r="LAK93" s="3"/>
      <c r="LAL93" s="3"/>
      <c r="LAM93" s="3"/>
      <c r="LAN93" s="3"/>
      <c r="LAO93" s="3"/>
      <c r="LAP93" s="3"/>
      <c r="LAQ93" s="3"/>
      <c r="LAR93" s="3"/>
      <c r="LAS93" s="3"/>
      <c r="LAT93" s="3"/>
      <c r="LAU93" s="3"/>
      <c r="LAV93" s="3"/>
      <c r="LAW93" s="3"/>
      <c r="LAX93" s="3"/>
      <c r="LAY93" s="3"/>
      <c r="LAZ93" s="3"/>
      <c r="LBA93" s="3"/>
      <c r="LBB93" s="3"/>
      <c r="LBC93" s="3"/>
      <c r="LBD93" s="3"/>
      <c r="LBE93" s="3"/>
      <c r="LBF93" s="3"/>
      <c r="LBG93" s="3"/>
      <c r="LBH93" s="3"/>
      <c r="LBI93" s="3"/>
      <c r="LBJ93" s="3"/>
      <c r="LBK93" s="3"/>
      <c r="LBL93" s="3"/>
      <c r="LBM93" s="3"/>
      <c r="LBN93" s="3"/>
      <c r="LBO93" s="3"/>
      <c r="LBP93" s="3"/>
      <c r="LBQ93" s="3"/>
      <c r="LBR93" s="3"/>
      <c r="LBS93" s="3"/>
      <c r="LBT93" s="3"/>
      <c r="LBU93" s="3"/>
      <c r="LBV93" s="3"/>
      <c r="LBW93" s="3"/>
      <c r="LBX93" s="3"/>
      <c r="LBY93" s="3"/>
      <c r="LBZ93" s="3"/>
      <c r="LCA93" s="3"/>
      <c r="LCB93" s="3"/>
      <c r="LCC93" s="3"/>
      <c r="LCD93" s="3"/>
      <c r="LCE93" s="3"/>
      <c r="LCF93" s="3"/>
      <c r="LCG93" s="3"/>
      <c r="LCH93" s="3"/>
      <c r="LCI93" s="3"/>
      <c r="LCJ93" s="3"/>
      <c r="LCK93" s="3"/>
      <c r="LCL93" s="3"/>
      <c r="LCM93" s="3"/>
      <c r="LCN93" s="3"/>
      <c r="LCO93" s="3"/>
      <c r="LCP93" s="3"/>
      <c r="LCQ93" s="3"/>
      <c r="LCR93" s="3"/>
      <c r="LCS93" s="3"/>
      <c r="LCT93" s="3"/>
      <c r="LCU93" s="3"/>
      <c r="LCV93" s="3"/>
      <c r="LCW93" s="3"/>
      <c r="LCX93" s="3"/>
      <c r="LCY93" s="3"/>
      <c r="LCZ93" s="3"/>
      <c r="LDA93" s="3"/>
      <c r="LDB93" s="3"/>
      <c r="LDC93" s="3"/>
      <c r="LDD93" s="3"/>
      <c r="LDE93" s="3"/>
      <c r="LDF93" s="3"/>
      <c r="LDG93" s="3"/>
      <c r="LDH93" s="3"/>
      <c r="LDI93" s="3"/>
      <c r="LDJ93" s="3"/>
      <c r="LDK93" s="3"/>
      <c r="LDL93" s="3"/>
      <c r="LDM93" s="3"/>
      <c r="LDN93" s="3"/>
      <c r="LDO93" s="3"/>
      <c r="LDP93" s="3"/>
      <c r="LDQ93" s="3"/>
      <c r="LDR93" s="3"/>
      <c r="LDS93" s="3"/>
      <c r="LDT93" s="3"/>
      <c r="LDU93" s="3"/>
      <c r="LDV93" s="3"/>
      <c r="LDW93" s="3"/>
      <c r="LDX93" s="3"/>
      <c r="LDY93" s="3"/>
      <c r="LDZ93" s="3"/>
      <c r="LEA93" s="3"/>
      <c r="LEB93" s="3"/>
      <c r="LEC93" s="3"/>
      <c r="LED93" s="3"/>
      <c r="LEE93" s="3"/>
      <c r="LEF93" s="3"/>
      <c r="LEG93" s="3"/>
      <c r="LEH93" s="3"/>
      <c r="LEI93" s="3"/>
      <c r="LEJ93" s="3"/>
      <c r="LEK93" s="3"/>
      <c r="LEL93" s="3"/>
      <c r="LEM93" s="3"/>
      <c r="LEN93" s="3"/>
      <c r="LEO93" s="3"/>
      <c r="LEP93" s="3"/>
      <c r="LEQ93" s="3"/>
      <c r="LER93" s="3"/>
      <c r="LES93" s="3"/>
      <c r="LET93" s="3"/>
      <c r="LEU93" s="3"/>
      <c r="LEV93" s="3"/>
      <c r="LEW93" s="3"/>
      <c r="LEX93" s="3"/>
      <c r="LEY93" s="3"/>
      <c r="LEZ93" s="3"/>
      <c r="LFA93" s="3"/>
      <c r="LFB93" s="3"/>
      <c r="LFC93" s="3"/>
      <c r="LFD93" s="3"/>
      <c r="LFE93" s="3"/>
      <c r="LFF93" s="3"/>
      <c r="LFG93" s="3"/>
      <c r="LFH93" s="3"/>
      <c r="LFI93" s="3"/>
      <c r="LFJ93" s="3"/>
      <c r="LFK93" s="3"/>
      <c r="LFL93" s="3"/>
      <c r="LFM93" s="3"/>
      <c r="LFN93" s="3"/>
      <c r="LFO93" s="3"/>
      <c r="LFP93" s="3"/>
      <c r="LFQ93" s="3"/>
      <c r="LFR93" s="3"/>
      <c r="LFS93" s="3"/>
      <c r="LFT93" s="3"/>
      <c r="LFU93" s="3"/>
      <c r="LFV93" s="3"/>
      <c r="LFW93" s="3"/>
      <c r="LFX93" s="3"/>
      <c r="LFY93" s="3"/>
      <c r="LFZ93" s="3"/>
      <c r="LGA93" s="3"/>
      <c r="LGB93" s="3"/>
      <c r="LGC93" s="3"/>
      <c r="LGD93" s="3"/>
      <c r="LGE93" s="3"/>
      <c r="LGF93" s="3"/>
      <c r="LGG93" s="3"/>
      <c r="LGH93" s="3"/>
      <c r="LGI93" s="3"/>
      <c r="LGJ93" s="3"/>
      <c r="LGK93" s="3"/>
      <c r="LGL93" s="3"/>
      <c r="LGM93" s="3"/>
      <c r="LGN93" s="3"/>
      <c r="LGO93" s="3"/>
      <c r="LGP93" s="3"/>
      <c r="LGQ93" s="3"/>
      <c r="LGR93" s="3"/>
      <c r="LGS93" s="3"/>
      <c r="LGT93" s="3"/>
      <c r="LGU93" s="3"/>
      <c r="LGV93" s="3"/>
      <c r="LGW93" s="3"/>
      <c r="LGX93" s="3"/>
      <c r="LGY93" s="3"/>
      <c r="LGZ93" s="3"/>
      <c r="LHA93" s="3"/>
      <c r="LHB93" s="3"/>
      <c r="LHC93" s="3"/>
      <c r="LHD93" s="3"/>
      <c r="LHE93" s="3"/>
      <c r="LHF93" s="3"/>
      <c r="LHG93" s="3"/>
      <c r="LHH93" s="3"/>
      <c r="LHI93" s="3"/>
      <c r="LHJ93" s="3"/>
      <c r="LHK93" s="3"/>
      <c r="LHL93" s="3"/>
      <c r="LHM93" s="3"/>
      <c r="LHN93" s="3"/>
      <c r="LHO93" s="3"/>
      <c r="LHP93" s="3"/>
      <c r="LHQ93" s="3"/>
      <c r="LHR93" s="3"/>
      <c r="LHS93" s="3"/>
      <c r="LHT93" s="3"/>
      <c r="LHU93" s="3"/>
      <c r="LHV93" s="3"/>
      <c r="LHW93" s="3"/>
      <c r="LHX93" s="3"/>
      <c r="LHY93" s="3"/>
      <c r="LHZ93" s="3"/>
      <c r="LIA93" s="3"/>
      <c r="LIB93" s="3"/>
      <c r="LIC93" s="3"/>
      <c r="LID93" s="3"/>
      <c r="LIE93" s="3"/>
      <c r="LIF93" s="3"/>
      <c r="LIG93" s="3"/>
      <c r="LIH93" s="3"/>
      <c r="LII93" s="3"/>
      <c r="LIJ93" s="3"/>
      <c r="LIK93" s="3"/>
      <c r="LIL93" s="3"/>
      <c r="LIM93" s="3"/>
      <c r="LIN93" s="3"/>
      <c r="LIO93" s="3"/>
      <c r="LIP93" s="3"/>
      <c r="LIQ93" s="3"/>
      <c r="LIR93" s="3"/>
      <c r="LIS93" s="3"/>
      <c r="LIT93" s="3"/>
      <c r="LIU93" s="3"/>
      <c r="LIV93" s="3"/>
      <c r="LIW93" s="3"/>
      <c r="LIX93" s="3"/>
      <c r="LIY93" s="3"/>
      <c r="LIZ93" s="3"/>
      <c r="LJA93" s="3"/>
      <c r="LJB93" s="3"/>
      <c r="LJC93" s="3"/>
      <c r="LJD93" s="3"/>
      <c r="LJE93" s="3"/>
      <c r="LJF93" s="3"/>
      <c r="LJG93" s="3"/>
      <c r="LJH93" s="3"/>
      <c r="LJI93" s="3"/>
      <c r="LJJ93" s="3"/>
      <c r="LJK93" s="3"/>
      <c r="LJL93" s="3"/>
      <c r="LJM93" s="3"/>
      <c r="LJN93" s="3"/>
      <c r="LJO93" s="3"/>
      <c r="LJP93" s="3"/>
      <c r="LJQ93" s="3"/>
      <c r="LJR93" s="3"/>
      <c r="LJS93" s="3"/>
      <c r="LJT93" s="3"/>
      <c r="LJU93" s="3"/>
      <c r="LJV93" s="3"/>
      <c r="LJW93" s="3"/>
      <c r="LJX93" s="3"/>
      <c r="LJY93" s="3"/>
      <c r="LJZ93" s="3"/>
      <c r="LKA93" s="3"/>
      <c r="LKB93" s="3"/>
      <c r="LKC93" s="3"/>
      <c r="LKD93" s="3"/>
      <c r="LKE93" s="3"/>
      <c r="LKF93" s="3"/>
      <c r="LKG93" s="3"/>
      <c r="LKH93" s="3"/>
      <c r="LKI93" s="3"/>
      <c r="LKJ93" s="3"/>
      <c r="LKK93" s="3"/>
      <c r="LKL93" s="3"/>
      <c r="LKM93" s="3"/>
      <c r="LKN93" s="3"/>
      <c r="LKO93" s="3"/>
      <c r="LKP93" s="3"/>
      <c r="LKQ93" s="3"/>
      <c r="LKR93" s="3"/>
      <c r="LKS93" s="3"/>
      <c r="LKT93" s="3"/>
      <c r="LKU93" s="3"/>
      <c r="LKV93" s="3"/>
      <c r="LKW93" s="3"/>
      <c r="LKX93" s="3"/>
      <c r="LKY93" s="3"/>
      <c r="LKZ93" s="3"/>
      <c r="LLA93" s="3"/>
      <c r="LLB93" s="3"/>
      <c r="LLC93" s="3"/>
      <c r="LLD93" s="3"/>
      <c r="LLE93" s="3"/>
      <c r="LLF93" s="3"/>
      <c r="LLG93" s="3"/>
      <c r="LLH93" s="3"/>
      <c r="LLI93" s="3"/>
      <c r="LLJ93" s="3"/>
      <c r="LLK93" s="3"/>
      <c r="LLL93" s="3"/>
      <c r="LLM93" s="3"/>
      <c r="LLN93" s="3"/>
      <c r="LLO93" s="3"/>
      <c r="LLP93" s="3"/>
      <c r="LLQ93" s="3"/>
      <c r="LLR93" s="3"/>
      <c r="LLS93" s="3"/>
      <c r="LLT93" s="3"/>
      <c r="LLU93" s="3"/>
      <c r="LLV93" s="3"/>
      <c r="LLW93" s="3"/>
      <c r="LLX93" s="3"/>
      <c r="LLY93" s="3"/>
      <c r="LLZ93" s="3"/>
      <c r="LMA93" s="3"/>
      <c r="LMB93" s="3"/>
      <c r="LMC93" s="3"/>
      <c r="LMD93" s="3"/>
      <c r="LME93" s="3"/>
      <c r="LMF93" s="3"/>
      <c r="LMG93" s="3"/>
      <c r="LMH93" s="3"/>
      <c r="LMI93" s="3"/>
      <c r="LMJ93" s="3"/>
      <c r="LMK93" s="3"/>
      <c r="LML93" s="3"/>
      <c r="LMM93" s="3"/>
      <c r="LMN93" s="3"/>
      <c r="LMO93" s="3"/>
      <c r="LMP93" s="3"/>
      <c r="LMQ93" s="3"/>
      <c r="LMR93" s="3"/>
      <c r="LMS93" s="3"/>
      <c r="LMT93" s="3"/>
      <c r="LMU93" s="3"/>
      <c r="LMV93" s="3"/>
      <c r="LMW93" s="3"/>
      <c r="LMX93" s="3"/>
      <c r="LMY93" s="3"/>
      <c r="LMZ93" s="3"/>
      <c r="LNA93" s="3"/>
      <c r="LNB93" s="3"/>
      <c r="LNC93" s="3"/>
      <c r="LND93" s="3"/>
      <c r="LNE93" s="3"/>
      <c r="LNF93" s="3"/>
      <c r="LNG93" s="3"/>
      <c r="LNH93" s="3"/>
      <c r="LNI93" s="3"/>
      <c r="LNJ93" s="3"/>
      <c r="LNK93" s="3"/>
      <c r="LNL93" s="3"/>
      <c r="LNM93" s="3"/>
      <c r="LNN93" s="3"/>
      <c r="LNO93" s="3"/>
      <c r="LNP93" s="3"/>
      <c r="LNQ93" s="3"/>
      <c r="LNR93" s="3"/>
      <c r="LNS93" s="3"/>
      <c r="LNT93" s="3"/>
      <c r="LNU93" s="3"/>
      <c r="LNV93" s="3"/>
      <c r="LNW93" s="3"/>
      <c r="LNX93" s="3"/>
      <c r="LNY93" s="3"/>
      <c r="LNZ93" s="3"/>
      <c r="LOA93" s="3"/>
      <c r="LOB93" s="3"/>
      <c r="LOC93" s="3"/>
      <c r="LOD93" s="3"/>
      <c r="LOE93" s="3"/>
      <c r="LOF93" s="3"/>
      <c r="LOG93" s="3"/>
      <c r="LOH93" s="3"/>
      <c r="LOI93" s="3"/>
      <c r="LOJ93" s="3"/>
      <c r="LOK93" s="3"/>
      <c r="LOL93" s="3"/>
      <c r="LOM93" s="3"/>
      <c r="LON93" s="3"/>
      <c r="LOO93" s="3"/>
      <c r="LOP93" s="3"/>
      <c r="LOQ93" s="3"/>
      <c r="LOR93" s="3"/>
      <c r="LOS93" s="3"/>
      <c r="LOT93" s="3"/>
      <c r="LOU93" s="3"/>
      <c r="LOV93" s="3"/>
      <c r="LOW93" s="3"/>
      <c r="LOX93" s="3"/>
      <c r="LOY93" s="3"/>
      <c r="LOZ93" s="3"/>
      <c r="LPA93" s="3"/>
      <c r="LPB93" s="3"/>
      <c r="LPC93" s="3"/>
      <c r="LPD93" s="3"/>
      <c r="LPE93" s="3"/>
      <c r="LPF93" s="3"/>
      <c r="LPG93" s="3"/>
      <c r="LPH93" s="3"/>
      <c r="LPI93" s="3"/>
      <c r="LPJ93" s="3"/>
      <c r="LPK93" s="3"/>
      <c r="LPL93" s="3"/>
      <c r="LPM93" s="3"/>
      <c r="LPN93" s="3"/>
      <c r="LPO93" s="3"/>
      <c r="LPP93" s="3"/>
      <c r="LPQ93" s="3"/>
      <c r="LPR93" s="3"/>
      <c r="LPS93" s="3"/>
      <c r="LPT93" s="3"/>
      <c r="LPU93" s="3"/>
      <c r="LPV93" s="3"/>
      <c r="LPW93" s="3"/>
      <c r="LPX93" s="3"/>
      <c r="LPY93" s="3"/>
      <c r="LPZ93" s="3"/>
      <c r="LQA93" s="3"/>
      <c r="LQB93" s="3"/>
      <c r="LQC93" s="3"/>
      <c r="LQD93" s="3"/>
      <c r="LQE93" s="3"/>
      <c r="LQF93" s="3"/>
      <c r="LQG93" s="3"/>
      <c r="LQH93" s="3"/>
      <c r="LQI93" s="3"/>
      <c r="LQJ93" s="3"/>
      <c r="LQK93" s="3"/>
      <c r="LQL93" s="3"/>
      <c r="LQM93" s="3"/>
      <c r="LQN93" s="3"/>
      <c r="LQO93" s="3"/>
      <c r="LQP93" s="3"/>
      <c r="LQQ93" s="3"/>
      <c r="LQR93" s="3"/>
      <c r="LQS93" s="3"/>
      <c r="LQT93" s="3"/>
      <c r="LQU93" s="3"/>
      <c r="LQV93" s="3"/>
      <c r="LQW93" s="3"/>
      <c r="LQX93" s="3"/>
      <c r="LQY93" s="3"/>
      <c r="LQZ93" s="3"/>
      <c r="LRA93" s="3"/>
      <c r="LRB93" s="3"/>
      <c r="LRC93" s="3"/>
      <c r="LRD93" s="3"/>
      <c r="LRE93" s="3"/>
      <c r="LRF93" s="3"/>
      <c r="LRG93" s="3"/>
      <c r="LRH93" s="3"/>
      <c r="LRI93" s="3"/>
      <c r="LRJ93" s="3"/>
      <c r="LRK93" s="3"/>
      <c r="LRL93" s="3"/>
      <c r="LRM93" s="3"/>
      <c r="LRN93" s="3"/>
      <c r="LRO93" s="3"/>
      <c r="LRP93" s="3"/>
      <c r="LRQ93" s="3"/>
      <c r="LRR93" s="3"/>
      <c r="LRS93" s="3"/>
      <c r="LRT93" s="3"/>
      <c r="LRU93" s="3"/>
      <c r="LRV93" s="3"/>
      <c r="LRW93" s="3"/>
      <c r="LRX93" s="3"/>
      <c r="LRY93" s="3"/>
      <c r="LRZ93" s="3"/>
      <c r="LSA93" s="3"/>
      <c r="LSB93" s="3"/>
      <c r="LSC93" s="3"/>
      <c r="LSD93" s="3"/>
      <c r="LSE93" s="3"/>
      <c r="LSF93" s="3"/>
      <c r="LSG93" s="3"/>
      <c r="LSH93" s="3"/>
      <c r="LSI93" s="3"/>
      <c r="LSJ93" s="3"/>
      <c r="LSK93" s="3"/>
      <c r="LSL93" s="3"/>
      <c r="LSM93" s="3"/>
      <c r="LSN93" s="3"/>
      <c r="LSO93" s="3"/>
      <c r="LSP93" s="3"/>
      <c r="LSQ93" s="3"/>
      <c r="LSR93" s="3"/>
      <c r="LSS93" s="3"/>
      <c r="LST93" s="3"/>
      <c r="LSU93" s="3"/>
      <c r="LSV93" s="3"/>
      <c r="LSW93" s="3"/>
      <c r="LSX93" s="3"/>
      <c r="LSY93" s="3"/>
      <c r="LSZ93" s="3"/>
      <c r="LTA93" s="3"/>
      <c r="LTB93" s="3"/>
      <c r="LTC93" s="3"/>
      <c r="LTD93" s="3"/>
      <c r="LTE93" s="3"/>
      <c r="LTF93" s="3"/>
      <c r="LTG93" s="3"/>
      <c r="LTH93" s="3"/>
      <c r="LTI93" s="3"/>
      <c r="LTJ93" s="3"/>
      <c r="LTK93" s="3"/>
      <c r="LTL93" s="3"/>
      <c r="LTM93" s="3"/>
      <c r="LTN93" s="3"/>
      <c r="LTO93" s="3"/>
      <c r="LTP93" s="3"/>
      <c r="LTQ93" s="3"/>
      <c r="LTR93" s="3"/>
      <c r="LTS93" s="3"/>
      <c r="LTT93" s="3"/>
      <c r="LTU93" s="3"/>
      <c r="LTV93" s="3"/>
      <c r="LTW93" s="3"/>
      <c r="LTX93" s="3"/>
      <c r="LTY93" s="3"/>
      <c r="LTZ93" s="3"/>
      <c r="LUA93" s="3"/>
      <c r="LUB93" s="3"/>
      <c r="LUC93" s="3"/>
      <c r="LUD93" s="3"/>
      <c r="LUE93" s="3"/>
      <c r="LUF93" s="3"/>
      <c r="LUG93" s="3"/>
      <c r="LUH93" s="3"/>
      <c r="LUI93" s="3"/>
      <c r="LUJ93" s="3"/>
      <c r="LUK93" s="3"/>
      <c r="LUL93" s="3"/>
      <c r="LUM93" s="3"/>
      <c r="LUN93" s="3"/>
      <c r="LUO93" s="3"/>
      <c r="LUP93" s="3"/>
      <c r="LUQ93" s="3"/>
      <c r="LUR93" s="3"/>
      <c r="LUS93" s="3"/>
      <c r="LUT93" s="3"/>
      <c r="LUU93" s="3"/>
      <c r="LUV93" s="3"/>
      <c r="LUW93" s="3"/>
      <c r="LUX93" s="3"/>
      <c r="LUY93" s="3"/>
      <c r="LUZ93" s="3"/>
      <c r="LVA93" s="3"/>
      <c r="LVB93" s="3"/>
      <c r="LVC93" s="3"/>
      <c r="LVD93" s="3"/>
      <c r="LVE93" s="3"/>
      <c r="LVF93" s="3"/>
      <c r="LVG93" s="3"/>
      <c r="LVH93" s="3"/>
      <c r="LVI93" s="3"/>
      <c r="LVJ93" s="3"/>
      <c r="LVK93" s="3"/>
      <c r="LVL93" s="3"/>
      <c r="LVM93" s="3"/>
      <c r="LVN93" s="3"/>
      <c r="LVO93" s="3"/>
      <c r="LVP93" s="3"/>
      <c r="LVQ93" s="3"/>
      <c r="LVR93" s="3"/>
      <c r="LVS93" s="3"/>
      <c r="LVT93" s="3"/>
      <c r="LVU93" s="3"/>
      <c r="LVV93" s="3"/>
      <c r="LVW93" s="3"/>
      <c r="LVX93" s="3"/>
      <c r="LVY93" s="3"/>
      <c r="LVZ93" s="3"/>
      <c r="LWA93" s="3"/>
      <c r="LWB93" s="3"/>
      <c r="LWC93" s="3"/>
      <c r="LWD93" s="3"/>
      <c r="LWE93" s="3"/>
      <c r="LWF93" s="3"/>
      <c r="LWG93" s="3"/>
      <c r="LWH93" s="3"/>
      <c r="LWI93" s="3"/>
      <c r="LWJ93" s="3"/>
      <c r="LWK93" s="3"/>
      <c r="LWL93" s="3"/>
      <c r="LWM93" s="3"/>
      <c r="LWN93" s="3"/>
      <c r="LWO93" s="3"/>
      <c r="LWP93" s="3"/>
      <c r="LWQ93" s="3"/>
      <c r="LWR93" s="3"/>
      <c r="LWS93" s="3"/>
      <c r="LWT93" s="3"/>
      <c r="LWU93" s="3"/>
      <c r="LWV93" s="3"/>
      <c r="LWW93" s="3"/>
      <c r="LWX93" s="3"/>
      <c r="LWY93" s="3"/>
      <c r="LWZ93" s="3"/>
      <c r="LXA93" s="3"/>
      <c r="LXB93" s="3"/>
      <c r="LXC93" s="3"/>
      <c r="LXD93" s="3"/>
      <c r="LXE93" s="3"/>
      <c r="LXF93" s="3"/>
      <c r="LXG93" s="3"/>
      <c r="LXH93" s="3"/>
      <c r="LXI93" s="3"/>
      <c r="LXJ93" s="3"/>
      <c r="LXK93" s="3"/>
      <c r="LXL93" s="3"/>
      <c r="LXM93" s="3"/>
      <c r="LXN93" s="3"/>
      <c r="LXO93" s="3"/>
      <c r="LXP93" s="3"/>
      <c r="LXQ93" s="3"/>
      <c r="LXR93" s="3"/>
      <c r="LXS93" s="3"/>
      <c r="LXT93" s="3"/>
      <c r="LXU93" s="3"/>
      <c r="LXV93" s="3"/>
      <c r="LXW93" s="3"/>
      <c r="LXX93" s="3"/>
      <c r="LXY93" s="3"/>
      <c r="LXZ93" s="3"/>
      <c r="LYA93" s="3"/>
      <c r="LYB93" s="3"/>
      <c r="LYC93" s="3"/>
      <c r="LYD93" s="3"/>
      <c r="LYE93" s="3"/>
      <c r="LYF93" s="3"/>
      <c r="LYG93" s="3"/>
      <c r="LYH93" s="3"/>
      <c r="LYI93" s="3"/>
      <c r="LYJ93" s="3"/>
      <c r="LYK93" s="3"/>
      <c r="LYL93" s="3"/>
      <c r="LYM93" s="3"/>
      <c r="LYN93" s="3"/>
      <c r="LYO93" s="3"/>
      <c r="LYP93" s="3"/>
      <c r="LYQ93" s="3"/>
      <c r="LYR93" s="3"/>
      <c r="LYS93" s="3"/>
      <c r="LYT93" s="3"/>
      <c r="LYU93" s="3"/>
      <c r="LYV93" s="3"/>
      <c r="LYW93" s="3"/>
      <c r="LYX93" s="3"/>
      <c r="LYY93" s="3"/>
      <c r="LYZ93" s="3"/>
      <c r="LZA93" s="3"/>
      <c r="LZB93" s="3"/>
      <c r="LZC93" s="3"/>
      <c r="LZD93" s="3"/>
      <c r="LZE93" s="3"/>
      <c r="LZF93" s="3"/>
      <c r="LZG93" s="3"/>
      <c r="LZH93" s="3"/>
      <c r="LZI93" s="3"/>
      <c r="LZJ93" s="3"/>
      <c r="LZK93" s="3"/>
      <c r="LZL93" s="3"/>
      <c r="LZM93" s="3"/>
      <c r="LZN93" s="3"/>
      <c r="LZO93" s="3"/>
      <c r="LZP93" s="3"/>
      <c r="LZQ93" s="3"/>
      <c r="LZR93" s="3"/>
      <c r="LZS93" s="3"/>
      <c r="LZT93" s="3"/>
      <c r="LZU93" s="3"/>
      <c r="LZV93" s="3"/>
      <c r="LZW93" s="3"/>
      <c r="LZX93" s="3"/>
      <c r="LZY93" s="3"/>
      <c r="LZZ93" s="3"/>
      <c r="MAA93" s="3"/>
      <c r="MAB93" s="3"/>
      <c r="MAC93" s="3"/>
      <c r="MAD93" s="3"/>
      <c r="MAE93" s="3"/>
      <c r="MAF93" s="3"/>
      <c r="MAG93" s="3"/>
      <c r="MAH93" s="3"/>
      <c r="MAI93" s="3"/>
      <c r="MAJ93" s="3"/>
      <c r="MAK93" s="3"/>
      <c r="MAL93" s="3"/>
      <c r="MAM93" s="3"/>
      <c r="MAN93" s="3"/>
      <c r="MAO93" s="3"/>
      <c r="MAP93" s="3"/>
      <c r="MAQ93" s="3"/>
      <c r="MAR93" s="3"/>
      <c r="MAS93" s="3"/>
      <c r="MAT93" s="3"/>
      <c r="MAU93" s="3"/>
      <c r="MAV93" s="3"/>
      <c r="MAW93" s="3"/>
      <c r="MAX93" s="3"/>
      <c r="MAY93" s="3"/>
      <c r="MAZ93" s="3"/>
      <c r="MBA93" s="3"/>
      <c r="MBB93" s="3"/>
      <c r="MBC93" s="3"/>
      <c r="MBD93" s="3"/>
      <c r="MBE93" s="3"/>
      <c r="MBF93" s="3"/>
      <c r="MBG93" s="3"/>
      <c r="MBH93" s="3"/>
      <c r="MBI93" s="3"/>
      <c r="MBJ93" s="3"/>
      <c r="MBK93" s="3"/>
      <c r="MBL93" s="3"/>
      <c r="MBM93" s="3"/>
      <c r="MBN93" s="3"/>
      <c r="MBO93" s="3"/>
      <c r="MBP93" s="3"/>
      <c r="MBQ93" s="3"/>
      <c r="MBR93" s="3"/>
      <c r="MBS93" s="3"/>
      <c r="MBT93" s="3"/>
      <c r="MBU93" s="3"/>
      <c r="MBV93" s="3"/>
      <c r="MBW93" s="3"/>
      <c r="MBX93" s="3"/>
      <c r="MBY93" s="3"/>
      <c r="MBZ93" s="3"/>
      <c r="MCA93" s="3"/>
      <c r="MCB93" s="3"/>
      <c r="MCC93" s="3"/>
      <c r="MCD93" s="3"/>
      <c r="MCE93" s="3"/>
      <c r="MCF93" s="3"/>
      <c r="MCG93" s="3"/>
      <c r="MCH93" s="3"/>
      <c r="MCI93" s="3"/>
      <c r="MCJ93" s="3"/>
      <c r="MCK93" s="3"/>
      <c r="MCL93" s="3"/>
      <c r="MCM93" s="3"/>
      <c r="MCN93" s="3"/>
      <c r="MCO93" s="3"/>
      <c r="MCP93" s="3"/>
      <c r="MCQ93" s="3"/>
      <c r="MCR93" s="3"/>
      <c r="MCS93" s="3"/>
      <c r="MCT93" s="3"/>
      <c r="MCU93" s="3"/>
      <c r="MCV93" s="3"/>
      <c r="MCW93" s="3"/>
      <c r="MCX93" s="3"/>
      <c r="MCY93" s="3"/>
      <c r="MCZ93" s="3"/>
      <c r="MDA93" s="3"/>
      <c r="MDB93" s="3"/>
      <c r="MDC93" s="3"/>
      <c r="MDD93" s="3"/>
      <c r="MDE93" s="3"/>
      <c r="MDF93" s="3"/>
      <c r="MDG93" s="3"/>
      <c r="MDH93" s="3"/>
      <c r="MDI93" s="3"/>
      <c r="MDJ93" s="3"/>
      <c r="MDK93" s="3"/>
      <c r="MDL93" s="3"/>
      <c r="MDM93" s="3"/>
      <c r="MDN93" s="3"/>
      <c r="MDO93" s="3"/>
      <c r="MDP93" s="3"/>
      <c r="MDQ93" s="3"/>
      <c r="MDR93" s="3"/>
      <c r="MDS93" s="3"/>
      <c r="MDT93" s="3"/>
      <c r="MDU93" s="3"/>
      <c r="MDV93" s="3"/>
      <c r="MDW93" s="3"/>
      <c r="MDX93" s="3"/>
      <c r="MDY93" s="3"/>
      <c r="MDZ93" s="3"/>
      <c r="MEA93" s="3"/>
      <c r="MEB93" s="3"/>
      <c r="MEC93" s="3"/>
      <c r="MED93" s="3"/>
      <c r="MEE93" s="3"/>
      <c r="MEF93" s="3"/>
      <c r="MEG93" s="3"/>
      <c r="MEH93" s="3"/>
      <c r="MEI93" s="3"/>
      <c r="MEJ93" s="3"/>
      <c r="MEK93" s="3"/>
      <c r="MEL93" s="3"/>
      <c r="MEM93" s="3"/>
      <c r="MEN93" s="3"/>
      <c r="MEO93" s="3"/>
      <c r="MEP93" s="3"/>
      <c r="MEQ93" s="3"/>
      <c r="MER93" s="3"/>
      <c r="MES93" s="3"/>
      <c r="MET93" s="3"/>
      <c r="MEU93" s="3"/>
      <c r="MEV93" s="3"/>
      <c r="MEW93" s="3"/>
      <c r="MEX93" s="3"/>
      <c r="MEY93" s="3"/>
      <c r="MEZ93" s="3"/>
      <c r="MFA93" s="3"/>
      <c r="MFB93" s="3"/>
      <c r="MFC93" s="3"/>
      <c r="MFD93" s="3"/>
      <c r="MFE93" s="3"/>
      <c r="MFF93" s="3"/>
      <c r="MFG93" s="3"/>
      <c r="MFH93" s="3"/>
      <c r="MFI93" s="3"/>
      <c r="MFJ93" s="3"/>
      <c r="MFK93" s="3"/>
      <c r="MFL93" s="3"/>
      <c r="MFM93" s="3"/>
      <c r="MFN93" s="3"/>
      <c r="MFO93" s="3"/>
      <c r="MFP93" s="3"/>
      <c r="MFQ93" s="3"/>
      <c r="MFR93" s="3"/>
      <c r="MFS93" s="3"/>
      <c r="MFT93" s="3"/>
      <c r="MFU93" s="3"/>
      <c r="MFV93" s="3"/>
      <c r="MFW93" s="3"/>
      <c r="MFX93" s="3"/>
      <c r="MFY93" s="3"/>
      <c r="MFZ93" s="3"/>
      <c r="MGA93" s="3"/>
      <c r="MGB93" s="3"/>
      <c r="MGC93" s="3"/>
      <c r="MGD93" s="3"/>
      <c r="MGE93" s="3"/>
      <c r="MGF93" s="3"/>
      <c r="MGG93" s="3"/>
      <c r="MGH93" s="3"/>
      <c r="MGI93" s="3"/>
      <c r="MGJ93" s="3"/>
      <c r="MGK93" s="3"/>
      <c r="MGL93" s="3"/>
      <c r="MGM93" s="3"/>
      <c r="MGN93" s="3"/>
      <c r="MGO93" s="3"/>
      <c r="MGP93" s="3"/>
      <c r="MGQ93" s="3"/>
      <c r="MGR93" s="3"/>
      <c r="MGS93" s="3"/>
      <c r="MGT93" s="3"/>
      <c r="MGU93" s="3"/>
      <c r="MGV93" s="3"/>
      <c r="MGW93" s="3"/>
      <c r="MGX93" s="3"/>
      <c r="MGY93" s="3"/>
      <c r="MGZ93" s="3"/>
      <c r="MHA93" s="3"/>
      <c r="MHB93" s="3"/>
      <c r="MHC93" s="3"/>
      <c r="MHD93" s="3"/>
      <c r="MHE93" s="3"/>
      <c r="MHF93" s="3"/>
      <c r="MHG93" s="3"/>
      <c r="MHH93" s="3"/>
      <c r="MHI93" s="3"/>
      <c r="MHJ93" s="3"/>
      <c r="MHK93" s="3"/>
      <c r="MHL93" s="3"/>
      <c r="MHM93" s="3"/>
      <c r="MHN93" s="3"/>
      <c r="MHO93" s="3"/>
      <c r="MHP93" s="3"/>
      <c r="MHQ93" s="3"/>
      <c r="MHR93" s="3"/>
      <c r="MHS93" s="3"/>
      <c r="MHT93" s="3"/>
      <c r="MHU93" s="3"/>
      <c r="MHV93" s="3"/>
      <c r="MHW93" s="3"/>
      <c r="MHX93" s="3"/>
      <c r="MHY93" s="3"/>
      <c r="MHZ93" s="3"/>
      <c r="MIA93" s="3"/>
      <c r="MIB93" s="3"/>
      <c r="MIC93" s="3"/>
      <c r="MID93" s="3"/>
      <c r="MIE93" s="3"/>
      <c r="MIF93" s="3"/>
      <c r="MIG93" s="3"/>
      <c r="MIH93" s="3"/>
      <c r="MII93" s="3"/>
      <c r="MIJ93" s="3"/>
      <c r="MIK93" s="3"/>
      <c r="MIL93" s="3"/>
      <c r="MIM93" s="3"/>
      <c r="MIN93" s="3"/>
      <c r="MIO93" s="3"/>
      <c r="MIP93" s="3"/>
      <c r="MIQ93" s="3"/>
      <c r="MIR93" s="3"/>
      <c r="MIS93" s="3"/>
      <c r="MIT93" s="3"/>
      <c r="MIU93" s="3"/>
      <c r="MIV93" s="3"/>
      <c r="MIW93" s="3"/>
      <c r="MIX93" s="3"/>
      <c r="MIY93" s="3"/>
      <c r="MIZ93" s="3"/>
      <c r="MJA93" s="3"/>
      <c r="MJB93" s="3"/>
      <c r="MJC93" s="3"/>
      <c r="MJD93" s="3"/>
      <c r="MJE93" s="3"/>
      <c r="MJF93" s="3"/>
      <c r="MJG93" s="3"/>
      <c r="MJH93" s="3"/>
      <c r="MJI93" s="3"/>
      <c r="MJJ93" s="3"/>
      <c r="MJK93" s="3"/>
      <c r="MJL93" s="3"/>
      <c r="MJM93" s="3"/>
      <c r="MJN93" s="3"/>
      <c r="MJO93" s="3"/>
      <c r="MJP93" s="3"/>
      <c r="MJQ93" s="3"/>
      <c r="MJR93" s="3"/>
      <c r="MJS93" s="3"/>
      <c r="MJT93" s="3"/>
      <c r="MJU93" s="3"/>
      <c r="MJV93" s="3"/>
      <c r="MJW93" s="3"/>
      <c r="MJX93" s="3"/>
      <c r="MJY93" s="3"/>
      <c r="MJZ93" s="3"/>
      <c r="MKA93" s="3"/>
      <c r="MKB93" s="3"/>
      <c r="MKC93" s="3"/>
      <c r="MKD93" s="3"/>
      <c r="MKE93" s="3"/>
      <c r="MKF93" s="3"/>
      <c r="MKG93" s="3"/>
      <c r="MKH93" s="3"/>
      <c r="MKI93" s="3"/>
      <c r="MKJ93" s="3"/>
      <c r="MKK93" s="3"/>
      <c r="MKL93" s="3"/>
      <c r="MKM93" s="3"/>
      <c r="MKN93" s="3"/>
      <c r="MKO93" s="3"/>
      <c r="MKP93" s="3"/>
      <c r="MKQ93" s="3"/>
      <c r="MKR93" s="3"/>
      <c r="MKS93" s="3"/>
      <c r="MKT93" s="3"/>
      <c r="MKU93" s="3"/>
      <c r="MKV93" s="3"/>
      <c r="MKW93" s="3"/>
      <c r="MKX93" s="3"/>
      <c r="MKY93" s="3"/>
      <c r="MKZ93" s="3"/>
      <c r="MLA93" s="3"/>
      <c r="MLB93" s="3"/>
      <c r="MLC93" s="3"/>
      <c r="MLD93" s="3"/>
      <c r="MLE93" s="3"/>
      <c r="MLF93" s="3"/>
      <c r="MLG93" s="3"/>
      <c r="MLH93" s="3"/>
      <c r="MLI93" s="3"/>
      <c r="MLJ93" s="3"/>
      <c r="MLK93" s="3"/>
      <c r="MLL93" s="3"/>
      <c r="MLM93" s="3"/>
      <c r="MLN93" s="3"/>
      <c r="MLO93" s="3"/>
      <c r="MLP93" s="3"/>
      <c r="MLQ93" s="3"/>
      <c r="MLR93" s="3"/>
      <c r="MLS93" s="3"/>
      <c r="MLT93" s="3"/>
      <c r="MLU93" s="3"/>
      <c r="MLV93" s="3"/>
      <c r="MLW93" s="3"/>
      <c r="MLX93" s="3"/>
      <c r="MLY93" s="3"/>
      <c r="MLZ93" s="3"/>
      <c r="MMA93" s="3"/>
      <c r="MMB93" s="3"/>
      <c r="MMC93" s="3"/>
      <c r="MMD93" s="3"/>
      <c r="MME93" s="3"/>
      <c r="MMF93" s="3"/>
      <c r="MMG93" s="3"/>
      <c r="MMH93" s="3"/>
      <c r="MMI93" s="3"/>
      <c r="MMJ93" s="3"/>
      <c r="MMK93" s="3"/>
      <c r="MML93" s="3"/>
      <c r="MMM93" s="3"/>
      <c r="MMN93" s="3"/>
      <c r="MMO93" s="3"/>
      <c r="MMP93" s="3"/>
      <c r="MMQ93" s="3"/>
      <c r="MMR93" s="3"/>
      <c r="MMS93" s="3"/>
      <c r="MMT93" s="3"/>
      <c r="MMU93" s="3"/>
      <c r="MMV93" s="3"/>
      <c r="MMW93" s="3"/>
      <c r="MMX93" s="3"/>
      <c r="MMY93" s="3"/>
      <c r="MMZ93" s="3"/>
      <c r="MNA93" s="3"/>
      <c r="MNB93" s="3"/>
      <c r="MNC93" s="3"/>
      <c r="MND93" s="3"/>
      <c r="MNE93" s="3"/>
      <c r="MNF93" s="3"/>
      <c r="MNG93" s="3"/>
      <c r="MNH93" s="3"/>
      <c r="MNI93" s="3"/>
      <c r="MNJ93" s="3"/>
      <c r="MNK93" s="3"/>
      <c r="MNL93" s="3"/>
      <c r="MNM93" s="3"/>
      <c r="MNN93" s="3"/>
      <c r="MNO93" s="3"/>
      <c r="MNP93" s="3"/>
      <c r="MNQ93" s="3"/>
      <c r="MNR93" s="3"/>
      <c r="MNS93" s="3"/>
      <c r="MNT93" s="3"/>
      <c r="MNU93" s="3"/>
      <c r="MNV93" s="3"/>
      <c r="MNW93" s="3"/>
      <c r="MNX93" s="3"/>
      <c r="MNY93" s="3"/>
      <c r="MNZ93" s="3"/>
      <c r="MOA93" s="3"/>
      <c r="MOB93" s="3"/>
      <c r="MOC93" s="3"/>
      <c r="MOD93" s="3"/>
      <c r="MOE93" s="3"/>
      <c r="MOF93" s="3"/>
      <c r="MOG93" s="3"/>
      <c r="MOH93" s="3"/>
      <c r="MOI93" s="3"/>
      <c r="MOJ93" s="3"/>
      <c r="MOK93" s="3"/>
      <c r="MOL93" s="3"/>
      <c r="MOM93" s="3"/>
      <c r="MON93" s="3"/>
      <c r="MOO93" s="3"/>
      <c r="MOP93" s="3"/>
      <c r="MOQ93" s="3"/>
      <c r="MOR93" s="3"/>
      <c r="MOS93" s="3"/>
      <c r="MOT93" s="3"/>
      <c r="MOU93" s="3"/>
      <c r="MOV93" s="3"/>
      <c r="MOW93" s="3"/>
      <c r="MOX93" s="3"/>
      <c r="MOY93" s="3"/>
      <c r="MOZ93" s="3"/>
      <c r="MPA93" s="3"/>
      <c r="MPB93" s="3"/>
      <c r="MPC93" s="3"/>
      <c r="MPD93" s="3"/>
      <c r="MPE93" s="3"/>
      <c r="MPF93" s="3"/>
      <c r="MPG93" s="3"/>
      <c r="MPH93" s="3"/>
      <c r="MPI93" s="3"/>
      <c r="MPJ93" s="3"/>
      <c r="MPK93" s="3"/>
      <c r="MPL93" s="3"/>
      <c r="MPM93" s="3"/>
      <c r="MPN93" s="3"/>
      <c r="MPO93" s="3"/>
      <c r="MPP93" s="3"/>
      <c r="MPQ93" s="3"/>
      <c r="MPR93" s="3"/>
      <c r="MPS93" s="3"/>
      <c r="MPT93" s="3"/>
      <c r="MPU93" s="3"/>
      <c r="MPV93" s="3"/>
      <c r="MPW93" s="3"/>
      <c r="MPX93" s="3"/>
      <c r="MPY93" s="3"/>
      <c r="MPZ93" s="3"/>
      <c r="MQA93" s="3"/>
      <c r="MQB93" s="3"/>
      <c r="MQC93" s="3"/>
      <c r="MQD93" s="3"/>
      <c r="MQE93" s="3"/>
      <c r="MQF93" s="3"/>
      <c r="MQG93" s="3"/>
      <c r="MQH93" s="3"/>
      <c r="MQI93" s="3"/>
      <c r="MQJ93" s="3"/>
      <c r="MQK93" s="3"/>
      <c r="MQL93" s="3"/>
      <c r="MQM93" s="3"/>
      <c r="MQN93" s="3"/>
      <c r="MQO93" s="3"/>
      <c r="MQP93" s="3"/>
      <c r="MQQ93" s="3"/>
      <c r="MQR93" s="3"/>
      <c r="MQS93" s="3"/>
      <c r="MQT93" s="3"/>
      <c r="MQU93" s="3"/>
      <c r="MQV93" s="3"/>
      <c r="MQW93" s="3"/>
      <c r="MQX93" s="3"/>
      <c r="MQY93" s="3"/>
      <c r="MQZ93" s="3"/>
      <c r="MRA93" s="3"/>
      <c r="MRB93" s="3"/>
      <c r="MRC93" s="3"/>
      <c r="MRD93" s="3"/>
      <c r="MRE93" s="3"/>
      <c r="MRF93" s="3"/>
      <c r="MRG93" s="3"/>
      <c r="MRH93" s="3"/>
      <c r="MRI93" s="3"/>
      <c r="MRJ93" s="3"/>
      <c r="MRK93" s="3"/>
      <c r="MRL93" s="3"/>
      <c r="MRM93" s="3"/>
      <c r="MRN93" s="3"/>
      <c r="MRO93" s="3"/>
      <c r="MRP93" s="3"/>
      <c r="MRQ93" s="3"/>
      <c r="MRR93" s="3"/>
      <c r="MRS93" s="3"/>
      <c r="MRT93" s="3"/>
      <c r="MRU93" s="3"/>
      <c r="MRV93" s="3"/>
      <c r="MRW93" s="3"/>
      <c r="MRX93" s="3"/>
      <c r="MRY93" s="3"/>
      <c r="MRZ93" s="3"/>
      <c r="MSA93" s="3"/>
      <c r="MSB93" s="3"/>
      <c r="MSC93" s="3"/>
      <c r="MSD93" s="3"/>
      <c r="MSE93" s="3"/>
      <c r="MSF93" s="3"/>
      <c r="MSG93" s="3"/>
      <c r="MSH93" s="3"/>
      <c r="MSI93" s="3"/>
      <c r="MSJ93" s="3"/>
      <c r="MSK93" s="3"/>
      <c r="MSL93" s="3"/>
      <c r="MSM93" s="3"/>
      <c r="MSN93" s="3"/>
      <c r="MSO93" s="3"/>
      <c r="MSP93" s="3"/>
      <c r="MSQ93" s="3"/>
      <c r="MSR93" s="3"/>
      <c r="MSS93" s="3"/>
      <c r="MST93" s="3"/>
      <c r="MSU93" s="3"/>
      <c r="MSV93" s="3"/>
      <c r="MSW93" s="3"/>
      <c r="MSX93" s="3"/>
      <c r="MSY93" s="3"/>
      <c r="MSZ93" s="3"/>
      <c r="MTA93" s="3"/>
      <c r="MTB93" s="3"/>
      <c r="MTC93" s="3"/>
      <c r="MTD93" s="3"/>
      <c r="MTE93" s="3"/>
      <c r="MTF93" s="3"/>
      <c r="MTG93" s="3"/>
      <c r="MTH93" s="3"/>
      <c r="MTI93" s="3"/>
      <c r="MTJ93" s="3"/>
      <c r="MTK93" s="3"/>
      <c r="MTL93" s="3"/>
      <c r="MTM93" s="3"/>
      <c r="MTN93" s="3"/>
      <c r="MTO93" s="3"/>
      <c r="MTP93" s="3"/>
      <c r="MTQ93" s="3"/>
      <c r="MTR93" s="3"/>
      <c r="MTS93" s="3"/>
      <c r="MTT93" s="3"/>
      <c r="MTU93" s="3"/>
      <c r="MTV93" s="3"/>
      <c r="MTW93" s="3"/>
      <c r="MTX93" s="3"/>
      <c r="MTY93" s="3"/>
      <c r="MTZ93" s="3"/>
      <c r="MUA93" s="3"/>
      <c r="MUB93" s="3"/>
      <c r="MUC93" s="3"/>
      <c r="MUD93" s="3"/>
      <c r="MUE93" s="3"/>
      <c r="MUF93" s="3"/>
      <c r="MUG93" s="3"/>
      <c r="MUH93" s="3"/>
      <c r="MUI93" s="3"/>
      <c r="MUJ93" s="3"/>
      <c r="MUK93" s="3"/>
      <c r="MUL93" s="3"/>
      <c r="MUM93" s="3"/>
      <c r="MUN93" s="3"/>
      <c r="MUO93" s="3"/>
      <c r="MUP93" s="3"/>
      <c r="MUQ93" s="3"/>
      <c r="MUR93" s="3"/>
      <c r="MUS93" s="3"/>
      <c r="MUT93" s="3"/>
      <c r="MUU93" s="3"/>
      <c r="MUV93" s="3"/>
      <c r="MUW93" s="3"/>
      <c r="MUX93" s="3"/>
      <c r="MUY93" s="3"/>
      <c r="MUZ93" s="3"/>
      <c r="MVA93" s="3"/>
      <c r="MVB93" s="3"/>
      <c r="MVC93" s="3"/>
      <c r="MVD93" s="3"/>
      <c r="MVE93" s="3"/>
      <c r="MVF93" s="3"/>
      <c r="MVG93" s="3"/>
      <c r="MVH93" s="3"/>
      <c r="MVI93" s="3"/>
      <c r="MVJ93" s="3"/>
      <c r="MVK93" s="3"/>
      <c r="MVL93" s="3"/>
      <c r="MVM93" s="3"/>
      <c r="MVN93" s="3"/>
      <c r="MVO93" s="3"/>
      <c r="MVP93" s="3"/>
      <c r="MVQ93" s="3"/>
      <c r="MVR93" s="3"/>
      <c r="MVS93" s="3"/>
      <c r="MVT93" s="3"/>
      <c r="MVU93" s="3"/>
      <c r="MVV93" s="3"/>
      <c r="MVW93" s="3"/>
      <c r="MVX93" s="3"/>
      <c r="MVY93" s="3"/>
      <c r="MVZ93" s="3"/>
      <c r="MWA93" s="3"/>
      <c r="MWB93" s="3"/>
      <c r="MWC93" s="3"/>
      <c r="MWD93" s="3"/>
      <c r="MWE93" s="3"/>
      <c r="MWF93" s="3"/>
      <c r="MWG93" s="3"/>
      <c r="MWH93" s="3"/>
      <c r="MWI93" s="3"/>
      <c r="MWJ93" s="3"/>
      <c r="MWK93" s="3"/>
      <c r="MWL93" s="3"/>
      <c r="MWM93" s="3"/>
      <c r="MWN93" s="3"/>
      <c r="MWO93" s="3"/>
      <c r="MWP93" s="3"/>
      <c r="MWQ93" s="3"/>
      <c r="MWR93" s="3"/>
      <c r="MWS93" s="3"/>
      <c r="MWT93" s="3"/>
      <c r="MWU93" s="3"/>
      <c r="MWV93" s="3"/>
      <c r="MWW93" s="3"/>
      <c r="MWX93" s="3"/>
      <c r="MWY93" s="3"/>
      <c r="MWZ93" s="3"/>
      <c r="MXA93" s="3"/>
      <c r="MXB93" s="3"/>
      <c r="MXC93" s="3"/>
      <c r="MXD93" s="3"/>
      <c r="MXE93" s="3"/>
      <c r="MXF93" s="3"/>
      <c r="MXG93" s="3"/>
      <c r="MXH93" s="3"/>
      <c r="MXI93" s="3"/>
      <c r="MXJ93" s="3"/>
      <c r="MXK93" s="3"/>
      <c r="MXL93" s="3"/>
      <c r="MXM93" s="3"/>
      <c r="MXN93" s="3"/>
      <c r="MXO93" s="3"/>
      <c r="MXP93" s="3"/>
      <c r="MXQ93" s="3"/>
      <c r="MXR93" s="3"/>
      <c r="MXS93" s="3"/>
      <c r="MXT93" s="3"/>
      <c r="MXU93" s="3"/>
      <c r="MXV93" s="3"/>
      <c r="MXW93" s="3"/>
      <c r="MXX93" s="3"/>
      <c r="MXY93" s="3"/>
      <c r="MXZ93" s="3"/>
      <c r="MYA93" s="3"/>
      <c r="MYB93" s="3"/>
      <c r="MYC93" s="3"/>
      <c r="MYD93" s="3"/>
      <c r="MYE93" s="3"/>
      <c r="MYF93" s="3"/>
      <c r="MYG93" s="3"/>
      <c r="MYH93" s="3"/>
      <c r="MYI93" s="3"/>
      <c r="MYJ93" s="3"/>
      <c r="MYK93" s="3"/>
      <c r="MYL93" s="3"/>
      <c r="MYM93" s="3"/>
      <c r="MYN93" s="3"/>
      <c r="MYO93" s="3"/>
      <c r="MYP93" s="3"/>
      <c r="MYQ93" s="3"/>
      <c r="MYR93" s="3"/>
      <c r="MYS93" s="3"/>
      <c r="MYT93" s="3"/>
      <c r="MYU93" s="3"/>
      <c r="MYV93" s="3"/>
      <c r="MYW93" s="3"/>
      <c r="MYX93" s="3"/>
      <c r="MYY93" s="3"/>
      <c r="MYZ93" s="3"/>
      <c r="MZA93" s="3"/>
      <c r="MZB93" s="3"/>
      <c r="MZC93" s="3"/>
      <c r="MZD93" s="3"/>
      <c r="MZE93" s="3"/>
      <c r="MZF93" s="3"/>
      <c r="MZG93" s="3"/>
      <c r="MZH93" s="3"/>
      <c r="MZI93" s="3"/>
      <c r="MZJ93" s="3"/>
      <c r="MZK93" s="3"/>
      <c r="MZL93" s="3"/>
      <c r="MZM93" s="3"/>
      <c r="MZN93" s="3"/>
      <c r="MZO93" s="3"/>
      <c r="MZP93" s="3"/>
      <c r="MZQ93" s="3"/>
      <c r="MZR93" s="3"/>
      <c r="MZS93" s="3"/>
      <c r="MZT93" s="3"/>
      <c r="MZU93" s="3"/>
      <c r="MZV93" s="3"/>
      <c r="MZW93" s="3"/>
      <c r="MZX93" s="3"/>
      <c r="MZY93" s="3"/>
      <c r="MZZ93" s="3"/>
      <c r="NAA93" s="3"/>
      <c r="NAB93" s="3"/>
      <c r="NAC93" s="3"/>
      <c r="NAD93" s="3"/>
      <c r="NAE93" s="3"/>
      <c r="NAF93" s="3"/>
      <c r="NAG93" s="3"/>
      <c r="NAH93" s="3"/>
      <c r="NAI93" s="3"/>
      <c r="NAJ93" s="3"/>
      <c r="NAK93" s="3"/>
      <c r="NAL93" s="3"/>
      <c r="NAM93" s="3"/>
      <c r="NAN93" s="3"/>
      <c r="NAO93" s="3"/>
      <c r="NAP93" s="3"/>
      <c r="NAQ93" s="3"/>
      <c r="NAR93" s="3"/>
      <c r="NAS93" s="3"/>
      <c r="NAT93" s="3"/>
      <c r="NAU93" s="3"/>
      <c r="NAV93" s="3"/>
      <c r="NAW93" s="3"/>
      <c r="NAX93" s="3"/>
      <c r="NAY93" s="3"/>
      <c r="NAZ93" s="3"/>
      <c r="NBA93" s="3"/>
      <c r="NBB93" s="3"/>
      <c r="NBC93" s="3"/>
      <c r="NBD93" s="3"/>
      <c r="NBE93" s="3"/>
      <c r="NBF93" s="3"/>
      <c r="NBG93" s="3"/>
      <c r="NBH93" s="3"/>
      <c r="NBI93" s="3"/>
      <c r="NBJ93" s="3"/>
      <c r="NBK93" s="3"/>
      <c r="NBL93" s="3"/>
      <c r="NBM93" s="3"/>
      <c r="NBN93" s="3"/>
      <c r="NBO93" s="3"/>
      <c r="NBP93" s="3"/>
      <c r="NBQ93" s="3"/>
      <c r="NBR93" s="3"/>
      <c r="NBS93" s="3"/>
      <c r="NBT93" s="3"/>
      <c r="NBU93" s="3"/>
      <c r="NBV93" s="3"/>
      <c r="NBW93" s="3"/>
      <c r="NBX93" s="3"/>
      <c r="NBY93" s="3"/>
      <c r="NBZ93" s="3"/>
      <c r="NCA93" s="3"/>
      <c r="NCB93" s="3"/>
      <c r="NCC93" s="3"/>
      <c r="NCD93" s="3"/>
      <c r="NCE93" s="3"/>
      <c r="NCF93" s="3"/>
      <c r="NCG93" s="3"/>
      <c r="NCH93" s="3"/>
      <c r="NCI93" s="3"/>
      <c r="NCJ93" s="3"/>
      <c r="NCK93" s="3"/>
      <c r="NCL93" s="3"/>
      <c r="NCM93" s="3"/>
      <c r="NCN93" s="3"/>
      <c r="NCO93" s="3"/>
      <c r="NCP93" s="3"/>
      <c r="NCQ93" s="3"/>
      <c r="NCR93" s="3"/>
      <c r="NCS93" s="3"/>
      <c r="NCT93" s="3"/>
      <c r="NCU93" s="3"/>
      <c r="NCV93" s="3"/>
      <c r="NCW93" s="3"/>
      <c r="NCX93" s="3"/>
      <c r="NCY93" s="3"/>
      <c r="NCZ93" s="3"/>
      <c r="NDA93" s="3"/>
      <c r="NDB93" s="3"/>
      <c r="NDC93" s="3"/>
      <c r="NDD93" s="3"/>
      <c r="NDE93" s="3"/>
      <c r="NDF93" s="3"/>
      <c r="NDG93" s="3"/>
      <c r="NDH93" s="3"/>
      <c r="NDI93" s="3"/>
      <c r="NDJ93" s="3"/>
      <c r="NDK93" s="3"/>
      <c r="NDL93" s="3"/>
      <c r="NDM93" s="3"/>
      <c r="NDN93" s="3"/>
      <c r="NDO93" s="3"/>
      <c r="NDP93" s="3"/>
      <c r="NDQ93" s="3"/>
      <c r="NDR93" s="3"/>
      <c r="NDS93" s="3"/>
      <c r="NDT93" s="3"/>
      <c r="NDU93" s="3"/>
      <c r="NDV93" s="3"/>
      <c r="NDW93" s="3"/>
      <c r="NDX93" s="3"/>
      <c r="NDY93" s="3"/>
      <c r="NDZ93" s="3"/>
      <c r="NEA93" s="3"/>
      <c r="NEB93" s="3"/>
      <c r="NEC93" s="3"/>
      <c r="NED93" s="3"/>
      <c r="NEE93" s="3"/>
      <c r="NEF93" s="3"/>
      <c r="NEG93" s="3"/>
      <c r="NEH93" s="3"/>
      <c r="NEI93" s="3"/>
      <c r="NEJ93" s="3"/>
      <c r="NEK93" s="3"/>
      <c r="NEL93" s="3"/>
      <c r="NEM93" s="3"/>
      <c r="NEN93" s="3"/>
      <c r="NEO93" s="3"/>
      <c r="NEP93" s="3"/>
      <c r="NEQ93" s="3"/>
      <c r="NER93" s="3"/>
      <c r="NES93" s="3"/>
      <c r="NET93" s="3"/>
      <c r="NEU93" s="3"/>
      <c r="NEV93" s="3"/>
      <c r="NEW93" s="3"/>
      <c r="NEX93" s="3"/>
      <c r="NEY93" s="3"/>
      <c r="NEZ93" s="3"/>
      <c r="NFA93" s="3"/>
      <c r="NFB93" s="3"/>
      <c r="NFC93" s="3"/>
      <c r="NFD93" s="3"/>
      <c r="NFE93" s="3"/>
      <c r="NFF93" s="3"/>
      <c r="NFG93" s="3"/>
      <c r="NFH93" s="3"/>
      <c r="NFI93" s="3"/>
      <c r="NFJ93" s="3"/>
      <c r="NFK93" s="3"/>
      <c r="NFL93" s="3"/>
      <c r="NFM93" s="3"/>
      <c r="NFN93" s="3"/>
      <c r="NFO93" s="3"/>
      <c r="NFP93" s="3"/>
      <c r="NFQ93" s="3"/>
      <c r="NFR93" s="3"/>
      <c r="NFS93" s="3"/>
      <c r="NFT93" s="3"/>
      <c r="NFU93" s="3"/>
      <c r="NFV93" s="3"/>
      <c r="NFW93" s="3"/>
      <c r="NFX93" s="3"/>
      <c r="NFY93" s="3"/>
      <c r="NFZ93" s="3"/>
      <c r="NGA93" s="3"/>
      <c r="NGB93" s="3"/>
      <c r="NGC93" s="3"/>
      <c r="NGD93" s="3"/>
      <c r="NGE93" s="3"/>
      <c r="NGF93" s="3"/>
      <c r="NGG93" s="3"/>
      <c r="NGH93" s="3"/>
      <c r="NGI93" s="3"/>
      <c r="NGJ93" s="3"/>
      <c r="NGK93" s="3"/>
      <c r="NGL93" s="3"/>
      <c r="NGM93" s="3"/>
      <c r="NGN93" s="3"/>
      <c r="NGO93" s="3"/>
      <c r="NGP93" s="3"/>
      <c r="NGQ93" s="3"/>
      <c r="NGR93" s="3"/>
      <c r="NGS93" s="3"/>
      <c r="NGT93" s="3"/>
      <c r="NGU93" s="3"/>
      <c r="NGV93" s="3"/>
      <c r="NGW93" s="3"/>
      <c r="NGX93" s="3"/>
      <c r="NGY93" s="3"/>
      <c r="NGZ93" s="3"/>
      <c r="NHA93" s="3"/>
      <c r="NHB93" s="3"/>
      <c r="NHC93" s="3"/>
      <c r="NHD93" s="3"/>
      <c r="NHE93" s="3"/>
      <c r="NHF93" s="3"/>
      <c r="NHG93" s="3"/>
      <c r="NHH93" s="3"/>
      <c r="NHI93" s="3"/>
      <c r="NHJ93" s="3"/>
      <c r="NHK93" s="3"/>
      <c r="NHL93" s="3"/>
      <c r="NHM93" s="3"/>
      <c r="NHN93" s="3"/>
      <c r="NHO93" s="3"/>
      <c r="NHP93" s="3"/>
      <c r="NHQ93" s="3"/>
      <c r="NHR93" s="3"/>
      <c r="NHS93" s="3"/>
      <c r="NHT93" s="3"/>
      <c r="NHU93" s="3"/>
      <c r="NHV93" s="3"/>
      <c r="NHW93" s="3"/>
      <c r="NHX93" s="3"/>
      <c r="NHY93" s="3"/>
      <c r="NHZ93" s="3"/>
      <c r="NIA93" s="3"/>
      <c r="NIB93" s="3"/>
      <c r="NIC93" s="3"/>
      <c r="NID93" s="3"/>
      <c r="NIE93" s="3"/>
      <c r="NIF93" s="3"/>
      <c r="NIG93" s="3"/>
      <c r="NIH93" s="3"/>
      <c r="NII93" s="3"/>
      <c r="NIJ93" s="3"/>
      <c r="NIK93" s="3"/>
      <c r="NIL93" s="3"/>
      <c r="NIM93" s="3"/>
      <c r="NIN93" s="3"/>
      <c r="NIO93" s="3"/>
      <c r="NIP93" s="3"/>
      <c r="NIQ93" s="3"/>
      <c r="NIR93" s="3"/>
      <c r="NIS93" s="3"/>
      <c r="NIT93" s="3"/>
      <c r="NIU93" s="3"/>
      <c r="NIV93" s="3"/>
      <c r="NIW93" s="3"/>
      <c r="NIX93" s="3"/>
      <c r="NIY93" s="3"/>
      <c r="NIZ93" s="3"/>
      <c r="NJA93" s="3"/>
      <c r="NJB93" s="3"/>
      <c r="NJC93" s="3"/>
      <c r="NJD93" s="3"/>
      <c r="NJE93" s="3"/>
      <c r="NJF93" s="3"/>
      <c r="NJG93" s="3"/>
      <c r="NJH93" s="3"/>
      <c r="NJI93" s="3"/>
      <c r="NJJ93" s="3"/>
      <c r="NJK93" s="3"/>
      <c r="NJL93" s="3"/>
      <c r="NJM93" s="3"/>
      <c r="NJN93" s="3"/>
      <c r="NJO93" s="3"/>
      <c r="NJP93" s="3"/>
      <c r="NJQ93" s="3"/>
      <c r="NJR93" s="3"/>
      <c r="NJS93" s="3"/>
      <c r="NJT93" s="3"/>
      <c r="NJU93" s="3"/>
      <c r="NJV93" s="3"/>
      <c r="NJW93" s="3"/>
      <c r="NJX93" s="3"/>
      <c r="NJY93" s="3"/>
      <c r="NJZ93" s="3"/>
      <c r="NKA93" s="3"/>
      <c r="NKB93" s="3"/>
      <c r="NKC93" s="3"/>
      <c r="NKD93" s="3"/>
      <c r="NKE93" s="3"/>
      <c r="NKF93" s="3"/>
      <c r="NKG93" s="3"/>
      <c r="NKH93" s="3"/>
      <c r="NKI93" s="3"/>
      <c r="NKJ93" s="3"/>
      <c r="NKK93" s="3"/>
      <c r="NKL93" s="3"/>
      <c r="NKM93" s="3"/>
      <c r="NKN93" s="3"/>
      <c r="NKO93" s="3"/>
      <c r="NKP93" s="3"/>
      <c r="NKQ93" s="3"/>
      <c r="NKR93" s="3"/>
      <c r="NKS93" s="3"/>
      <c r="NKT93" s="3"/>
      <c r="NKU93" s="3"/>
      <c r="NKV93" s="3"/>
      <c r="NKW93" s="3"/>
      <c r="NKX93" s="3"/>
      <c r="NKY93" s="3"/>
      <c r="NKZ93" s="3"/>
      <c r="NLA93" s="3"/>
      <c r="NLB93" s="3"/>
      <c r="NLC93" s="3"/>
      <c r="NLD93" s="3"/>
      <c r="NLE93" s="3"/>
      <c r="NLF93" s="3"/>
      <c r="NLG93" s="3"/>
      <c r="NLH93" s="3"/>
      <c r="NLI93" s="3"/>
      <c r="NLJ93" s="3"/>
      <c r="NLK93" s="3"/>
      <c r="NLL93" s="3"/>
      <c r="NLM93" s="3"/>
      <c r="NLN93" s="3"/>
      <c r="NLO93" s="3"/>
      <c r="NLP93" s="3"/>
      <c r="NLQ93" s="3"/>
      <c r="NLR93" s="3"/>
      <c r="NLS93" s="3"/>
      <c r="NLT93" s="3"/>
      <c r="NLU93" s="3"/>
      <c r="NLV93" s="3"/>
      <c r="NLW93" s="3"/>
      <c r="NLX93" s="3"/>
      <c r="NLY93" s="3"/>
      <c r="NLZ93" s="3"/>
      <c r="NMA93" s="3"/>
      <c r="NMB93" s="3"/>
      <c r="NMC93" s="3"/>
      <c r="NMD93" s="3"/>
      <c r="NME93" s="3"/>
      <c r="NMF93" s="3"/>
      <c r="NMG93" s="3"/>
      <c r="NMH93" s="3"/>
      <c r="NMI93" s="3"/>
      <c r="NMJ93" s="3"/>
      <c r="NMK93" s="3"/>
      <c r="NML93" s="3"/>
      <c r="NMM93" s="3"/>
      <c r="NMN93" s="3"/>
      <c r="NMO93" s="3"/>
      <c r="NMP93" s="3"/>
      <c r="NMQ93" s="3"/>
      <c r="NMR93" s="3"/>
      <c r="NMS93" s="3"/>
      <c r="NMT93" s="3"/>
      <c r="NMU93" s="3"/>
      <c r="NMV93" s="3"/>
      <c r="NMW93" s="3"/>
      <c r="NMX93" s="3"/>
      <c r="NMY93" s="3"/>
      <c r="NMZ93" s="3"/>
      <c r="NNA93" s="3"/>
      <c r="NNB93" s="3"/>
      <c r="NNC93" s="3"/>
      <c r="NND93" s="3"/>
      <c r="NNE93" s="3"/>
      <c r="NNF93" s="3"/>
      <c r="NNG93" s="3"/>
      <c r="NNH93" s="3"/>
      <c r="NNI93" s="3"/>
      <c r="NNJ93" s="3"/>
      <c r="NNK93" s="3"/>
      <c r="NNL93" s="3"/>
      <c r="NNM93" s="3"/>
      <c r="NNN93" s="3"/>
      <c r="NNO93" s="3"/>
      <c r="NNP93" s="3"/>
      <c r="NNQ93" s="3"/>
      <c r="NNR93" s="3"/>
      <c r="NNS93" s="3"/>
      <c r="NNT93" s="3"/>
      <c r="NNU93" s="3"/>
      <c r="NNV93" s="3"/>
      <c r="NNW93" s="3"/>
      <c r="NNX93" s="3"/>
      <c r="NNY93" s="3"/>
      <c r="NNZ93" s="3"/>
      <c r="NOA93" s="3"/>
      <c r="NOB93" s="3"/>
      <c r="NOC93" s="3"/>
      <c r="NOD93" s="3"/>
      <c r="NOE93" s="3"/>
      <c r="NOF93" s="3"/>
      <c r="NOG93" s="3"/>
      <c r="NOH93" s="3"/>
      <c r="NOI93" s="3"/>
      <c r="NOJ93" s="3"/>
      <c r="NOK93" s="3"/>
      <c r="NOL93" s="3"/>
      <c r="NOM93" s="3"/>
      <c r="NON93" s="3"/>
      <c r="NOO93" s="3"/>
      <c r="NOP93" s="3"/>
      <c r="NOQ93" s="3"/>
      <c r="NOR93" s="3"/>
      <c r="NOS93" s="3"/>
      <c r="NOT93" s="3"/>
      <c r="NOU93" s="3"/>
      <c r="NOV93" s="3"/>
      <c r="NOW93" s="3"/>
      <c r="NOX93" s="3"/>
      <c r="NOY93" s="3"/>
      <c r="NOZ93" s="3"/>
      <c r="NPA93" s="3"/>
      <c r="NPB93" s="3"/>
      <c r="NPC93" s="3"/>
      <c r="NPD93" s="3"/>
      <c r="NPE93" s="3"/>
      <c r="NPF93" s="3"/>
      <c r="NPG93" s="3"/>
      <c r="NPH93" s="3"/>
      <c r="NPI93" s="3"/>
      <c r="NPJ93" s="3"/>
      <c r="NPK93" s="3"/>
      <c r="NPL93" s="3"/>
      <c r="NPM93" s="3"/>
      <c r="NPN93" s="3"/>
      <c r="NPO93" s="3"/>
      <c r="NPP93" s="3"/>
      <c r="NPQ93" s="3"/>
      <c r="NPR93" s="3"/>
      <c r="NPS93" s="3"/>
      <c r="NPT93" s="3"/>
      <c r="NPU93" s="3"/>
      <c r="NPV93" s="3"/>
      <c r="NPW93" s="3"/>
      <c r="NPX93" s="3"/>
      <c r="NPY93" s="3"/>
      <c r="NPZ93" s="3"/>
      <c r="NQA93" s="3"/>
      <c r="NQB93" s="3"/>
      <c r="NQC93" s="3"/>
      <c r="NQD93" s="3"/>
      <c r="NQE93" s="3"/>
      <c r="NQF93" s="3"/>
      <c r="NQG93" s="3"/>
      <c r="NQH93" s="3"/>
      <c r="NQI93" s="3"/>
      <c r="NQJ93" s="3"/>
      <c r="NQK93" s="3"/>
      <c r="NQL93" s="3"/>
      <c r="NQM93" s="3"/>
      <c r="NQN93" s="3"/>
      <c r="NQO93" s="3"/>
      <c r="NQP93" s="3"/>
      <c r="NQQ93" s="3"/>
      <c r="NQR93" s="3"/>
      <c r="NQS93" s="3"/>
      <c r="NQT93" s="3"/>
      <c r="NQU93" s="3"/>
      <c r="NQV93" s="3"/>
      <c r="NQW93" s="3"/>
      <c r="NQX93" s="3"/>
      <c r="NQY93" s="3"/>
      <c r="NQZ93" s="3"/>
      <c r="NRA93" s="3"/>
      <c r="NRB93" s="3"/>
      <c r="NRC93" s="3"/>
      <c r="NRD93" s="3"/>
      <c r="NRE93" s="3"/>
      <c r="NRF93" s="3"/>
      <c r="NRG93" s="3"/>
      <c r="NRH93" s="3"/>
      <c r="NRI93" s="3"/>
      <c r="NRJ93" s="3"/>
      <c r="NRK93" s="3"/>
      <c r="NRL93" s="3"/>
      <c r="NRM93" s="3"/>
      <c r="NRN93" s="3"/>
      <c r="NRO93" s="3"/>
      <c r="NRP93" s="3"/>
      <c r="NRQ93" s="3"/>
      <c r="NRR93" s="3"/>
      <c r="NRS93" s="3"/>
      <c r="NRT93" s="3"/>
      <c r="NRU93" s="3"/>
      <c r="NRV93" s="3"/>
      <c r="NRW93" s="3"/>
      <c r="NRX93" s="3"/>
      <c r="NRY93" s="3"/>
      <c r="NRZ93" s="3"/>
      <c r="NSA93" s="3"/>
      <c r="NSB93" s="3"/>
      <c r="NSC93" s="3"/>
      <c r="NSD93" s="3"/>
      <c r="NSE93" s="3"/>
      <c r="NSF93" s="3"/>
      <c r="NSG93" s="3"/>
      <c r="NSH93" s="3"/>
      <c r="NSI93" s="3"/>
      <c r="NSJ93" s="3"/>
      <c r="NSK93" s="3"/>
      <c r="NSL93" s="3"/>
      <c r="NSM93" s="3"/>
      <c r="NSN93" s="3"/>
      <c r="NSO93" s="3"/>
      <c r="NSP93" s="3"/>
      <c r="NSQ93" s="3"/>
      <c r="NSR93" s="3"/>
      <c r="NSS93" s="3"/>
      <c r="NST93" s="3"/>
      <c r="NSU93" s="3"/>
      <c r="NSV93" s="3"/>
      <c r="NSW93" s="3"/>
      <c r="NSX93" s="3"/>
      <c r="NSY93" s="3"/>
      <c r="NSZ93" s="3"/>
      <c r="NTA93" s="3"/>
      <c r="NTB93" s="3"/>
      <c r="NTC93" s="3"/>
      <c r="NTD93" s="3"/>
      <c r="NTE93" s="3"/>
      <c r="NTF93" s="3"/>
      <c r="NTG93" s="3"/>
      <c r="NTH93" s="3"/>
      <c r="NTI93" s="3"/>
      <c r="NTJ93" s="3"/>
      <c r="NTK93" s="3"/>
      <c r="NTL93" s="3"/>
      <c r="NTM93" s="3"/>
      <c r="NTN93" s="3"/>
      <c r="NTO93" s="3"/>
      <c r="NTP93" s="3"/>
      <c r="NTQ93" s="3"/>
      <c r="NTR93" s="3"/>
      <c r="NTS93" s="3"/>
      <c r="NTT93" s="3"/>
      <c r="NTU93" s="3"/>
      <c r="NTV93" s="3"/>
      <c r="NTW93" s="3"/>
      <c r="NTX93" s="3"/>
      <c r="NTY93" s="3"/>
      <c r="NTZ93" s="3"/>
      <c r="NUA93" s="3"/>
      <c r="NUB93" s="3"/>
      <c r="NUC93" s="3"/>
      <c r="NUD93" s="3"/>
      <c r="NUE93" s="3"/>
      <c r="NUF93" s="3"/>
      <c r="NUG93" s="3"/>
      <c r="NUH93" s="3"/>
      <c r="NUI93" s="3"/>
      <c r="NUJ93" s="3"/>
      <c r="NUK93" s="3"/>
      <c r="NUL93" s="3"/>
      <c r="NUM93" s="3"/>
      <c r="NUN93" s="3"/>
      <c r="NUO93" s="3"/>
      <c r="NUP93" s="3"/>
      <c r="NUQ93" s="3"/>
      <c r="NUR93" s="3"/>
      <c r="NUS93" s="3"/>
      <c r="NUT93" s="3"/>
      <c r="NUU93" s="3"/>
      <c r="NUV93" s="3"/>
      <c r="NUW93" s="3"/>
      <c r="NUX93" s="3"/>
      <c r="NUY93" s="3"/>
      <c r="NUZ93" s="3"/>
      <c r="NVA93" s="3"/>
      <c r="NVB93" s="3"/>
      <c r="NVC93" s="3"/>
      <c r="NVD93" s="3"/>
      <c r="NVE93" s="3"/>
      <c r="NVF93" s="3"/>
      <c r="NVG93" s="3"/>
      <c r="NVH93" s="3"/>
      <c r="NVI93" s="3"/>
      <c r="NVJ93" s="3"/>
      <c r="NVK93" s="3"/>
      <c r="NVL93" s="3"/>
      <c r="NVM93" s="3"/>
      <c r="NVN93" s="3"/>
      <c r="NVO93" s="3"/>
      <c r="NVP93" s="3"/>
      <c r="NVQ93" s="3"/>
      <c r="NVR93" s="3"/>
      <c r="NVS93" s="3"/>
      <c r="NVT93" s="3"/>
      <c r="NVU93" s="3"/>
      <c r="NVV93" s="3"/>
      <c r="NVW93" s="3"/>
      <c r="NVX93" s="3"/>
      <c r="NVY93" s="3"/>
      <c r="NVZ93" s="3"/>
      <c r="NWA93" s="3"/>
      <c r="NWB93" s="3"/>
      <c r="NWC93" s="3"/>
      <c r="NWD93" s="3"/>
      <c r="NWE93" s="3"/>
      <c r="NWF93" s="3"/>
      <c r="NWG93" s="3"/>
      <c r="NWH93" s="3"/>
      <c r="NWI93" s="3"/>
      <c r="NWJ93" s="3"/>
      <c r="NWK93" s="3"/>
      <c r="NWL93" s="3"/>
      <c r="NWM93" s="3"/>
      <c r="NWN93" s="3"/>
      <c r="NWO93" s="3"/>
      <c r="NWP93" s="3"/>
      <c r="NWQ93" s="3"/>
      <c r="NWR93" s="3"/>
      <c r="NWS93" s="3"/>
      <c r="NWT93" s="3"/>
      <c r="NWU93" s="3"/>
      <c r="NWV93" s="3"/>
      <c r="NWW93" s="3"/>
      <c r="NWX93" s="3"/>
      <c r="NWY93" s="3"/>
      <c r="NWZ93" s="3"/>
      <c r="NXA93" s="3"/>
      <c r="NXB93" s="3"/>
      <c r="NXC93" s="3"/>
      <c r="NXD93" s="3"/>
      <c r="NXE93" s="3"/>
      <c r="NXF93" s="3"/>
      <c r="NXG93" s="3"/>
      <c r="NXH93" s="3"/>
      <c r="NXI93" s="3"/>
      <c r="NXJ93" s="3"/>
      <c r="NXK93" s="3"/>
      <c r="NXL93" s="3"/>
      <c r="NXM93" s="3"/>
      <c r="NXN93" s="3"/>
      <c r="NXO93" s="3"/>
      <c r="NXP93" s="3"/>
      <c r="NXQ93" s="3"/>
      <c r="NXR93" s="3"/>
      <c r="NXS93" s="3"/>
      <c r="NXT93" s="3"/>
      <c r="NXU93" s="3"/>
      <c r="NXV93" s="3"/>
      <c r="NXW93" s="3"/>
      <c r="NXX93" s="3"/>
      <c r="NXY93" s="3"/>
      <c r="NXZ93" s="3"/>
      <c r="NYA93" s="3"/>
      <c r="NYB93" s="3"/>
      <c r="NYC93" s="3"/>
      <c r="NYD93" s="3"/>
      <c r="NYE93" s="3"/>
      <c r="NYF93" s="3"/>
      <c r="NYG93" s="3"/>
      <c r="NYH93" s="3"/>
      <c r="NYI93" s="3"/>
      <c r="NYJ93" s="3"/>
      <c r="NYK93" s="3"/>
      <c r="NYL93" s="3"/>
      <c r="NYM93" s="3"/>
      <c r="NYN93" s="3"/>
      <c r="NYO93" s="3"/>
      <c r="NYP93" s="3"/>
      <c r="NYQ93" s="3"/>
      <c r="NYR93" s="3"/>
      <c r="NYS93" s="3"/>
      <c r="NYT93" s="3"/>
      <c r="NYU93" s="3"/>
      <c r="NYV93" s="3"/>
      <c r="NYW93" s="3"/>
      <c r="NYX93" s="3"/>
      <c r="NYY93" s="3"/>
      <c r="NYZ93" s="3"/>
      <c r="NZA93" s="3"/>
      <c r="NZB93" s="3"/>
      <c r="NZC93" s="3"/>
      <c r="NZD93" s="3"/>
      <c r="NZE93" s="3"/>
      <c r="NZF93" s="3"/>
      <c r="NZG93" s="3"/>
      <c r="NZH93" s="3"/>
      <c r="NZI93" s="3"/>
      <c r="NZJ93" s="3"/>
      <c r="NZK93" s="3"/>
      <c r="NZL93" s="3"/>
      <c r="NZM93" s="3"/>
      <c r="NZN93" s="3"/>
      <c r="NZO93" s="3"/>
      <c r="NZP93" s="3"/>
      <c r="NZQ93" s="3"/>
      <c r="NZR93" s="3"/>
      <c r="NZS93" s="3"/>
      <c r="NZT93" s="3"/>
      <c r="NZU93" s="3"/>
      <c r="NZV93" s="3"/>
      <c r="NZW93" s="3"/>
      <c r="NZX93" s="3"/>
      <c r="NZY93" s="3"/>
      <c r="NZZ93" s="3"/>
      <c r="OAA93" s="3"/>
      <c r="OAB93" s="3"/>
      <c r="OAC93" s="3"/>
      <c r="OAD93" s="3"/>
      <c r="OAE93" s="3"/>
      <c r="OAF93" s="3"/>
      <c r="OAG93" s="3"/>
      <c r="OAH93" s="3"/>
      <c r="OAI93" s="3"/>
      <c r="OAJ93" s="3"/>
      <c r="OAK93" s="3"/>
      <c r="OAL93" s="3"/>
      <c r="OAM93" s="3"/>
      <c r="OAN93" s="3"/>
      <c r="OAO93" s="3"/>
      <c r="OAP93" s="3"/>
      <c r="OAQ93" s="3"/>
      <c r="OAR93" s="3"/>
      <c r="OAS93" s="3"/>
      <c r="OAT93" s="3"/>
      <c r="OAU93" s="3"/>
      <c r="OAV93" s="3"/>
      <c r="OAW93" s="3"/>
      <c r="OAX93" s="3"/>
      <c r="OAY93" s="3"/>
      <c r="OAZ93" s="3"/>
      <c r="OBA93" s="3"/>
      <c r="OBB93" s="3"/>
      <c r="OBC93" s="3"/>
      <c r="OBD93" s="3"/>
      <c r="OBE93" s="3"/>
      <c r="OBF93" s="3"/>
      <c r="OBG93" s="3"/>
      <c r="OBH93" s="3"/>
      <c r="OBI93" s="3"/>
      <c r="OBJ93" s="3"/>
      <c r="OBK93" s="3"/>
      <c r="OBL93" s="3"/>
      <c r="OBM93" s="3"/>
      <c r="OBN93" s="3"/>
      <c r="OBO93" s="3"/>
      <c r="OBP93" s="3"/>
      <c r="OBQ93" s="3"/>
      <c r="OBR93" s="3"/>
      <c r="OBS93" s="3"/>
      <c r="OBT93" s="3"/>
      <c r="OBU93" s="3"/>
      <c r="OBV93" s="3"/>
      <c r="OBW93" s="3"/>
      <c r="OBX93" s="3"/>
      <c r="OBY93" s="3"/>
      <c r="OBZ93" s="3"/>
      <c r="OCA93" s="3"/>
      <c r="OCB93" s="3"/>
      <c r="OCC93" s="3"/>
      <c r="OCD93" s="3"/>
      <c r="OCE93" s="3"/>
      <c r="OCF93" s="3"/>
      <c r="OCG93" s="3"/>
      <c r="OCH93" s="3"/>
      <c r="OCI93" s="3"/>
      <c r="OCJ93" s="3"/>
      <c r="OCK93" s="3"/>
      <c r="OCL93" s="3"/>
      <c r="OCM93" s="3"/>
      <c r="OCN93" s="3"/>
      <c r="OCO93" s="3"/>
      <c r="OCP93" s="3"/>
      <c r="OCQ93" s="3"/>
      <c r="OCR93" s="3"/>
      <c r="OCS93" s="3"/>
      <c r="OCT93" s="3"/>
      <c r="OCU93" s="3"/>
      <c r="OCV93" s="3"/>
      <c r="OCW93" s="3"/>
      <c r="OCX93" s="3"/>
      <c r="OCY93" s="3"/>
      <c r="OCZ93" s="3"/>
      <c r="ODA93" s="3"/>
      <c r="ODB93" s="3"/>
      <c r="ODC93" s="3"/>
      <c r="ODD93" s="3"/>
      <c r="ODE93" s="3"/>
      <c r="ODF93" s="3"/>
      <c r="ODG93" s="3"/>
      <c r="ODH93" s="3"/>
      <c r="ODI93" s="3"/>
      <c r="ODJ93" s="3"/>
      <c r="ODK93" s="3"/>
      <c r="ODL93" s="3"/>
      <c r="ODM93" s="3"/>
      <c r="ODN93" s="3"/>
      <c r="ODO93" s="3"/>
      <c r="ODP93" s="3"/>
      <c r="ODQ93" s="3"/>
      <c r="ODR93" s="3"/>
      <c r="ODS93" s="3"/>
      <c r="ODT93" s="3"/>
      <c r="ODU93" s="3"/>
      <c r="ODV93" s="3"/>
      <c r="ODW93" s="3"/>
      <c r="ODX93" s="3"/>
      <c r="ODY93" s="3"/>
      <c r="ODZ93" s="3"/>
      <c r="OEA93" s="3"/>
      <c r="OEB93" s="3"/>
      <c r="OEC93" s="3"/>
      <c r="OED93" s="3"/>
      <c r="OEE93" s="3"/>
      <c r="OEF93" s="3"/>
      <c r="OEG93" s="3"/>
      <c r="OEH93" s="3"/>
      <c r="OEI93" s="3"/>
      <c r="OEJ93" s="3"/>
      <c r="OEK93" s="3"/>
      <c r="OEL93" s="3"/>
      <c r="OEM93" s="3"/>
      <c r="OEN93" s="3"/>
      <c r="OEO93" s="3"/>
      <c r="OEP93" s="3"/>
      <c r="OEQ93" s="3"/>
      <c r="OER93" s="3"/>
      <c r="OES93" s="3"/>
      <c r="OET93" s="3"/>
      <c r="OEU93" s="3"/>
      <c r="OEV93" s="3"/>
      <c r="OEW93" s="3"/>
      <c r="OEX93" s="3"/>
      <c r="OEY93" s="3"/>
      <c r="OEZ93" s="3"/>
      <c r="OFA93" s="3"/>
      <c r="OFB93" s="3"/>
      <c r="OFC93" s="3"/>
      <c r="OFD93" s="3"/>
      <c r="OFE93" s="3"/>
      <c r="OFF93" s="3"/>
      <c r="OFG93" s="3"/>
      <c r="OFH93" s="3"/>
      <c r="OFI93" s="3"/>
      <c r="OFJ93" s="3"/>
      <c r="OFK93" s="3"/>
      <c r="OFL93" s="3"/>
      <c r="OFM93" s="3"/>
      <c r="OFN93" s="3"/>
      <c r="OFO93" s="3"/>
      <c r="OFP93" s="3"/>
      <c r="OFQ93" s="3"/>
      <c r="OFR93" s="3"/>
      <c r="OFS93" s="3"/>
      <c r="OFT93" s="3"/>
      <c r="OFU93" s="3"/>
      <c r="OFV93" s="3"/>
      <c r="OFW93" s="3"/>
      <c r="OFX93" s="3"/>
      <c r="OFY93" s="3"/>
      <c r="OFZ93" s="3"/>
      <c r="OGA93" s="3"/>
      <c r="OGB93" s="3"/>
      <c r="OGC93" s="3"/>
      <c r="OGD93" s="3"/>
      <c r="OGE93" s="3"/>
      <c r="OGF93" s="3"/>
      <c r="OGG93" s="3"/>
      <c r="OGH93" s="3"/>
      <c r="OGI93" s="3"/>
      <c r="OGJ93" s="3"/>
      <c r="OGK93" s="3"/>
      <c r="OGL93" s="3"/>
      <c r="OGM93" s="3"/>
      <c r="OGN93" s="3"/>
      <c r="OGO93" s="3"/>
      <c r="OGP93" s="3"/>
      <c r="OGQ93" s="3"/>
      <c r="OGR93" s="3"/>
      <c r="OGS93" s="3"/>
      <c r="OGT93" s="3"/>
      <c r="OGU93" s="3"/>
      <c r="OGV93" s="3"/>
      <c r="OGW93" s="3"/>
      <c r="OGX93" s="3"/>
      <c r="OGY93" s="3"/>
      <c r="OGZ93" s="3"/>
      <c r="OHA93" s="3"/>
      <c r="OHB93" s="3"/>
      <c r="OHC93" s="3"/>
      <c r="OHD93" s="3"/>
      <c r="OHE93" s="3"/>
      <c r="OHF93" s="3"/>
      <c r="OHG93" s="3"/>
      <c r="OHH93" s="3"/>
      <c r="OHI93" s="3"/>
      <c r="OHJ93" s="3"/>
      <c r="OHK93" s="3"/>
      <c r="OHL93" s="3"/>
      <c r="OHM93" s="3"/>
      <c r="OHN93" s="3"/>
      <c r="OHO93" s="3"/>
      <c r="OHP93" s="3"/>
      <c r="OHQ93" s="3"/>
      <c r="OHR93" s="3"/>
      <c r="OHS93" s="3"/>
      <c r="OHT93" s="3"/>
      <c r="OHU93" s="3"/>
      <c r="OHV93" s="3"/>
      <c r="OHW93" s="3"/>
      <c r="OHX93" s="3"/>
      <c r="OHY93" s="3"/>
      <c r="OHZ93" s="3"/>
      <c r="OIA93" s="3"/>
      <c r="OIB93" s="3"/>
      <c r="OIC93" s="3"/>
      <c r="OID93" s="3"/>
      <c r="OIE93" s="3"/>
      <c r="OIF93" s="3"/>
      <c r="OIG93" s="3"/>
      <c r="OIH93" s="3"/>
      <c r="OII93" s="3"/>
      <c r="OIJ93" s="3"/>
      <c r="OIK93" s="3"/>
      <c r="OIL93" s="3"/>
      <c r="OIM93" s="3"/>
      <c r="OIN93" s="3"/>
      <c r="OIO93" s="3"/>
      <c r="OIP93" s="3"/>
      <c r="OIQ93" s="3"/>
      <c r="OIR93" s="3"/>
      <c r="OIS93" s="3"/>
      <c r="OIT93" s="3"/>
      <c r="OIU93" s="3"/>
      <c r="OIV93" s="3"/>
      <c r="OIW93" s="3"/>
      <c r="OIX93" s="3"/>
      <c r="OIY93" s="3"/>
      <c r="OIZ93" s="3"/>
      <c r="OJA93" s="3"/>
      <c r="OJB93" s="3"/>
      <c r="OJC93" s="3"/>
      <c r="OJD93" s="3"/>
      <c r="OJE93" s="3"/>
      <c r="OJF93" s="3"/>
      <c r="OJG93" s="3"/>
      <c r="OJH93" s="3"/>
      <c r="OJI93" s="3"/>
      <c r="OJJ93" s="3"/>
      <c r="OJK93" s="3"/>
      <c r="OJL93" s="3"/>
      <c r="OJM93" s="3"/>
      <c r="OJN93" s="3"/>
      <c r="OJO93" s="3"/>
      <c r="OJP93" s="3"/>
      <c r="OJQ93" s="3"/>
      <c r="OJR93" s="3"/>
      <c r="OJS93" s="3"/>
      <c r="OJT93" s="3"/>
      <c r="OJU93" s="3"/>
      <c r="OJV93" s="3"/>
      <c r="OJW93" s="3"/>
      <c r="OJX93" s="3"/>
      <c r="OJY93" s="3"/>
      <c r="OJZ93" s="3"/>
      <c r="OKA93" s="3"/>
      <c r="OKB93" s="3"/>
      <c r="OKC93" s="3"/>
      <c r="OKD93" s="3"/>
      <c r="OKE93" s="3"/>
      <c r="OKF93" s="3"/>
      <c r="OKG93" s="3"/>
      <c r="OKH93" s="3"/>
      <c r="OKI93" s="3"/>
      <c r="OKJ93" s="3"/>
      <c r="OKK93" s="3"/>
      <c r="OKL93" s="3"/>
      <c r="OKM93" s="3"/>
      <c r="OKN93" s="3"/>
      <c r="OKO93" s="3"/>
      <c r="OKP93" s="3"/>
      <c r="OKQ93" s="3"/>
      <c r="OKR93" s="3"/>
      <c r="OKS93" s="3"/>
      <c r="OKT93" s="3"/>
      <c r="OKU93" s="3"/>
      <c r="OKV93" s="3"/>
      <c r="OKW93" s="3"/>
      <c r="OKX93" s="3"/>
      <c r="OKY93" s="3"/>
      <c r="OKZ93" s="3"/>
      <c r="OLA93" s="3"/>
      <c r="OLB93" s="3"/>
      <c r="OLC93" s="3"/>
      <c r="OLD93" s="3"/>
      <c r="OLE93" s="3"/>
      <c r="OLF93" s="3"/>
      <c r="OLG93" s="3"/>
      <c r="OLH93" s="3"/>
      <c r="OLI93" s="3"/>
      <c r="OLJ93" s="3"/>
      <c r="OLK93" s="3"/>
      <c r="OLL93" s="3"/>
      <c r="OLM93" s="3"/>
      <c r="OLN93" s="3"/>
      <c r="OLO93" s="3"/>
      <c r="OLP93" s="3"/>
      <c r="OLQ93" s="3"/>
      <c r="OLR93" s="3"/>
      <c r="OLS93" s="3"/>
      <c r="OLT93" s="3"/>
      <c r="OLU93" s="3"/>
      <c r="OLV93" s="3"/>
      <c r="OLW93" s="3"/>
      <c r="OLX93" s="3"/>
      <c r="OLY93" s="3"/>
      <c r="OLZ93" s="3"/>
      <c r="OMA93" s="3"/>
      <c r="OMB93" s="3"/>
      <c r="OMC93" s="3"/>
      <c r="OMD93" s="3"/>
      <c r="OME93" s="3"/>
      <c r="OMF93" s="3"/>
      <c r="OMG93" s="3"/>
      <c r="OMH93" s="3"/>
      <c r="OMI93" s="3"/>
      <c r="OMJ93" s="3"/>
      <c r="OMK93" s="3"/>
      <c r="OML93" s="3"/>
      <c r="OMM93" s="3"/>
      <c r="OMN93" s="3"/>
      <c r="OMO93" s="3"/>
      <c r="OMP93" s="3"/>
      <c r="OMQ93" s="3"/>
      <c r="OMR93" s="3"/>
      <c r="OMS93" s="3"/>
      <c r="OMT93" s="3"/>
      <c r="OMU93" s="3"/>
      <c r="OMV93" s="3"/>
      <c r="OMW93" s="3"/>
      <c r="OMX93" s="3"/>
      <c r="OMY93" s="3"/>
      <c r="OMZ93" s="3"/>
      <c r="ONA93" s="3"/>
      <c r="ONB93" s="3"/>
      <c r="ONC93" s="3"/>
      <c r="OND93" s="3"/>
      <c r="ONE93" s="3"/>
      <c r="ONF93" s="3"/>
      <c r="ONG93" s="3"/>
      <c r="ONH93" s="3"/>
      <c r="ONI93" s="3"/>
      <c r="ONJ93" s="3"/>
      <c r="ONK93" s="3"/>
      <c r="ONL93" s="3"/>
      <c r="ONM93" s="3"/>
      <c r="ONN93" s="3"/>
      <c r="ONO93" s="3"/>
      <c r="ONP93" s="3"/>
      <c r="ONQ93" s="3"/>
      <c r="ONR93" s="3"/>
      <c r="ONS93" s="3"/>
      <c r="ONT93" s="3"/>
      <c r="ONU93" s="3"/>
      <c r="ONV93" s="3"/>
      <c r="ONW93" s="3"/>
      <c r="ONX93" s="3"/>
      <c r="ONY93" s="3"/>
      <c r="ONZ93" s="3"/>
      <c r="OOA93" s="3"/>
      <c r="OOB93" s="3"/>
      <c r="OOC93" s="3"/>
      <c r="OOD93" s="3"/>
      <c r="OOE93" s="3"/>
      <c r="OOF93" s="3"/>
      <c r="OOG93" s="3"/>
      <c r="OOH93" s="3"/>
      <c r="OOI93" s="3"/>
      <c r="OOJ93" s="3"/>
      <c r="OOK93" s="3"/>
      <c r="OOL93" s="3"/>
      <c r="OOM93" s="3"/>
      <c r="OON93" s="3"/>
      <c r="OOO93" s="3"/>
      <c r="OOP93" s="3"/>
      <c r="OOQ93" s="3"/>
      <c r="OOR93" s="3"/>
      <c r="OOS93" s="3"/>
      <c r="OOT93" s="3"/>
      <c r="OOU93" s="3"/>
      <c r="OOV93" s="3"/>
      <c r="OOW93" s="3"/>
      <c r="OOX93" s="3"/>
      <c r="OOY93" s="3"/>
      <c r="OOZ93" s="3"/>
      <c r="OPA93" s="3"/>
      <c r="OPB93" s="3"/>
      <c r="OPC93" s="3"/>
      <c r="OPD93" s="3"/>
      <c r="OPE93" s="3"/>
      <c r="OPF93" s="3"/>
      <c r="OPG93" s="3"/>
      <c r="OPH93" s="3"/>
      <c r="OPI93" s="3"/>
      <c r="OPJ93" s="3"/>
      <c r="OPK93" s="3"/>
      <c r="OPL93" s="3"/>
      <c r="OPM93" s="3"/>
      <c r="OPN93" s="3"/>
      <c r="OPO93" s="3"/>
      <c r="OPP93" s="3"/>
      <c r="OPQ93" s="3"/>
      <c r="OPR93" s="3"/>
      <c r="OPS93" s="3"/>
      <c r="OPT93" s="3"/>
      <c r="OPU93" s="3"/>
      <c r="OPV93" s="3"/>
      <c r="OPW93" s="3"/>
      <c r="OPX93" s="3"/>
      <c r="OPY93" s="3"/>
      <c r="OPZ93" s="3"/>
      <c r="OQA93" s="3"/>
      <c r="OQB93" s="3"/>
      <c r="OQC93" s="3"/>
      <c r="OQD93" s="3"/>
      <c r="OQE93" s="3"/>
      <c r="OQF93" s="3"/>
      <c r="OQG93" s="3"/>
      <c r="OQH93" s="3"/>
      <c r="OQI93" s="3"/>
      <c r="OQJ93" s="3"/>
      <c r="OQK93" s="3"/>
      <c r="OQL93" s="3"/>
      <c r="OQM93" s="3"/>
      <c r="OQN93" s="3"/>
      <c r="OQO93" s="3"/>
      <c r="OQP93" s="3"/>
      <c r="OQQ93" s="3"/>
      <c r="OQR93" s="3"/>
      <c r="OQS93" s="3"/>
      <c r="OQT93" s="3"/>
      <c r="OQU93" s="3"/>
      <c r="OQV93" s="3"/>
      <c r="OQW93" s="3"/>
      <c r="OQX93" s="3"/>
      <c r="OQY93" s="3"/>
      <c r="OQZ93" s="3"/>
      <c r="ORA93" s="3"/>
      <c r="ORB93" s="3"/>
      <c r="ORC93" s="3"/>
      <c r="ORD93" s="3"/>
      <c r="ORE93" s="3"/>
      <c r="ORF93" s="3"/>
      <c r="ORG93" s="3"/>
      <c r="ORH93" s="3"/>
      <c r="ORI93" s="3"/>
      <c r="ORJ93" s="3"/>
      <c r="ORK93" s="3"/>
      <c r="ORL93" s="3"/>
      <c r="ORM93" s="3"/>
      <c r="ORN93" s="3"/>
      <c r="ORO93" s="3"/>
      <c r="ORP93" s="3"/>
      <c r="ORQ93" s="3"/>
      <c r="ORR93" s="3"/>
      <c r="ORS93" s="3"/>
      <c r="ORT93" s="3"/>
      <c r="ORU93" s="3"/>
      <c r="ORV93" s="3"/>
      <c r="ORW93" s="3"/>
      <c r="ORX93" s="3"/>
      <c r="ORY93" s="3"/>
      <c r="ORZ93" s="3"/>
      <c r="OSA93" s="3"/>
      <c r="OSB93" s="3"/>
      <c r="OSC93" s="3"/>
      <c r="OSD93" s="3"/>
      <c r="OSE93" s="3"/>
      <c r="OSF93" s="3"/>
      <c r="OSG93" s="3"/>
      <c r="OSH93" s="3"/>
      <c r="OSI93" s="3"/>
      <c r="OSJ93" s="3"/>
      <c r="OSK93" s="3"/>
      <c r="OSL93" s="3"/>
      <c r="OSM93" s="3"/>
      <c r="OSN93" s="3"/>
      <c r="OSO93" s="3"/>
      <c r="OSP93" s="3"/>
      <c r="OSQ93" s="3"/>
      <c r="OSR93" s="3"/>
      <c r="OSS93" s="3"/>
      <c r="OST93" s="3"/>
      <c r="OSU93" s="3"/>
      <c r="OSV93" s="3"/>
      <c r="OSW93" s="3"/>
      <c r="OSX93" s="3"/>
      <c r="OSY93" s="3"/>
      <c r="OSZ93" s="3"/>
      <c r="OTA93" s="3"/>
      <c r="OTB93" s="3"/>
      <c r="OTC93" s="3"/>
      <c r="OTD93" s="3"/>
      <c r="OTE93" s="3"/>
      <c r="OTF93" s="3"/>
      <c r="OTG93" s="3"/>
      <c r="OTH93" s="3"/>
      <c r="OTI93" s="3"/>
      <c r="OTJ93" s="3"/>
      <c r="OTK93" s="3"/>
      <c r="OTL93" s="3"/>
      <c r="OTM93" s="3"/>
      <c r="OTN93" s="3"/>
      <c r="OTO93" s="3"/>
      <c r="OTP93" s="3"/>
      <c r="OTQ93" s="3"/>
      <c r="OTR93" s="3"/>
      <c r="OTS93" s="3"/>
      <c r="OTT93" s="3"/>
      <c r="OTU93" s="3"/>
      <c r="OTV93" s="3"/>
      <c r="OTW93" s="3"/>
      <c r="OTX93" s="3"/>
      <c r="OTY93" s="3"/>
      <c r="OTZ93" s="3"/>
      <c r="OUA93" s="3"/>
      <c r="OUB93" s="3"/>
      <c r="OUC93" s="3"/>
      <c r="OUD93" s="3"/>
      <c r="OUE93" s="3"/>
      <c r="OUF93" s="3"/>
      <c r="OUG93" s="3"/>
      <c r="OUH93" s="3"/>
      <c r="OUI93" s="3"/>
      <c r="OUJ93" s="3"/>
      <c r="OUK93" s="3"/>
      <c r="OUL93" s="3"/>
      <c r="OUM93" s="3"/>
      <c r="OUN93" s="3"/>
      <c r="OUO93" s="3"/>
      <c r="OUP93" s="3"/>
      <c r="OUQ93" s="3"/>
      <c r="OUR93" s="3"/>
      <c r="OUS93" s="3"/>
      <c r="OUT93" s="3"/>
      <c r="OUU93" s="3"/>
      <c r="OUV93" s="3"/>
      <c r="OUW93" s="3"/>
      <c r="OUX93" s="3"/>
      <c r="OUY93" s="3"/>
      <c r="OUZ93" s="3"/>
      <c r="OVA93" s="3"/>
      <c r="OVB93" s="3"/>
      <c r="OVC93" s="3"/>
      <c r="OVD93" s="3"/>
      <c r="OVE93" s="3"/>
      <c r="OVF93" s="3"/>
      <c r="OVG93" s="3"/>
      <c r="OVH93" s="3"/>
      <c r="OVI93" s="3"/>
      <c r="OVJ93" s="3"/>
      <c r="OVK93" s="3"/>
      <c r="OVL93" s="3"/>
      <c r="OVM93" s="3"/>
      <c r="OVN93" s="3"/>
      <c r="OVO93" s="3"/>
      <c r="OVP93" s="3"/>
      <c r="OVQ93" s="3"/>
      <c r="OVR93" s="3"/>
      <c r="OVS93" s="3"/>
      <c r="OVT93" s="3"/>
      <c r="OVU93" s="3"/>
      <c r="OVV93" s="3"/>
      <c r="OVW93" s="3"/>
      <c r="OVX93" s="3"/>
      <c r="OVY93" s="3"/>
      <c r="OVZ93" s="3"/>
      <c r="OWA93" s="3"/>
      <c r="OWB93" s="3"/>
      <c r="OWC93" s="3"/>
      <c r="OWD93" s="3"/>
      <c r="OWE93" s="3"/>
      <c r="OWF93" s="3"/>
      <c r="OWG93" s="3"/>
      <c r="OWH93" s="3"/>
      <c r="OWI93" s="3"/>
      <c r="OWJ93" s="3"/>
      <c r="OWK93" s="3"/>
      <c r="OWL93" s="3"/>
      <c r="OWM93" s="3"/>
      <c r="OWN93" s="3"/>
      <c r="OWO93" s="3"/>
      <c r="OWP93" s="3"/>
      <c r="OWQ93" s="3"/>
      <c r="OWR93" s="3"/>
      <c r="OWS93" s="3"/>
      <c r="OWT93" s="3"/>
      <c r="OWU93" s="3"/>
      <c r="OWV93" s="3"/>
      <c r="OWW93" s="3"/>
      <c r="OWX93" s="3"/>
      <c r="OWY93" s="3"/>
      <c r="OWZ93" s="3"/>
      <c r="OXA93" s="3"/>
      <c r="OXB93" s="3"/>
      <c r="OXC93" s="3"/>
      <c r="OXD93" s="3"/>
      <c r="OXE93" s="3"/>
      <c r="OXF93" s="3"/>
      <c r="OXG93" s="3"/>
      <c r="OXH93" s="3"/>
      <c r="OXI93" s="3"/>
      <c r="OXJ93" s="3"/>
      <c r="OXK93" s="3"/>
      <c r="OXL93" s="3"/>
      <c r="OXM93" s="3"/>
      <c r="OXN93" s="3"/>
      <c r="OXO93" s="3"/>
      <c r="OXP93" s="3"/>
      <c r="OXQ93" s="3"/>
      <c r="OXR93" s="3"/>
      <c r="OXS93" s="3"/>
      <c r="OXT93" s="3"/>
      <c r="OXU93" s="3"/>
      <c r="OXV93" s="3"/>
      <c r="OXW93" s="3"/>
      <c r="OXX93" s="3"/>
      <c r="OXY93" s="3"/>
      <c r="OXZ93" s="3"/>
      <c r="OYA93" s="3"/>
      <c r="OYB93" s="3"/>
      <c r="OYC93" s="3"/>
      <c r="OYD93" s="3"/>
      <c r="OYE93" s="3"/>
      <c r="OYF93" s="3"/>
      <c r="OYG93" s="3"/>
      <c r="OYH93" s="3"/>
      <c r="OYI93" s="3"/>
      <c r="OYJ93" s="3"/>
      <c r="OYK93" s="3"/>
      <c r="OYL93" s="3"/>
      <c r="OYM93" s="3"/>
      <c r="OYN93" s="3"/>
      <c r="OYO93" s="3"/>
      <c r="OYP93" s="3"/>
      <c r="OYQ93" s="3"/>
      <c r="OYR93" s="3"/>
      <c r="OYS93" s="3"/>
      <c r="OYT93" s="3"/>
      <c r="OYU93" s="3"/>
      <c r="OYV93" s="3"/>
      <c r="OYW93" s="3"/>
      <c r="OYX93" s="3"/>
      <c r="OYY93" s="3"/>
      <c r="OYZ93" s="3"/>
      <c r="OZA93" s="3"/>
      <c r="OZB93" s="3"/>
      <c r="OZC93" s="3"/>
      <c r="OZD93" s="3"/>
      <c r="OZE93" s="3"/>
      <c r="OZF93" s="3"/>
      <c r="OZG93" s="3"/>
      <c r="OZH93" s="3"/>
      <c r="OZI93" s="3"/>
      <c r="OZJ93" s="3"/>
      <c r="OZK93" s="3"/>
      <c r="OZL93" s="3"/>
      <c r="OZM93" s="3"/>
      <c r="OZN93" s="3"/>
      <c r="OZO93" s="3"/>
      <c r="OZP93" s="3"/>
      <c r="OZQ93" s="3"/>
      <c r="OZR93" s="3"/>
      <c r="OZS93" s="3"/>
      <c r="OZT93" s="3"/>
      <c r="OZU93" s="3"/>
      <c r="OZV93" s="3"/>
      <c r="OZW93" s="3"/>
      <c r="OZX93" s="3"/>
      <c r="OZY93" s="3"/>
      <c r="OZZ93" s="3"/>
      <c r="PAA93" s="3"/>
      <c r="PAB93" s="3"/>
      <c r="PAC93" s="3"/>
      <c r="PAD93" s="3"/>
      <c r="PAE93" s="3"/>
      <c r="PAF93" s="3"/>
      <c r="PAG93" s="3"/>
      <c r="PAH93" s="3"/>
      <c r="PAI93" s="3"/>
      <c r="PAJ93" s="3"/>
      <c r="PAK93" s="3"/>
      <c r="PAL93" s="3"/>
      <c r="PAM93" s="3"/>
      <c r="PAN93" s="3"/>
      <c r="PAO93" s="3"/>
      <c r="PAP93" s="3"/>
      <c r="PAQ93" s="3"/>
      <c r="PAR93" s="3"/>
      <c r="PAS93" s="3"/>
      <c r="PAT93" s="3"/>
      <c r="PAU93" s="3"/>
      <c r="PAV93" s="3"/>
      <c r="PAW93" s="3"/>
      <c r="PAX93" s="3"/>
      <c r="PAY93" s="3"/>
      <c r="PAZ93" s="3"/>
      <c r="PBA93" s="3"/>
      <c r="PBB93" s="3"/>
      <c r="PBC93" s="3"/>
      <c r="PBD93" s="3"/>
      <c r="PBE93" s="3"/>
      <c r="PBF93" s="3"/>
      <c r="PBG93" s="3"/>
      <c r="PBH93" s="3"/>
      <c r="PBI93" s="3"/>
      <c r="PBJ93" s="3"/>
      <c r="PBK93" s="3"/>
      <c r="PBL93" s="3"/>
      <c r="PBM93" s="3"/>
      <c r="PBN93" s="3"/>
      <c r="PBO93" s="3"/>
      <c r="PBP93" s="3"/>
      <c r="PBQ93" s="3"/>
      <c r="PBR93" s="3"/>
      <c r="PBS93" s="3"/>
      <c r="PBT93" s="3"/>
      <c r="PBU93" s="3"/>
      <c r="PBV93" s="3"/>
      <c r="PBW93" s="3"/>
      <c r="PBX93" s="3"/>
      <c r="PBY93" s="3"/>
      <c r="PBZ93" s="3"/>
      <c r="PCA93" s="3"/>
      <c r="PCB93" s="3"/>
      <c r="PCC93" s="3"/>
      <c r="PCD93" s="3"/>
      <c r="PCE93" s="3"/>
      <c r="PCF93" s="3"/>
      <c r="PCG93" s="3"/>
      <c r="PCH93" s="3"/>
      <c r="PCI93" s="3"/>
      <c r="PCJ93" s="3"/>
      <c r="PCK93" s="3"/>
      <c r="PCL93" s="3"/>
      <c r="PCM93" s="3"/>
      <c r="PCN93" s="3"/>
      <c r="PCO93" s="3"/>
      <c r="PCP93" s="3"/>
      <c r="PCQ93" s="3"/>
      <c r="PCR93" s="3"/>
      <c r="PCS93" s="3"/>
      <c r="PCT93" s="3"/>
      <c r="PCU93" s="3"/>
      <c r="PCV93" s="3"/>
      <c r="PCW93" s="3"/>
      <c r="PCX93" s="3"/>
      <c r="PCY93" s="3"/>
      <c r="PCZ93" s="3"/>
      <c r="PDA93" s="3"/>
      <c r="PDB93" s="3"/>
      <c r="PDC93" s="3"/>
      <c r="PDD93" s="3"/>
      <c r="PDE93" s="3"/>
      <c r="PDF93" s="3"/>
      <c r="PDG93" s="3"/>
      <c r="PDH93" s="3"/>
      <c r="PDI93" s="3"/>
      <c r="PDJ93" s="3"/>
      <c r="PDK93" s="3"/>
      <c r="PDL93" s="3"/>
      <c r="PDM93" s="3"/>
      <c r="PDN93" s="3"/>
      <c r="PDO93" s="3"/>
      <c r="PDP93" s="3"/>
      <c r="PDQ93" s="3"/>
      <c r="PDR93" s="3"/>
      <c r="PDS93" s="3"/>
      <c r="PDT93" s="3"/>
      <c r="PDU93" s="3"/>
      <c r="PDV93" s="3"/>
      <c r="PDW93" s="3"/>
      <c r="PDX93" s="3"/>
      <c r="PDY93" s="3"/>
      <c r="PDZ93" s="3"/>
      <c r="PEA93" s="3"/>
      <c r="PEB93" s="3"/>
      <c r="PEC93" s="3"/>
      <c r="PED93" s="3"/>
      <c r="PEE93" s="3"/>
      <c r="PEF93" s="3"/>
      <c r="PEG93" s="3"/>
      <c r="PEH93" s="3"/>
      <c r="PEI93" s="3"/>
      <c r="PEJ93" s="3"/>
      <c r="PEK93" s="3"/>
      <c r="PEL93" s="3"/>
      <c r="PEM93" s="3"/>
      <c r="PEN93" s="3"/>
      <c r="PEO93" s="3"/>
      <c r="PEP93" s="3"/>
      <c r="PEQ93" s="3"/>
      <c r="PER93" s="3"/>
      <c r="PES93" s="3"/>
      <c r="PET93" s="3"/>
      <c r="PEU93" s="3"/>
      <c r="PEV93" s="3"/>
      <c r="PEW93" s="3"/>
      <c r="PEX93" s="3"/>
      <c r="PEY93" s="3"/>
      <c r="PEZ93" s="3"/>
      <c r="PFA93" s="3"/>
      <c r="PFB93" s="3"/>
      <c r="PFC93" s="3"/>
      <c r="PFD93" s="3"/>
      <c r="PFE93" s="3"/>
      <c r="PFF93" s="3"/>
      <c r="PFG93" s="3"/>
      <c r="PFH93" s="3"/>
      <c r="PFI93" s="3"/>
      <c r="PFJ93" s="3"/>
      <c r="PFK93" s="3"/>
      <c r="PFL93" s="3"/>
      <c r="PFM93" s="3"/>
      <c r="PFN93" s="3"/>
      <c r="PFO93" s="3"/>
      <c r="PFP93" s="3"/>
      <c r="PFQ93" s="3"/>
      <c r="PFR93" s="3"/>
      <c r="PFS93" s="3"/>
      <c r="PFT93" s="3"/>
      <c r="PFU93" s="3"/>
      <c r="PFV93" s="3"/>
      <c r="PFW93" s="3"/>
      <c r="PFX93" s="3"/>
      <c r="PFY93" s="3"/>
      <c r="PFZ93" s="3"/>
      <c r="PGA93" s="3"/>
      <c r="PGB93" s="3"/>
      <c r="PGC93" s="3"/>
      <c r="PGD93" s="3"/>
      <c r="PGE93" s="3"/>
      <c r="PGF93" s="3"/>
      <c r="PGG93" s="3"/>
      <c r="PGH93" s="3"/>
      <c r="PGI93" s="3"/>
      <c r="PGJ93" s="3"/>
      <c r="PGK93" s="3"/>
      <c r="PGL93" s="3"/>
      <c r="PGM93" s="3"/>
      <c r="PGN93" s="3"/>
      <c r="PGO93" s="3"/>
      <c r="PGP93" s="3"/>
      <c r="PGQ93" s="3"/>
      <c r="PGR93" s="3"/>
      <c r="PGS93" s="3"/>
      <c r="PGT93" s="3"/>
      <c r="PGU93" s="3"/>
      <c r="PGV93" s="3"/>
      <c r="PGW93" s="3"/>
      <c r="PGX93" s="3"/>
      <c r="PGY93" s="3"/>
      <c r="PGZ93" s="3"/>
      <c r="PHA93" s="3"/>
      <c r="PHB93" s="3"/>
      <c r="PHC93" s="3"/>
      <c r="PHD93" s="3"/>
      <c r="PHE93" s="3"/>
      <c r="PHF93" s="3"/>
      <c r="PHG93" s="3"/>
      <c r="PHH93" s="3"/>
      <c r="PHI93" s="3"/>
      <c r="PHJ93" s="3"/>
      <c r="PHK93" s="3"/>
      <c r="PHL93" s="3"/>
      <c r="PHM93" s="3"/>
      <c r="PHN93" s="3"/>
      <c r="PHO93" s="3"/>
      <c r="PHP93" s="3"/>
      <c r="PHQ93" s="3"/>
      <c r="PHR93" s="3"/>
      <c r="PHS93" s="3"/>
      <c r="PHT93" s="3"/>
      <c r="PHU93" s="3"/>
      <c r="PHV93" s="3"/>
      <c r="PHW93" s="3"/>
      <c r="PHX93" s="3"/>
      <c r="PHY93" s="3"/>
      <c r="PHZ93" s="3"/>
      <c r="PIA93" s="3"/>
      <c r="PIB93" s="3"/>
      <c r="PIC93" s="3"/>
      <c r="PID93" s="3"/>
      <c r="PIE93" s="3"/>
      <c r="PIF93" s="3"/>
      <c r="PIG93" s="3"/>
      <c r="PIH93" s="3"/>
      <c r="PII93" s="3"/>
      <c r="PIJ93" s="3"/>
      <c r="PIK93" s="3"/>
      <c r="PIL93" s="3"/>
      <c r="PIM93" s="3"/>
      <c r="PIN93" s="3"/>
      <c r="PIO93" s="3"/>
      <c r="PIP93" s="3"/>
      <c r="PIQ93" s="3"/>
      <c r="PIR93" s="3"/>
      <c r="PIS93" s="3"/>
      <c r="PIT93" s="3"/>
      <c r="PIU93" s="3"/>
      <c r="PIV93" s="3"/>
      <c r="PIW93" s="3"/>
      <c r="PIX93" s="3"/>
      <c r="PIY93" s="3"/>
      <c r="PIZ93" s="3"/>
      <c r="PJA93" s="3"/>
      <c r="PJB93" s="3"/>
      <c r="PJC93" s="3"/>
      <c r="PJD93" s="3"/>
      <c r="PJE93" s="3"/>
      <c r="PJF93" s="3"/>
      <c r="PJG93" s="3"/>
      <c r="PJH93" s="3"/>
      <c r="PJI93" s="3"/>
      <c r="PJJ93" s="3"/>
      <c r="PJK93" s="3"/>
      <c r="PJL93" s="3"/>
      <c r="PJM93" s="3"/>
      <c r="PJN93" s="3"/>
      <c r="PJO93" s="3"/>
      <c r="PJP93" s="3"/>
      <c r="PJQ93" s="3"/>
      <c r="PJR93" s="3"/>
      <c r="PJS93" s="3"/>
      <c r="PJT93" s="3"/>
      <c r="PJU93" s="3"/>
      <c r="PJV93" s="3"/>
      <c r="PJW93" s="3"/>
      <c r="PJX93" s="3"/>
      <c r="PJY93" s="3"/>
      <c r="PJZ93" s="3"/>
      <c r="PKA93" s="3"/>
      <c r="PKB93" s="3"/>
      <c r="PKC93" s="3"/>
      <c r="PKD93" s="3"/>
      <c r="PKE93" s="3"/>
      <c r="PKF93" s="3"/>
      <c r="PKG93" s="3"/>
      <c r="PKH93" s="3"/>
      <c r="PKI93" s="3"/>
      <c r="PKJ93" s="3"/>
      <c r="PKK93" s="3"/>
      <c r="PKL93" s="3"/>
      <c r="PKM93" s="3"/>
      <c r="PKN93" s="3"/>
      <c r="PKO93" s="3"/>
      <c r="PKP93" s="3"/>
      <c r="PKQ93" s="3"/>
      <c r="PKR93" s="3"/>
      <c r="PKS93" s="3"/>
      <c r="PKT93" s="3"/>
      <c r="PKU93" s="3"/>
      <c r="PKV93" s="3"/>
      <c r="PKW93" s="3"/>
      <c r="PKX93" s="3"/>
      <c r="PKY93" s="3"/>
      <c r="PKZ93" s="3"/>
      <c r="PLA93" s="3"/>
      <c r="PLB93" s="3"/>
      <c r="PLC93" s="3"/>
      <c r="PLD93" s="3"/>
      <c r="PLE93" s="3"/>
      <c r="PLF93" s="3"/>
      <c r="PLG93" s="3"/>
      <c r="PLH93" s="3"/>
      <c r="PLI93" s="3"/>
      <c r="PLJ93" s="3"/>
      <c r="PLK93" s="3"/>
      <c r="PLL93" s="3"/>
      <c r="PLM93" s="3"/>
      <c r="PLN93" s="3"/>
      <c r="PLO93" s="3"/>
      <c r="PLP93" s="3"/>
      <c r="PLQ93" s="3"/>
      <c r="PLR93" s="3"/>
      <c r="PLS93" s="3"/>
      <c r="PLT93" s="3"/>
      <c r="PLU93" s="3"/>
      <c r="PLV93" s="3"/>
      <c r="PLW93" s="3"/>
      <c r="PLX93" s="3"/>
      <c r="PLY93" s="3"/>
      <c r="PLZ93" s="3"/>
      <c r="PMA93" s="3"/>
      <c r="PMB93" s="3"/>
      <c r="PMC93" s="3"/>
      <c r="PMD93" s="3"/>
      <c r="PME93" s="3"/>
      <c r="PMF93" s="3"/>
      <c r="PMG93" s="3"/>
      <c r="PMH93" s="3"/>
      <c r="PMI93" s="3"/>
      <c r="PMJ93" s="3"/>
      <c r="PMK93" s="3"/>
      <c r="PML93" s="3"/>
      <c r="PMM93" s="3"/>
      <c r="PMN93" s="3"/>
      <c r="PMO93" s="3"/>
      <c r="PMP93" s="3"/>
      <c r="PMQ93" s="3"/>
      <c r="PMR93" s="3"/>
      <c r="PMS93" s="3"/>
      <c r="PMT93" s="3"/>
      <c r="PMU93" s="3"/>
      <c r="PMV93" s="3"/>
      <c r="PMW93" s="3"/>
      <c r="PMX93" s="3"/>
      <c r="PMY93" s="3"/>
      <c r="PMZ93" s="3"/>
      <c r="PNA93" s="3"/>
      <c r="PNB93" s="3"/>
      <c r="PNC93" s="3"/>
      <c r="PND93" s="3"/>
      <c r="PNE93" s="3"/>
      <c r="PNF93" s="3"/>
      <c r="PNG93" s="3"/>
      <c r="PNH93" s="3"/>
      <c r="PNI93" s="3"/>
      <c r="PNJ93" s="3"/>
      <c r="PNK93" s="3"/>
      <c r="PNL93" s="3"/>
      <c r="PNM93" s="3"/>
      <c r="PNN93" s="3"/>
      <c r="PNO93" s="3"/>
      <c r="PNP93" s="3"/>
      <c r="PNQ93" s="3"/>
      <c r="PNR93" s="3"/>
      <c r="PNS93" s="3"/>
      <c r="PNT93" s="3"/>
      <c r="PNU93" s="3"/>
      <c r="PNV93" s="3"/>
      <c r="PNW93" s="3"/>
      <c r="PNX93" s="3"/>
      <c r="PNY93" s="3"/>
      <c r="PNZ93" s="3"/>
      <c r="POA93" s="3"/>
      <c r="POB93" s="3"/>
      <c r="POC93" s="3"/>
      <c r="POD93" s="3"/>
      <c r="POE93" s="3"/>
      <c r="POF93" s="3"/>
      <c r="POG93" s="3"/>
      <c r="POH93" s="3"/>
      <c r="POI93" s="3"/>
      <c r="POJ93" s="3"/>
      <c r="POK93" s="3"/>
      <c r="POL93" s="3"/>
      <c r="POM93" s="3"/>
      <c r="PON93" s="3"/>
      <c r="POO93" s="3"/>
      <c r="POP93" s="3"/>
      <c r="POQ93" s="3"/>
      <c r="POR93" s="3"/>
      <c r="POS93" s="3"/>
      <c r="POT93" s="3"/>
      <c r="POU93" s="3"/>
      <c r="POV93" s="3"/>
      <c r="POW93" s="3"/>
      <c r="POX93" s="3"/>
      <c r="POY93" s="3"/>
      <c r="POZ93" s="3"/>
      <c r="PPA93" s="3"/>
      <c r="PPB93" s="3"/>
      <c r="PPC93" s="3"/>
      <c r="PPD93" s="3"/>
      <c r="PPE93" s="3"/>
      <c r="PPF93" s="3"/>
      <c r="PPG93" s="3"/>
      <c r="PPH93" s="3"/>
      <c r="PPI93" s="3"/>
      <c r="PPJ93" s="3"/>
      <c r="PPK93" s="3"/>
      <c r="PPL93" s="3"/>
      <c r="PPM93" s="3"/>
      <c r="PPN93" s="3"/>
      <c r="PPO93" s="3"/>
      <c r="PPP93" s="3"/>
      <c r="PPQ93" s="3"/>
      <c r="PPR93" s="3"/>
      <c r="PPS93" s="3"/>
      <c r="PPT93" s="3"/>
      <c r="PPU93" s="3"/>
      <c r="PPV93" s="3"/>
      <c r="PPW93" s="3"/>
      <c r="PPX93" s="3"/>
      <c r="PPY93" s="3"/>
      <c r="PPZ93" s="3"/>
      <c r="PQA93" s="3"/>
      <c r="PQB93" s="3"/>
      <c r="PQC93" s="3"/>
      <c r="PQD93" s="3"/>
      <c r="PQE93" s="3"/>
      <c r="PQF93" s="3"/>
      <c r="PQG93" s="3"/>
      <c r="PQH93" s="3"/>
      <c r="PQI93" s="3"/>
      <c r="PQJ93" s="3"/>
      <c r="PQK93" s="3"/>
      <c r="PQL93" s="3"/>
      <c r="PQM93" s="3"/>
      <c r="PQN93" s="3"/>
      <c r="PQO93" s="3"/>
      <c r="PQP93" s="3"/>
      <c r="PQQ93" s="3"/>
      <c r="PQR93" s="3"/>
      <c r="PQS93" s="3"/>
      <c r="PQT93" s="3"/>
      <c r="PQU93" s="3"/>
      <c r="PQV93" s="3"/>
      <c r="PQW93" s="3"/>
      <c r="PQX93" s="3"/>
      <c r="PQY93" s="3"/>
      <c r="PQZ93" s="3"/>
      <c r="PRA93" s="3"/>
      <c r="PRB93" s="3"/>
      <c r="PRC93" s="3"/>
      <c r="PRD93" s="3"/>
      <c r="PRE93" s="3"/>
      <c r="PRF93" s="3"/>
      <c r="PRG93" s="3"/>
      <c r="PRH93" s="3"/>
      <c r="PRI93" s="3"/>
      <c r="PRJ93" s="3"/>
      <c r="PRK93" s="3"/>
      <c r="PRL93" s="3"/>
      <c r="PRM93" s="3"/>
      <c r="PRN93" s="3"/>
      <c r="PRO93" s="3"/>
      <c r="PRP93" s="3"/>
      <c r="PRQ93" s="3"/>
      <c r="PRR93" s="3"/>
      <c r="PRS93" s="3"/>
      <c r="PRT93" s="3"/>
      <c r="PRU93" s="3"/>
      <c r="PRV93" s="3"/>
      <c r="PRW93" s="3"/>
      <c r="PRX93" s="3"/>
      <c r="PRY93" s="3"/>
      <c r="PRZ93" s="3"/>
      <c r="PSA93" s="3"/>
      <c r="PSB93" s="3"/>
      <c r="PSC93" s="3"/>
      <c r="PSD93" s="3"/>
      <c r="PSE93" s="3"/>
      <c r="PSF93" s="3"/>
      <c r="PSG93" s="3"/>
      <c r="PSH93" s="3"/>
      <c r="PSI93" s="3"/>
      <c r="PSJ93" s="3"/>
      <c r="PSK93" s="3"/>
      <c r="PSL93" s="3"/>
      <c r="PSM93" s="3"/>
      <c r="PSN93" s="3"/>
      <c r="PSO93" s="3"/>
      <c r="PSP93" s="3"/>
      <c r="PSQ93" s="3"/>
      <c r="PSR93" s="3"/>
      <c r="PSS93" s="3"/>
      <c r="PST93" s="3"/>
      <c r="PSU93" s="3"/>
      <c r="PSV93" s="3"/>
      <c r="PSW93" s="3"/>
      <c r="PSX93" s="3"/>
      <c r="PSY93" s="3"/>
      <c r="PSZ93" s="3"/>
      <c r="PTA93" s="3"/>
      <c r="PTB93" s="3"/>
      <c r="PTC93" s="3"/>
      <c r="PTD93" s="3"/>
      <c r="PTE93" s="3"/>
      <c r="PTF93" s="3"/>
      <c r="PTG93" s="3"/>
      <c r="PTH93" s="3"/>
      <c r="PTI93" s="3"/>
      <c r="PTJ93" s="3"/>
      <c r="PTK93" s="3"/>
      <c r="PTL93" s="3"/>
      <c r="PTM93" s="3"/>
      <c r="PTN93" s="3"/>
      <c r="PTO93" s="3"/>
      <c r="PTP93" s="3"/>
      <c r="PTQ93" s="3"/>
      <c r="PTR93" s="3"/>
      <c r="PTS93" s="3"/>
      <c r="PTT93" s="3"/>
      <c r="PTU93" s="3"/>
      <c r="PTV93" s="3"/>
      <c r="PTW93" s="3"/>
      <c r="PTX93" s="3"/>
      <c r="PTY93" s="3"/>
      <c r="PTZ93" s="3"/>
      <c r="PUA93" s="3"/>
      <c r="PUB93" s="3"/>
      <c r="PUC93" s="3"/>
      <c r="PUD93" s="3"/>
      <c r="PUE93" s="3"/>
      <c r="PUF93" s="3"/>
      <c r="PUG93" s="3"/>
      <c r="PUH93" s="3"/>
      <c r="PUI93" s="3"/>
      <c r="PUJ93" s="3"/>
      <c r="PUK93" s="3"/>
      <c r="PUL93" s="3"/>
      <c r="PUM93" s="3"/>
      <c r="PUN93" s="3"/>
      <c r="PUO93" s="3"/>
      <c r="PUP93" s="3"/>
      <c r="PUQ93" s="3"/>
      <c r="PUR93" s="3"/>
      <c r="PUS93" s="3"/>
      <c r="PUT93" s="3"/>
      <c r="PUU93" s="3"/>
      <c r="PUV93" s="3"/>
      <c r="PUW93" s="3"/>
      <c r="PUX93" s="3"/>
      <c r="PUY93" s="3"/>
      <c r="PUZ93" s="3"/>
      <c r="PVA93" s="3"/>
      <c r="PVB93" s="3"/>
      <c r="PVC93" s="3"/>
      <c r="PVD93" s="3"/>
      <c r="PVE93" s="3"/>
      <c r="PVF93" s="3"/>
      <c r="PVG93" s="3"/>
      <c r="PVH93" s="3"/>
      <c r="PVI93" s="3"/>
      <c r="PVJ93" s="3"/>
      <c r="PVK93" s="3"/>
      <c r="PVL93" s="3"/>
      <c r="PVM93" s="3"/>
      <c r="PVN93" s="3"/>
      <c r="PVO93" s="3"/>
      <c r="PVP93" s="3"/>
      <c r="PVQ93" s="3"/>
      <c r="PVR93" s="3"/>
      <c r="PVS93" s="3"/>
      <c r="PVT93" s="3"/>
      <c r="PVU93" s="3"/>
      <c r="PVV93" s="3"/>
      <c r="PVW93" s="3"/>
      <c r="PVX93" s="3"/>
      <c r="PVY93" s="3"/>
      <c r="PVZ93" s="3"/>
      <c r="PWA93" s="3"/>
      <c r="PWB93" s="3"/>
      <c r="PWC93" s="3"/>
      <c r="PWD93" s="3"/>
      <c r="PWE93" s="3"/>
      <c r="PWF93" s="3"/>
      <c r="PWG93" s="3"/>
      <c r="PWH93" s="3"/>
      <c r="PWI93" s="3"/>
      <c r="PWJ93" s="3"/>
      <c r="PWK93" s="3"/>
      <c r="PWL93" s="3"/>
      <c r="PWM93" s="3"/>
      <c r="PWN93" s="3"/>
      <c r="PWO93" s="3"/>
      <c r="PWP93" s="3"/>
      <c r="PWQ93" s="3"/>
      <c r="PWR93" s="3"/>
      <c r="PWS93" s="3"/>
      <c r="PWT93" s="3"/>
      <c r="PWU93" s="3"/>
      <c r="PWV93" s="3"/>
      <c r="PWW93" s="3"/>
      <c r="PWX93" s="3"/>
      <c r="PWY93" s="3"/>
      <c r="PWZ93" s="3"/>
      <c r="PXA93" s="3"/>
      <c r="PXB93" s="3"/>
      <c r="PXC93" s="3"/>
      <c r="PXD93" s="3"/>
      <c r="PXE93" s="3"/>
      <c r="PXF93" s="3"/>
      <c r="PXG93" s="3"/>
      <c r="PXH93" s="3"/>
      <c r="PXI93" s="3"/>
      <c r="PXJ93" s="3"/>
      <c r="PXK93" s="3"/>
      <c r="PXL93" s="3"/>
      <c r="PXM93" s="3"/>
      <c r="PXN93" s="3"/>
      <c r="PXO93" s="3"/>
      <c r="PXP93" s="3"/>
      <c r="PXQ93" s="3"/>
      <c r="PXR93" s="3"/>
      <c r="PXS93" s="3"/>
      <c r="PXT93" s="3"/>
      <c r="PXU93" s="3"/>
      <c r="PXV93" s="3"/>
      <c r="PXW93" s="3"/>
      <c r="PXX93" s="3"/>
      <c r="PXY93" s="3"/>
      <c r="PXZ93" s="3"/>
      <c r="PYA93" s="3"/>
      <c r="PYB93" s="3"/>
      <c r="PYC93" s="3"/>
      <c r="PYD93" s="3"/>
      <c r="PYE93" s="3"/>
      <c r="PYF93" s="3"/>
      <c r="PYG93" s="3"/>
      <c r="PYH93" s="3"/>
      <c r="PYI93" s="3"/>
      <c r="PYJ93" s="3"/>
      <c r="PYK93" s="3"/>
      <c r="PYL93" s="3"/>
      <c r="PYM93" s="3"/>
      <c r="PYN93" s="3"/>
      <c r="PYO93" s="3"/>
      <c r="PYP93" s="3"/>
      <c r="PYQ93" s="3"/>
      <c r="PYR93" s="3"/>
      <c r="PYS93" s="3"/>
      <c r="PYT93" s="3"/>
      <c r="PYU93" s="3"/>
      <c r="PYV93" s="3"/>
      <c r="PYW93" s="3"/>
      <c r="PYX93" s="3"/>
      <c r="PYY93" s="3"/>
      <c r="PYZ93" s="3"/>
      <c r="PZA93" s="3"/>
      <c r="PZB93" s="3"/>
      <c r="PZC93" s="3"/>
      <c r="PZD93" s="3"/>
      <c r="PZE93" s="3"/>
      <c r="PZF93" s="3"/>
      <c r="PZG93" s="3"/>
      <c r="PZH93" s="3"/>
      <c r="PZI93" s="3"/>
      <c r="PZJ93" s="3"/>
      <c r="PZK93" s="3"/>
      <c r="PZL93" s="3"/>
      <c r="PZM93" s="3"/>
      <c r="PZN93" s="3"/>
      <c r="PZO93" s="3"/>
      <c r="PZP93" s="3"/>
      <c r="PZQ93" s="3"/>
      <c r="PZR93" s="3"/>
      <c r="PZS93" s="3"/>
      <c r="PZT93" s="3"/>
      <c r="PZU93" s="3"/>
      <c r="PZV93" s="3"/>
      <c r="PZW93" s="3"/>
      <c r="PZX93" s="3"/>
      <c r="PZY93" s="3"/>
      <c r="PZZ93" s="3"/>
      <c r="QAA93" s="3"/>
      <c r="QAB93" s="3"/>
      <c r="QAC93" s="3"/>
      <c r="QAD93" s="3"/>
      <c r="QAE93" s="3"/>
      <c r="QAF93" s="3"/>
      <c r="QAG93" s="3"/>
      <c r="QAH93" s="3"/>
      <c r="QAI93" s="3"/>
      <c r="QAJ93" s="3"/>
      <c r="QAK93" s="3"/>
      <c r="QAL93" s="3"/>
      <c r="QAM93" s="3"/>
      <c r="QAN93" s="3"/>
      <c r="QAO93" s="3"/>
      <c r="QAP93" s="3"/>
      <c r="QAQ93" s="3"/>
      <c r="QAR93" s="3"/>
      <c r="QAS93" s="3"/>
      <c r="QAT93" s="3"/>
      <c r="QAU93" s="3"/>
      <c r="QAV93" s="3"/>
      <c r="QAW93" s="3"/>
      <c r="QAX93" s="3"/>
      <c r="QAY93" s="3"/>
      <c r="QAZ93" s="3"/>
      <c r="QBA93" s="3"/>
      <c r="QBB93" s="3"/>
      <c r="QBC93" s="3"/>
      <c r="QBD93" s="3"/>
      <c r="QBE93" s="3"/>
      <c r="QBF93" s="3"/>
      <c r="QBG93" s="3"/>
      <c r="QBH93" s="3"/>
      <c r="QBI93" s="3"/>
      <c r="QBJ93" s="3"/>
      <c r="QBK93" s="3"/>
      <c r="QBL93" s="3"/>
      <c r="QBM93" s="3"/>
      <c r="QBN93" s="3"/>
      <c r="QBO93" s="3"/>
      <c r="QBP93" s="3"/>
      <c r="QBQ93" s="3"/>
      <c r="QBR93" s="3"/>
      <c r="QBS93" s="3"/>
      <c r="QBT93" s="3"/>
      <c r="QBU93" s="3"/>
      <c r="QBV93" s="3"/>
      <c r="QBW93" s="3"/>
      <c r="QBX93" s="3"/>
      <c r="QBY93" s="3"/>
      <c r="QBZ93" s="3"/>
      <c r="QCA93" s="3"/>
      <c r="QCB93" s="3"/>
      <c r="QCC93" s="3"/>
      <c r="QCD93" s="3"/>
      <c r="QCE93" s="3"/>
      <c r="QCF93" s="3"/>
      <c r="QCG93" s="3"/>
      <c r="QCH93" s="3"/>
      <c r="QCI93" s="3"/>
      <c r="QCJ93" s="3"/>
      <c r="QCK93" s="3"/>
      <c r="QCL93" s="3"/>
      <c r="QCM93" s="3"/>
      <c r="QCN93" s="3"/>
      <c r="QCO93" s="3"/>
      <c r="QCP93" s="3"/>
      <c r="QCQ93" s="3"/>
      <c r="QCR93" s="3"/>
      <c r="QCS93" s="3"/>
      <c r="QCT93" s="3"/>
      <c r="QCU93" s="3"/>
      <c r="QCV93" s="3"/>
      <c r="QCW93" s="3"/>
      <c r="QCX93" s="3"/>
      <c r="QCY93" s="3"/>
      <c r="QCZ93" s="3"/>
      <c r="QDA93" s="3"/>
      <c r="QDB93" s="3"/>
      <c r="QDC93" s="3"/>
      <c r="QDD93" s="3"/>
      <c r="QDE93" s="3"/>
      <c r="QDF93" s="3"/>
      <c r="QDG93" s="3"/>
      <c r="QDH93" s="3"/>
      <c r="QDI93" s="3"/>
      <c r="QDJ93" s="3"/>
      <c r="QDK93" s="3"/>
      <c r="QDL93" s="3"/>
      <c r="QDM93" s="3"/>
      <c r="QDN93" s="3"/>
      <c r="QDO93" s="3"/>
      <c r="QDP93" s="3"/>
      <c r="QDQ93" s="3"/>
      <c r="QDR93" s="3"/>
      <c r="QDS93" s="3"/>
      <c r="QDT93" s="3"/>
      <c r="QDU93" s="3"/>
      <c r="QDV93" s="3"/>
      <c r="QDW93" s="3"/>
      <c r="QDX93" s="3"/>
      <c r="QDY93" s="3"/>
      <c r="QDZ93" s="3"/>
      <c r="QEA93" s="3"/>
      <c r="QEB93" s="3"/>
      <c r="QEC93" s="3"/>
      <c r="QED93" s="3"/>
      <c r="QEE93" s="3"/>
      <c r="QEF93" s="3"/>
      <c r="QEG93" s="3"/>
      <c r="QEH93" s="3"/>
      <c r="QEI93" s="3"/>
      <c r="QEJ93" s="3"/>
      <c r="QEK93" s="3"/>
      <c r="QEL93" s="3"/>
      <c r="QEM93" s="3"/>
      <c r="QEN93" s="3"/>
      <c r="QEO93" s="3"/>
      <c r="QEP93" s="3"/>
      <c r="QEQ93" s="3"/>
      <c r="QER93" s="3"/>
      <c r="QES93" s="3"/>
      <c r="QET93" s="3"/>
      <c r="QEU93" s="3"/>
      <c r="QEV93" s="3"/>
      <c r="QEW93" s="3"/>
      <c r="QEX93" s="3"/>
      <c r="QEY93" s="3"/>
      <c r="QEZ93" s="3"/>
      <c r="QFA93" s="3"/>
      <c r="QFB93" s="3"/>
      <c r="QFC93" s="3"/>
      <c r="QFD93" s="3"/>
      <c r="QFE93" s="3"/>
      <c r="QFF93" s="3"/>
      <c r="QFG93" s="3"/>
      <c r="QFH93" s="3"/>
      <c r="QFI93" s="3"/>
      <c r="QFJ93" s="3"/>
      <c r="QFK93" s="3"/>
      <c r="QFL93" s="3"/>
      <c r="QFM93" s="3"/>
      <c r="QFN93" s="3"/>
      <c r="QFO93" s="3"/>
      <c r="QFP93" s="3"/>
      <c r="QFQ93" s="3"/>
      <c r="QFR93" s="3"/>
      <c r="QFS93" s="3"/>
      <c r="QFT93" s="3"/>
      <c r="QFU93" s="3"/>
      <c r="QFV93" s="3"/>
      <c r="QFW93" s="3"/>
      <c r="QFX93" s="3"/>
      <c r="QFY93" s="3"/>
      <c r="QFZ93" s="3"/>
      <c r="QGA93" s="3"/>
      <c r="QGB93" s="3"/>
      <c r="QGC93" s="3"/>
      <c r="QGD93" s="3"/>
      <c r="QGE93" s="3"/>
      <c r="QGF93" s="3"/>
      <c r="QGG93" s="3"/>
      <c r="QGH93" s="3"/>
      <c r="QGI93" s="3"/>
      <c r="QGJ93" s="3"/>
      <c r="QGK93" s="3"/>
      <c r="QGL93" s="3"/>
      <c r="QGM93" s="3"/>
      <c r="QGN93" s="3"/>
      <c r="QGO93" s="3"/>
      <c r="QGP93" s="3"/>
      <c r="QGQ93" s="3"/>
      <c r="QGR93" s="3"/>
      <c r="QGS93" s="3"/>
      <c r="QGT93" s="3"/>
      <c r="QGU93" s="3"/>
      <c r="QGV93" s="3"/>
      <c r="QGW93" s="3"/>
      <c r="QGX93" s="3"/>
      <c r="QGY93" s="3"/>
      <c r="QGZ93" s="3"/>
      <c r="QHA93" s="3"/>
      <c r="QHB93" s="3"/>
      <c r="QHC93" s="3"/>
      <c r="QHD93" s="3"/>
      <c r="QHE93" s="3"/>
      <c r="QHF93" s="3"/>
      <c r="QHG93" s="3"/>
      <c r="QHH93" s="3"/>
      <c r="QHI93" s="3"/>
      <c r="QHJ93" s="3"/>
      <c r="QHK93" s="3"/>
      <c r="QHL93" s="3"/>
      <c r="QHM93" s="3"/>
      <c r="QHN93" s="3"/>
      <c r="QHO93" s="3"/>
      <c r="QHP93" s="3"/>
      <c r="QHQ93" s="3"/>
      <c r="QHR93" s="3"/>
      <c r="QHS93" s="3"/>
      <c r="QHT93" s="3"/>
      <c r="QHU93" s="3"/>
      <c r="QHV93" s="3"/>
      <c r="QHW93" s="3"/>
      <c r="QHX93" s="3"/>
      <c r="QHY93" s="3"/>
      <c r="QHZ93" s="3"/>
      <c r="QIA93" s="3"/>
      <c r="QIB93" s="3"/>
      <c r="QIC93" s="3"/>
      <c r="QID93" s="3"/>
      <c r="QIE93" s="3"/>
      <c r="QIF93" s="3"/>
      <c r="QIG93" s="3"/>
      <c r="QIH93" s="3"/>
      <c r="QII93" s="3"/>
      <c r="QIJ93" s="3"/>
      <c r="QIK93" s="3"/>
      <c r="QIL93" s="3"/>
      <c r="QIM93" s="3"/>
      <c r="QIN93" s="3"/>
      <c r="QIO93" s="3"/>
      <c r="QIP93" s="3"/>
      <c r="QIQ93" s="3"/>
      <c r="QIR93" s="3"/>
      <c r="QIS93" s="3"/>
      <c r="QIT93" s="3"/>
      <c r="QIU93" s="3"/>
      <c r="QIV93" s="3"/>
      <c r="QIW93" s="3"/>
      <c r="QIX93" s="3"/>
      <c r="QIY93" s="3"/>
      <c r="QIZ93" s="3"/>
      <c r="QJA93" s="3"/>
      <c r="QJB93" s="3"/>
      <c r="QJC93" s="3"/>
      <c r="QJD93" s="3"/>
      <c r="QJE93" s="3"/>
      <c r="QJF93" s="3"/>
      <c r="QJG93" s="3"/>
      <c r="QJH93" s="3"/>
      <c r="QJI93" s="3"/>
      <c r="QJJ93" s="3"/>
      <c r="QJK93" s="3"/>
      <c r="QJL93" s="3"/>
      <c r="QJM93" s="3"/>
      <c r="QJN93" s="3"/>
      <c r="QJO93" s="3"/>
      <c r="QJP93" s="3"/>
      <c r="QJQ93" s="3"/>
      <c r="QJR93" s="3"/>
      <c r="QJS93" s="3"/>
      <c r="QJT93" s="3"/>
      <c r="QJU93" s="3"/>
      <c r="QJV93" s="3"/>
      <c r="QJW93" s="3"/>
      <c r="QJX93" s="3"/>
      <c r="QJY93" s="3"/>
      <c r="QJZ93" s="3"/>
      <c r="QKA93" s="3"/>
      <c r="QKB93" s="3"/>
      <c r="QKC93" s="3"/>
      <c r="QKD93" s="3"/>
      <c r="QKE93" s="3"/>
      <c r="QKF93" s="3"/>
      <c r="QKG93" s="3"/>
      <c r="QKH93" s="3"/>
      <c r="QKI93" s="3"/>
      <c r="QKJ93" s="3"/>
      <c r="QKK93" s="3"/>
      <c r="QKL93" s="3"/>
      <c r="QKM93" s="3"/>
      <c r="QKN93" s="3"/>
      <c r="QKO93" s="3"/>
      <c r="QKP93" s="3"/>
      <c r="QKQ93" s="3"/>
      <c r="QKR93" s="3"/>
      <c r="QKS93" s="3"/>
      <c r="QKT93" s="3"/>
      <c r="QKU93" s="3"/>
      <c r="QKV93" s="3"/>
      <c r="QKW93" s="3"/>
      <c r="QKX93" s="3"/>
      <c r="QKY93" s="3"/>
      <c r="QKZ93" s="3"/>
      <c r="QLA93" s="3"/>
      <c r="QLB93" s="3"/>
      <c r="QLC93" s="3"/>
      <c r="QLD93" s="3"/>
      <c r="QLE93" s="3"/>
      <c r="QLF93" s="3"/>
      <c r="QLG93" s="3"/>
      <c r="QLH93" s="3"/>
      <c r="QLI93" s="3"/>
      <c r="QLJ93" s="3"/>
      <c r="QLK93" s="3"/>
      <c r="QLL93" s="3"/>
      <c r="QLM93" s="3"/>
      <c r="QLN93" s="3"/>
      <c r="QLO93" s="3"/>
      <c r="QLP93" s="3"/>
      <c r="QLQ93" s="3"/>
      <c r="QLR93" s="3"/>
      <c r="QLS93" s="3"/>
      <c r="QLT93" s="3"/>
      <c r="QLU93" s="3"/>
      <c r="QLV93" s="3"/>
      <c r="QLW93" s="3"/>
      <c r="QLX93" s="3"/>
      <c r="QLY93" s="3"/>
      <c r="QLZ93" s="3"/>
      <c r="QMA93" s="3"/>
      <c r="QMB93" s="3"/>
      <c r="QMC93" s="3"/>
      <c r="QMD93" s="3"/>
      <c r="QME93" s="3"/>
      <c r="QMF93" s="3"/>
      <c r="QMG93" s="3"/>
      <c r="QMH93" s="3"/>
      <c r="QMI93" s="3"/>
      <c r="QMJ93" s="3"/>
      <c r="QMK93" s="3"/>
      <c r="QML93" s="3"/>
      <c r="QMM93" s="3"/>
      <c r="QMN93" s="3"/>
      <c r="QMO93" s="3"/>
      <c r="QMP93" s="3"/>
      <c r="QMQ93" s="3"/>
      <c r="QMR93" s="3"/>
      <c r="QMS93" s="3"/>
      <c r="QMT93" s="3"/>
      <c r="QMU93" s="3"/>
      <c r="QMV93" s="3"/>
      <c r="QMW93" s="3"/>
      <c r="QMX93" s="3"/>
      <c r="QMY93" s="3"/>
      <c r="QMZ93" s="3"/>
      <c r="QNA93" s="3"/>
      <c r="QNB93" s="3"/>
      <c r="QNC93" s="3"/>
      <c r="QND93" s="3"/>
      <c r="QNE93" s="3"/>
      <c r="QNF93" s="3"/>
      <c r="QNG93" s="3"/>
      <c r="QNH93" s="3"/>
      <c r="QNI93" s="3"/>
      <c r="QNJ93" s="3"/>
      <c r="QNK93" s="3"/>
      <c r="QNL93" s="3"/>
      <c r="QNM93" s="3"/>
      <c r="QNN93" s="3"/>
      <c r="QNO93" s="3"/>
      <c r="QNP93" s="3"/>
      <c r="QNQ93" s="3"/>
      <c r="QNR93" s="3"/>
      <c r="QNS93" s="3"/>
      <c r="QNT93" s="3"/>
      <c r="QNU93" s="3"/>
      <c r="QNV93" s="3"/>
      <c r="QNW93" s="3"/>
      <c r="QNX93" s="3"/>
      <c r="QNY93" s="3"/>
      <c r="QNZ93" s="3"/>
      <c r="QOA93" s="3"/>
      <c r="QOB93" s="3"/>
      <c r="QOC93" s="3"/>
      <c r="QOD93" s="3"/>
      <c r="QOE93" s="3"/>
      <c r="QOF93" s="3"/>
      <c r="QOG93" s="3"/>
      <c r="QOH93" s="3"/>
      <c r="QOI93" s="3"/>
      <c r="QOJ93" s="3"/>
      <c r="QOK93" s="3"/>
      <c r="QOL93" s="3"/>
      <c r="QOM93" s="3"/>
      <c r="QON93" s="3"/>
      <c r="QOO93" s="3"/>
      <c r="QOP93" s="3"/>
      <c r="QOQ93" s="3"/>
      <c r="QOR93" s="3"/>
      <c r="QOS93" s="3"/>
      <c r="QOT93" s="3"/>
      <c r="QOU93" s="3"/>
      <c r="QOV93" s="3"/>
      <c r="QOW93" s="3"/>
      <c r="QOX93" s="3"/>
      <c r="QOY93" s="3"/>
      <c r="QOZ93" s="3"/>
      <c r="QPA93" s="3"/>
      <c r="QPB93" s="3"/>
      <c r="QPC93" s="3"/>
      <c r="QPD93" s="3"/>
      <c r="QPE93" s="3"/>
      <c r="QPF93" s="3"/>
      <c r="QPG93" s="3"/>
      <c r="QPH93" s="3"/>
      <c r="QPI93" s="3"/>
      <c r="QPJ93" s="3"/>
      <c r="QPK93" s="3"/>
      <c r="QPL93" s="3"/>
      <c r="QPM93" s="3"/>
      <c r="QPN93" s="3"/>
      <c r="QPO93" s="3"/>
      <c r="QPP93" s="3"/>
      <c r="QPQ93" s="3"/>
      <c r="QPR93" s="3"/>
      <c r="QPS93" s="3"/>
      <c r="QPT93" s="3"/>
      <c r="QPU93" s="3"/>
      <c r="QPV93" s="3"/>
      <c r="QPW93" s="3"/>
      <c r="QPX93" s="3"/>
      <c r="QPY93" s="3"/>
      <c r="QPZ93" s="3"/>
      <c r="QQA93" s="3"/>
      <c r="QQB93" s="3"/>
      <c r="QQC93" s="3"/>
      <c r="QQD93" s="3"/>
      <c r="QQE93" s="3"/>
      <c r="QQF93" s="3"/>
      <c r="QQG93" s="3"/>
      <c r="QQH93" s="3"/>
      <c r="QQI93" s="3"/>
      <c r="QQJ93" s="3"/>
      <c r="QQK93" s="3"/>
      <c r="QQL93" s="3"/>
      <c r="QQM93" s="3"/>
      <c r="QQN93" s="3"/>
      <c r="QQO93" s="3"/>
      <c r="QQP93" s="3"/>
      <c r="QQQ93" s="3"/>
      <c r="QQR93" s="3"/>
      <c r="QQS93" s="3"/>
      <c r="QQT93" s="3"/>
      <c r="QQU93" s="3"/>
      <c r="QQV93" s="3"/>
      <c r="QQW93" s="3"/>
      <c r="QQX93" s="3"/>
      <c r="QQY93" s="3"/>
      <c r="QQZ93" s="3"/>
      <c r="QRA93" s="3"/>
      <c r="QRB93" s="3"/>
      <c r="QRC93" s="3"/>
      <c r="QRD93" s="3"/>
      <c r="QRE93" s="3"/>
      <c r="QRF93" s="3"/>
      <c r="QRG93" s="3"/>
      <c r="QRH93" s="3"/>
      <c r="QRI93" s="3"/>
      <c r="QRJ93" s="3"/>
      <c r="QRK93" s="3"/>
      <c r="QRL93" s="3"/>
      <c r="QRM93" s="3"/>
      <c r="QRN93" s="3"/>
      <c r="QRO93" s="3"/>
      <c r="QRP93" s="3"/>
      <c r="QRQ93" s="3"/>
      <c r="QRR93" s="3"/>
      <c r="QRS93" s="3"/>
      <c r="QRT93" s="3"/>
      <c r="QRU93" s="3"/>
      <c r="QRV93" s="3"/>
      <c r="QRW93" s="3"/>
      <c r="QRX93" s="3"/>
      <c r="QRY93" s="3"/>
      <c r="QRZ93" s="3"/>
      <c r="QSA93" s="3"/>
      <c r="QSB93" s="3"/>
      <c r="QSC93" s="3"/>
      <c r="QSD93" s="3"/>
      <c r="QSE93" s="3"/>
      <c r="QSF93" s="3"/>
      <c r="QSG93" s="3"/>
      <c r="QSH93" s="3"/>
      <c r="QSI93" s="3"/>
      <c r="QSJ93" s="3"/>
      <c r="QSK93" s="3"/>
      <c r="QSL93" s="3"/>
      <c r="QSM93" s="3"/>
      <c r="QSN93" s="3"/>
      <c r="QSO93" s="3"/>
      <c r="QSP93" s="3"/>
      <c r="QSQ93" s="3"/>
      <c r="QSR93" s="3"/>
      <c r="QSS93" s="3"/>
      <c r="QST93" s="3"/>
      <c r="QSU93" s="3"/>
      <c r="QSV93" s="3"/>
      <c r="QSW93" s="3"/>
      <c r="QSX93" s="3"/>
      <c r="QSY93" s="3"/>
      <c r="QSZ93" s="3"/>
      <c r="QTA93" s="3"/>
      <c r="QTB93" s="3"/>
      <c r="QTC93" s="3"/>
      <c r="QTD93" s="3"/>
      <c r="QTE93" s="3"/>
      <c r="QTF93" s="3"/>
      <c r="QTG93" s="3"/>
      <c r="QTH93" s="3"/>
      <c r="QTI93" s="3"/>
      <c r="QTJ93" s="3"/>
      <c r="QTK93" s="3"/>
      <c r="QTL93" s="3"/>
      <c r="QTM93" s="3"/>
      <c r="QTN93" s="3"/>
      <c r="QTO93" s="3"/>
      <c r="QTP93" s="3"/>
      <c r="QTQ93" s="3"/>
      <c r="QTR93" s="3"/>
      <c r="QTS93" s="3"/>
      <c r="QTT93" s="3"/>
      <c r="QTU93" s="3"/>
      <c r="QTV93" s="3"/>
      <c r="QTW93" s="3"/>
      <c r="QTX93" s="3"/>
      <c r="QTY93" s="3"/>
      <c r="QTZ93" s="3"/>
      <c r="QUA93" s="3"/>
      <c r="QUB93" s="3"/>
      <c r="QUC93" s="3"/>
      <c r="QUD93" s="3"/>
      <c r="QUE93" s="3"/>
      <c r="QUF93" s="3"/>
      <c r="QUG93" s="3"/>
      <c r="QUH93" s="3"/>
      <c r="QUI93" s="3"/>
      <c r="QUJ93" s="3"/>
      <c r="QUK93" s="3"/>
      <c r="QUL93" s="3"/>
      <c r="QUM93" s="3"/>
      <c r="QUN93" s="3"/>
      <c r="QUO93" s="3"/>
      <c r="QUP93" s="3"/>
      <c r="QUQ93" s="3"/>
      <c r="QUR93" s="3"/>
      <c r="QUS93" s="3"/>
      <c r="QUT93" s="3"/>
      <c r="QUU93" s="3"/>
      <c r="QUV93" s="3"/>
      <c r="QUW93" s="3"/>
      <c r="QUX93" s="3"/>
      <c r="QUY93" s="3"/>
      <c r="QUZ93" s="3"/>
      <c r="QVA93" s="3"/>
      <c r="QVB93" s="3"/>
      <c r="QVC93" s="3"/>
      <c r="QVD93" s="3"/>
      <c r="QVE93" s="3"/>
      <c r="QVF93" s="3"/>
      <c r="QVG93" s="3"/>
      <c r="QVH93" s="3"/>
      <c r="QVI93" s="3"/>
      <c r="QVJ93" s="3"/>
      <c r="QVK93" s="3"/>
      <c r="QVL93" s="3"/>
      <c r="QVM93" s="3"/>
      <c r="QVN93" s="3"/>
      <c r="QVO93" s="3"/>
      <c r="QVP93" s="3"/>
      <c r="QVQ93" s="3"/>
      <c r="QVR93" s="3"/>
      <c r="QVS93" s="3"/>
      <c r="QVT93" s="3"/>
      <c r="QVU93" s="3"/>
      <c r="QVV93" s="3"/>
      <c r="QVW93" s="3"/>
      <c r="QVX93" s="3"/>
      <c r="QVY93" s="3"/>
      <c r="QVZ93" s="3"/>
      <c r="QWA93" s="3"/>
      <c r="QWB93" s="3"/>
      <c r="QWC93" s="3"/>
      <c r="QWD93" s="3"/>
      <c r="QWE93" s="3"/>
      <c r="QWF93" s="3"/>
      <c r="QWG93" s="3"/>
      <c r="QWH93" s="3"/>
      <c r="QWI93" s="3"/>
      <c r="QWJ93" s="3"/>
      <c r="QWK93" s="3"/>
      <c r="QWL93" s="3"/>
      <c r="QWM93" s="3"/>
      <c r="QWN93" s="3"/>
      <c r="QWO93" s="3"/>
      <c r="QWP93" s="3"/>
      <c r="QWQ93" s="3"/>
      <c r="QWR93" s="3"/>
      <c r="QWS93" s="3"/>
      <c r="QWT93" s="3"/>
      <c r="QWU93" s="3"/>
      <c r="QWV93" s="3"/>
      <c r="QWW93" s="3"/>
      <c r="QWX93" s="3"/>
      <c r="QWY93" s="3"/>
      <c r="QWZ93" s="3"/>
      <c r="QXA93" s="3"/>
      <c r="QXB93" s="3"/>
      <c r="QXC93" s="3"/>
      <c r="QXD93" s="3"/>
      <c r="QXE93" s="3"/>
      <c r="QXF93" s="3"/>
      <c r="QXG93" s="3"/>
      <c r="QXH93" s="3"/>
      <c r="QXI93" s="3"/>
      <c r="QXJ93" s="3"/>
      <c r="QXK93" s="3"/>
      <c r="QXL93" s="3"/>
      <c r="QXM93" s="3"/>
      <c r="QXN93" s="3"/>
      <c r="QXO93" s="3"/>
      <c r="QXP93" s="3"/>
      <c r="QXQ93" s="3"/>
      <c r="QXR93" s="3"/>
      <c r="QXS93" s="3"/>
      <c r="QXT93" s="3"/>
      <c r="QXU93" s="3"/>
      <c r="QXV93" s="3"/>
      <c r="QXW93" s="3"/>
      <c r="QXX93" s="3"/>
      <c r="QXY93" s="3"/>
      <c r="QXZ93" s="3"/>
      <c r="QYA93" s="3"/>
      <c r="QYB93" s="3"/>
      <c r="QYC93" s="3"/>
      <c r="QYD93" s="3"/>
      <c r="QYE93" s="3"/>
      <c r="QYF93" s="3"/>
      <c r="QYG93" s="3"/>
      <c r="QYH93" s="3"/>
      <c r="QYI93" s="3"/>
      <c r="QYJ93" s="3"/>
      <c r="QYK93" s="3"/>
      <c r="QYL93" s="3"/>
      <c r="QYM93" s="3"/>
      <c r="QYN93" s="3"/>
      <c r="QYO93" s="3"/>
      <c r="QYP93" s="3"/>
      <c r="QYQ93" s="3"/>
      <c r="QYR93" s="3"/>
      <c r="QYS93" s="3"/>
      <c r="QYT93" s="3"/>
      <c r="QYU93" s="3"/>
      <c r="QYV93" s="3"/>
      <c r="QYW93" s="3"/>
      <c r="QYX93" s="3"/>
      <c r="QYY93" s="3"/>
      <c r="QYZ93" s="3"/>
      <c r="QZA93" s="3"/>
      <c r="QZB93" s="3"/>
      <c r="QZC93" s="3"/>
      <c r="QZD93" s="3"/>
      <c r="QZE93" s="3"/>
      <c r="QZF93" s="3"/>
      <c r="QZG93" s="3"/>
      <c r="QZH93" s="3"/>
      <c r="QZI93" s="3"/>
      <c r="QZJ93" s="3"/>
      <c r="QZK93" s="3"/>
      <c r="QZL93" s="3"/>
      <c r="QZM93" s="3"/>
      <c r="QZN93" s="3"/>
      <c r="QZO93" s="3"/>
      <c r="QZP93" s="3"/>
      <c r="QZQ93" s="3"/>
      <c r="QZR93" s="3"/>
      <c r="QZS93" s="3"/>
      <c r="QZT93" s="3"/>
      <c r="QZU93" s="3"/>
      <c r="QZV93" s="3"/>
      <c r="QZW93" s="3"/>
      <c r="QZX93" s="3"/>
      <c r="QZY93" s="3"/>
      <c r="QZZ93" s="3"/>
      <c r="RAA93" s="3"/>
      <c r="RAB93" s="3"/>
      <c r="RAC93" s="3"/>
      <c r="RAD93" s="3"/>
      <c r="RAE93" s="3"/>
      <c r="RAF93" s="3"/>
      <c r="RAG93" s="3"/>
      <c r="RAH93" s="3"/>
      <c r="RAI93" s="3"/>
      <c r="RAJ93" s="3"/>
      <c r="RAK93" s="3"/>
      <c r="RAL93" s="3"/>
      <c r="RAM93" s="3"/>
      <c r="RAN93" s="3"/>
      <c r="RAO93" s="3"/>
      <c r="RAP93" s="3"/>
      <c r="RAQ93" s="3"/>
      <c r="RAR93" s="3"/>
      <c r="RAS93" s="3"/>
      <c r="RAT93" s="3"/>
      <c r="RAU93" s="3"/>
      <c r="RAV93" s="3"/>
      <c r="RAW93" s="3"/>
      <c r="RAX93" s="3"/>
      <c r="RAY93" s="3"/>
      <c r="RAZ93" s="3"/>
      <c r="RBA93" s="3"/>
      <c r="RBB93" s="3"/>
      <c r="RBC93" s="3"/>
      <c r="RBD93" s="3"/>
      <c r="RBE93" s="3"/>
      <c r="RBF93" s="3"/>
      <c r="RBG93" s="3"/>
      <c r="RBH93" s="3"/>
      <c r="RBI93" s="3"/>
      <c r="RBJ93" s="3"/>
      <c r="RBK93" s="3"/>
      <c r="RBL93" s="3"/>
      <c r="RBM93" s="3"/>
      <c r="RBN93" s="3"/>
      <c r="RBO93" s="3"/>
      <c r="RBP93" s="3"/>
      <c r="RBQ93" s="3"/>
      <c r="RBR93" s="3"/>
      <c r="RBS93" s="3"/>
      <c r="RBT93" s="3"/>
      <c r="RBU93" s="3"/>
      <c r="RBV93" s="3"/>
      <c r="RBW93" s="3"/>
      <c r="RBX93" s="3"/>
      <c r="RBY93" s="3"/>
      <c r="RBZ93" s="3"/>
      <c r="RCA93" s="3"/>
      <c r="RCB93" s="3"/>
      <c r="RCC93" s="3"/>
      <c r="RCD93" s="3"/>
      <c r="RCE93" s="3"/>
      <c r="RCF93" s="3"/>
      <c r="RCG93" s="3"/>
      <c r="RCH93" s="3"/>
      <c r="RCI93" s="3"/>
      <c r="RCJ93" s="3"/>
      <c r="RCK93" s="3"/>
      <c r="RCL93" s="3"/>
      <c r="RCM93" s="3"/>
      <c r="RCN93" s="3"/>
      <c r="RCO93" s="3"/>
      <c r="RCP93" s="3"/>
      <c r="RCQ93" s="3"/>
      <c r="RCR93" s="3"/>
      <c r="RCS93" s="3"/>
      <c r="RCT93" s="3"/>
      <c r="RCU93" s="3"/>
      <c r="RCV93" s="3"/>
      <c r="RCW93" s="3"/>
      <c r="RCX93" s="3"/>
      <c r="RCY93" s="3"/>
      <c r="RCZ93" s="3"/>
      <c r="RDA93" s="3"/>
      <c r="RDB93" s="3"/>
      <c r="RDC93" s="3"/>
      <c r="RDD93" s="3"/>
      <c r="RDE93" s="3"/>
      <c r="RDF93" s="3"/>
      <c r="RDG93" s="3"/>
      <c r="RDH93" s="3"/>
      <c r="RDI93" s="3"/>
      <c r="RDJ93" s="3"/>
      <c r="RDK93" s="3"/>
      <c r="RDL93" s="3"/>
      <c r="RDM93" s="3"/>
      <c r="RDN93" s="3"/>
      <c r="RDO93" s="3"/>
      <c r="RDP93" s="3"/>
      <c r="RDQ93" s="3"/>
      <c r="RDR93" s="3"/>
      <c r="RDS93" s="3"/>
      <c r="RDT93" s="3"/>
      <c r="RDU93" s="3"/>
      <c r="RDV93" s="3"/>
      <c r="RDW93" s="3"/>
      <c r="RDX93" s="3"/>
      <c r="RDY93" s="3"/>
      <c r="RDZ93" s="3"/>
      <c r="REA93" s="3"/>
      <c r="REB93" s="3"/>
      <c r="REC93" s="3"/>
      <c r="RED93" s="3"/>
      <c r="REE93" s="3"/>
      <c r="REF93" s="3"/>
      <c r="REG93" s="3"/>
      <c r="REH93" s="3"/>
      <c r="REI93" s="3"/>
      <c r="REJ93" s="3"/>
      <c r="REK93" s="3"/>
      <c r="REL93" s="3"/>
      <c r="REM93" s="3"/>
      <c r="REN93" s="3"/>
      <c r="REO93" s="3"/>
      <c r="REP93" s="3"/>
      <c r="REQ93" s="3"/>
      <c r="RER93" s="3"/>
      <c r="RES93" s="3"/>
      <c r="RET93" s="3"/>
      <c r="REU93" s="3"/>
      <c r="REV93" s="3"/>
      <c r="REW93" s="3"/>
      <c r="REX93" s="3"/>
      <c r="REY93" s="3"/>
      <c r="REZ93" s="3"/>
      <c r="RFA93" s="3"/>
      <c r="RFB93" s="3"/>
      <c r="RFC93" s="3"/>
      <c r="RFD93" s="3"/>
      <c r="RFE93" s="3"/>
      <c r="RFF93" s="3"/>
      <c r="RFG93" s="3"/>
      <c r="RFH93" s="3"/>
      <c r="RFI93" s="3"/>
      <c r="RFJ93" s="3"/>
      <c r="RFK93" s="3"/>
      <c r="RFL93" s="3"/>
      <c r="RFM93" s="3"/>
      <c r="RFN93" s="3"/>
      <c r="RFO93" s="3"/>
      <c r="RFP93" s="3"/>
      <c r="RFQ93" s="3"/>
      <c r="RFR93" s="3"/>
      <c r="RFS93" s="3"/>
      <c r="RFT93" s="3"/>
      <c r="RFU93" s="3"/>
      <c r="RFV93" s="3"/>
      <c r="RFW93" s="3"/>
      <c r="RFX93" s="3"/>
      <c r="RFY93" s="3"/>
      <c r="RFZ93" s="3"/>
      <c r="RGA93" s="3"/>
      <c r="RGB93" s="3"/>
      <c r="RGC93" s="3"/>
      <c r="RGD93" s="3"/>
      <c r="RGE93" s="3"/>
      <c r="RGF93" s="3"/>
      <c r="RGG93" s="3"/>
      <c r="RGH93" s="3"/>
      <c r="RGI93" s="3"/>
      <c r="RGJ93" s="3"/>
      <c r="RGK93" s="3"/>
      <c r="RGL93" s="3"/>
      <c r="RGM93" s="3"/>
      <c r="RGN93" s="3"/>
      <c r="RGO93" s="3"/>
      <c r="RGP93" s="3"/>
      <c r="RGQ93" s="3"/>
      <c r="RGR93" s="3"/>
      <c r="RGS93" s="3"/>
      <c r="RGT93" s="3"/>
      <c r="RGU93" s="3"/>
      <c r="RGV93" s="3"/>
      <c r="RGW93" s="3"/>
      <c r="RGX93" s="3"/>
      <c r="RGY93" s="3"/>
      <c r="RGZ93" s="3"/>
      <c r="RHA93" s="3"/>
      <c r="RHB93" s="3"/>
      <c r="RHC93" s="3"/>
      <c r="RHD93" s="3"/>
      <c r="RHE93" s="3"/>
      <c r="RHF93" s="3"/>
      <c r="RHG93" s="3"/>
      <c r="RHH93" s="3"/>
      <c r="RHI93" s="3"/>
      <c r="RHJ93" s="3"/>
      <c r="RHK93" s="3"/>
      <c r="RHL93" s="3"/>
      <c r="RHM93" s="3"/>
      <c r="RHN93" s="3"/>
      <c r="RHO93" s="3"/>
      <c r="RHP93" s="3"/>
      <c r="RHQ93" s="3"/>
      <c r="RHR93" s="3"/>
      <c r="RHS93" s="3"/>
      <c r="RHT93" s="3"/>
      <c r="RHU93" s="3"/>
      <c r="RHV93" s="3"/>
      <c r="RHW93" s="3"/>
      <c r="RHX93" s="3"/>
      <c r="RHY93" s="3"/>
      <c r="RHZ93" s="3"/>
      <c r="RIA93" s="3"/>
      <c r="RIB93" s="3"/>
      <c r="RIC93" s="3"/>
      <c r="RID93" s="3"/>
      <c r="RIE93" s="3"/>
      <c r="RIF93" s="3"/>
      <c r="RIG93" s="3"/>
      <c r="RIH93" s="3"/>
      <c r="RII93" s="3"/>
      <c r="RIJ93" s="3"/>
      <c r="RIK93" s="3"/>
      <c r="RIL93" s="3"/>
      <c r="RIM93" s="3"/>
      <c r="RIN93" s="3"/>
      <c r="RIO93" s="3"/>
      <c r="RIP93" s="3"/>
      <c r="RIQ93" s="3"/>
      <c r="RIR93" s="3"/>
      <c r="RIS93" s="3"/>
      <c r="RIT93" s="3"/>
      <c r="RIU93" s="3"/>
      <c r="RIV93" s="3"/>
      <c r="RIW93" s="3"/>
      <c r="RIX93" s="3"/>
      <c r="RIY93" s="3"/>
      <c r="RIZ93" s="3"/>
      <c r="RJA93" s="3"/>
      <c r="RJB93" s="3"/>
      <c r="RJC93" s="3"/>
      <c r="RJD93" s="3"/>
      <c r="RJE93" s="3"/>
      <c r="RJF93" s="3"/>
      <c r="RJG93" s="3"/>
      <c r="RJH93" s="3"/>
      <c r="RJI93" s="3"/>
      <c r="RJJ93" s="3"/>
      <c r="RJK93" s="3"/>
      <c r="RJL93" s="3"/>
      <c r="RJM93" s="3"/>
      <c r="RJN93" s="3"/>
      <c r="RJO93" s="3"/>
      <c r="RJP93" s="3"/>
      <c r="RJQ93" s="3"/>
      <c r="RJR93" s="3"/>
      <c r="RJS93" s="3"/>
      <c r="RJT93" s="3"/>
      <c r="RJU93" s="3"/>
      <c r="RJV93" s="3"/>
      <c r="RJW93" s="3"/>
      <c r="RJX93" s="3"/>
      <c r="RJY93" s="3"/>
      <c r="RJZ93" s="3"/>
      <c r="RKA93" s="3"/>
      <c r="RKB93" s="3"/>
      <c r="RKC93" s="3"/>
      <c r="RKD93" s="3"/>
      <c r="RKE93" s="3"/>
      <c r="RKF93" s="3"/>
      <c r="RKG93" s="3"/>
      <c r="RKH93" s="3"/>
      <c r="RKI93" s="3"/>
      <c r="RKJ93" s="3"/>
      <c r="RKK93" s="3"/>
      <c r="RKL93" s="3"/>
      <c r="RKM93" s="3"/>
      <c r="RKN93" s="3"/>
      <c r="RKO93" s="3"/>
      <c r="RKP93" s="3"/>
      <c r="RKQ93" s="3"/>
      <c r="RKR93" s="3"/>
      <c r="RKS93" s="3"/>
      <c r="RKT93" s="3"/>
      <c r="RKU93" s="3"/>
      <c r="RKV93" s="3"/>
      <c r="RKW93" s="3"/>
      <c r="RKX93" s="3"/>
      <c r="RKY93" s="3"/>
      <c r="RKZ93" s="3"/>
      <c r="RLA93" s="3"/>
      <c r="RLB93" s="3"/>
      <c r="RLC93" s="3"/>
      <c r="RLD93" s="3"/>
      <c r="RLE93" s="3"/>
      <c r="RLF93" s="3"/>
      <c r="RLG93" s="3"/>
      <c r="RLH93" s="3"/>
      <c r="RLI93" s="3"/>
      <c r="RLJ93" s="3"/>
      <c r="RLK93" s="3"/>
      <c r="RLL93" s="3"/>
      <c r="RLM93" s="3"/>
      <c r="RLN93" s="3"/>
      <c r="RLO93" s="3"/>
      <c r="RLP93" s="3"/>
      <c r="RLQ93" s="3"/>
      <c r="RLR93" s="3"/>
      <c r="RLS93" s="3"/>
      <c r="RLT93" s="3"/>
      <c r="RLU93" s="3"/>
      <c r="RLV93" s="3"/>
      <c r="RLW93" s="3"/>
      <c r="RLX93" s="3"/>
      <c r="RLY93" s="3"/>
      <c r="RLZ93" s="3"/>
      <c r="RMA93" s="3"/>
      <c r="RMB93" s="3"/>
      <c r="RMC93" s="3"/>
      <c r="RMD93" s="3"/>
      <c r="RME93" s="3"/>
      <c r="RMF93" s="3"/>
      <c r="RMG93" s="3"/>
      <c r="RMH93" s="3"/>
      <c r="RMI93" s="3"/>
      <c r="RMJ93" s="3"/>
      <c r="RMK93" s="3"/>
      <c r="RML93" s="3"/>
      <c r="RMM93" s="3"/>
      <c r="RMN93" s="3"/>
      <c r="RMO93" s="3"/>
      <c r="RMP93" s="3"/>
      <c r="RMQ93" s="3"/>
      <c r="RMR93" s="3"/>
      <c r="RMS93" s="3"/>
      <c r="RMT93" s="3"/>
      <c r="RMU93" s="3"/>
      <c r="RMV93" s="3"/>
      <c r="RMW93" s="3"/>
      <c r="RMX93" s="3"/>
      <c r="RMY93" s="3"/>
      <c r="RMZ93" s="3"/>
      <c r="RNA93" s="3"/>
      <c r="RNB93" s="3"/>
      <c r="RNC93" s="3"/>
      <c r="RND93" s="3"/>
      <c r="RNE93" s="3"/>
      <c r="RNF93" s="3"/>
      <c r="RNG93" s="3"/>
      <c r="RNH93" s="3"/>
      <c r="RNI93" s="3"/>
      <c r="RNJ93" s="3"/>
      <c r="RNK93" s="3"/>
      <c r="RNL93" s="3"/>
      <c r="RNM93" s="3"/>
      <c r="RNN93" s="3"/>
      <c r="RNO93" s="3"/>
      <c r="RNP93" s="3"/>
      <c r="RNQ93" s="3"/>
      <c r="RNR93" s="3"/>
      <c r="RNS93" s="3"/>
      <c r="RNT93" s="3"/>
      <c r="RNU93" s="3"/>
      <c r="RNV93" s="3"/>
      <c r="RNW93" s="3"/>
      <c r="RNX93" s="3"/>
      <c r="RNY93" s="3"/>
      <c r="RNZ93" s="3"/>
      <c r="ROA93" s="3"/>
      <c r="ROB93" s="3"/>
      <c r="ROC93" s="3"/>
      <c r="ROD93" s="3"/>
      <c r="ROE93" s="3"/>
      <c r="ROF93" s="3"/>
      <c r="ROG93" s="3"/>
      <c r="ROH93" s="3"/>
      <c r="ROI93" s="3"/>
      <c r="ROJ93" s="3"/>
      <c r="ROK93" s="3"/>
      <c r="ROL93" s="3"/>
      <c r="ROM93" s="3"/>
      <c r="RON93" s="3"/>
      <c r="ROO93" s="3"/>
      <c r="ROP93" s="3"/>
      <c r="ROQ93" s="3"/>
      <c r="ROR93" s="3"/>
      <c r="ROS93" s="3"/>
      <c r="ROT93" s="3"/>
      <c r="ROU93" s="3"/>
      <c r="ROV93" s="3"/>
      <c r="ROW93" s="3"/>
      <c r="ROX93" s="3"/>
      <c r="ROY93" s="3"/>
      <c r="ROZ93" s="3"/>
      <c r="RPA93" s="3"/>
      <c r="RPB93" s="3"/>
      <c r="RPC93" s="3"/>
      <c r="RPD93" s="3"/>
      <c r="RPE93" s="3"/>
      <c r="RPF93" s="3"/>
      <c r="RPG93" s="3"/>
      <c r="RPH93" s="3"/>
      <c r="RPI93" s="3"/>
      <c r="RPJ93" s="3"/>
      <c r="RPK93" s="3"/>
      <c r="RPL93" s="3"/>
      <c r="RPM93" s="3"/>
      <c r="RPN93" s="3"/>
      <c r="RPO93" s="3"/>
      <c r="RPP93" s="3"/>
      <c r="RPQ93" s="3"/>
      <c r="RPR93" s="3"/>
      <c r="RPS93" s="3"/>
      <c r="RPT93" s="3"/>
      <c r="RPU93" s="3"/>
      <c r="RPV93" s="3"/>
      <c r="RPW93" s="3"/>
      <c r="RPX93" s="3"/>
      <c r="RPY93" s="3"/>
      <c r="RPZ93" s="3"/>
      <c r="RQA93" s="3"/>
      <c r="RQB93" s="3"/>
      <c r="RQC93" s="3"/>
      <c r="RQD93" s="3"/>
      <c r="RQE93" s="3"/>
      <c r="RQF93" s="3"/>
      <c r="RQG93" s="3"/>
      <c r="RQH93" s="3"/>
      <c r="RQI93" s="3"/>
      <c r="RQJ93" s="3"/>
      <c r="RQK93" s="3"/>
      <c r="RQL93" s="3"/>
      <c r="RQM93" s="3"/>
      <c r="RQN93" s="3"/>
      <c r="RQO93" s="3"/>
      <c r="RQP93" s="3"/>
      <c r="RQQ93" s="3"/>
      <c r="RQR93" s="3"/>
      <c r="RQS93" s="3"/>
      <c r="RQT93" s="3"/>
      <c r="RQU93" s="3"/>
      <c r="RQV93" s="3"/>
      <c r="RQW93" s="3"/>
      <c r="RQX93" s="3"/>
      <c r="RQY93" s="3"/>
      <c r="RQZ93" s="3"/>
      <c r="RRA93" s="3"/>
      <c r="RRB93" s="3"/>
      <c r="RRC93" s="3"/>
      <c r="RRD93" s="3"/>
      <c r="RRE93" s="3"/>
      <c r="RRF93" s="3"/>
      <c r="RRG93" s="3"/>
      <c r="RRH93" s="3"/>
      <c r="RRI93" s="3"/>
      <c r="RRJ93" s="3"/>
      <c r="RRK93" s="3"/>
      <c r="RRL93" s="3"/>
      <c r="RRM93" s="3"/>
      <c r="RRN93" s="3"/>
      <c r="RRO93" s="3"/>
      <c r="RRP93" s="3"/>
      <c r="RRQ93" s="3"/>
      <c r="RRR93" s="3"/>
      <c r="RRS93" s="3"/>
      <c r="RRT93" s="3"/>
      <c r="RRU93" s="3"/>
      <c r="RRV93" s="3"/>
      <c r="RRW93" s="3"/>
      <c r="RRX93" s="3"/>
      <c r="RRY93" s="3"/>
      <c r="RRZ93" s="3"/>
      <c r="RSA93" s="3"/>
      <c r="RSB93" s="3"/>
      <c r="RSC93" s="3"/>
      <c r="RSD93" s="3"/>
      <c r="RSE93" s="3"/>
      <c r="RSF93" s="3"/>
      <c r="RSG93" s="3"/>
      <c r="RSH93" s="3"/>
      <c r="RSI93" s="3"/>
      <c r="RSJ93" s="3"/>
      <c r="RSK93" s="3"/>
      <c r="RSL93" s="3"/>
      <c r="RSM93" s="3"/>
      <c r="RSN93" s="3"/>
      <c r="RSO93" s="3"/>
      <c r="RSP93" s="3"/>
      <c r="RSQ93" s="3"/>
      <c r="RSR93" s="3"/>
      <c r="RSS93" s="3"/>
      <c r="RST93" s="3"/>
      <c r="RSU93" s="3"/>
      <c r="RSV93" s="3"/>
      <c r="RSW93" s="3"/>
      <c r="RSX93" s="3"/>
      <c r="RSY93" s="3"/>
      <c r="RSZ93" s="3"/>
      <c r="RTA93" s="3"/>
      <c r="RTB93" s="3"/>
      <c r="RTC93" s="3"/>
      <c r="RTD93" s="3"/>
      <c r="RTE93" s="3"/>
      <c r="RTF93" s="3"/>
      <c r="RTG93" s="3"/>
      <c r="RTH93" s="3"/>
      <c r="RTI93" s="3"/>
      <c r="RTJ93" s="3"/>
      <c r="RTK93" s="3"/>
      <c r="RTL93" s="3"/>
      <c r="RTM93" s="3"/>
      <c r="RTN93" s="3"/>
      <c r="RTO93" s="3"/>
      <c r="RTP93" s="3"/>
      <c r="RTQ93" s="3"/>
      <c r="RTR93" s="3"/>
      <c r="RTS93" s="3"/>
      <c r="RTT93" s="3"/>
      <c r="RTU93" s="3"/>
      <c r="RTV93" s="3"/>
      <c r="RTW93" s="3"/>
      <c r="RTX93" s="3"/>
      <c r="RTY93" s="3"/>
      <c r="RTZ93" s="3"/>
      <c r="RUA93" s="3"/>
      <c r="RUB93" s="3"/>
      <c r="RUC93" s="3"/>
      <c r="RUD93" s="3"/>
      <c r="RUE93" s="3"/>
      <c r="RUF93" s="3"/>
      <c r="RUG93" s="3"/>
      <c r="RUH93" s="3"/>
      <c r="RUI93" s="3"/>
      <c r="RUJ93" s="3"/>
      <c r="RUK93" s="3"/>
      <c r="RUL93" s="3"/>
      <c r="RUM93" s="3"/>
      <c r="RUN93" s="3"/>
      <c r="RUO93" s="3"/>
      <c r="RUP93" s="3"/>
      <c r="RUQ93" s="3"/>
      <c r="RUR93" s="3"/>
      <c r="RUS93" s="3"/>
      <c r="RUT93" s="3"/>
      <c r="RUU93" s="3"/>
      <c r="RUV93" s="3"/>
      <c r="RUW93" s="3"/>
      <c r="RUX93" s="3"/>
      <c r="RUY93" s="3"/>
      <c r="RUZ93" s="3"/>
      <c r="RVA93" s="3"/>
      <c r="RVB93" s="3"/>
      <c r="RVC93" s="3"/>
      <c r="RVD93" s="3"/>
      <c r="RVE93" s="3"/>
      <c r="RVF93" s="3"/>
      <c r="RVG93" s="3"/>
      <c r="RVH93" s="3"/>
      <c r="RVI93" s="3"/>
      <c r="RVJ93" s="3"/>
      <c r="RVK93" s="3"/>
      <c r="RVL93" s="3"/>
      <c r="RVM93" s="3"/>
      <c r="RVN93" s="3"/>
      <c r="RVO93" s="3"/>
      <c r="RVP93" s="3"/>
      <c r="RVQ93" s="3"/>
      <c r="RVR93" s="3"/>
      <c r="RVS93" s="3"/>
      <c r="RVT93" s="3"/>
      <c r="RVU93" s="3"/>
      <c r="RVV93" s="3"/>
      <c r="RVW93" s="3"/>
      <c r="RVX93" s="3"/>
      <c r="RVY93" s="3"/>
      <c r="RVZ93" s="3"/>
      <c r="RWA93" s="3"/>
      <c r="RWB93" s="3"/>
      <c r="RWC93" s="3"/>
      <c r="RWD93" s="3"/>
      <c r="RWE93" s="3"/>
      <c r="RWF93" s="3"/>
      <c r="RWG93" s="3"/>
      <c r="RWH93" s="3"/>
      <c r="RWI93" s="3"/>
      <c r="RWJ93" s="3"/>
      <c r="RWK93" s="3"/>
      <c r="RWL93" s="3"/>
      <c r="RWM93" s="3"/>
      <c r="RWN93" s="3"/>
      <c r="RWO93" s="3"/>
      <c r="RWP93" s="3"/>
      <c r="RWQ93" s="3"/>
      <c r="RWR93" s="3"/>
      <c r="RWS93" s="3"/>
      <c r="RWT93" s="3"/>
      <c r="RWU93" s="3"/>
      <c r="RWV93" s="3"/>
      <c r="RWW93" s="3"/>
      <c r="RWX93" s="3"/>
      <c r="RWY93" s="3"/>
      <c r="RWZ93" s="3"/>
      <c r="RXA93" s="3"/>
      <c r="RXB93" s="3"/>
      <c r="RXC93" s="3"/>
      <c r="RXD93" s="3"/>
      <c r="RXE93" s="3"/>
      <c r="RXF93" s="3"/>
      <c r="RXG93" s="3"/>
      <c r="RXH93" s="3"/>
      <c r="RXI93" s="3"/>
      <c r="RXJ93" s="3"/>
      <c r="RXK93" s="3"/>
      <c r="RXL93" s="3"/>
      <c r="RXM93" s="3"/>
      <c r="RXN93" s="3"/>
      <c r="RXO93" s="3"/>
      <c r="RXP93" s="3"/>
      <c r="RXQ93" s="3"/>
      <c r="RXR93" s="3"/>
      <c r="RXS93" s="3"/>
      <c r="RXT93" s="3"/>
      <c r="RXU93" s="3"/>
      <c r="RXV93" s="3"/>
      <c r="RXW93" s="3"/>
      <c r="RXX93" s="3"/>
      <c r="RXY93" s="3"/>
      <c r="RXZ93" s="3"/>
      <c r="RYA93" s="3"/>
      <c r="RYB93" s="3"/>
      <c r="RYC93" s="3"/>
      <c r="RYD93" s="3"/>
      <c r="RYE93" s="3"/>
      <c r="RYF93" s="3"/>
      <c r="RYG93" s="3"/>
      <c r="RYH93" s="3"/>
      <c r="RYI93" s="3"/>
      <c r="RYJ93" s="3"/>
      <c r="RYK93" s="3"/>
      <c r="RYL93" s="3"/>
      <c r="RYM93" s="3"/>
      <c r="RYN93" s="3"/>
      <c r="RYO93" s="3"/>
      <c r="RYP93" s="3"/>
      <c r="RYQ93" s="3"/>
      <c r="RYR93" s="3"/>
      <c r="RYS93" s="3"/>
      <c r="RYT93" s="3"/>
      <c r="RYU93" s="3"/>
      <c r="RYV93" s="3"/>
      <c r="RYW93" s="3"/>
      <c r="RYX93" s="3"/>
      <c r="RYY93" s="3"/>
      <c r="RYZ93" s="3"/>
      <c r="RZA93" s="3"/>
      <c r="RZB93" s="3"/>
      <c r="RZC93" s="3"/>
      <c r="RZD93" s="3"/>
      <c r="RZE93" s="3"/>
      <c r="RZF93" s="3"/>
      <c r="RZG93" s="3"/>
      <c r="RZH93" s="3"/>
      <c r="RZI93" s="3"/>
      <c r="RZJ93" s="3"/>
      <c r="RZK93" s="3"/>
      <c r="RZL93" s="3"/>
      <c r="RZM93" s="3"/>
      <c r="RZN93" s="3"/>
      <c r="RZO93" s="3"/>
      <c r="RZP93" s="3"/>
      <c r="RZQ93" s="3"/>
      <c r="RZR93" s="3"/>
      <c r="RZS93" s="3"/>
      <c r="RZT93" s="3"/>
      <c r="RZU93" s="3"/>
      <c r="RZV93" s="3"/>
      <c r="RZW93" s="3"/>
      <c r="RZX93" s="3"/>
      <c r="RZY93" s="3"/>
      <c r="RZZ93" s="3"/>
      <c r="SAA93" s="3"/>
      <c r="SAB93" s="3"/>
      <c r="SAC93" s="3"/>
      <c r="SAD93" s="3"/>
      <c r="SAE93" s="3"/>
      <c r="SAF93" s="3"/>
      <c r="SAG93" s="3"/>
      <c r="SAH93" s="3"/>
      <c r="SAI93" s="3"/>
      <c r="SAJ93" s="3"/>
      <c r="SAK93" s="3"/>
      <c r="SAL93" s="3"/>
      <c r="SAM93" s="3"/>
      <c r="SAN93" s="3"/>
      <c r="SAO93" s="3"/>
      <c r="SAP93" s="3"/>
      <c r="SAQ93" s="3"/>
      <c r="SAR93" s="3"/>
      <c r="SAS93" s="3"/>
      <c r="SAT93" s="3"/>
      <c r="SAU93" s="3"/>
      <c r="SAV93" s="3"/>
      <c r="SAW93" s="3"/>
      <c r="SAX93" s="3"/>
      <c r="SAY93" s="3"/>
      <c r="SAZ93" s="3"/>
      <c r="SBA93" s="3"/>
      <c r="SBB93" s="3"/>
      <c r="SBC93" s="3"/>
      <c r="SBD93" s="3"/>
      <c r="SBE93" s="3"/>
      <c r="SBF93" s="3"/>
      <c r="SBG93" s="3"/>
      <c r="SBH93" s="3"/>
      <c r="SBI93" s="3"/>
      <c r="SBJ93" s="3"/>
      <c r="SBK93" s="3"/>
      <c r="SBL93" s="3"/>
      <c r="SBM93" s="3"/>
      <c r="SBN93" s="3"/>
      <c r="SBO93" s="3"/>
      <c r="SBP93" s="3"/>
      <c r="SBQ93" s="3"/>
      <c r="SBR93" s="3"/>
      <c r="SBS93" s="3"/>
      <c r="SBT93" s="3"/>
      <c r="SBU93" s="3"/>
      <c r="SBV93" s="3"/>
      <c r="SBW93" s="3"/>
      <c r="SBX93" s="3"/>
      <c r="SBY93" s="3"/>
      <c r="SBZ93" s="3"/>
      <c r="SCA93" s="3"/>
      <c r="SCB93" s="3"/>
      <c r="SCC93" s="3"/>
      <c r="SCD93" s="3"/>
      <c r="SCE93" s="3"/>
      <c r="SCF93" s="3"/>
      <c r="SCG93" s="3"/>
      <c r="SCH93" s="3"/>
      <c r="SCI93" s="3"/>
      <c r="SCJ93" s="3"/>
      <c r="SCK93" s="3"/>
      <c r="SCL93" s="3"/>
      <c r="SCM93" s="3"/>
      <c r="SCN93" s="3"/>
      <c r="SCO93" s="3"/>
      <c r="SCP93" s="3"/>
      <c r="SCQ93" s="3"/>
      <c r="SCR93" s="3"/>
      <c r="SCS93" s="3"/>
      <c r="SCT93" s="3"/>
      <c r="SCU93" s="3"/>
      <c r="SCV93" s="3"/>
      <c r="SCW93" s="3"/>
      <c r="SCX93" s="3"/>
      <c r="SCY93" s="3"/>
      <c r="SCZ93" s="3"/>
      <c r="SDA93" s="3"/>
      <c r="SDB93" s="3"/>
      <c r="SDC93" s="3"/>
      <c r="SDD93" s="3"/>
      <c r="SDE93" s="3"/>
      <c r="SDF93" s="3"/>
      <c r="SDG93" s="3"/>
      <c r="SDH93" s="3"/>
      <c r="SDI93" s="3"/>
      <c r="SDJ93" s="3"/>
      <c r="SDK93" s="3"/>
      <c r="SDL93" s="3"/>
      <c r="SDM93" s="3"/>
      <c r="SDN93" s="3"/>
      <c r="SDO93" s="3"/>
      <c r="SDP93" s="3"/>
      <c r="SDQ93" s="3"/>
      <c r="SDR93" s="3"/>
      <c r="SDS93" s="3"/>
      <c r="SDT93" s="3"/>
      <c r="SDU93" s="3"/>
      <c r="SDV93" s="3"/>
      <c r="SDW93" s="3"/>
      <c r="SDX93" s="3"/>
      <c r="SDY93" s="3"/>
      <c r="SDZ93" s="3"/>
      <c r="SEA93" s="3"/>
      <c r="SEB93" s="3"/>
      <c r="SEC93" s="3"/>
      <c r="SED93" s="3"/>
      <c r="SEE93" s="3"/>
      <c r="SEF93" s="3"/>
      <c r="SEG93" s="3"/>
      <c r="SEH93" s="3"/>
      <c r="SEI93" s="3"/>
      <c r="SEJ93" s="3"/>
      <c r="SEK93" s="3"/>
      <c r="SEL93" s="3"/>
      <c r="SEM93" s="3"/>
      <c r="SEN93" s="3"/>
      <c r="SEO93" s="3"/>
      <c r="SEP93" s="3"/>
      <c r="SEQ93" s="3"/>
      <c r="SER93" s="3"/>
      <c r="SES93" s="3"/>
      <c r="SET93" s="3"/>
      <c r="SEU93" s="3"/>
      <c r="SEV93" s="3"/>
      <c r="SEW93" s="3"/>
      <c r="SEX93" s="3"/>
      <c r="SEY93" s="3"/>
      <c r="SEZ93" s="3"/>
      <c r="SFA93" s="3"/>
      <c r="SFB93" s="3"/>
      <c r="SFC93" s="3"/>
      <c r="SFD93" s="3"/>
      <c r="SFE93" s="3"/>
      <c r="SFF93" s="3"/>
      <c r="SFG93" s="3"/>
      <c r="SFH93" s="3"/>
      <c r="SFI93" s="3"/>
      <c r="SFJ93" s="3"/>
      <c r="SFK93" s="3"/>
      <c r="SFL93" s="3"/>
      <c r="SFM93" s="3"/>
      <c r="SFN93" s="3"/>
      <c r="SFO93" s="3"/>
      <c r="SFP93" s="3"/>
      <c r="SFQ93" s="3"/>
      <c r="SFR93" s="3"/>
      <c r="SFS93" s="3"/>
      <c r="SFT93" s="3"/>
      <c r="SFU93" s="3"/>
      <c r="SFV93" s="3"/>
      <c r="SFW93" s="3"/>
      <c r="SFX93" s="3"/>
      <c r="SFY93" s="3"/>
      <c r="SFZ93" s="3"/>
      <c r="SGA93" s="3"/>
      <c r="SGB93" s="3"/>
      <c r="SGC93" s="3"/>
      <c r="SGD93" s="3"/>
      <c r="SGE93" s="3"/>
      <c r="SGF93" s="3"/>
      <c r="SGG93" s="3"/>
      <c r="SGH93" s="3"/>
      <c r="SGI93" s="3"/>
      <c r="SGJ93" s="3"/>
      <c r="SGK93" s="3"/>
      <c r="SGL93" s="3"/>
      <c r="SGM93" s="3"/>
      <c r="SGN93" s="3"/>
      <c r="SGO93" s="3"/>
      <c r="SGP93" s="3"/>
      <c r="SGQ93" s="3"/>
      <c r="SGR93" s="3"/>
      <c r="SGS93" s="3"/>
      <c r="SGT93" s="3"/>
      <c r="SGU93" s="3"/>
      <c r="SGV93" s="3"/>
      <c r="SGW93" s="3"/>
      <c r="SGX93" s="3"/>
      <c r="SGY93" s="3"/>
      <c r="SGZ93" s="3"/>
      <c r="SHA93" s="3"/>
      <c r="SHB93" s="3"/>
      <c r="SHC93" s="3"/>
      <c r="SHD93" s="3"/>
      <c r="SHE93" s="3"/>
      <c r="SHF93" s="3"/>
      <c r="SHG93" s="3"/>
      <c r="SHH93" s="3"/>
      <c r="SHI93" s="3"/>
      <c r="SHJ93" s="3"/>
      <c r="SHK93" s="3"/>
      <c r="SHL93" s="3"/>
      <c r="SHM93" s="3"/>
      <c r="SHN93" s="3"/>
      <c r="SHO93" s="3"/>
      <c r="SHP93" s="3"/>
      <c r="SHQ93" s="3"/>
      <c r="SHR93" s="3"/>
      <c r="SHS93" s="3"/>
      <c r="SHT93" s="3"/>
      <c r="SHU93" s="3"/>
      <c r="SHV93" s="3"/>
      <c r="SHW93" s="3"/>
      <c r="SHX93" s="3"/>
      <c r="SHY93" s="3"/>
      <c r="SHZ93" s="3"/>
      <c r="SIA93" s="3"/>
      <c r="SIB93" s="3"/>
      <c r="SIC93" s="3"/>
      <c r="SID93" s="3"/>
      <c r="SIE93" s="3"/>
      <c r="SIF93" s="3"/>
      <c r="SIG93" s="3"/>
      <c r="SIH93" s="3"/>
      <c r="SII93" s="3"/>
      <c r="SIJ93" s="3"/>
      <c r="SIK93" s="3"/>
      <c r="SIL93" s="3"/>
      <c r="SIM93" s="3"/>
      <c r="SIN93" s="3"/>
      <c r="SIO93" s="3"/>
      <c r="SIP93" s="3"/>
      <c r="SIQ93" s="3"/>
      <c r="SIR93" s="3"/>
      <c r="SIS93" s="3"/>
      <c r="SIT93" s="3"/>
      <c r="SIU93" s="3"/>
      <c r="SIV93" s="3"/>
      <c r="SIW93" s="3"/>
      <c r="SIX93" s="3"/>
      <c r="SIY93" s="3"/>
      <c r="SIZ93" s="3"/>
      <c r="SJA93" s="3"/>
      <c r="SJB93" s="3"/>
      <c r="SJC93" s="3"/>
      <c r="SJD93" s="3"/>
      <c r="SJE93" s="3"/>
      <c r="SJF93" s="3"/>
      <c r="SJG93" s="3"/>
      <c r="SJH93" s="3"/>
      <c r="SJI93" s="3"/>
      <c r="SJJ93" s="3"/>
      <c r="SJK93" s="3"/>
      <c r="SJL93" s="3"/>
      <c r="SJM93" s="3"/>
      <c r="SJN93" s="3"/>
      <c r="SJO93" s="3"/>
      <c r="SJP93" s="3"/>
      <c r="SJQ93" s="3"/>
      <c r="SJR93" s="3"/>
      <c r="SJS93" s="3"/>
      <c r="SJT93" s="3"/>
      <c r="SJU93" s="3"/>
      <c r="SJV93" s="3"/>
      <c r="SJW93" s="3"/>
      <c r="SJX93" s="3"/>
      <c r="SJY93" s="3"/>
      <c r="SJZ93" s="3"/>
      <c r="SKA93" s="3"/>
      <c r="SKB93" s="3"/>
      <c r="SKC93" s="3"/>
      <c r="SKD93" s="3"/>
      <c r="SKE93" s="3"/>
      <c r="SKF93" s="3"/>
      <c r="SKG93" s="3"/>
      <c r="SKH93" s="3"/>
      <c r="SKI93" s="3"/>
      <c r="SKJ93" s="3"/>
      <c r="SKK93" s="3"/>
      <c r="SKL93" s="3"/>
      <c r="SKM93" s="3"/>
      <c r="SKN93" s="3"/>
      <c r="SKO93" s="3"/>
      <c r="SKP93" s="3"/>
      <c r="SKQ93" s="3"/>
      <c r="SKR93" s="3"/>
      <c r="SKS93" s="3"/>
      <c r="SKT93" s="3"/>
      <c r="SKU93" s="3"/>
      <c r="SKV93" s="3"/>
      <c r="SKW93" s="3"/>
      <c r="SKX93" s="3"/>
      <c r="SKY93" s="3"/>
      <c r="SKZ93" s="3"/>
      <c r="SLA93" s="3"/>
      <c r="SLB93" s="3"/>
      <c r="SLC93" s="3"/>
      <c r="SLD93" s="3"/>
      <c r="SLE93" s="3"/>
      <c r="SLF93" s="3"/>
      <c r="SLG93" s="3"/>
      <c r="SLH93" s="3"/>
      <c r="SLI93" s="3"/>
      <c r="SLJ93" s="3"/>
      <c r="SLK93" s="3"/>
      <c r="SLL93" s="3"/>
      <c r="SLM93" s="3"/>
      <c r="SLN93" s="3"/>
      <c r="SLO93" s="3"/>
      <c r="SLP93" s="3"/>
      <c r="SLQ93" s="3"/>
      <c r="SLR93" s="3"/>
      <c r="SLS93" s="3"/>
      <c r="SLT93" s="3"/>
      <c r="SLU93" s="3"/>
      <c r="SLV93" s="3"/>
      <c r="SLW93" s="3"/>
      <c r="SLX93" s="3"/>
      <c r="SLY93" s="3"/>
      <c r="SLZ93" s="3"/>
      <c r="SMA93" s="3"/>
      <c r="SMB93" s="3"/>
      <c r="SMC93" s="3"/>
      <c r="SMD93" s="3"/>
      <c r="SME93" s="3"/>
      <c r="SMF93" s="3"/>
      <c r="SMG93" s="3"/>
      <c r="SMH93" s="3"/>
      <c r="SMI93" s="3"/>
      <c r="SMJ93" s="3"/>
      <c r="SMK93" s="3"/>
      <c r="SML93" s="3"/>
      <c r="SMM93" s="3"/>
      <c r="SMN93" s="3"/>
      <c r="SMO93" s="3"/>
      <c r="SMP93" s="3"/>
      <c r="SMQ93" s="3"/>
      <c r="SMR93" s="3"/>
      <c r="SMS93" s="3"/>
      <c r="SMT93" s="3"/>
      <c r="SMU93" s="3"/>
      <c r="SMV93" s="3"/>
      <c r="SMW93" s="3"/>
      <c r="SMX93" s="3"/>
      <c r="SMY93" s="3"/>
      <c r="SMZ93" s="3"/>
      <c r="SNA93" s="3"/>
      <c r="SNB93" s="3"/>
      <c r="SNC93" s="3"/>
      <c r="SND93" s="3"/>
      <c r="SNE93" s="3"/>
      <c r="SNF93" s="3"/>
      <c r="SNG93" s="3"/>
      <c r="SNH93" s="3"/>
      <c r="SNI93" s="3"/>
      <c r="SNJ93" s="3"/>
      <c r="SNK93" s="3"/>
      <c r="SNL93" s="3"/>
      <c r="SNM93" s="3"/>
      <c r="SNN93" s="3"/>
      <c r="SNO93" s="3"/>
      <c r="SNP93" s="3"/>
      <c r="SNQ93" s="3"/>
      <c r="SNR93" s="3"/>
      <c r="SNS93" s="3"/>
      <c r="SNT93" s="3"/>
      <c r="SNU93" s="3"/>
      <c r="SNV93" s="3"/>
      <c r="SNW93" s="3"/>
      <c r="SNX93" s="3"/>
      <c r="SNY93" s="3"/>
      <c r="SNZ93" s="3"/>
      <c r="SOA93" s="3"/>
      <c r="SOB93" s="3"/>
      <c r="SOC93" s="3"/>
      <c r="SOD93" s="3"/>
      <c r="SOE93" s="3"/>
      <c r="SOF93" s="3"/>
      <c r="SOG93" s="3"/>
      <c r="SOH93" s="3"/>
      <c r="SOI93" s="3"/>
      <c r="SOJ93" s="3"/>
      <c r="SOK93" s="3"/>
      <c r="SOL93" s="3"/>
      <c r="SOM93" s="3"/>
      <c r="SON93" s="3"/>
      <c r="SOO93" s="3"/>
      <c r="SOP93" s="3"/>
      <c r="SOQ93" s="3"/>
      <c r="SOR93" s="3"/>
      <c r="SOS93" s="3"/>
      <c r="SOT93" s="3"/>
      <c r="SOU93" s="3"/>
      <c r="SOV93" s="3"/>
      <c r="SOW93" s="3"/>
      <c r="SOX93" s="3"/>
      <c r="SOY93" s="3"/>
      <c r="SOZ93" s="3"/>
      <c r="SPA93" s="3"/>
      <c r="SPB93" s="3"/>
      <c r="SPC93" s="3"/>
      <c r="SPD93" s="3"/>
      <c r="SPE93" s="3"/>
      <c r="SPF93" s="3"/>
      <c r="SPG93" s="3"/>
      <c r="SPH93" s="3"/>
      <c r="SPI93" s="3"/>
      <c r="SPJ93" s="3"/>
      <c r="SPK93" s="3"/>
      <c r="SPL93" s="3"/>
      <c r="SPM93" s="3"/>
      <c r="SPN93" s="3"/>
      <c r="SPO93" s="3"/>
      <c r="SPP93" s="3"/>
      <c r="SPQ93" s="3"/>
      <c r="SPR93" s="3"/>
      <c r="SPS93" s="3"/>
      <c r="SPT93" s="3"/>
      <c r="SPU93" s="3"/>
      <c r="SPV93" s="3"/>
      <c r="SPW93" s="3"/>
      <c r="SPX93" s="3"/>
      <c r="SPY93" s="3"/>
      <c r="SPZ93" s="3"/>
      <c r="SQA93" s="3"/>
      <c r="SQB93" s="3"/>
      <c r="SQC93" s="3"/>
      <c r="SQD93" s="3"/>
      <c r="SQE93" s="3"/>
      <c r="SQF93" s="3"/>
      <c r="SQG93" s="3"/>
      <c r="SQH93" s="3"/>
      <c r="SQI93" s="3"/>
      <c r="SQJ93" s="3"/>
      <c r="SQK93" s="3"/>
      <c r="SQL93" s="3"/>
      <c r="SQM93" s="3"/>
      <c r="SQN93" s="3"/>
      <c r="SQO93" s="3"/>
      <c r="SQP93" s="3"/>
      <c r="SQQ93" s="3"/>
      <c r="SQR93" s="3"/>
      <c r="SQS93" s="3"/>
      <c r="SQT93" s="3"/>
      <c r="SQU93" s="3"/>
      <c r="SQV93" s="3"/>
      <c r="SQW93" s="3"/>
      <c r="SQX93" s="3"/>
      <c r="SQY93" s="3"/>
      <c r="SQZ93" s="3"/>
      <c r="SRA93" s="3"/>
      <c r="SRB93" s="3"/>
      <c r="SRC93" s="3"/>
      <c r="SRD93" s="3"/>
      <c r="SRE93" s="3"/>
      <c r="SRF93" s="3"/>
      <c r="SRG93" s="3"/>
      <c r="SRH93" s="3"/>
      <c r="SRI93" s="3"/>
      <c r="SRJ93" s="3"/>
      <c r="SRK93" s="3"/>
      <c r="SRL93" s="3"/>
      <c r="SRM93" s="3"/>
      <c r="SRN93" s="3"/>
      <c r="SRO93" s="3"/>
      <c r="SRP93" s="3"/>
      <c r="SRQ93" s="3"/>
      <c r="SRR93" s="3"/>
      <c r="SRS93" s="3"/>
      <c r="SRT93" s="3"/>
      <c r="SRU93" s="3"/>
      <c r="SRV93" s="3"/>
      <c r="SRW93" s="3"/>
      <c r="SRX93" s="3"/>
      <c r="SRY93" s="3"/>
      <c r="SRZ93" s="3"/>
      <c r="SSA93" s="3"/>
      <c r="SSB93" s="3"/>
      <c r="SSC93" s="3"/>
      <c r="SSD93" s="3"/>
      <c r="SSE93" s="3"/>
      <c r="SSF93" s="3"/>
      <c r="SSG93" s="3"/>
      <c r="SSH93" s="3"/>
      <c r="SSI93" s="3"/>
      <c r="SSJ93" s="3"/>
      <c r="SSK93" s="3"/>
      <c r="SSL93" s="3"/>
      <c r="SSM93" s="3"/>
      <c r="SSN93" s="3"/>
      <c r="SSO93" s="3"/>
      <c r="SSP93" s="3"/>
      <c r="SSQ93" s="3"/>
      <c r="SSR93" s="3"/>
      <c r="SSS93" s="3"/>
      <c r="SST93" s="3"/>
      <c r="SSU93" s="3"/>
      <c r="SSV93" s="3"/>
      <c r="SSW93" s="3"/>
      <c r="SSX93" s="3"/>
      <c r="SSY93" s="3"/>
      <c r="SSZ93" s="3"/>
      <c r="STA93" s="3"/>
      <c r="STB93" s="3"/>
      <c r="STC93" s="3"/>
      <c r="STD93" s="3"/>
      <c r="STE93" s="3"/>
      <c r="STF93" s="3"/>
      <c r="STG93" s="3"/>
      <c r="STH93" s="3"/>
      <c r="STI93" s="3"/>
      <c r="STJ93" s="3"/>
      <c r="STK93" s="3"/>
      <c r="STL93" s="3"/>
      <c r="STM93" s="3"/>
      <c r="STN93" s="3"/>
      <c r="STO93" s="3"/>
      <c r="STP93" s="3"/>
      <c r="STQ93" s="3"/>
      <c r="STR93" s="3"/>
      <c r="STS93" s="3"/>
      <c r="STT93" s="3"/>
      <c r="STU93" s="3"/>
      <c r="STV93" s="3"/>
      <c r="STW93" s="3"/>
      <c r="STX93" s="3"/>
      <c r="STY93" s="3"/>
      <c r="STZ93" s="3"/>
      <c r="SUA93" s="3"/>
      <c r="SUB93" s="3"/>
      <c r="SUC93" s="3"/>
      <c r="SUD93" s="3"/>
      <c r="SUE93" s="3"/>
      <c r="SUF93" s="3"/>
      <c r="SUG93" s="3"/>
      <c r="SUH93" s="3"/>
      <c r="SUI93" s="3"/>
      <c r="SUJ93" s="3"/>
      <c r="SUK93" s="3"/>
      <c r="SUL93" s="3"/>
      <c r="SUM93" s="3"/>
      <c r="SUN93" s="3"/>
      <c r="SUO93" s="3"/>
      <c r="SUP93" s="3"/>
      <c r="SUQ93" s="3"/>
      <c r="SUR93" s="3"/>
      <c r="SUS93" s="3"/>
      <c r="SUT93" s="3"/>
      <c r="SUU93" s="3"/>
      <c r="SUV93" s="3"/>
      <c r="SUW93" s="3"/>
      <c r="SUX93" s="3"/>
      <c r="SUY93" s="3"/>
      <c r="SUZ93" s="3"/>
      <c r="SVA93" s="3"/>
      <c r="SVB93" s="3"/>
      <c r="SVC93" s="3"/>
      <c r="SVD93" s="3"/>
      <c r="SVE93" s="3"/>
      <c r="SVF93" s="3"/>
      <c r="SVG93" s="3"/>
      <c r="SVH93" s="3"/>
      <c r="SVI93" s="3"/>
      <c r="SVJ93" s="3"/>
      <c r="SVK93" s="3"/>
      <c r="SVL93" s="3"/>
      <c r="SVM93" s="3"/>
      <c r="SVN93" s="3"/>
      <c r="SVO93" s="3"/>
      <c r="SVP93" s="3"/>
      <c r="SVQ93" s="3"/>
      <c r="SVR93" s="3"/>
      <c r="SVS93" s="3"/>
      <c r="SVT93" s="3"/>
      <c r="SVU93" s="3"/>
      <c r="SVV93" s="3"/>
      <c r="SVW93" s="3"/>
      <c r="SVX93" s="3"/>
      <c r="SVY93" s="3"/>
      <c r="SVZ93" s="3"/>
      <c r="SWA93" s="3"/>
      <c r="SWB93" s="3"/>
      <c r="SWC93" s="3"/>
      <c r="SWD93" s="3"/>
      <c r="SWE93" s="3"/>
      <c r="SWF93" s="3"/>
      <c r="SWG93" s="3"/>
      <c r="SWH93" s="3"/>
      <c r="SWI93" s="3"/>
      <c r="SWJ93" s="3"/>
      <c r="SWK93" s="3"/>
      <c r="SWL93" s="3"/>
      <c r="SWM93" s="3"/>
      <c r="SWN93" s="3"/>
      <c r="SWO93" s="3"/>
      <c r="SWP93" s="3"/>
      <c r="SWQ93" s="3"/>
      <c r="SWR93" s="3"/>
      <c r="SWS93" s="3"/>
      <c r="SWT93" s="3"/>
      <c r="SWU93" s="3"/>
      <c r="SWV93" s="3"/>
      <c r="SWW93" s="3"/>
      <c r="SWX93" s="3"/>
      <c r="SWY93" s="3"/>
      <c r="SWZ93" s="3"/>
      <c r="SXA93" s="3"/>
      <c r="SXB93" s="3"/>
      <c r="SXC93" s="3"/>
      <c r="SXD93" s="3"/>
      <c r="SXE93" s="3"/>
      <c r="SXF93" s="3"/>
      <c r="SXG93" s="3"/>
      <c r="SXH93" s="3"/>
      <c r="SXI93" s="3"/>
      <c r="SXJ93" s="3"/>
      <c r="SXK93" s="3"/>
      <c r="SXL93" s="3"/>
      <c r="SXM93" s="3"/>
      <c r="SXN93" s="3"/>
      <c r="SXO93" s="3"/>
      <c r="SXP93" s="3"/>
      <c r="SXQ93" s="3"/>
      <c r="SXR93" s="3"/>
      <c r="SXS93" s="3"/>
      <c r="SXT93" s="3"/>
      <c r="SXU93" s="3"/>
      <c r="SXV93" s="3"/>
      <c r="SXW93" s="3"/>
      <c r="SXX93" s="3"/>
      <c r="SXY93" s="3"/>
      <c r="SXZ93" s="3"/>
      <c r="SYA93" s="3"/>
      <c r="SYB93" s="3"/>
      <c r="SYC93" s="3"/>
      <c r="SYD93" s="3"/>
      <c r="SYE93" s="3"/>
      <c r="SYF93" s="3"/>
      <c r="SYG93" s="3"/>
      <c r="SYH93" s="3"/>
      <c r="SYI93" s="3"/>
      <c r="SYJ93" s="3"/>
      <c r="SYK93" s="3"/>
      <c r="SYL93" s="3"/>
      <c r="SYM93" s="3"/>
      <c r="SYN93" s="3"/>
      <c r="SYO93" s="3"/>
      <c r="SYP93" s="3"/>
      <c r="SYQ93" s="3"/>
      <c r="SYR93" s="3"/>
      <c r="SYS93" s="3"/>
      <c r="SYT93" s="3"/>
      <c r="SYU93" s="3"/>
      <c r="SYV93" s="3"/>
      <c r="SYW93" s="3"/>
      <c r="SYX93" s="3"/>
      <c r="SYY93" s="3"/>
      <c r="SYZ93" s="3"/>
      <c r="SZA93" s="3"/>
      <c r="SZB93" s="3"/>
      <c r="SZC93" s="3"/>
      <c r="SZD93" s="3"/>
      <c r="SZE93" s="3"/>
      <c r="SZF93" s="3"/>
      <c r="SZG93" s="3"/>
      <c r="SZH93" s="3"/>
      <c r="SZI93" s="3"/>
      <c r="SZJ93" s="3"/>
      <c r="SZK93" s="3"/>
      <c r="SZL93" s="3"/>
      <c r="SZM93" s="3"/>
      <c r="SZN93" s="3"/>
      <c r="SZO93" s="3"/>
      <c r="SZP93" s="3"/>
      <c r="SZQ93" s="3"/>
      <c r="SZR93" s="3"/>
      <c r="SZS93" s="3"/>
      <c r="SZT93" s="3"/>
      <c r="SZU93" s="3"/>
      <c r="SZV93" s="3"/>
      <c r="SZW93" s="3"/>
      <c r="SZX93" s="3"/>
      <c r="SZY93" s="3"/>
      <c r="SZZ93" s="3"/>
      <c r="TAA93" s="3"/>
      <c r="TAB93" s="3"/>
      <c r="TAC93" s="3"/>
      <c r="TAD93" s="3"/>
      <c r="TAE93" s="3"/>
      <c r="TAF93" s="3"/>
      <c r="TAG93" s="3"/>
      <c r="TAH93" s="3"/>
      <c r="TAI93" s="3"/>
      <c r="TAJ93" s="3"/>
      <c r="TAK93" s="3"/>
      <c r="TAL93" s="3"/>
      <c r="TAM93" s="3"/>
      <c r="TAN93" s="3"/>
      <c r="TAO93" s="3"/>
      <c r="TAP93" s="3"/>
      <c r="TAQ93" s="3"/>
      <c r="TAR93" s="3"/>
      <c r="TAS93" s="3"/>
      <c r="TAT93" s="3"/>
      <c r="TAU93" s="3"/>
      <c r="TAV93" s="3"/>
      <c r="TAW93" s="3"/>
      <c r="TAX93" s="3"/>
      <c r="TAY93" s="3"/>
      <c r="TAZ93" s="3"/>
      <c r="TBA93" s="3"/>
      <c r="TBB93" s="3"/>
      <c r="TBC93" s="3"/>
      <c r="TBD93" s="3"/>
      <c r="TBE93" s="3"/>
      <c r="TBF93" s="3"/>
      <c r="TBG93" s="3"/>
      <c r="TBH93" s="3"/>
      <c r="TBI93" s="3"/>
      <c r="TBJ93" s="3"/>
      <c r="TBK93" s="3"/>
      <c r="TBL93" s="3"/>
      <c r="TBM93" s="3"/>
      <c r="TBN93" s="3"/>
      <c r="TBO93" s="3"/>
      <c r="TBP93" s="3"/>
      <c r="TBQ93" s="3"/>
      <c r="TBR93" s="3"/>
      <c r="TBS93" s="3"/>
      <c r="TBT93" s="3"/>
      <c r="TBU93" s="3"/>
      <c r="TBV93" s="3"/>
      <c r="TBW93" s="3"/>
      <c r="TBX93" s="3"/>
      <c r="TBY93" s="3"/>
      <c r="TBZ93" s="3"/>
      <c r="TCA93" s="3"/>
      <c r="TCB93" s="3"/>
      <c r="TCC93" s="3"/>
      <c r="TCD93" s="3"/>
      <c r="TCE93" s="3"/>
      <c r="TCF93" s="3"/>
      <c r="TCG93" s="3"/>
      <c r="TCH93" s="3"/>
      <c r="TCI93" s="3"/>
      <c r="TCJ93" s="3"/>
      <c r="TCK93" s="3"/>
      <c r="TCL93" s="3"/>
      <c r="TCM93" s="3"/>
      <c r="TCN93" s="3"/>
      <c r="TCO93" s="3"/>
      <c r="TCP93" s="3"/>
      <c r="TCQ93" s="3"/>
      <c r="TCR93" s="3"/>
      <c r="TCS93" s="3"/>
      <c r="TCT93" s="3"/>
      <c r="TCU93" s="3"/>
      <c r="TCV93" s="3"/>
      <c r="TCW93" s="3"/>
      <c r="TCX93" s="3"/>
      <c r="TCY93" s="3"/>
      <c r="TCZ93" s="3"/>
      <c r="TDA93" s="3"/>
      <c r="TDB93" s="3"/>
      <c r="TDC93" s="3"/>
      <c r="TDD93" s="3"/>
      <c r="TDE93" s="3"/>
      <c r="TDF93" s="3"/>
      <c r="TDG93" s="3"/>
      <c r="TDH93" s="3"/>
      <c r="TDI93" s="3"/>
      <c r="TDJ93" s="3"/>
      <c r="TDK93" s="3"/>
      <c r="TDL93" s="3"/>
      <c r="TDM93" s="3"/>
      <c r="TDN93" s="3"/>
      <c r="TDO93" s="3"/>
      <c r="TDP93" s="3"/>
      <c r="TDQ93" s="3"/>
      <c r="TDR93" s="3"/>
      <c r="TDS93" s="3"/>
      <c r="TDT93" s="3"/>
      <c r="TDU93" s="3"/>
      <c r="TDV93" s="3"/>
      <c r="TDW93" s="3"/>
      <c r="TDX93" s="3"/>
      <c r="TDY93" s="3"/>
      <c r="TDZ93" s="3"/>
      <c r="TEA93" s="3"/>
      <c r="TEB93" s="3"/>
      <c r="TEC93" s="3"/>
      <c r="TED93" s="3"/>
      <c r="TEE93" s="3"/>
      <c r="TEF93" s="3"/>
      <c r="TEG93" s="3"/>
      <c r="TEH93" s="3"/>
      <c r="TEI93" s="3"/>
      <c r="TEJ93" s="3"/>
      <c r="TEK93" s="3"/>
      <c r="TEL93" s="3"/>
      <c r="TEM93" s="3"/>
      <c r="TEN93" s="3"/>
      <c r="TEO93" s="3"/>
      <c r="TEP93" s="3"/>
      <c r="TEQ93" s="3"/>
      <c r="TER93" s="3"/>
      <c r="TES93" s="3"/>
      <c r="TET93" s="3"/>
      <c r="TEU93" s="3"/>
      <c r="TEV93" s="3"/>
      <c r="TEW93" s="3"/>
      <c r="TEX93" s="3"/>
      <c r="TEY93" s="3"/>
      <c r="TEZ93" s="3"/>
      <c r="TFA93" s="3"/>
      <c r="TFB93" s="3"/>
      <c r="TFC93" s="3"/>
      <c r="TFD93" s="3"/>
      <c r="TFE93" s="3"/>
      <c r="TFF93" s="3"/>
      <c r="TFG93" s="3"/>
      <c r="TFH93" s="3"/>
      <c r="TFI93" s="3"/>
      <c r="TFJ93" s="3"/>
      <c r="TFK93" s="3"/>
      <c r="TFL93" s="3"/>
      <c r="TFM93" s="3"/>
      <c r="TFN93" s="3"/>
      <c r="TFO93" s="3"/>
      <c r="TFP93" s="3"/>
      <c r="TFQ93" s="3"/>
      <c r="TFR93" s="3"/>
      <c r="TFS93" s="3"/>
      <c r="TFT93" s="3"/>
      <c r="TFU93" s="3"/>
      <c r="TFV93" s="3"/>
      <c r="TFW93" s="3"/>
      <c r="TFX93" s="3"/>
      <c r="TFY93" s="3"/>
      <c r="TFZ93" s="3"/>
      <c r="TGA93" s="3"/>
      <c r="TGB93" s="3"/>
      <c r="TGC93" s="3"/>
      <c r="TGD93" s="3"/>
      <c r="TGE93" s="3"/>
      <c r="TGF93" s="3"/>
      <c r="TGG93" s="3"/>
      <c r="TGH93" s="3"/>
      <c r="TGI93" s="3"/>
      <c r="TGJ93" s="3"/>
      <c r="TGK93" s="3"/>
      <c r="TGL93" s="3"/>
      <c r="TGM93" s="3"/>
      <c r="TGN93" s="3"/>
      <c r="TGO93" s="3"/>
      <c r="TGP93" s="3"/>
      <c r="TGQ93" s="3"/>
      <c r="TGR93" s="3"/>
      <c r="TGS93" s="3"/>
      <c r="TGT93" s="3"/>
      <c r="TGU93" s="3"/>
      <c r="TGV93" s="3"/>
      <c r="TGW93" s="3"/>
      <c r="TGX93" s="3"/>
      <c r="TGY93" s="3"/>
      <c r="TGZ93" s="3"/>
      <c r="THA93" s="3"/>
      <c r="THB93" s="3"/>
      <c r="THC93" s="3"/>
      <c r="THD93" s="3"/>
      <c r="THE93" s="3"/>
      <c r="THF93" s="3"/>
      <c r="THG93" s="3"/>
      <c r="THH93" s="3"/>
      <c r="THI93" s="3"/>
      <c r="THJ93" s="3"/>
      <c r="THK93" s="3"/>
      <c r="THL93" s="3"/>
      <c r="THM93" s="3"/>
      <c r="THN93" s="3"/>
      <c r="THO93" s="3"/>
      <c r="THP93" s="3"/>
      <c r="THQ93" s="3"/>
      <c r="THR93" s="3"/>
      <c r="THS93" s="3"/>
      <c r="THT93" s="3"/>
      <c r="THU93" s="3"/>
      <c r="THV93" s="3"/>
      <c r="THW93" s="3"/>
      <c r="THX93" s="3"/>
      <c r="THY93" s="3"/>
      <c r="THZ93" s="3"/>
      <c r="TIA93" s="3"/>
      <c r="TIB93" s="3"/>
      <c r="TIC93" s="3"/>
      <c r="TID93" s="3"/>
      <c r="TIE93" s="3"/>
      <c r="TIF93" s="3"/>
      <c r="TIG93" s="3"/>
      <c r="TIH93" s="3"/>
      <c r="TII93" s="3"/>
      <c r="TIJ93" s="3"/>
      <c r="TIK93" s="3"/>
      <c r="TIL93" s="3"/>
      <c r="TIM93" s="3"/>
      <c r="TIN93" s="3"/>
      <c r="TIO93" s="3"/>
      <c r="TIP93" s="3"/>
      <c r="TIQ93" s="3"/>
      <c r="TIR93" s="3"/>
      <c r="TIS93" s="3"/>
      <c r="TIT93" s="3"/>
      <c r="TIU93" s="3"/>
      <c r="TIV93" s="3"/>
      <c r="TIW93" s="3"/>
      <c r="TIX93" s="3"/>
      <c r="TIY93" s="3"/>
      <c r="TIZ93" s="3"/>
      <c r="TJA93" s="3"/>
      <c r="TJB93" s="3"/>
      <c r="TJC93" s="3"/>
      <c r="TJD93" s="3"/>
      <c r="TJE93" s="3"/>
      <c r="TJF93" s="3"/>
      <c r="TJG93" s="3"/>
      <c r="TJH93" s="3"/>
      <c r="TJI93" s="3"/>
      <c r="TJJ93" s="3"/>
      <c r="TJK93" s="3"/>
      <c r="TJL93" s="3"/>
      <c r="TJM93" s="3"/>
      <c r="TJN93" s="3"/>
      <c r="TJO93" s="3"/>
      <c r="TJP93" s="3"/>
      <c r="TJQ93" s="3"/>
      <c r="TJR93" s="3"/>
      <c r="TJS93" s="3"/>
      <c r="TJT93" s="3"/>
      <c r="TJU93" s="3"/>
      <c r="TJV93" s="3"/>
      <c r="TJW93" s="3"/>
      <c r="TJX93" s="3"/>
      <c r="TJY93" s="3"/>
      <c r="TJZ93" s="3"/>
      <c r="TKA93" s="3"/>
      <c r="TKB93" s="3"/>
      <c r="TKC93" s="3"/>
      <c r="TKD93" s="3"/>
      <c r="TKE93" s="3"/>
      <c r="TKF93" s="3"/>
      <c r="TKG93" s="3"/>
      <c r="TKH93" s="3"/>
      <c r="TKI93" s="3"/>
      <c r="TKJ93" s="3"/>
      <c r="TKK93" s="3"/>
      <c r="TKL93" s="3"/>
      <c r="TKM93" s="3"/>
      <c r="TKN93" s="3"/>
      <c r="TKO93" s="3"/>
      <c r="TKP93" s="3"/>
      <c r="TKQ93" s="3"/>
      <c r="TKR93" s="3"/>
      <c r="TKS93" s="3"/>
      <c r="TKT93" s="3"/>
      <c r="TKU93" s="3"/>
      <c r="TKV93" s="3"/>
      <c r="TKW93" s="3"/>
      <c r="TKX93" s="3"/>
      <c r="TKY93" s="3"/>
      <c r="TKZ93" s="3"/>
      <c r="TLA93" s="3"/>
      <c r="TLB93" s="3"/>
      <c r="TLC93" s="3"/>
      <c r="TLD93" s="3"/>
      <c r="TLE93" s="3"/>
      <c r="TLF93" s="3"/>
      <c r="TLG93" s="3"/>
      <c r="TLH93" s="3"/>
      <c r="TLI93" s="3"/>
      <c r="TLJ93" s="3"/>
      <c r="TLK93" s="3"/>
      <c r="TLL93" s="3"/>
      <c r="TLM93" s="3"/>
      <c r="TLN93" s="3"/>
      <c r="TLO93" s="3"/>
      <c r="TLP93" s="3"/>
      <c r="TLQ93" s="3"/>
      <c r="TLR93" s="3"/>
      <c r="TLS93" s="3"/>
      <c r="TLT93" s="3"/>
      <c r="TLU93" s="3"/>
      <c r="TLV93" s="3"/>
      <c r="TLW93" s="3"/>
      <c r="TLX93" s="3"/>
      <c r="TLY93" s="3"/>
      <c r="TLZ93" s="3"/>
      <c r="TMA93" s="3"/>
      <c r="TMB93" s="3"/>
      <c r="TMC93" s="3"/>
      <c r="TMD93" s="3"/>
      <c r="TME93" s="3"/>
      <c r="TMF93" s="3"/>
      <c r="TMG93" s="3"/>
      <c r="TMH93" s="3"/>
      <c r="TMI93" s="3"/>
      <c r="TMJ93" s="3"/>
      <c r="TMK93" s="3"/>
      <c r="TML93" s="3"/>
      <c r="TMM93" s="3"/>
      <c r="TMN93" s="3"/>
      <c r="TMO93" s="3"/>
      <c r="TMP93" s="3"/>
      <c r="TMQ93" s="3"/>
      <c r="TMR93" s="3"/>
      <c r="TMS93" s="3"/>
      <c r="TMT93" s="3"/>
      <c r="TMU93" s="3"/>
      <c r="TMV93" s="3"/>
      <c r="TMW93" s="3"/>
      <c r="TMX93" s="3"/>
      <c r="TMY93" s="3"/>
      <c r="TMZ93" s="3"/>
      <c r="TNA93" s="3"/>
      <c r="TNB93" s="3"/>
      <c r="TNC93" s="3"/>
      <c r="TND93" s="3"/>
      <c r="TNE93" s="3"/>
      <c r="TNF93" s="3"/>
      <c r="TNG93" s="3"/>
      <c r="TNH93" s="3"/>
      <c r="TNI93" s="3"/>
      <c r="TNJ93" s="3"/>
      <c r="TNK93" s="3"/>
      <c r="TNL93" s="3"/>
      <c r="TNM93" s="3"/>
      <c r="TNN93" s="3"/>
      <c r="TNO93" s="3"/>
      <c r="TNP93" s="3"/>
      <c r="TNQ93" s="3"/>
      <c r="TNR93" s="3"/>
      <c r="TNS93" s="3"/>
      <c r="TNT93" s="3"/>
      <c r="TNU93" s="3"/>
      <c r="TNV93" s="3"/>
      <c r="TNW93" s="3"/>
      <c r="TNX93" s="3"/>
      <c r="TNY93" s="3"/>
      <c r="TNZ93" s="3"/>
      <c r="TOA93" s="3"/>
      <c r="TOB93" s="3"/>
      <c r="TOC93" s="3"/>
      <c r="TOD93" s="3"/>
      <c r="TOE93" s="3"/>
      <c r="TOF93" s="3"/>
      <c r="TOG93" s="3"/>
      <c r="TOH93" s="3"/>
      <c r="TOI93" s="3"/>
      <c r="TOJ93" s="3"/>
      <c r="TOK93" s="3"/>
      <c r="TOL93" s="3"/>
      <c r="TOM93" s="3"/>
      <c r="TON93" s="3"/>
      <c r="TOO93" s="3"/>
      <c r="TOP93" s="3"/>
      <c r="TOQ93" s="3"/>
      <c r="TOR93" s="3"/>
      <c r="TOS93" s="3"/>
      <c r="TOT93" s="3"/>
      <c r="TOU93" s="3"/>
      <c r="TOV93" s="3"/>
      <c r="TOW93" s="3"/>
      <c r="TOX93" s="3"/>
      <c r="TOY93" s="3"/>
      <c r="TOZ93" s="3"/>
      <c r="TPA93" s="3"/>
      <c r="TPB93" s="3"/>
      <c r="TPC93" s="3"/>
      <c r="TPD93" s="3"/>
      <c r="TPE93" s="3"/>
      <c r="TPF93" s="3"/>
      <c r="TPG93" s="3"/>
      <c r="TPH93" s="3"/>
      <c r="TPI93" s="3"/>
      <c r="TPJ93" s="3"/>
      <c r="TPK93" s="3"/>
      <c r="TPL93" s="3"/>
      <c r="TPM93" s="3"/>
      <c r="TPN93" s="3"/>
      <c r="TPO93" s="3"/>
      <c r="TPP93" s="3"/>
      <c r="TPQ93" s="3"/>
      <c r="TPR93" s="3"/>
      <c r="TPS93" s="3"/>
      <c r="TPT93" s="3"/>
      <c r="TPU93" s="3"/>
      <c r="TPV93" s="3"/>
      <c r="TPW93" s="3"/>
      <c r="TPX93" s="3"/>
      <c r="TPY93" s="3"/>
      <c r="TPZ93" s="3"/>
      <c r="TQA93" s="3"/>
      <c r="TQB93" s="3"/>
      <c r="TQC93" s="3"/>
      <c r="TQD93" s="3"/>
      <c r="TQE93" s="3"/>
      <c r="TQF93" s="3"/>
      <c r="TQG93" s="3"/>
      <c r="TQH93" s="3"/>
      <c r="TQI93" s="3"/>
      <c r="TQJ93" s="3"/>
      <c r="TQK93" s="3"/>
      <c r="TQL93" s="3"/>
      <c r="TQM93" s="3"/>
      <c r="TQN93" s="3"/>
      <c r="TQO93" s="3"/>
      <c r="TQP93" s="3"/>
      <c r="TQQ93" s="3"/>
      <c r="TQR93" s="3"/>
      <c r="TQS93" s="3"/>
      <c r="TQT93" s="3"/>
      <c r="TQU93" s="3"/>
      <c r="TQV93" s="3"/>
      <c r="TQW93" s="3"/>
      <c r="TQX93" s="3"/>
      <c r="TQY93" s="3"/>
      <c r="TQZ93" s="3"/>
      <c r="TRA93" s="3"/>
      <c r="TRB93" s="3"/>
      <c r="TRC93" s="3"/>
      <c r="TRD93" s="3"/>
      <c r="TRE93" s="3"/>
      <c r="TRF93" s="3"/>
      <c r="TRG93" s="3"/>
      <c r="TRH93" s="3"/>
      <c r="TRI93" s="3"/>
      <c r="TRJ93" s="3"/>
      <c r="TRK93" s="3"/>
      <c r="TRL93" s="3"/>
      <c r="TRM93" s="3"/>
      <c r="TRN93" s="3"/>
      <c r="TRO93" s="3"/>
      <c r="TRP93" s="3"/>
      <c r="TRQ93" s="3"/>
      <c r="TRR93" s="3"/>
      <c r="TRS93" s="3"/>
      <c r="TRT93" s="3"/>
      <c r="TRU93" s="3"/>
      <c r="TRV93" s="3"/>
      <c r="TRW93" s="3"/>
      <c r="TRX93" s="3"/>
      <c r="TRY93" s="3"/>
      <c r="TRZ93" s="3"/>
      <c r="TSA93" s="3"/>
      <c r="TSB93" s="3"/>
      <c r="TSC93" s="3"/>
      <c r="TSD93" s="3"/>
      <c r="TSE93" s="3"/>
      <c r="TSF93" s="3"/>
      <c r="TSG93" s="3"/>
      <c r="TSH93" s="3"/>
      <c r="TSI93" s="3"/>
      <c r="TSJ93" s="3"/>
      <c r="TSK93" s="3"/>
      <c r="TSL93" s="3"/>
      <c r="TSM93" s="3"/>
      <c r="TSN93" s="3"/>
      <c r="TSO93" s="3"/>
      <c r="TSP93" s="3"/>
      <c r="TSQ93" s="3"/>
      <c r="TSR93" s="3"/>
      <c r="TSS93" s="3"/>
      <c r="TST93" s="3"/>
      <c r="TSU93" s="3"/>
      <c r="TSV93" s="3"/>
      <c r="TSW93" s="3"/>
      <c r="TSX93" s="3"/>
      <c r="TSY93" s="3"/>
      <c r="TSZ93" s="3"/>
      <c r="TTA93" s="3"/>
      <c r="TTB93" s="3"/>
      <c r="TTC93" s="3"/>
      <c r="TTD93" s="3"/>
      <c r="TTE93" s="3"/>
      <c r="TTF93" s="3"/>
      <c r="TTG93" s="3"/>
      <c r="TTH93" s="3"/>
      <c r="TTI93" s="3"/>
      <c r="TTJ93" s="3"/>
      <c r="TTK93" s="3"/>
      <c r="TTL93" s="3"/>
      <c r="TTM93" s="3"/>
      <c r="TTN93" s="3"/>
      <c r="TTO93" s="3"/>
      <c r="TTP93" s="3"/>
      <c r="TTQ93" s="3"/>
      <c r="TTR93" s="3"/>
      <c r="TTS93" s="3"/>
      <c r="TTT93" s="3"/>
      <c r="TTU93" s="3"/>
      <c r="TTV93" s="3"/>
      <c r="TTW93" s="3"/>
      <c r="TTX93" s="3"/>
      <c r="TTY93" s="3"/>
      <c r="TTZ93" s="3"/>
      <c r="TUA93" s="3"/>
      <c r="TUB93" s="3"/>
      <c r="TUC93" s="3"/>
      <c r="TUD93" s="3"/>
      <c r="TUE93" s="3"/>
      <c r="TUF93" s="3"/>
      <c r="TUG93" s="3"/>
      <c r="TUH93" s="3"/>
      <c r="TUI93" s="3"/>
      <c r="TUJ93" s="3"/>
      <c r="TUK93" s="3"/>
      <c r="TUL93" s="3"/>
      <c r="TUM93" s="3"/>
      <c r="TUN93" s="3"/>
      <c r="TUO93" s="3"/>
      <c r="TUP93" s="3"/>
      <c r="TUQ93" s="3"/>
      <c r="TUR93" s="3"/>
      <c r="TUS93" s="3"/>
      <c r="TUT93" s="3"/>
      <c r="TUU93" s="3"/>
      <c r="TUV93" s="3"/>
      <c r="TUW93" s="3"/>
      <c r="TUX93" s="3"/>
      <c r="TUY93" s="3"/>
      <c r="TUZ93" s="3"/>
      <c r="TVA93" s="3"/>
      <c r="TVB93" s="3"/>
      <c r="TVC93" s="3"/>
      <c r="TVD93" s="3"/>
      <c r="TVE93" s="3"/>
      <c r="TVF93" s="3"/>
      <c r="TVG93" s="3"/>
      <c r="TVH93" s="3"/>
      <c r="TVI93" s="3"/>
      <c r="TVJ93" s="3"/>
      <c r="TVK93" s="3"/>
      <c r="TVL93" s="3"/>
      <c r="TVM93" s="3"/>
      <c r="TVN93" s="3"/>
      <c r="TVO93" s="3"/>
      <c r="TVP93" s="3"/>
      <c r="TVQ93" s="3"/>
      <c r="TVR93" s="3"/>
      <c r="TVS93" s="3"/>
      <c r="TVT93" s="3"/>
      <c r="TVU93" s="3"/>
      <c r="TVV93" s="3"/>
      <c r="TVW93" s="3"/>
      <c r="TVX93" s="3"/>
      <c r="TVY93" s="3"/>
      <c r="TVZ93" s="3"/>
      <c r="TWA93" s="3"/>
      <c r="TWB93" s="3"/>
      <c r="TWC93" s="3"/>
      <c r="TWD93" s="3"/>
      <c r="TWE93" s="3"/>
      <c r="TWF93" s="3"/>
      <c r="TWG93" s="3"/>
      <c r="TWH93" s="3"/>
      <c r="TWI93" s="3"/>
      <c r="TWJ93" s="3"/>
      <c r="TWK93" s="3"/>
      <c r="TWL93" s="3"/>
      <c r="TWM93" s="3"/>
      <c r="TWN93" s="3"/>
      <c r="TWO93" s="3"/>
      <c r="TWP93" s="3"/>
      <c r="TWQ93" s="3"/>
      <c r="TWR93" s="3"/>
      <c r="TWS93" s="3"/>
      <c r="TWT93" s="3"/>
      <c r="TWU93" s="3"/>
      <c r="TWV93" s="3"/>
      <c r="TWW93" s="3"/>
      <c r="TWX93" s="3"/>
      <c r="TWY93" s="3"/>
      <c r="TWZ93" s="3"/>
      <c r="TXA93" s="3"/>
      <c r="TXB93" s="3"/>
      <c r="TXC93" s="3"/>
      <c r="TXD93" s="3"/>
      <c r="TXE93" s="3"/>
      <c r="TXF93" s="3"/>
      <c r="TXG93" s="3"/>
      <c r="TXH93" s="3"/>
      <c r="TXI93" s="3"/>
      <c r="TXJ93" s="3"/>
      <c r="TXK93" s="3"/>
      <c r="TXL93" s="3"/>
      <c r="TXM93" s="3"/>
      <c r="TXN93" s="3"/>
      <c r="TXO93" s="3"/>
      <c r="TXP93" s="3"/>
      <c r="TXQ93" s="3"/>
      <c r="TXR93" s="3"/>
      <c r="TXS93" s="3"/>
      <c r="TXT93" s="3"/>
      <c r="TXU93" s="3"/>
      <c r="TXV93" s="3"/>
      <c r="TXW93" s="3"/>
      <c r="TXX93" s="3"/>
      <c r="TXY93" s="3"/>
      <c r="TXZ93" s="3"/>
      <c r="TYA93" s="3"/>
      <c r="TYB93" s="3"/>
      <c r="TYC93" s="3"/>
      <c r="TYD93" s="3"/>
      <c r="TYE93" s="3"/>
      <c r="TYF93" s="3"/>
      <c r="TYG93" s="3"/>
      <c r="TYH93" s="3"/>
      <c r="TYI93" s="3"/>
      <c r="TYJ93" s="3"/>
      <c r="TYK93" s="3"/>
      <c r="TYL93" s="3"/>
      <c r="TYM93" s="3"/>
      <c r="TYN93" s="3"/>
      <c r="TYO93" s="3"/>
      <c r="TYP93" s="3"/>
      <c r="TYQ93" s="3"/>
      <c r="TYR93" s="3"/>
      <c r="TYS93" s="3"/>
      <c r="TYT93" s="3"/>
      <c r="TYU93" s="3"/>
      <c r="TYV93" s="3"/>
      <c r="TYW93" s="3"/>
      <c r="TYX93" s="3"/>
      <c r="TYY93" s="3"/>
      <c r="TYZ93" s="3"/>
      <c r="TZA93" s="3"/>
      <c r="TZB93" s="3"/>
      <c r="TZC93" s="3"/>
      <c r="TZD93" s="3"/>
      <c r="TZE93" s="3"/>
      <c r="TZF93" s="3"/>
      <c r="TZG93" s="3"/>
      <c r="TZH93" s="3"/>
      <c r="TZI93" s="3"/>
      <c r="TZJ93" s="3"/>
      <c r="TZK93" s="3"/>
      <c r="TZL93" s="3"/>
      <c r="TZM93" s="3"/>
      <c r="TZN93" s="3"/>
      <c r="TZO93" s="3"/>
      <c r="TZP93" s="3"/>
      <c r="TZQ93" s="3"/>
      <c r="TZR93" s="3"/>
      <c r="TZS93" s="3"/>
      <c r="TZT93" s="3"/>
      <c r="TZU93" s="3"/>
      <c r="TZV93" s="3"/>
      <c r="TZW93" s="3"/>
      <c r="TZX93" s="3"/>
      <c r="TZY93" s="3"/>
      <c r="TZZ93" s="3"/>
      <c r="UAA93" s="3"/>
      <c r="UAB93" s="3"/>
      <c r="UAC93" s="3"/>
      <c r="UAD93" s="3"/>
      <c r="UAE93" s="3"/>
      <c r="UAF93" s="3"/>
      <c r="UAG93" s="3"/>
      <c r="UAH93" s="3"/>
      <c r="UAI93" s="3"/>
      <c r="UAJ93" s="3"/>
      <c r="UAK93" s="3"/>
      <c r="UAL93" s="3"/>
      <c r="UAM93" s="3"/>
      <c r="UAN93" s="3"/>
      <c r="UAO93" s="3"/>
      <c r="UAP93" s="3"/>
      <c r="UAQ93" s="3"/>
      <c r="UAR93" s="3"/>
      <c r="UAS93" s="3"/>
      <c r="UAT93" s="3"/>
      <c r="UAU93" s="3"/>
      <c r="UAV93" s="3"/>
      <c r="UAW93" s="3"/>
      <c r="UAX93" s="3"/>
      <c r="UAY93" s="3"/>
      <c r="UAZ93" s="3"/>
      <c r="UBA93" s="3"/>
      <c r="UBB93" s="3"/>
      <c r="UBC93" s="3"/>
      <c r="UBD93" s="3"/>
      <c r="UBE93" s="3"/>
      <c r="UBF93" s="3"/>
      <c r="UBG93" s="3"/>
      <c r="UBH93" s="3"/>
      <c r="UBI93" s="3"/>
      <c r="UBJ93" s="3"/>
      <c r="UBK93" s="3"/>
      <c r="UBL93" s="3"/>
      <c r="UBM93" s="3"/>
      <c r="UBN93" s="3"/>
      <c r="UBO93" s="3"/>
      <c r="UBP93" s="3"/>
      <c r="UBQ93" s="3"/>
      <c r="UBR93" s="3"/>
      <c r="UBS93" s="3"/>
      <c r="UBT93" s="3"/>
      <c r="UBU93" s="3"/>
      <c r="UBV93" s="3"/>
      <c r="UBW93" s="3"/>
      <c r="UBX93" s="3"/>
      <c r="UBY93" s="3"/>
      <c r="UBZ93" s="3"/>
      <c r="UCA93" s="3"/>
      <c r="UCB93" s="3"/>
      <c r="UCC93" s="3"/>
      <c r="UCD93" s="3"/>
      <c r="UCE93" s="3"/>
      <c r="UCF93" s="3"/>
      <c r="UCG93" s="3"/>
      <c r="UCH93" s="3"/>
      <c r="UCI93" s="3"/>
      <c r="UCJ93" s="3"/>
      <c r="UCK93" s="3"/>
      <c r="UCL93" s="3"/>
      <c r="UCM93" s="3"/>
      <c r="UCN93" s="3"/>
      <c r="UCO93" s="3"/>
      <c r="UCP93" s="3"/>
      <c r="UCQ93" s="3"/>
      <c r="UCR93" s="3"/>
      <c r="UCS93" s="3"/>
      <c r="UCT93" s="3"/>
      <c r="UCU93" s="3"/>
      <c r="UCV93" s="3"/>
      <c r="UCW93" s="3"/>
      <c r="UCX93" s="3"/>
      <c r="UCY93" s="3"/>
      <c r="UCZ93" s="3"/>
      <c r="UDA93" s="3"/>
      <c r="UDB93" s="3"/>
      <c r="UDC93" s="3"/>
      <c r="UDD93" s="3"/>
      <c r="UDE93" s="3"/>
      <c r="UDF93" s="3"/>
      <c r="UDG93" s="3"/>
      <c r="UDH93" s="3"/>
      <c r="UDI93" s="3"/>
      <c r="UDJ93" s="3"/>
      <c r="UDK93" s="3"/>
      <c r="UDL93" s="3"/>
      <c r="UDM93" s="3"/>
      <c r="UDN93" s="3"/>
      <c r="UDO93" s="3"/>
      <c r="UDP93" s="3"/>
      <c r="UDQ93" s="3"/>
      <c r="UDR93" s="3"/>
      <c r="UDS93" s="3"/>
      <c r="UDT93" s="3"/>
      <c r="UDU93" s="3"/>
      <c r="UDV93" s="3"/>
      <c r="UDW93" s="3"/>
      <c r="UDX93" s="3"/>
      <c r="UDY93" s="3"/>
      <c r="UDZ93" s="3"/>
      <c r="UEA93" s="3"/>
      <c r="UEB93" s="3"/>
      <c r="UEC93" s="3"/>
      <c r="UED93" s="3"/>
      <c r="UEE93" s="3"/>
      <c r="UEF93" s="3"/>
      <c r="UEG93" s="3"/>
      <c r="UEH93" s="3"/>
      <c r="UEI93" s="3"/>
      <c r="UEJ93" s="3"/>
      <c r="UEK93" s="3"/>
      <c r="UEL93" s="3"/>
      <c r="UEM93" s="3"/>
      <c r="UEN93" s="3"/>
      <c r="UEO93" s="3"/>
      <c r="UEP93" s="3"/>
      <c r="UEQ93" s="3"/>
      <c r="UER93" s="3"/>
      <c r="UES93" s="3"/>
      <c r="UET93" s="3"/>
      <c r="UEU93" s="3"/>
      <c r="UEV93" s="3"/>
      <c r="UEW93" s="3"/>
      <c r="UEX93" s="3"/>
      <c r="UEY93" s="3"/>
      <c r="UEZ93" s="3"/>
      <c r="UFA93" s="3"/>
      <c r="UFB93" s="3"/>
      <c r="UFC93" s="3"/>
      <c r="UFD93" s="3"/>
      <c r="UFE93" s="3"/>
      <c r="UFF93" s="3"/>
      <c r="UFG93" s="3"/>
      <c r="UFH93" s="3"/>
      <c r="UFI93" s="3"/>
      <c r="UFJ93" s="3"/>
      <c r="UFK93" s="3"/>
      <c r="UFL93" s="3"/>
      <c r="UFM93" s="3"/>
      <c r="UFN93" s="3"/>
      <c r="UFO93" s="3"/>
      <c r="UFP93" s="3"/>
      <c r="UFQ93" s="3"/>
      <c r="UFR93" s="3"/>
      <c r="UFS93" s="3"/>
      <c r="UFT93" s="3"/>
      <c r="UFU93" s="3"/>
      <c r="UFV93" s="3"/>
      <c r="UFW93" s="3"/>
      <c r="UFX93" s="3"/>
      <c r="UFY93" s="3"/>
      <c r="UFZ93" s="3"/>
      <c r="UGA93" s="3"/>
      <c r="UGB93" s="3"/>
      <c r="UGC93" s="3"/>
      <c r="UGD93" s="3"/>
      <c r="UGE93" s="3"/>
      <c r="UGF93" s="3"/>
      <c r="UGG93" s="3"/>
      <c r="UGH93" s="3"/>
      <c r="UGI93" s="3"/>
      <c r="UGJ93" s="3"/>
      <c r="UGK93" s="3"/>
      <c r="UGL93" s="3"/>
      <c r="UGM93" s="3"/>
      <c r="UGN93" s="3"/>
      <c r="UGO93" s="3"/>
      <c r="UGP93" s="3"/>
      <c r="UGQ93" s="3"/>
      <c r="UGR93" s="3"/>
      <c r="UGS93" s="3"/>
      <c r="UGT93" s="3"/>
      <c r="UGU93" s="3"/>
      <c r="UGV93" s="3"/>
      <c r="UGW93" s="3"/>
      <c r="UGX93" s="3"/>
      <c r="UGY93" s="3"/>
      <c r="UGZ93" s="3"/>
      <c r="UHA93" s="3"/>
      <c r="UHB93" s="3"/>
      <c r="UHC93" s="3"/>
      <c r="UHD93" s="3"/>
      <c r="UHE93" s="3"/>
      <c r="UHF93" s="3"/>
      <c r="UHG93" s="3"/>
      <c r="UHH93" s="3"/>
      <c r="UHI93" s="3"/>
      <c r="UHJ93" s="3"/>
      <c r="UHK93" s="3"/>
      <c r="UHL93" s="3"/>
      <c r="UHM93" s="3"/>
      <c r="UHN93" s="3"/>
      <c r="UHO93" s="3"/>
      <c r="UHP93" s="3"/>
      <c r="UHQ93" s="3"/>
      <c r="UHR93" s="3"/>
      <c r="UHS93" s="3"/>
      <c r="UHT93" s="3"/>
      <c r="UHU93" s="3"/>
      <c r="UHV93" s="3"/>
      <c r="UHW93" s="3"/>
      <c r="UHX93" s="3"/>
      <c r="UHY93" s="3"/>
      <c r="UHZ93" s="3"/>
      <c r="UIA93" s="3"/>
      <c r="UIB93" s="3"/>
      <c r="UIC93" s="3"/>
      <c r="UID93" s="3"/>
      <c r="UIE93" s="3"/>
      <c r="UIF93" s="3"/>
      <c r="UIG93" s="3"/>
      <c r="UIH93" s="3"/>
      <c r="UII93" s="3"/>
      <c r="UIJ93" s="3"/>
      <c r="UIK93" s="3"/>
      <c r="UIL93" s="3"/>
      <c r="UIM93" s="3"/>
      <c r="UIN93" s="3"/>
      <c r="UIO93" s="3"/>
      <c r="UIP93" s="3"/>
      <c r="UIQ93" s="3"/>
      <c r="UIR93" s="3"/>
      <c r="UIS93" s="3"/>
      <c r="UIT93" s="3"/>
      <c r="UIU93" s="3"/>
      <c r="UIV93" s="3"/>
      <c r="UIW93" s="3"/>
      <c r="UIX93" s="3"/>
      <c r="UIY93" s="3"/>
      <c r="UIZ93" s="3"/>
      <c r="UJA93" s="3"/>
      <c r="UJB93" s="3"/>
      <c r="UJC93" s="3"/>
      <c r="UJD93" s="3"/>
      <c r="UJE93" s="3"/>
      <c r="UJF93" s="3"/>
      <c r="UJG93" s="3"/>
      <c r="UJH93" s="3"/>
      <c r="UJI93" s="3"/>
      <c r="UJJ93" s="3"/>
      <c r="UJK93" s="3"/>
      <c r="UJL93" s="3"/>
      <c r="UJM93" s="3"/>
      <c r="UJN93" s="3"/>
      <c r="UJO93" s="3"/>
      <c r="UJP93" s="3"/>
      <c r="UJQ93" s="3"/>
      <c r="UJR93" s="3"/>
      <c r="UJS93" s="3"/>
      <c r="UJT93" s="3"/>
      <c r="UJU93" s="3"/>
      <c r="UJV93" s="3"/>
      <c r="UJW93" s="3"/>
      <c r="UJX93" s="3"/>
      <c r="UJY93" s="3"/>
      <c r="UJZ93" s="3"/>
      <c r="UKA93" s="3"/>
      <c r="UKB93" s="3"/>
      <c r="UKC93" s="3"/>
      <c r="UKD93" s="3"/>
      <c r="UKE93" s="3"/>
      <c r="UKF93" s="3"/>
      <c r="UKG93" s="3"/>
      <c r="UKH93" s="3"/>
      <c r="UKI93" s="3"/>
      <c r="UKJ93" s="3"/>
      <c r="UKK93" s="3"/>
      <c r="UKL93" s="3"/>
      <c r="UKM93" s="3"/>
      <c r="UKN93" s="3"/>
      <c r="UKO93" s="3"/>
      <c r="UKP93" s="3"/>
      <c r="UKQ93" s="3"/>
      <c r="UKR93" s="3"/>
      <c r="UKS93" s="3"/>
      <c r="UKT93" s="3"/>
      <c r="UKU93" s="3"/>
      <c r="UKV93" s="3"/>
      <c r="UKW93" s="3"/>
      <c r="UKX93" s="3"/>
      <c r="UKY93" s="3"/>
      <c r="UKZ93" s="3"/>
      <c r="ULA93" s="3"/>
      <c r="ULB93" s="3"/>
      <c r="ULC93" s="3"/>
      <c r="ULD93" s="3"/>
      <c r="ULE93" s="3"/>
      <c r="ULF93" s="3"/>
      <c r="ULG93" s="3"/>
      <c r="ULH93" s="3"/>
      <c r="ULI93" s="3"/>
      <c r="ULJ93" s="3"/>
      <c r="ULK93" s="3"/>
      <c r="ULL93" s="3"/>
      <c r="ULM93" s="3"/>
      <c r="ULN93" s="3"/>
      <c r="ULO93" s="3"/>
      <c r="ULP93" s="3"/>
      <c r="ULQ93" s="3"/>
      <c r="ULR93" s="3"/>
      <c r="ULS93" s="3"/>
      <c r="ULT93" s="3"/>
      <c r="ULU93" s="3"/>
      <c r="ULV93" s="3"/>
      <c r="ULW93" s="3"/>
      <c r="ULX93" s="3"/>
      <c r="ULY93" s="3"/>
      <c r="ULZ93" s="3"/>
      <c r="UMA93" s="3"/>
      <c r="UMB93" s="3"/>
      <c r="UMC93" s="3"/>
      <c r="UMD93" s="3"/>
      <c r="UME93" s="3"/>
      <c r="UMF93" s="3"/>
      <c r="UMG93" s="3"/>
      <c r="UMH93" s="3"/>
      <c r="UMI93" s="3"/>
      <c r="UMJ93" s="3"/>
      <c r="UMK93" s="3"/>
      <c r="UML93" s="3"/>
      <c r="UMM93" s="3"/>
      <c r="UMN93" s="3"/>
      <c r="UMO93" s="3"/>
      <c r="UMP93" s="3"/>
      <c r="UMQ93" s="3"/>
      <c r="UMR93" s="3"/>
      <c r="UMS93" s="3"/>
      <c r="UMT93" s="3"/>
      <c r="UMU93" s="3"/>
      <c r="UMV93" s="3"/>
      <c r="UMW93" s="3"/>
      <c r="UMX93" s="3"/>
      <c r="UMY93" s="3"/>
      <c r="UMZ93" s="3"/>
      <c r="UNA93" s="3"/>
      <c r="UNB93" s="3"/>
      <c r="UNC93" s="3"/>
      <c r="UND93" s="3"/>
      <c r="UNE93" s="3"/>
      <c r="UNF93" s="3"/>
      <c r="UNG93" s="3"/>
      <c r="UNH93" s="3"/>
      <c r="UNI93" s="3"/>
      <c r="UNJ93" s="3"/>
      <c r="UNK93" s="3"/>
      <c r="UNL93" s="3"/>
      <c r="UNM93" s="3"/>
      <c r="UNN93" s="3"/>
      <c r="UNO93" s="3"/>
      <c r="UNP93" s="3"/>
      <c r="UNQ93" s="3"/>
      <c r="UNR93" s="3"/>
      <c r="UNS93" s="3"/>
      <c r="UNT93" s="3"/>
      <c r="UNU93" s="3"/>
      <c r="UNV93" s="3"/>
      <c r="UNW93" s="3"/>
      <c r="UNX93" s="3"/>
      <c r="UNY93" s="3"/>
      <c r="UNZ93" s="3"/>
      <c r="UOA93" s="3"/>
      <c r="UOB93" s="3"/>
      <c r="UOC93" s="3"/>
      <c r="UOD93" s="3"/>
      <c r="UOE93" s="3"/>
      <c r="UOF93" s="3"/>
      <c r="UOG93" s="3"/>
      <c r="UOH93" s="3"/>
      <c r="UOI93" s="3"/>
      <c r="UOJ93" s="3"/>
      <c r="UOK93" s="3"/>
      <c r="UOL93" s="3"/>
      <c r="UOM93" s="3"/>
      <c r="UON93" s="3"/>
      <c r="UOO93" s="3"/>
      <c r="UOP93" s="3"/>
      <c r="UOQ93" s="3"/>
      <c r="UOR93" s="3"/>
      <c r="UOS93" s="3"/>
      <c r="UOT93" s="3"/>
      <c r="UOU93" s="3"/>
      <c r="UOV93" s="3"/>
      <c r="UOW93" s="3"/>
      <c r="UOX93" s="3"/>
      <c r="UOY93" s="3"/>
      <c r="UOZ93" s="3"/>
      <c r="UPA93" s="3"/>
      <c r="UPB93" s="3"/>
      <c r="UPC93" s="3"/>
      <c r="UPD93" s="3"/>
      <c r="UPE93" s="3"/>
      <c r="UPF93" s="3"/>
      <c r="UPG93" s="3"/>
      <c r="UPH93" s="3"/>
      <c r="UPI93" s="3"/>
      <c r="UPJ93" s="3"/>
      <c r="UPK93" s="3"/>
      <c r="UPL93" s="3"/>
      <c r="UPM93" s="3"/>
      <c r="UPN93" s="3"/>
      <c r="UPO93" s="3"/>
      <c r="UPP93" s="3"/>
      <c r="UPQ93" s="3"/>
      <c r="UPR93" s="3"/>
      <c r="UPS93" s="3"/>
      <c r="UPT93" s="3"/>
      <c r="UPU93" s="3"/>
      <c r="UPV93" s="3"/>
      <c r="UPW93" s="3"/>
      <c r="UPX93" s="3"/>
      <c r="UPY93" s="3"/>
      <c r="UPZ93" s="3"/>
      <c r="UQA93" s="3"/>
      <c r="UQB93" s="3"/>
      <c r="UQC93" s="3"/>
      <c r="UQD93" s="3"/>
      <c r="UQE93" s="3"/>
      <c r="UQF93" s="3"/>
      <c r="UQG93" s="3"/>
      <c r="UQH93" s="3"/>
      <c r="UQI93" s="3"/>
      <c r="UQJ93" s="3"/>
      <c r="UQK93" s="3"/>
      <c r="UQL93" s="3"/>
      <c r="UQM93" s="3"/>
      <c r="UQN93" s="3"/>
      <c r="UQO93" s="3"/>
      <c r="UQP93" s="3"/>
      <c r="UQQ93" s="3"/>
      <c r="UQR93" s="3"/>
      <c r="UQS93" s="3"/>
      <c r="UQT93" s="3"/>
      <c r="UQU93" s="3"/>
      <c r="UQV93" s="3"/>
      <c r="UQW93" s="3"/>
      <c r="UQX93" s="3"/>
      <c r="UQY93" s="3"/>
      <c r="UQZ93" s="3"/>
      <c r="URA93" s="3"/>
      <c r="URB93" s="3"/>
      <c r="URC93" s="3"/>
      <c r="URD93" s="3"/>
      <c r="URE93" s="3"/>
      <c r="URF93" s="3"/>
      <c r="URG93" s="3"/>
      <c r="URH93" s="3"/>
      <c r="URI93" s="3"/>
      <c r="URJ93" s="3"/>
      <c r="URK93" s="3"/>
      <c r="URL93" s="3"/>
      <c r="URM93" s="3"/>
      <c r="URN93" s="3"/>
      <c r="URO93" s="3"/>
      <c r="URP93" s="3"/>
      <c r="URQ93" s="3"/>
      <c r="URR93" s="3"/>
      <c r="URS93" s="3"/>
      <c r="URT93" s="3"/>
      <c r="URU93" s="3"/>
      <c r="URV93" s="3"/>
      <c r="URW93" s="3"/>
      <c r="URX93" s="3"/>
      <c r="URY93" s="3"/>
      <c r="URZ93" s="3"/>
      <c r="USA93" s="3"/>
      <c r="USB93" s="3"/>
      <c r="USC93" s="3"/>
      <c r="USD93" s="3"/>
      <c r="USE93" s="3"/>
      <c r="USF93" s="3"/>
      <c r="USG93" s="3"/>
      <c r="USH93" s="3"/>
      <c r="USI93" s="3"/>
      <c r="USJ93" s="3"/>
      <c r="USK93" s="3"/>
      <c r="USL93" s="3"/>
      <c r="USM93" s="3"/>
      <c r="USN93" s="3"/>
      <c r="USO93" s="3"/>
      <c r="USP93" s="3"/>
      <c r="USQ93" s="3"/>
      <c r="USR93" s="3"/>
      <c r="USS93" s="3"/>
      <c r="UST93" s="3"/>
      <c r="USU93" s="3"/>
      <c r="USV93" s="3"/>
      <c r="USW93" s="3"/>
      <c r="USX93" s="3"/>
      <c r="USY93" s="3"/>
      <c r="USZ93" s="3"/>
      <c r="UTA93" s="3"/>
      <c r="UTB93" s="3"/>
      <c r="UTC93" s="3"/>
      <c r="UTD93" s="3"/>
      <c r="UTE93" s="3"/>
      <c r="UTF93" s="3"/>
      <c r="UTG93" s="3"/>
      <c r="UTH93" s="3"/>
      <c r="UTI93" s="3"/>
      <c r="UTJ93" s="3"/>
      <c r="UTK93" s="3"/>
      <c r="UTL93" s="3"/>
      <c r="UTM93" s="3"/>
      <c r="UTN93" s="3"/>
      <c r="UTO93" s="3"/>
      <c r="UTP93" s="3"/>
      <c r="UTQ93" s="3"/>
      <c r="UTR93" s="3"/>
      <c r="UTS93" s="3"/>
      <c r="UTT93" s="3"/>
      <c r="UTU93" s="3"/>
      <c r="UTV93" s="3"/>
      <c r="UTW93" s="3"/>
      <c r="UTX93" s="3"/>
      <c r="UTY93" s="3"/>
      <c r="UTZ93" s="3"/>
      <c r="UUA93" s="3"/>
      <c r="UUB93" s="3"/>
      <c r="UUC93" s="3"/>
      <c r="UUD93" s="3"/>
      <c r="UUE93" s="3"/>
      <c r="UUF93" s="3"/>
      <c r="UUG93" s="3"/>
      <c r="UUH93" s="3"/>
      <c r="UUI93" s="3"/>
      <c r="UUJ93" s="3"/>
      <c r="UUK93" s="3"/>
      <c r="UUL93" s="3"/>
      <c r="UUM93" s="3"/>
      <c r="UUN93" s="3"/>
      <c r="UUO93" s="3"/>
      <c r="UUP93" s="3"/>
      <c r="UUQ93" s="3"/>
      <c r="UUR93" s="3"/>
      <c r="UUS93" s="3"/>
      <c r="UUT93" s="3"/>
      <c r="UUU93" s="3"/>
      <c r="UUV93" s="3"/>
      <c r="UUW93" s="3"/>
      <c r="UUX93" s="3"/>
      <c r="UUY93" s="3"/>
      <c r="UUZ93" s="3"/>
      <c r="UVA93" s="3"/>
      <c r="UVB93" s="3"/>
      <c r="UVC93" s="3"/>
      <c r="UVD93" s="3"/>
      <c r="UVE93" s="3"/>
      <c r="UVF93" s="3"/>
      <c r="UVG93" s="3"/>
      <c r="UVH93" s="3"/>
      <c r="UVI93" s="3"/>
      <c r="UVJ93" s="3"/>
      <c r="UVK93" s="3"/>
      <c r="UVL93" s="3"/>
      <c r="UVM93" s="3"/>
      <c r="UVN93" s="3"/>
      <c r="UVO93" s="3"/>
      <c r="UVP93" s="3"/>
      <c r="UVQ93" s="3"/>
      <c r="UVR93" s="3"/>
      <c r="UVS93" s="3"/>
      <c r="UVT93" s="3"/>
      <c r="UVU93" s="3"/>
      <c r="UVV93" s="3"/>
      <c r="UVW93" s="3"/>
      <c r="UVX93" s="3"/>
      <c r="UVY93" s="3"/>
      <c r="UVZ93" s="3"/>
      <c r="UWA93" s="3"/>
      <c r="UWB93" s="3"/>
      <c r="UWC93" s="3"/>
      <c r="UWD93" s="3"/>
      <c r="UWE93" s="3"/>
      <c r="UWF93" s="3"/>
      <c r="UWG93" s="3"/>
      <c r="UWH93" s="3"/>
      <c r="UWI93" s="3"/>
      <c r="UWJ93" s="3"/>
      <c r="UWK93" s="3"/>
      <c r="UWL93" s="3"/>
      <c r="UWM93" s="3"/>
      <c r="UWN93" s="3"/>
      <c r="UWO93" s="3"/>
      <c r="UWP93" s="3"/>
      <c r="UWQ93" s="3"/>
      <c r="UWR93" s="3"/>
      <c r="UWS93" s="3"/>
      <c r="UWT93" s="3"/>
      <c r="UWU93" s="3"/>
      <c r="UWV93" s="3"/>
      <c r="UWW93" s="3"/>
      <c r="UWX93" s="3"/>
      <c r="UWY93" s="3"/>
      <c r="UWZ93" s="3"/>
      <c r="UXA93" s="3"/>
      <c r="UXB93" s="3"/>
      <c r="UXC93" s="3"/>
      <c r="UXD93" s="3"/>
      <c r="UXE93" s="3"/>
      <c r="UXF93" s="3"/>
      <c r="UXG93" s="3"/>
      <c r="UXH93" s="3"/>
      <c r="UXI93" s="3"/>
      <c r="UXJ93" s="3"/>
      <c r="UXK93" s="3"/>
      <c r="UXL93" s="3"/>
      <c r="UXM93" s="3"/>
      <c r="UXN93" s="3"/>
      <c r="UXO93" s="3"/>
      <c r="UXP93" s="3"/>
      <c r="UXQ93" s="3"/>
      <c r="UXR93" s="3"/>
      <c r="UXS93" s="3"/>
      <c r="UXT93" s="3"/>
      <c r="UXU93" s="3"/>
      <c r="UXV93" s="3"/>
      <c r="UXW93" s="3"/>
      <c r="UXX93" s="3"/>
      <c r="UXY93" s="3"/>
      <c r="UXZ93" s="3"/>
      <c r="UYA93" s="3"/>
      <c r="UYB93" s="3"/>
      <c r="UYC93" s="3"/>
      <c r="UYD93" s="3"/>
      <c r="UYE93" s="3"/>
      <c r="UYF93" s="3"/>
      <c r="UYG93" s="3"/>
      <c r="UYH93" s="3"/>
      <c r="UYI93" s="3"/>
      <c r="UYJ93" s="3"/>
      <c r="UYK93" s="3"/>
      <c r="UYL93" s="3"/>
      <c r="UYM93" s="3"/>
      <c r="UYN93" s="3"/>
      <c r="UYO93" s="3"/>
      <c r="UYP93" s="3"/>
      <c r="UYQ93" s="3"/>
      <c r="UYR93" s="3"/>
      <c r="UYS93" s="3"/>
      <c r="UYT93" s="3"/>
      <c r="UYU93" s="3"/>
      <c r="UYV93" s="3"/>
      <c r="UYW93" s="3"/>
      <c r="UYX93" s="3"/>
      <c r="UYY93" s="3"/>
      <c r="UYZ93" s="3"/>
      <c r="UZA93" s="3"/>
      <c r="UZB93" s="3"/>
      <c r="UZC93" s="3"/>
      <c r="UZD93" s="3"/>
      <c r="UZE93" s="3"/>
      <c r="UZF93" s="3"/>
      <c r="UZG93" s="3"/>
      <c r="UZH93" s="3"/>
      <c r="UZI93" s="3"/>
      <c r="UZJ93" s="3"/>
      <c r="UZK93" s="3"/>
      <c r="UZL93" s="3"/>
      <c r="UZM93" s="3"/>
      <c r="UZN93" s="3"/>
      <c r="UZO93" s="3"/>
      <c r="UZP93" s="3"/>
      <c r="UZQ93" s="3"/>
      <c r="UZR93" s="3"/>
      <c r="UZS93" s="3"/>
      <c r="UZT93" s="3"/>
      <c r="UZU93" s="3"/>
      <c r="UZV93" s="3"/>
      <c r="UZW93" s="3"/>
      <c r="UZX93" s="3"/>
      <c r="UZY93" s="3"/>
      <c r="UZZ93" s="3"/>
      <c r="VAA93" s="3"/>
      <c r="VAB93" s="3"/>
      <c r="VAC93" s="3"/>
      <c r="VAD93" s="3"/>
      <c r="VAE93" s="3"/>
      <c r="VAF93" s="3"/>
      <c r="VAG93" s="3"/>
      <c r="VAH93" s="3"/>
      <c r="VAI93" s="3"/>
      <c r="VAJ93" s="3"/>
      <c r="VAK93" s="3"/>
      <c r="VAL93" s="3"/>
      <c r="VAM93" s="3"/>
      <c r="VAN93" s="3"/>
      <c r="VAO93" s="3"/>
      <c r="VAP93" s="3"/>
      <c r="VAQ93" s="3"/>
      <c r="VAR93" s="3"/>
      <c r="VAS93" s="3"/>
      <c r="VAT93" s="3"/>
      <c r="VAU93" s="3"/>
      <c r="VAV93" s="3"/>
      <c r="VAW93" s="3"/>
      <c r="VAX93" s="3"/>
      <c r="VAY93" s="3"/>
      <c r="VAZ93" s="3"/>
      <c r="VBA93" s="3"/>
      <c r="VBB93" s="3"/>
      <c r="VBC93" s="3"/>
      <c r="VBD93" s="3"/>
      <c r="VBE93" s="3"/>
      <c r="VBF93" s="3"/>
      <c r="VBG93" s="3"/>
      <c r="VBH93" s="3"/>
      <c r="VBI93" s="3"/>
      <c r="VBJ93" s="3"/>
      <c r="VBK93" s="3"/>
      <c r="VBL93" s="3"/>
      <c r="VBM93" s="3"/>
      <c r="VBN93" s="3"/>
      <c r="VBO93" s="3"/>
      <c r="VBP93" s="3"/>
      <c r="VBQ93" s="3"/>
      <c r="VBR93" s="3"/>
      <c r="VBS93" s="3"/>
      <c r="VBT93" s="3"/>
      <c r="VBU93" s="3"/>
      <c r="VBV93" s="3"/>
      <c r="VBW93" s="3"/>
      <c r="VBX93" s="3"/>
      <c r="VBY93" s="3"/>
      <c r="VBZ93" s="3"/>
      <c r="VCA93" s="3"/>
      <c r="VCB93" s="3"/>
      <c r="VCC93" s="3"/>
      <c r="VCD93" s="3"/>
      <c r="VCE93" s="3"/>
      <c r="VCF93" s="3"/>
      <c r="VCG93" s="3"/>
      <c r="VCH93" s="3"/>
      <c r="VCI93" s="3"/>
      <c r="VCJ93" s="3"/>
      <c r="VCK93" s="3"/>
      <c r="VCL93" s="3"/>
      <c r="VCM93" s="3"/>
      <c r="VCN93" s="3"/>
      <c r="VCO93" s="3"/>
      <c r="VCP93" s="3"/>
      <c r="VCQ93" s="3"/>
      <c r="VCR93" s="3"/>
      <c r="VCS93" s="3"/>
      <c r="VCT93" s="3"/>
      <c r="VCU93" s="3"/>
      <c r="VCV93" s="3"/>
      <c r="VCW93" s="3"/>
      <c r="VCX93" s="3"/>
      <c r="VCY93" s="3"/>
      <c r="VCZ93" s="3"/>
      <c r="VDA93" s="3"/>
      <c r="VDB93" s="3"/>
      <c r="VDC93" s="3"/>
      <c r="VDD93" s="3"/>
      <c r="VDE93" s="3"/>
      <c r="VDF93" s="3"/>
      <c r="VDG93" s="3"/>
      <c r="VDH93" s="3"/>
      <c r="VDI93" s="3"/>
      <c r="VDJ93" s="3"/>
      <c r="VDK93" s="3"/>
      <c r="VDL93" s="3"/>
      <c r="VDM93" s="3"/>
      <c r="VDN93" s="3"/>
      <c r="VDO93" s="3"/>
      <c r="VDP93" s="3"/>
      <c r="VDQ93" s="3"/>
      <c r="VDR93" s="3"/>
      <c r="VDS93" s="3"/>
      <c r="VDT93" s="3"/>
      <c r="VDU93" s="3"/>
      <c r="VDV93" s="3"/>
      <c r="VDW93" s="3"/>
      <c r="VDX93" s="3"/>
      <c r="VDY93" s="3"/>
      <c r="VDZ93" s="3"/>
      <c r="VEA93" s="3"/>
      <c r="VEB93" s="3"/>
      <c r="VEC93" s="3"/>
      <c r="VED93" s="3"/>
      <c r="VEE93" s="3"/>
      <c r="VEF93" s="3"/>
      <c r="VEG93" s="3"/>
      <c r="VEH93" s="3"/>
      <c r="VEI93" s="3"/>
      <c r="VEJ93" s="3"/>
      <c r="VEK93" s="3"/>
      <c r="VEL93" s="3"/>
      <c r="VEM93" s="3"/>
      <c r="VEN93" s="3"/>
      <c r="VEO93" s="3"/>
      <c r="VEP93" s="3"/>
      <c r="VEQ93" s="3"/>
      <c r="VER93" s="3"/>
      <c r="VES93" s="3"/>
      <c r="VET93" s="3"/>
      <c r="VEU93" s="3"/>
      <c r="VEV93" s="3"/>
      <c r="VEW93" s="3"/>
      <c r="VEX93" s="3"/>
      <c r="VEY93" s="3"/>
      <c r="VEZ93" s="3"/>
      <c r="VFA93" s="3"/>
      <c r="VFB93" s="3"/>
      <c r="VFC93" s="3"/>
      <c r="VFD93" s="3"/>
      <c r="VFE93" s="3"/>
      <c r="VFF93" s="3"/>
      <c r="VFG93" s="3"/>
      <c r="VFH93" s="3"/>
      <c r="VFI93" s="3"/>
      <c r="VFJ93" s="3"/>
      <c r="VFK93" s="3"/>
      <c r="VFL93" s="3"/>
      <c r="VFM93" s="3"/>
      <c r="VFN93" s="3"/>
      <c r="VFO93" s="3"/>
      <c r="VFP93" s="3"/>
      <c r="VFQ93" s="3"/>
      <c r="VFR93" s="3"/>
      <c r="VFS93" s="3"/>
      <c r="VFT93" s="3"/>
      <c r="VFU93" s="3"/>
      <c r="VFV93" s="3"/>
      <c r="VFW93" s="3"/>
      <c r="VFX93" s="3"/>
      <c r="VFY93" s="3"/>
      <c r="VFZ93" s="3"/>
      <c r="VGA93" s="3"/>
      <c r="VGB93" s="3"/>
      <c r="VGC93" s="3"/>
      <c r="VGD93" s="3"/>
      <c r="VGE93" s="3"/>
      <c r="VGF93" s="3"/>
      <c r="VGG93" s="3"/>
      <c r="VGH93" s="3"/>
      <c r="VGI93" s="3"/>
      <c r="VGJ93" s="3"/>
      <c r="VGK93" s="3"/>
      <c r="VGL93" s="3"/>
      <c r="VGM93" s="3"/>
      <c r="VGN93" s="3"/>
      <c r="VGO93" s="3"/>
      <c r="VGP93" s="3"/>
      <c r="VGQ93" s="3"/>
      <c r="VGR93" s="3"/>
      <c r="VGS93" s="3"/>
      <c r="VGT93" s="3"/>
      <c r="VGU93" s="3"/>
      <c r="VGV93" s="3"/>
      <c r="VGW93" s="3"/>
      <c r="VGX93" s="3"/>
      <c r="VGY93" s="3"/>
      <c r="VGZ93" s="3"/>
      <c r="VHA93" s="3"/>
      <c r="VHB93" s="3"/>
      <c r="VHC93" s="3"/>
      <c r="VHD93" s="3"/>
      <c r="VHE93" s="3"/>
      <c r="VHF93" s="3"/>
      <c r="VHG93" s="3"/>
      <c r="VHH93" s="3"/>
      <c r="VHI93" s="3"/>
      <c r="VHJ93" s="3"/>
      <c r="VHK93" s="3"/>
      <c r="VHL93" s="3"/>
      <c r="VHM93" s="3"/>
      <c r="VHN93" s="3"/>
      <c r="VHO93" s="3"/>
      <c r="VHP93" s="3"/>
      <c r="VHQ93" s="3"/>
      <c r="VHR93" s="3"/>
      <c r="VHS93" s="3"/>
      <c r="VHT93" s="3"/>
      <c r="VHU93" s="3"/>
      <c r="VHV93" s="3"/>
      <c r="VHW93" s="3"/>
      <c r="VHX93" s="3"/>
      <c r="VHY93" s="3"/>
      <c r="VHZ93" s="3"/>
      <c r="VIA93" s="3"/>
      <c r="VIB93" s="3"/>
      <c r="VIC93" s="3"/>
      <c r="VID93" s="3"/>
      <c r="VIE93" s="3"/>
      <c r="VIF93" s="3"/>
      <c r="VIG93" s="3"/>
      <c r="VIH93" s="3"/>
      <c r="VII93" s="3"/>
      <c r="VIJ93" s="3"/>
      <c r="VIK93" s="3"/>
      <c r="VIL93" s="3"/>
      <c r="VIM93" s="3"/>
      <c r="VIN93" s="3"/>
      <c r="VIO93" s="3"/>
      <c r="VIP93" s="3"/>
      <c r="VIQ93" s="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  <c r="VWP93"/>
      <c r="VWQ93"/>
      <c r="VWR93"/>
      <c r="VWS93"/>
      <c r="VWT93"/>
      <c r="VWU93"/>
      <c r="VWV93"/>
      <c r="VWW93"/>
      <c r="VWX93"/>
      <c r="VWY93"/>
      <c r="VWZ93"/>
      <c r="VXA93"/>
      <c r="VXB93"/>
      <c r="VXC93"/>
      <c r="VXD93"/>
      <c r="VXE93"/>
      <c r="VXF93"/>
      <c r="VXG93"/>
      <c r="VXH93"/>
      <c r="VXI93"/>
      <c r="VXJ93"/>
      <c r="VXK93"/>
      <c r="VXL93"/>
      <c r="VXM93"/>
      <c r="VXN93"/>
      <c r="VXO93"/>
      <c r="VXP93"/>
      <c r="VXQ93"/>
      <c r="VXR93"/>
      <c r="VXS93"/>
      <c r="VXT93"/>
    </row>
    <row r="94" spans="1:15516" s="1" customFormat="1">
      <c r="B94" s="75"/>
      <c r="C94" s="246" t="s">
        <v>66</v>
      </c>
      <c r="D94" s="156"/>
      <c r="E94" s="247" t="s">
        <v>10</v>
      </c>
      <c r="F94" s="157">
        <v>0</v>
      </c>
      <c r="G94" s="157">
        <v>0</v>
      </c>
      <c r="H94" s="157">
        <v>0</v>
      </c>
      <c r="I94" s="157">
        <v>0</v>
      </c>
      <c r="J94" s="157">
        <v>111616.375</v>
      </c>
      <c r="K94" s="157">
        <v>0</v>
      </c>
      <c r="L94" s="157">
        <v>0</v>
      </c>
      <c r="M94" s="157">
        <v>0</v>
      </c>
      <c r="N94" s="157">
        <v>0</v>
      </c>
      <c r="O94" s="157">
        <v>0</v>
      </c>
      <c r="P94" s="157">
        <v>0</v>
      </c>
      <c r="Q94" s="157">
        <v>111604.61</v>
      </c>
      <c r="R94" s="157">
        <v>0</v>
      </c>
      <c r="S94" s="157">
        <v>0</v>
      </c>
      <c r="T94" s="157">
        <v>0</v>
      </c>
      <c r="U94" s="157">
        <v>0</v>
      </c>
      <c r="V94" s="157">
        <v>0</v>
      </c>
      <c r="W94" s="157">
        <v>0</v>
      </c>
      <c r="X94" s="157">
        <v>109201.82500000001</v>
      </c>
      <c r="Y94" s="157">
        <v>0</v>
      </c>
      <c r="Z94" s="157">
        <v>0</v>
      </c>
      <c r="AA94" s="157">
        <v>0</v>
      </c>
      <c r="AB94" s="157">
        <v>0</v>
      </c>
      <c r="AC94" s="157">
        <v>0</v>
      </c>
      <c r="AD94" s="157">
        <v>0</v>
      </c>
      <c r="AE94" s="157">
        <v>37214.514999999999</v>
      </c>
      <c r="AF94" s="157">
        <v>0</v>
      </c>
      <c r="AG94" s="157">
        <v>0</v>
      </c>
      <c r="AH94" s="157">
        <v>0</v>
      </c>
      <c r="AI94" s="157">
        <v>0</v>
      </c>
      <c r="AJ94" s="179"/>
      <c r="AK94" s="177">
        <f>SUM(AK95:AK96)</f>
        <v>369637.32500000001</v>
      </c>
      <c r="AM94" s="127"/>
      <c r="BV94" s="180"/>
    </row>
    <row r="95" spans="1:15516" s="1" customFormat="1" ht="14.25">
      <c r="B95" s="75"/>
      <c r="C95" s="248" t="s">
        <v>67</v>
      </c>
      <c r="D95" s="79"/>
      <c r="E95" s="249" t="s">
        <v>10</v>
      </c>
      <c r="F95" s="92">
        <f t="shared" ref="F95:AI95" si="65">SUM(F98:F99)*10.86</f>
        <v>0</v>
      </c>
      <c r="G95" s="92">
        <f t="shared" si="65"/>
        <v>0</v>
      </c>
      <c r="H95" s="92">
        <f t="shared" si="65"/>
        <v>0</v>
      </c>
      <c r="I95" s="92">
        <f t="shared" si="65"/>
        <v>0</v>
      </c>
      <c r="J95" s="92">
        <f t="shared" si="65"/>
        <v>111608.22</v>
      </c>
      <c r="K95" s="92">
        <f t="shared" si="65"/>
        <v>0</v>
      </c>
      <c r="L95" s="92">
        <f t="shared" si="65"/>
        <v>0</v>
      </c>
      <c r="M95" s="92">
        <f t="shared" si="65"/>
        <v>0</v>
      </c>
      <c r="N95" s="92">
        <f t="shared" si="65"/>
        <v>0</v>
      </c>
      <c r="O95" s="92">
        <f t="shared" si="65"/>
        <v>0</v>
      </c>
      <c r="P95" s="92">
        <f t="shared" si="65"/>
        <v>0</v>
      </c>
      <c r="Q95" s="92">
        <f>SUM(Q98:Q99)*10.86</f>
        <v>111597.36</v>
      </c>
      <c r="R95" s="92">
        <f t="shared" si="65"/>
        <v>0</v>
      </c>
      <c r="S95" s="92">
        <f t="shared" si="65"/>
        <v>0</v>
      </c>
      <c r="T95" s="92">
        <f t="shared" si="65"/>
        <v>0</v>
      </c>
      <c r="U95" s="92">
        <f t="shared" si="65"/>
        <v>0</v>
      </c>
      <c r="V95" s="92">
        <f t="shared" si="65"/>
        <v>0</v>
      </c>
      <c r="W95" s="92">
        <f t="shared" si="65"/>
        <v>0</v>
      </c>
      <c r="X95" s="92">
        <f t="shared" si="65"/>
        <v>109197.29999999999</v>
      </c>
      <c r="Y95" s="92">
        <f t="shared" si="65"/>
        <v>0</v>
      </c>
      <c r="Z95" s="92">
        <f t="shared" si="65"/>
        <v>0</v>
      </c>
      <c r="AA95" s="92">
        <f t="shared" si="65"/>
        <v>0</v>
      </c>
      <c r="AB95" s="92">
        <f t="shared" si="65"/>
        <v>0</v>
      </c>
      <c r="AC95" s="92">
        <f t="shared" si="65"/>
        <v>0</v>
      </c>
      <c r="AD95" s="92">
        <f t="shared" si="65"/>
        <v>0</v>
      </c>
      <c r="AE95" s="92">
        <f t="shared" si="65"/>
        <v>37206.36</v>
      </c>
      <c r="AF95" s="92">
        <f t="shared" si="65"/>
        <v>0</v>
      </c>
      <c r="AG95" s="92">
        <f t="shared" si="65"/>
        <v>0</v>
      </c>
      <c r="AH95" s="92">
        <f t="shared" si="65"/>
        <v>0</v>
      </c>
      <c r="AI95" s="92">
        <f t="shared" si="65"/>
        <v>0</v>
      </c>
      <c r="AJ95" s="126"/>
      <c r="AK95" s="128">
        <f>SUM(F95:AI95)</f>
        <v>369609.24</v>
      </c>
      <c r="AM95" s="127"/>
    </row>
    <row r="96" spans="1:15516" s="1" customFormat="1" ht="14.25">
      <c r="B96" s="75"/>
      <c r="C96" s="248" t="s">
        <v>68</v>
      </c>
      <c r="D96" s="79"/>
      <c r="E96" s="249" t="s">
        <v>10</v>
      </c>
      <c r="F96" s="92">
        <f t="shared" ref="F96:AI96" si="66">F94-F95</f>
        <v>0</v>
      </c>
      <c r="G96" s="92">
        <f t="shared" si="66"/>
        <v>0</v>
      </c>
      <c r="H96" s="92">
        <f t="shared" si="66"/>
        <v>0</v>
      </c>
      <c r="I96" s="92">
        <f t="shared" si="66"/>
        <v>0</v>
      </c>
      <c r="J96" s="92">
        <f t="shared" si="66"/>
        <v>8.1549999999988358</v>
      </c>
      <c r="K96" s="92">
        <f t="shared" si="66"/>
        <v>0</v>
      </c>
      <c r="L96" s="92">
        <f t="shared" si="66"/>
        <v>0</v>
      </c>
      <c r="M96" s="92">
        <f t="shared" si="66"/>
        <v>0</v>
      </c>
      <c r="N96" s="92">
        <f t="shared" si="66"/>
        <v>0</v>
      </c>
      <c r="O96" s="92">
        <f t="shared" si="66"/>
        <v>0</v>
      </c>
      <c r="P96" s="92">
        <f t="shared" si="66"/>
        <v>0</v>
      </c>
      <c r="Q96" s="92">
        <f t="shared" si="66"/>
        <v>7.25</v>
      </c>
      <c r="R96" s="92">
        <f t="shared" si="66"/>
        <v>0</v>
      </c>
      <c r="S96" s="92">
        <f t="shared" si="66"/>
        <v>0</v>
      </c>
      <c r="T96" s="92">
        <f t="shared" si="66"/>
        <v>0</v>
      </c>
      <c r="U96" s="92">
        <f t="shared" si="66"/>
        <v>0</v>
      </c>
      <c r="V96" s="92">
        <f t="shared" si="66"/>
        <v>0</v>
      </c>
      <c r="W96" s="92">
        <f t="shared" si="66"/>
        <v>0</v>
      </c>
      <c r="X96" s="92">
        <f t="shared" si="66"/>
        <v>4.5250000000232831</v>
      </c>
      <c r="Y96" s="92">
        <f t="shared" si="66"/>
        <v>0</v>
      </c>
      <c r="Z96" s="92">
        <f t="shared" si="66"/>
        <v>0</v>
      </c>
      <c r="AA96" s="92">
        <f t="shared" si="66"/>
        <v>0</v>
      </c>
      <c r="AB96" s="92">
        <f t="shared" si="66"/>
        <v>0</v>
      </c>
      <c r="AC96" s="92">
        <f t="shared" si="66"/>
        <v>0</v>
      </c>
      <c r="AD96" s="92">
        <f t="shared" si="66"/>
        <v>0</v>
      </c>
      <c r="AE96" s="92">
        <f t="shared" si="66"/>
        <v>8.1549999999988358</v>
      </c>
      <c r="AF96" s="92">
        <f t="shared" si="66"/>
        <v>0</v>
      </c>
      <c r="AG96" s="92">
        <f t="shared" si="66"/>
        <v>0</v>
      </c>
      <c r="AH96" s="92">
        <f t="shared" si="66"/>
        <v>0</v>
      </c>
      <c r="AI96" s="92">
        <f t="shared" si="66"/>
        <v>0</v>
      </c>
      <c r="AJ96" s="126"/>
      <c r="AK96" s="128">
        <f>SUM(F96:AI96)</f>
        <v>28.085000000020955</v>
      </c>
      <c r="AM96" s="127"/>
    </row>
    <row r="97" spans="1:15516" s="1" customFormat="1" ht="14.25">
      <c r="B97" s="75"/>
      <c r="C97" s="248" t="s">
        <v>69</v>
      </c>
      <c r="D97" s="79"/>
      <c r="E97" s="75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126"/>
      <c r="AK97" s="181" t="s">
        <v>69</v>
      </c>
      <c r="AM97" s="127"/>
    </row>
    <row r="98" spans="1:15516" s="7" customFormat="1" ht="14.25">
      <c r="B98" s="158"/>
      <c r="C98" s="159" t="s">
        <v>82</v>
      </c>
      <c r="D98" s="45"/>
      <c r="E98" s="251" t="s">
        <v>71</v>
      </c>
      <c r="F98" s="160">
        <v>0</v>
      </c>
      <c r="G98" s="160">
        <v>0</v>
      </c>
      <c r="H98" s="160">
        <v>0</v>
      </c>
      <c r="I98" s="160">
        <v>0</v>
      </c>
      <c r="J98" s="160">
        <v>3426</v>
      </c>
      <c r="K98" s="160">
        <v>0</v>
      </c>
      <c r="L98" s="160">
        <v>0</v>
      </c>
      <c r="M98" s="160">
        <v>0</v>
      </c>
      <c r="N98" s="160">
        <v>0</v>
      </c>
      <c r="O98" s="160">
        <v>0</v>
      </c>
      <c r="P98" s="160">
        <v>0</v>
      </c>
      <c r="Q98" s="160">
        <v>3426</v>
      </c>
      <c r="R98" s="160">
        <v>0</v>
      </c>
      <c r="S98" s="160">
        <v>0</v>
      </c>
      <c r="T98" s="160">
        <v>0</v>
      </c>
      <c r="U98" s="160">
        <v>0</v>
      </c>
      <c r="V98" s="160">
        <v>0</v>
      </c>
      <c r="W98" s="160">
        <v>0</v>
      </c>
      <c r="X98" s="160">
        <v>3425</v>
      </c>
      <c r="Y98" s="160">
        <v>0</v>
      </c>
      <c r="Z98" s="160">
        <v>0</v>
      </c>
      <c r="AA98" s="160">
        <v>0</v>
      </c>
      <c r="AB98" s="160">
        <v>0</v>
      </c>
      <c r="AC98" s="160">
        <v>0</v>
      </c>
      <c r="AD98" s="160">
        <v>0</v>
      </c>
      <c r="AE98" s="160">
        <v>3426</v>
      </c>
      <c r="AF98" s="160">
        <v>0</v>
      </c>
      <c r="AG98" s="160">
        <v>0</v>
      </c>
      <c r="AH98" s="160">
        <v>0</v>
      </c>
      <c r="AI98" s="160">
        <v>0</v>
      </c>
      <c r="AJ98" s="182"/>
      <c r="AK98" s="185">
        <f>SUM(F98:AI98)</f>
        <v>13703</v>
      </c>
      <c r="AM98" s="184"/>
    </row>
    <row r="99" spans="1:15516" s="7" customFormat="1" ht="14.25">
      <c r="B99" s="158"/>
      <c r="C99" s="159" t="s">
        <v>83</v>
      </c>
      <c r="D99" s="45"/>
      <c r="E99" s="251" t="s">
        <v>71</v>
      </c>
      <c r="F99" s="160">
        <v>0</v>
      </c>
      <c r="G99" s="160">
        <v>0</v>
      </c>
      <c r="H99" s="160">
        <v>0</v>
      </c>
      <c r="I99" s="160">
        <v>0</v>
      </c>
      <c r="J99" s="160">
        <v>6851</v>
      </c>
      <c r="K99" s="160">
        <v>0</v>
      </c>
      <c r="L99" s="160">
        <v>0</v>
      </c>
      <c r="M99" s="160">
        <v>0</v>
      </c>
      <c r="N99" s="160">
        <v>0</v>
      </c>
      <c r="O99" s="160">
        <v>0</v>
      </c>
      <c r="P99" s="160">
        <v>0</v>
      </c>
      <c r="Q99" s="160">
        <v>6850</v>
      </c>
      <c r="R99" s="160">
        <v>0</v>
      </c>
      <c r="S99" s="160">
        <v>0</v>
      </c>
      <c r="T99" s="160">
        <v>0</v>
      </c>
      <c r="U99" s="160">
        <v>0</v>
      </c>
      <c r="V99" s="160">
        <v>0</v>
      </c>
      <c r="W99" s="160">
        <v>0</v>
      </c>
      <c r="X99" s="160">
        <v>6630</v>
      </c>
      <c r="Y99" s="160">
        <v>0</v>
      </c>
      <c r="Z99" s="160">
        <v>0</v>
      </c>
      <c r="AA99" s="160">
        <v>0</v>
      </c>
      <c r="AB99" s="160">
        <v>0</v>
      </c>
      <c r="AC99" s="160">
        <v>0</v>
      </c>
      <c r="AD99" s="160">
        <v>0</v>
      </c>
      <c r="AE99" s="160">
        <v>0</v>
      </c>
      <c r="AF99" s="160">
        <v>0</v>
      </c>
      <c r="AG99" s="160">
        <v>0</v>
      </c>
      <c r="AH99" s="160">
        <v>0</v>
      </c>
      <c r="AI99" s="160">
        <v>0</v>
      </c>
      <c r="AJ99" s="182"/>
      <c r="AK99" s="185">
        <f>SUM(F99:AI99)</f>
        <v>20331</v>
      </c>
      <c r="AM99" s="184"/>
    </row>
    <row r="100" spans="1:15516" s="1" customFormat="1" ht="14.25">
      <c r="B100" s="75"/>
      <c r="C100" s="248" t="s">
        <v>73</v>
      </c>
      <c r="D100" s="79"/>
      <c r="E100" s="75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126"/>
      <c r="AK100" s="181" t="s">
        <v>73</v>
      </c>
      <c r="AM100" s="127"/>
    </row>
    <row r="101" spans="1:15516" s="1" customFormat="1" ht="14.25">
      <c r="B101" s="75"/>
      <c r="C101" s="159" t="s">
        <v>82</v>
      </c>
      <c r="D101" s="79"/>
      <c r="E101" s="249" t="s">
        <v>73</v>
      </c>
      <c r="F101" s="64">
        <f t="shared" ref="F101:AI101" si="67">F98*12</f>
        <v>0</v>
      </c>
      <c r="G101" s="64">
        <f t="shared" si="67"/>
        <v>0</v>
      </c>
      <c r="H101" s="64">
        <f t="shared" si="67"/>
        <v>0</v>
      </c>
      <c r="I101" s="64">
        <f t="shared" si="67"/>
        <v>0</v>
      </c>
      <c r="J101" s="64">
        <f t="shared" si="67"/>
        <v>41112</v>
      </c>
      <c r="K101" s="64">
        <f t="shared" si="67"/>
        <v>0</v>
      </c>
      <c r="L101" s="64">
        <f t="shared" si="67"/>
        <v>0</v>
      </c>
      <c r="M101" s="64">
        <f t="shared" si="67"/>
        <v>0</v>
      </c>
      <c r="N101" s="64">
        <f t="shared" si="67"/>
        <v>0</v>
      </c>
      <c r="O101" s="64">
        <f t="shared" si="67"/>
        <v>0</v>
      </c>
      <c r="P101" s="64">
        <f t="shared" si="67"/>
        <v>0</v>
      </c>
      <c r="Q101" s="64">
        <f t="shared" si="67"/>
        <v>41112</v>
      </c>
      <c r="R101" s="64">
        <f t="shared" si="67"/>
        <v>0</v>
      </c>
      <c r="S101" s="64">
        <f t="shared" si="67"/>
        <v>0</v>
      </c>
      <c r="T101" s="64">
        <f t="shared" si="67"/>
        <v>0</v>
      </c>
      <c r="U101" s="64">
        <f t="shared" si="67"/>
        <v>0</v>
      </c>
      <c r="V101" s="64">
        <f t="shared" si="67"/>
        <v>0</v>
      </c>
      <c r="W101" s="64">
        <f t="shared" si="67"/>
        <v>0</v>
      </c>
      <c r="X101" s="64">
        <f t="shared" si="67"/>
        <v>41100</v>
      </c>
      <c r="Y101" s="64">
        <f t="shared" si="67"/>
        <v>0</v>
      </c>
      <c r="Z101" s="64">
        <f t="shared" si="67"/>
        <v>0</v>
      </c>
      <c r="AA101" s="64">
        <f t="shared" si="67"/>
        <v>0</v>
      </c>
      <c r="AB101" s="64">
        <f t="shared" si="67"/>
        <v>0</v>
      </c>
      <c r="AC101" s="64">
        <f t="shared" si="67"/>
        <v>0</v>
      </c>
      <c r="AD101" s="64">
        <f t="shared" si="67"/>
        <v>0</v>
      </c>
      <c r="AE101" s="64">
        <f t="shared" si="67"/>
        <v>41112</v>
      </c>
      <c r="AF101" s="64">
        <f t="shared" si="67"/>
        <v>0</v>
      </c>
      <c r="AG101" s="64">
        <f t="shared" si="67"/>
        <v>0</v>
      </c>
      <c r="AH101" s="64">
        <f t="shared" si="67"/>
        <v>0</v>
      </c>
      <c r="AI101" s="64">
        <f t="shared" si="67"/>
        <v>0</v>
      </c>
      <c r="AJ101" s="126"/>
      <c r="AK101" s="183">
        <f>AK98*12</f>
        <v>164436</v>
      </c>
      <c r="AM101" s="127"/>
    </row>
    <row r="102" spans="1:15516" s="1" customFormat="1" ht="14.25">
      <c r="B102" s="75"/>
      <c r="C102" s="159" t="s">
        <v>83</v>
      </c>
      <c r="D102" s="79"/>
      <c r="E102" s="249" t="s">
        <v>73</v>
      </c>
      <c r="F102" s="64">
        <f t="shared" ref="F102:AI102" si="68">F99*6</f>
        <v>0</v>
      </c>
      <c r="G102" s="64">
        <f t="shared" si="68"/>
        <v>0</v>
      </c>
      <c r="H102" s="64">
        <f t="shared" si="68"/>
        <v>0</v>
      </c>
      <c r="I102" s="64">
        <f t="shared" si="68"/>
        <v>0</v>
      </c>
      <c r="J102" s="64">
        <f t="shared" si="68"/>
        <v>41106</v>
      </c>
      <c r="K102" s="64">
        <f t="shared" si="68"/>
        <v>0</v>
      </c>
      <c r="L102" s="64">
        <f t="shared" si="68"/>
        <v>0</v>
      </c>
      <c r="M102" s="64">
        <f t="shared" si="68"/>
        <v>0</v>
      </c>
      <c r="N102" s="64">
        <f t="shared" si="68"/>
        <v>0</v>
      </c>
      <c r="O102" s="64">
        <f t="shared" si="68"/>
        <v>0</v>
      </c>
      <c r="P102" s="64">
        <f t="shared" si="68"/>
        <v>0</v>
      </c>
      <c r="Q102" s="64">
        <f t="shared" si="68"/>
        <v>41100</v>
      </c>
      <c r="R102" s="64">
        <f t="shared" si="68"/>
        <v>0</v>
      </c>
      <c r="S102" s="64">
        <f t="shared" si="68"/>
        <v>0</v>
      </c>
      <c r="T102" s="64">
        <f t="shared" si="68"/>
        <v>0</v>
      </c>
      <c r="U102" s="64">
        <f t="shared" si="68"/>
        <v>0</v>
      </c>
      <c r="V102" s="64">
        <f t="shared" si="68"/>
        <v>0</v>
      </c>
      <c r="W102" s="64">
        <f t="shared" si="68"/>
        <v>0</v>
      </c>
      <c r="X102" s="64">
        <f t="shared" si="68"/>
        <v>39780</v>
      </c>
      <c r="Y102" s="64">
        <f t="shared" si="68"/>
        <v>0</v>
      </c>
      <c r="Z102" s="64">
        <f t="shared" si="68"/>
        <v>0</v>
      </c>
      <c r="AA102" s="64">
        <f t="shared" si="68"/>
        <v>0</v>
      </c>
      <c r="AB102" s="64">
        <f t="shared" si="68"/>
        <v>0</v>
      </c>
      <c r="AC102" s="64">
        <f t="shared" si="68"/>
        <v>0</v>
      </c>
      <c r="AD102" s="64">
        <f t="shared" si="68"/>
        <v>0</v>
      </c>
      <c r="AE102" s="64">
        <f t="shared" si="68"/>
        <v>0</v>
      </c>
      <c r="AF102" s="64">
        <f t="shared" si="68"/>
        <v>0</v>
      </c>
      <c r="AG102" s="64">
        <f t="shared" si="68"/>
        <v>0</v>
      </c>
      <c r="AH102" s="64">
        <f t="shared" si="68"/>
        <v>0</v>
      </c>
      <c r="AI102" s="64">
        <f t="shared" si="68"/>
        <v>0</v>
      </c>
      <c r="AJ102" s="126"/>
      <c r="AK102" s="183">
        <f>AK99*6</f>
        <v>121986</v>
      </c>
      <c r="AM102" s="127"/>
    </row>
    <row r="103" spans="1:15516" s="1" customFormat="1" ht="14.25">
      <c r="B103" s="75"/>
      <c r="C103" s="248" t="s">
        <v>74</v>
      </c>
      <c r="D103" s="79"/>
      <c r="E103" s="249" t="s">
        <v>75</v>
      </c>
      <c r="F103" s="64">
        <v>0</v>
      </c>
      <c r="G103" s="64">
        <v>0</v>
      </c>
      <c r="H103" s="64">
        <v>0</v>
      </c>
      <c r="I103" s="64">
        <v>0</v>
      </c>
      <c r="J103" s="64">
        <f>(J94*45)/1700</f>
        <v>2954.5511029411764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f>(Q94*45)/1700</f>
        <v>2954.2396764705882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f>X94*45/1700</f>
        <v>2890.6365441176476</v>
      </c>
      <c r="Y103" s="64">
        <f t="shared" ref="Y103:AI103" si="69">Y94*45/1700</f>
        <v>0</v>
      </c>
      <c r="Z103" s="64">
        <f t="shared" si="69"/>
        <v>0</v>
      </c>
      <c r="AA103" s="64">
        <f t="shared" si="69"/>
        <v>0</v>
      </c>
      <c r="AB103" s="64">
        <f t="shared" si="69"/>
        <v>0</v>
      </c>
      <c r="AC103" s="64">
        <f t="shared" si="69"/>
        <v>0</v>
      </c>
      <c r="AD103" s="64">
        <f t="shared" si="69"/>
        <v>0</v>
      </c>
      <c r="AE103" s="64">
        <f t="shared" si="69"/>
        <v>985.0901029411765</v>
      </c>
      <c r="AF103" s="64">
        <f t="shared" si="69"/>
        <v>0</v>
      </c>
      <c r="AG103" s="64">
        <f t="shared" si="69"/>
        <v>0</v>
      </c>
      <c r="AH103" s="64">
        <f t="shared" si="69"/>
        <v>0</v>
      </c>
      <c r="AI103" s="64">
        <f t="shared" si="69"/>
        <v>0</v>
      </c>
      <c r="AJ103" s="126"/>
      <c r="AK103" s="183">
        <f>SUM(F103:AI103)</f>
        <v>9784.5174264705893</v>
      </c>
      <c r="AM103" s="127"/>
    </row>
    <row r="104" spans="1:15516" s="1" customFormat="1" ht="14.25">
      <c r="B104" s="75"/>
      <c r="C104" s="248" t="s">
        <v>76</v>
      </c>
      <c r="D104" s="79"/>
      <c r="E104" s="249" t="s">
        <v>77</v>
      </c>
      <c r="F104" s="64">
        <f t="shared" ref="F104:AI104" si="70">SUM(F98:F99)/500</f>
        <v>0</v>
      </c>
      <c r="G104" s="64">
        <f t="shared" si="70"/>
        <v>0</v>
      </c>
      <c r="H104" s="64">
        <f t="shared" si="70"/>
        <v>0</v>
      </c>
      <c r="I104" s="64">
        <f t="shared" si="70"/>
        <v>0</v>
      </c>
      <c r="J104" s="64">
        <f t="shared" si="70"/>
        <v>20.553999999999998</v>
      </c>
      <c r="K104" s="64">
        <f t="shared" si="70"/>
        <v>0</v>
      </c>
      <c r="L104" s="64">
        <f t="shared" si="70"/>
        <v>0</v>
      </c>
      <c r="M104" s="64">
        <f t="shared" si="70"/>
        <v>0</v>
      </c>
      <c r="N104" s="64">
        <f t="shared" si="70"/>
        <v>0</v>
      </c>
      <c r="O104" s="64">
        <f t="shared" si="70"/>
        <v>0</v>
      </c>
      <c r="P104" s="64">
        <f t="shared" si="70"/>
        <v>0</v>
      </c>
      <c r="Q104" s="64">
        <f t="shared" si="70"/>
        <v>20.552</v>
      </c>
      <c r="R104" s="64">
        <f t="shared" si="70"/>
        <v>0</v>
      </c>
      <c r="S104" s="64">
        <f t="shared" si="70"/>
        <v>0</v>
      </c>
      <c r="T104" s="64">
        <f t="shared" si="70"/>
        <v>0</v>
      </c>
      <c r="U104" s="64">
        <f t="shared" si="70"/>
        <v>0</v>
      </c>
      <c r="V104" s="64">
        <f t="shared" si="70"/>
        <v>0</v>
      </c>
      <c r="W104" s="64">
        <f t="shared" si="70"/>
        <v>0</v>
      </c>
      <c r="X104" s="64">
        <f t="shared" si="70"/>
        <v>20.11</v>
      </c>
      <c r="Y104" s="64">
        <f t="shared" si="70"/>
        <v>0</v>
      </c>
      <c r="Z104" s="64">
        <f t="shared" si="70"/>
        <v>0</v>
      </c>
      <c r="AA104" s="64">
        <f t="shared" si="70"/>
        <v>0</v>
      </c>
      <c r="AB104" s="64">
        <f t="shared" si="70"/>
        <v>0</v>
      </c>
      <c r="AC104" s="64">
        <f t="shared" si="70"/>
        <v>0</v>
      </c>
      <c r="AD104" s="64">
        <f t="shared" si="70"/>
        <v>0</v>
      </c>
      <c r="AE104" s="64">
        <f t="shared" si="70"/>
        <v>6.8520000000000003</v>
      </c>
      <c r="AF104" s="64">
        <f t="shared" si="70"/>
        <v>0</v>
      </c>
      <c r="AG104" s="64">
        <f t="shared" si="70"/>
        <v>0</v>
      </c>
      <c r="AH104" s="64">
        <f t="shared" si="70"/>
        <v>0</v>
      </c>
      <c r="AI104" s="64">
        <f t="shared" si="70"/>
        <v>0</v>
      </c>
      <c r="AJ104" s="126"/>
      <c r="AK104" s="183">
        <f>SUM(F104:AI104)</f>
        <v>68.067999999999998</v>
      </c>
      <c r="AM104" s="127"/>
    </row>
    <row r="105" spans="1:15516" s="1" customFormat="1">
      <c r="A105" s="3"/>
      <c r="B105" s="61"/>
      <c r="C105" s="40" t="s">
        <v>78</v>
      </c>
      <c r="D105" s="59"/>
      <c r="E105" s="59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112"/>
      <c r="AD105" s="60"/>
      <c r="AE105" s="60"/>
      <c r="AF105" s="60"/>
      <c r="AG105" s="60"/>
      <c r="AH105" s="60"/>
      <c r="AI105" s="112"/>
      <c r="AJ105" s="116"/>
      <c r="AK105" s="233" t="s">
        <v>79</v>
      </c>
      <c r="AL105" s="3"/>
      <c r="AM105" s="3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  <c r="AMM105" s="3"/>
      <c r="AMN105" s="3"/>
      <c r="AMO105" s="3"/>
      <c r="AMP105" s="3"/>
      <c r="AMQ105" s="3"/>
      <c r="AMR105" s="3"/>
      <c r="AMS105" s="3"/>
      <c r="AMT105" s="3"/>
      <c r="AMU105" s="3"/>
      <c r="AMV105" s="3"/>
      <c r="AMW105" s="3"/>
      <c r="AMX105" s="3"/>
      <c r="AMY105" s="3"/>
      <c r="AMZ105" s="3"/>
      <c r="ANA105" s="3"/>
      <c r="ANB105" s="3"/>
      <c r="ANC105" s="3"/>
      <c r="AND105" s="3"/>
      <c r="ANE105" s="3"/>
      <c r="ANF105" s="3"/>
      <c r="ANG105" s="3"/>
      <c r="ANH105" s="3"/>
      <c r="ANI105" s="3"/>
      <c r="ANJ105" s="3"/>
      <c r="ANK105" s="3"/>
      <c r="ANL105" s="3"/>
      <c r="ANM105" s="3"/>
      <c r="ANN105" s="3"/>
      <c r="ANO105" s="3"/>
      <c r="ANP105" s="3"/>
      <c r="ANQ105" s="3"/>
      <c r="ANR105" s="3"/>
      <c r="ANS105" s="3"/>
      <c r="ANT105" s="3"/>
      <c r="ANU105" s="3"/>
      <c r="ANV105" s="3"/>
      <c r="ANW105" s="3"/>
      <c r="ANX105" s="3"/>
      <c r="ANY105" s="3"/>
      <c r="ANZ105" s="3"/>
      <c r="AOA105" s="3"/>
      <c r="AOB105" s="3"/>
      <c r="AOC105" s="3"/>
      <c r="AOD105" s="3"/>
      <c r="AOE105" s="3"/>
      <c r="AOF105" s="3"/>
      <c r="AOG105" s="3"/>
      <c r="AOH105" s="3"/>
      <c r="AOI105" s="3"/>
      <c r="AOJ105" s="3"/>
      <c r="AOK105" s="3"/>
      <c r="AOL105" s="3"/>
      <c r="AOM105" s="3"/>
      <c r="AON105" s="3"/>
      <c r="AOO105" s="3"/>
      <c r="AOP105" s="3"/>
      <c r="AOQ105" s="3"/>
      <c r="AOR105" s="3"/>
      <c r="AOS105" s="3"/>
      <c r="AOT105" s="3"/>
      <c r="AOU105" s="3"/>
      <c r="AOV105" s="3"/>
      <c r="AOW105" s="3"/>
      <c r="AOX105" s="3"/>
      <c r="AOY105" s="3"/>
      <c r="AOZ105" s="3"/>
      <c r="APA105" s="3"/>
      <c r="APB105" s="3"/>
      <c r="APC105" s="3"/>
      <c r="APD105" s="3"/>
      <c r="APE105" s="3"/>
      <c r="APF105" s="3"/>
      <c r="APG105" s="3"/>
      <c r="APH105" s="3"/>
      <c r="API105" s="3"/>
      <c r="APJ105" s="3"/>
      <c r="APK105" s="3"/>
      <c r="APL105" s="3"/>
      <c r="APM105" s="3"/>
      <c r="APN105" s="3"/>
      <c r="APO105" s="3"/>
      <c r="APP105" s="3"/>
      <c r="APQ105" s="3"/>
      <c r="APR105" s="3"/>
      <c r="APS105" s="3"/>
      <c r="APT105" s="3"/>
      <c r="APU105" s="3"/>
      <c r="APV105" s="3"/>
      <c r="APW105" s="3"/>
      <c r="APX105" s="3"/>
      <c r="APY105" s="3"/>
      <c r="APZ105" s="3"/>
      <c r="AQA105" s="3"/>
      <c r="AQB105" s="3"/>
      <c r="AQC105" s="3"/>
      <c r="AQD105" s="3"/>
      <c r="AQE105" s="3"/>
      <c r="AQF105" s="3"/>
      <c r="AQG105" s="3"/>
      <c r="AQH105" s="3"/>
      <c r="AQI105" s="3"/>
      <c r="AQJ105" s="3"/>
      <c r="AQK105" s="3"/>
      <c r="AQL105" s="3"/>
      <c r="AQM105" s="3"/>
      <c r="AQN105" s="3"/>
      <c r="AQO105" s="3"/>
      <c r="AQP105" s="3"/>
      <c r="AQQ105" s="3"/>
      <c r="AQR105" s="3"/>
      <c r="AQS105" s="3"/>
      <c r="AQT105" s="3"/>
      <c r="AQU105" s="3"/>
      <c r="AQV105" s="3"/>
      <c r="AQW105" s="3"/>
      <c r="AQX105" s="3"/>
      <c r="AQY105" s="3"/>
      <c r="AQZ105" s="3"/>
      <c r="ARA105" s="3"/>
      <c r="ARB105" s="3"/>
      <c r="ARC105" s="3"/>
      <c r="ARD105" s="3"/>
      <c r="ARE105" s="3"/>
      <c r="ARF105" s="3"/>
      <c r="ARG105" s="3"/>
      <c r="ARH105" s="3"/>
      <c r="ARI105" s="3"/>
      <c r="ARJ105" s="3"/>
      <c r="ARK105" s="3"/>
      <c r="ARL105" s="3"/>
      <c r="ARM105" s="3"/>
      <c r="ARN105" s="3"/>
      <c r="ARO105" s="3"/>
      <c r="ARP105" s="3"/>
      <c r="ARQ105" s="3"/>
      <c r="ARR105" s="3"/>
      <c r="ARS105" s="3"/>
      <c r="ART105" s="3"/>
      <c r="ARU105" s="3"/>
      <c r="ARV105" s="3"/>
      <c r="ARW105" s="3"/>
      <c r="ARX105" s="3"/>
      <c r="ARY105" s="3"/>
      <c r="ARZ105" s="3"/>
      <c r="ASA105" s="3"/>
      <c r="ASB105" s="3"/>
      <c r="ASC105" s="3"/>
      <c r="ASD105" s="3"/>
      <c r="ASE105" s="3"/>
      <c r="ASF105" s="3"/>
      <c r="ASG105" s="3"/>
      <c r="ASH105" s="3"/>
      <c r="ASI105" s="3"/>
      <c r="ASJ105" s="3"/>
      <c r="ASK105" s="3"/>
      <c r="ASL105" s="3"/>
      <c r="ASM105" s="3"/>
      <c r="ASN105" s="3"/>
      <c r="ASO105" s="3"/>
      <c r="ASP105" s="3"/>
      <c r="ASQ105" s="3"/>
      <c r="ASR105" s="3"/>
      <c r="ASS105" s="3"/>
      <c r="AST105" s="3"/>
      <c r="ASU105" s="3"/>
      <c r="ASV105" s="3"/>
      <c r="ASW105" s="3"/>
      <c r="ASX105" s="3"/>
      <c r="ASY105" s="3"/>
      <c r="ASZ105" s="3"/>
      <c r="ATA105" s="3"/>
      <c r="ATB105" s="3"/>
      <c r="ATC105" s="3"/>
      <c r="ATD105" s="3"/>
      <c r="ATE105" s="3"/>
      <c r="ATF105" s="3"/>
      <c r="ATG105" s="3"/>
      <c r="ATH105" s="3"/>
      <c r="ATI105" s="3"/>
      <c r="ATJ105" s="3"/>
      <c r="ATK105" s="3"/>
      <c r="ATL105" s="3"/>
      <c r="ATM105" s="3"/>
      <c r="ATN105" s="3"/>
      <c r="ATO105" s="3"/>
      <c r="ATP105" s="3"/>
      <c r="ATQ105" s="3"/>
      <c r="ATR105" s="3"/>
      <c r="ATS105" s="3"/>
      <c r="ATT105" s="3"/>
      <c r="ATU105" s="3"/>
      <c r="ATV105" s="3"/>
      <c r="ATW105" s="3"/>
      <c r="ATX105" s="3"/>
      <c r="ATY105" s="3"/>
      <c r="ATZ105" s="3"/>
      <c r="AUA105" s="3"/>
      <c r="AUB105" s="3"/>
      <c r="AUC105" s="3"/>
      <c r="AUD105" s="3"/>
      <c r="AUE105" s="3"/>
      <c r="AUF105" s="3"/>
      <c r="AUG105" s="3"/>
      <c r="AUH105" s="3"/>
      <c r="AUI105" s="3"/>
      <c r="AUJ105" s="3"/>
      <c r="AUK105" s="3"/>
      <c r="AUL105" s="3"/>
      <c r="AUM105" s="3"/>
      <c r="AUN105" s="3"/>
      <c r="AUO105" s="3"/>
      <c r="AUP105" s="3"/>
      <c r="AUQ105" s="3"/>
      <c r="AUR105" s="3"/>
      <c r="AUS105" s="3"/>
      <c r="AUT105" s="3"/>
      <c r="AUU105" s="3"/>
      <c r="AUV105" s="3"/>
      <c r="AUW105" s="3"/>
      <c r="AUX105" s="3"/>
      <c r="AUY105" s="3"/>
      <c r="AUZ105" s="3"/>
      <c r="AVA105" s="3"/>
      <c r="AVB105" s="3"/>
      <c r="AVC105" s="3"/>
      <c r="AVD105" s="3"/>
      <c r="AVE105" s="3"/>
      <c r="AVF105" s="3"/>
      <c r="AVG105" s="3"/>
      <c r="AVH105" s="3"/>
      <c r="AVI105" s="3"/>
      <c r="AVJ105" s="3"/>
      <c r="AVK105" s="3"/>
      <c r="AVL105" s="3"/>
      <c r="AVM105" s="3"/>
      <c r="AVN105" s="3"/>
      <c r="AVO105" s="3"/>
      <c r="AVP105" s="3"/>
      <c r="AVQ105" s="3"/>
      <c r="AVR105" s="3"/>
      <c r="AVS105" s="3"/>
      <c r="AVT105" s="3"/>
      <c r="AVU105" s="3"/>
      <c r="AVV105" s="3"/>
      <c r="AVW105" s="3"/>
      <c r="AVX105" s="3"/>
      <c r="AVY105" s="3"/>
      <c r="AVZ105" s="3"/>
      <c r="AWA105" s="3"/>
      <c r="AWB105" s="3"/>
      <c r="AWC105" s="3"/>
      <c r="AWD105" s="3"/>
      <c r="AWE105" s="3"/>
      <c r="AWF105" s="3"/>
      <c r="AWG105" s="3"/>
      <c r="AWH105" s="3"/>
      <c r="AWI105" s="3"/>
      <c r="AWJ105" s="3"/>
      <c r="AWK105" s="3"/>
      <c r="AWL105" s="3"/>
      <c r="AWM105" s="3"/>
      <c r="AWN105" s="3"/>
      <c r="AWO105" s="3"/>
      <c r="AWP105" s="3"/>
      <c r="AWQ105" s="3"/>
      <c r="AWR105" s="3"/>
      <c r="AWS105" s="3"/>
      <c r="AWT105" s="3"/>
      <c r="AWU105" s="3"/>
      <c r="AWV105" s="3"/>
      <c r="AWW105" s="3"/>
      <c r="AWX105" s="3"/>
      <c r="AWY105" s="3"/>
      <c r="AWZ105" s="3"/>
      <c r="AXA105" s="3"/>
      <c r="AXB105" s="3"/>
      <c r="AXC105" s="3"/>
      <c r="AXD105" s="3"/>
      <c r="AXE105" s="3"/>
      <c r="AXF105" s="3"/>
      <c r="AXG105" s="3"/>
      <c r="AXH105" s="3"/>
      <c r="AXI105" s="3"/>
      <c r="AXJ105" s="3"/>
      <c r="AXK105" s="3"/>
      <c r="AXL105" s="3"/>
      <c r="AXM105" s="3"/>
      <c r="AXN105" s="3"/>
      <c r="AXO105" s="3"/>
      <c r="AXP105" s="3"/>
      <c r="AXQ105" s="3"/>
      <c r="AXR105" s="3"/>
      <c r="AXS105" s="3"/>
      <c r="AXT105" s="3"/>
      <c r="AXU105" s="3"/>
      <c r="AXV105" s="3"/>
      <c r="AXW105" s="3"/>
      <c r="AXX105" s="3"/>
      <c r="AXY105" s="3"/>
      <c r="AXZ105" s="3"/>
      <c r="AYA105" s="3"/>
      <c r="AYB105" s="3"/>
      <c r="AYC105" s="3"/>
      <c r="AYD105" s="3"/>
      <c r="AYE105" s="3"/>
      <c r="AYF105" s="3"/>
      <c r="AYG105" s="3"/>
      <c r="AYH105" s="3"/>
      <c r="AYI105" s="3"/>
      <c r="AYJ105" s="3"/>
      <c r="AYK105" s="3"/>
      <c r="AYL105" s="3"/>
      <c r="AYM105" s="3"/>
      <c r="AYN105" s="3"/>
      <c r="AYO105" s="3"/>
      <c r="AYP105" s="3"/>
      <c r="AYQ105" s="3"/>
      <c r="AYR105" s="3"/>
      <c r="AYS105" s="3"/>
      <c r="AYT105" s="3"/>
      <c r="AYU105" s="3"/>
      <c r="AYV105" s="3"/>
      <c r="AYW105" s="3"/>
      <c r="AYX105" s="3"/>
      <c r="AYY105" s="3"/>
      <c r="AYZ105" s="3"/>
      <c r="AZA105" s="3"/>
      <c r="AZB105" s="3"/>
      <c r="AZC105" s="3"/>
      <c r="AZD105" s="3"/>
      <c r="AZE105" s="3"/>
      <c r="AZF105" s="3"/>
      <c r="AZG105" s="3"/>
      <c r="AZH105" s="3"/>
      <c r="AZI105" s="3"/>
      <c r="AZJ105" s="3"/>
      <c r="AZK105" s="3"/>
      <c r="AZL105" s="3"/>
      <c r="AZM105" s="3"/>
      <c r="AZN105" s="3"/>
      <c r="AZO105" s="3"/>
      <c r="AZP105" s="3"/>
      <c r="AZQ105" s="3"/>
      <c r="AZR105" s="3"/>
      <c r="AZS105" s="3"/>
      <c r="AZT105" s="3"/>
      <c r="AZU105" s="3"/>
      <c r="AZV105" s="3"/>
      <c r="AZW105" s="3"/>
      <c r="AZX105" s="3"/>
      <c r="AZY105" s="3"/>
      <c r="AZZ105" s="3"/>
      <c r="BAA105" s="3"/>
      <c r="BAB105" s="3"/>
      <c r="BAC105" s="3"/>
      <c r="BAD105" s="3"/>
      <c r="BAE105" s="3"/>
      <c r="BAF105" s="3"/>
      <c r="BAG105" s="3"/>
      <c r="BAH105" s="3"/>
      <c r="BAI105" s="3"/>
      <c r="BAJ105" s="3"/>
      <c r="BAK105" s="3"/>
      <c r="BAL105" s="3"/>
      <c r="BAM105" s="3"/>
      <c r="BAN105" s="3"/>
      <c r="BAO105" s="3"/>
      <c r="BAP105" s="3"/>
      <c r="BAQ105" s="3"/>
      <c r="BAR105" s="3"/>
      <c r="BAS105" s="3"/>
      <c r="BAT105" s="3"/>
      <c r="BAU105" s="3"/>
      <c r="BAV105" s="3"/>
      <c r="BAW105" s="3"/>
      <c r="BAX105" s="3"/>
      <c r="BAY105" s="3"/>
      <c r="BAZ105" s="3"/>
      <c r="BBA105" s="3"/>
      <c r="BBB105" s="3"/>
      <c r="BBC105" s="3"/>
      <c r="BBD105" s="3"/>
      <c r="BBE105" s="3"/>
      <c r="BBF105" s="3"/>
      <c r="BBG105" s="3"/>
      <c r="BBH105" s="3"/>
      <c r="BBI105" s="3"/>
      <c r="BBJ105" s="3"/>
      <c r="BBK105" s="3"/>
      <c r="BBL105" s="3"/>
      <c r="BBM105" s="3"/>
      <c r="BBN105" s="3"/>
      <c r="BBO105" s="3"/>
      <c r="BBP105" s="3"/>
      <c r="BBQ105" s="3"/>
      <c r="BBR105" s="3"/>
      <c r="BBS105" s="3"/>
      <c r="BBT105" s="3"/>
      <c r="BBU105" s="3"/>
      <c r="BBV105" s="3"/>
      <c r="BBW105" s="3"/>
      <c r="BBX105" s="3"/>
      <c r="BBY105" s="3"/>
      <c r="BBZ105" s="3"/>
      <c r="BCA105" s="3"/>
      <c r="BCB105" s="3"/>
      <c r="BCC105" s="3"/>
      <c r="BCD105" s="3"/>
      <c r="BCE105" s="3"/>
      <c r="BCF105" s="3"/>
      <c r="BCG105" s="3"/>
      <c r="BCH105" s="3"/>
      <c r="BCI105" s="3"/>
      <c r="BCJ105" s="3"/>
      <c r="BCK105" s="3"/>
      <c r="BCL105" s="3"/>
      <c r="BCM105" s="3"/>
      <c r="BCN105" s="3"/>
      <c r="BCO105" s="3"/>
      <c r="BCP105" s="3"/>
      <c r="BCQ105" s="3"/>
      <c r="BCR105" s="3"/>
      <c r="BCS105" s="3"/>
      <c r="BCT105" s="3"/>
      <c r="BCU105" s="3"/>
      <c r="BCV105" s="3"/>
      <c r="BCW105" s="3"/>
      <c r="BCX105" s="3"/>
      <c r="BCY105" s="3"/>
      <c r="BCZ105" s="3"/>
      <c r="BDA105" s="3"/>
      <c r="BDB105" s="3"/>
      <c r="BDC105" s="3"/>
      <c r="BDD105" s="3"/>
      <c r="BDE105" s="3"/>
      <c r="BDF105" s="3"/>
      <c r="BDG105" s="3"/>
      <c r="BDH105" s="3"/>
      <c r="BDI105" s="3"/>
      <c r="BDJ105" s="3"/>
      <c r="BDK105" s="3"/>
      <c r="BDL105" s="3"/>
      <c r="BDM105" s="3"/>
      <c r="BDN105" s="3"/>
      <c r="BDO105" s="3"/>
      <c r="BDP105" s="3"/>
      <c r="BDQ105" s="3"/>
      <c r="BDR105" s="3"/>
      <c r="BDS105" s="3"/>
      <c r="BDT105" s="3"/>
      <c r="BDU105" s="3"/>
      <c r="BDV105" s="3"/>
      <c r="BDW105" s="3"/>
      <c r="BDX105" s="3"/>
      <c r="BDY105" s="3"/>
      <c r="BDZ105" s="3"/>
      <c r="BEA105" s="3"/>
      <c r="BEB105" s="3"/>
      <c r="BEC105" s="3"/>
      <c r="BED105" s="3"/>
      <c r="BEE105" s="3"/>
      <c r="BEF105" s="3"/>
      <c r="BEG105" s="3"/>
      <c r="BEH105" s="3"/>
      <c r="BEI105" s="3"/>
      <c r="BEJ105" s="3"/>
      <c r="BEK105" s="3"/>
      <c r="BEL105" s="3"/>
      <c r="BEM105" s="3"/>
      <c r="BEN105" s="3"/>
      <c r="BEO105" s="3"/>
      <c r="BEP105" s="3"/>
      <c r="BEQ105" s="3"/>
      <c r="BER105" s="3"/>
      <c r="BES105" s="3"/>
      <c r="BET105" s="3"/>
      <c r="BEU105" s="3"/>
      <c r="BEV105" s="3"/>
      <c r="BEW105" s="3"/>
      <c r="BEX105" s="3"/>
      <c r="BEY105" s="3"/>
      <c r="BEZ105" s="3"/>
      <c r="BFA105" s="3"/>
      <c r="BFB105" s="3"/>
      <c r="BFC105" s="3"/>
      <c r="BFD105" s="3"/>
      <c r="BFE105" s="3"/>
      <c r="BFF105" s="3"/>
      <c r="BFG105" s="3"/>
      <c r="BFH105" s="3"/>
      <c r="BFI105" s="3"/>
      <c r="BFJ105" s="3"/>
      <c r="BFK105" s="3"/>
      <c r="BFL105" s="3"/>
      <c r="BFM105" s="3"/>
      <c r="BFN105" s="3"/>
      <c r="BFO105" s="3"/>
      <c r="BFP105" s="3"/>
      <c r="BFQ105" s="3"/>
      <c r="BFR105" s="3"/>
      <c r="BFS105" s="3"/>
      <c r="BFT105" s="3"/>
      <c r="BFU105" s="3"/>
      <c r="BFV105" s="3"/>
      <c r="BFW105" s="3"/>
      <c r="BFX105" s="3"/>
      <c r="BFY105" s="3"/>
      <c r="BFZ105" s="3"/>
      <c r="BGA105" s="3"/>
      <c r="BGB105" s="3"/>
      <c r="BGC105" s="3"/>
      <c r="BGD105" s="3"/>
      <c r="BGE105" s="3"/>
      <c r="BGF105" s="3"/>
      <c r="BGG105" s="3"/>
      <c r="BGH105" s="3"/>
      <c r="BGI105" s="3"/>
      <c r="BGJ105" s="3"/>
      <c r="BGK105" s="3"/>
      <c r="BGL105" s="3"/>
      <c r="BGM105" s="3"/>
      <c r="BGN105" s="3"/>
      <c r="BGO105" s="3"/>
      <c r="BGP105" s="3"/>
      <c r="BGQ105" s="3"/>
      <c r="BGR105" s="3"/>
      <c r="BGS105" s="3"/>
      <c r="BGT105" s="3"/>
      <c r="BGU105" s="3"/>
      <c r="BGV105" s="3"/>
      <c r="BGW105" s="3"/>
      <c r="BGX105" s="3"/>
      <c r="BGY105" s="3"/>
      <c r="BGZ105" s="3"/>
      <c r="BHA105" s="3"/>
      <c r="BHB105" s="3"/>
      <c r="BHC105" s="3"/>
      <c r="BHD105" s="3"/>
      <c r="BHE105" s="3"/>
      <c r="BHF105" s="3"/>
      <c r="BHG105" s="3"/>
      <c r="BHH105" s="3"/>
      <c r="BHI105" s="3"/>
      <c r="BHJ105" s="3"/>
      <c r="BHK105" s="3"/>
      <c r="BHL105" s="3"/>
      <c r="BHM105" s="3"/>
      <c r="BHN105" s="3"/>
      <c r="BHO105" s="3"/>
      <c r="BHP105" s="3"/>
      <c r="BHQ105" s="3"/>
      <c r="BHR105" s="3"/>
      <c r="BHS105" s="3"/>
      <c r="BHT105" s="3"/>
      <c r="BHU105" s="3"/>
      <c r="BHV105" s="3"/>
      <c r="BHW105" s="3"/>
      <c r="BHX105" s="3"/>
      <c r="BHY105" s="3"/>
      <c r="BHZ105" s="3"/>
      <c r="BIA105" s="3"/>
      <c r="BIB105" s="3"/>
      <c r="BIC105" s="3"/>
      <c r="BID105" s="3"/>
      <c r="BIE105" s="3"/>
      <c r="BIF105" s="3"/>
      <c r="BIG105" s="3"/>
      <c r="BIH105" s="3"/>
      <c r="BII105" s="3"/>
      <c r="BIJ105" s="3"/>
      <c r="BIK105" s="3"/>
      <c r="BIL105" s="3"/>
      <c r="BIM105" s="3"/>
      <c r="BIN105" s="3"/>
      <c r="BIO105" s="3"/>
      <c r="BIP105" s="3"/>
      <c r="BIQ105" s="3"/>
      <c r="BIR105" s="3"/>
      <c r="BIS105" s="3"/>
      <c r="BIT105" s="3"/>
      <c r="BIU105" s="3"/>
      <c r="BIV105" s="3"/>
      <c r="BIW105" s="3"/>
      <c r="BIX105" s="3"/>
      <c r="BIY105" s="3"/>
      <c r="BIZ105" s="3"/>
      <c r="BJA105" s="3"/>
      <c r="BJB105" s="3"/>
      <c r="BJC105" s="3"/>
      <c r="BJD105" s="3"/>
      <c r="BJE105" s="3"/>
      <c r="BJF105" s="3"/>
      <c r="BJG105" s="3"/>
      <c r="BJH105" s="3"/>
      <c r="BJI105" s="3"/>
      <c r="BJJ105" s="3"/>
      <c r="BJK105" s="3"/>
      <c r="BJL105" s="3"/>
      <c r="BJM105" s="3"/>
      <c r="BJN105" s="3"/>
      <c r="BJO105" s="3"/>
      <c r="BJP105" s="3"/>
      <c r="BJQ105" s="3"/>
      <c r="BJR105" s="3"/>
      <c r="BJS105" s="3"/>
      <c r="BJT105" s="3"/>
      <c r="BJU105" s="3"/>
      <c r="BJV105" s="3"/>
      <c r="BJW105" s="3"/>
      <c r="BJX105" s="3"/>
      <c r="BJY105" s="3"/>
      <c r="BJZ105" s="3"/>
      <c r="BKA105" s="3"/>
      <c r="BKB105" s="3"/>
      <c r="BKC105" s="3"/>
      <c r="BKD105" s="3"/>
      <c r="BKE105" s="3"/>
      <c r="BKF105" s="3"/>
      <c r="BKG105" s="3"/>
      <c r="BKH105" s="3"/>
      <c r="BKI105" s="3"/>
      <c r="BKJ105" s="3"/>
      <c r="BKK105" s="3"/>
      <c r="BKL105" s="3"/>
      <c r="BKM105" s="3"/>
      <c r="BKN105" s="3"/>
      <c r="BKO105" s="3"/>
      <c r="BKP105" s="3"/>
      <c r="BKQ105" s="3"/>
      <c r="BKR105" s="3"/>
      <c r="BKS105" s="3"/>
      <c r="BKT105" s="3"/>
      <c r="BKU105" s="3"/>
      <c r="BKV105" s="3"/>
      <c r="BKW105" s="3"/>
      <c r="BKX105" s="3"/>
      <c r="BKY105" s="3"/>
      <c r="BKZ105" s="3"/>
      <c r="BLA105" s="3"/>
      <c r="BLB105" s="3"/>
      <c r="BLC105" s="3"/>
      <c r="BLD105" s="3"/>
      <c r="BLE105" s="3"/>
      <c r="BLF105" s="3"/>
      <c r="BLG105" s="3"/>
      <c r="BLH105" s="3"/>
      <c r="BLI105" s="3"/>
      <c r="BLJ105" s="3"/>
      <c r="BLK105" s="3"/>
      <c r="BLL105" s="3"/>
      <c r="BLM105" s="3"/>
      <c r="BLN105" s="3"/>
      <c r="BLO105" s="3"/>
      <c r="BLP105" s="3"/>
      <c r="BLQ105" s="3"/>
      <c r="BLR105" s="3"/>
      <c r="BLS105" s="3"/>
      <c r="BLT105" s="3"/>
      <c r="BLU105" s="3"/>
      <c r="BLV105" s="3"/>
      <c r="BLW105" s="3"/>
      <c r="BLX105" s="3"/>
      <c r="BLY105" s="3"/>
      <c r="BLZ105" s="3"/>
      <c r="BMA105" s="3"/>
      <c r="BMB105" s="3"/>
      <c r="BMC105" s="3"/>
      <c r="BMD105" s="3"/>
      <c r="BME105" s="3"/>
      <c r="BMF105" s="3"/>
      <c r="BMG105" s="3"/>
      <c r="BMH105" s="3"/>
      <c r="BMI105" s="3"/>
      <c r="BMJ105" s="3"/>
      <c r="BMK105" s="3"/>
      <c r="BML105" s="3"/>
      <c r="BMM105" s="3"/>
      <c r="BMN105" s="3"/>
      <c r="BMO105" s="3"/>
      <c r="BMP105" s="3"/>
      <c r="BMQ105" s="3"/>
      <c r="BMR105" s="3"/>
      <c r="BMS105" s="3"/>
      <c r="BMT105" s="3"/>
      <c r="BMU105" s="3"/>
      <c r="BMV105" s="3"/>
      <c r="BMW105" s="3"/>
      <c r="BMX105" s="3"/>
      <c r="BMY105" s="3"/>
      <c r="BMZ105" s="3"/>
      <c r="BNA105" s="3"/>
      <c r="BNB105" s="3"/>
      <c r="BNC105" s="3"/>
      <c r="BND105" s="3"/>
      <c r="BNE105" s="3"/>
      <c r="BNF105" s="3"/>
      <c r="BNG105" s="3"/>
      <c r="BNH105" s="3"/>
      <c r="BNI105" s="3"/>
      <c r="BNJ105" s="3"/>
      <c r="BNK105" s="3"/>
      <c r="BNL105" s="3"/>
      <c r="BNM105" s="3"/>
      <c r="BNN105" s="3"/>
      <c r="BNO105" s="3"/>
      <c r="BNP105" s="3"/>
      <c r="BNQ105" s="3"/>
      <c r="BNR105" s="3"/>
      <c r="BNS105" s="3"/>
      <c r="BNT105" s="3"/>
      <c r="BNU105" s="3"/>
      <c r="BNV105" s="3"/>
      <c r="BNW105" s="3"/>
      <c r="BNX105" s="3"/>
      <c r="BNY105" s="3"/>
      <c r="BNZ105" s="3"/>
      <c r="BOA105" s="3"/>
      <c r="BOB105" s="3"/>
      <c r="BOC105" s="3"/>
      <c r="BOD105" s="3"/>
      <c r="BOE105" s="3"/>
      <c r="BOF105" s="3"/>
      <c r="BOG105" s="3"/>
      <c r="BOH105" s="3"/>
      <c r="BOI105" s="3"/>
      <c r="BOJ105" s="3"/>
      <c r="BOK105" s="3"/>
      <c r="BOL105" s="3"/>
      <c r="BOM105" s="3"/>
      <c r="BON105" s="3"/>
      <c r="BOO105" s="3"/>
      <c r="BOP105" s="3"/>
      <c r="BOQ105" s="3"/>
      <c r="BOR105" s="3"/>
      <c r="BOS105" s="3"/>
      <c r="BOT105" s="3"/>
      <c r="BOU105" s="3"/>
      <c r="BOV105" s="3"/>
      <c r="BOW105" s="3"/>
      <c r="BOX105" s="3"/>
      <c r="BOY105" s="3"/>
      <c r="BOZ105" s="3"/>
      <c r="BPA105" s="3"/>
      <c r="BPB105" s="3"/>
      <c r="BPC105" s="3"/>
      <c r="BPD105" s="3"/>
      <c r="BPE105" s="3"/>
      <c r="BPF105" s="3"/>
      <c r="BPG105" s="3"/>
      <c r="BPH105" s="3"/>
      <c r="BPI105" s="3"/>
      <c r="BPJ105" s="3"/>
      <c r="BPK105" s="3"/>
      <c r="BPL105" s="3"/>
      <c r="BPM105" s="3"/>
      <c r="BPN105" s="3"/>
      <c r="BPO105" s="3"/>
      <c r="BPP105" s="3"/>
      <c r="BPQ105" s="3"/>
      <c r="BPR105" s="3"/>
      <c r="BPS105" s="3"/>
      <c r="BPT105" s="3"/>
      <c r="BPU105" s="3"/>
      <c r="BPV105" s="3"/>
      <c r="BPW105" s="3"/>
      <c r="BPX105" s="3"/>
      <c r="BPY105" s="3"/>
      <c r="BPZ105" s="3"/>
      <c r="BQA105" s="3"/>
      <c r="BQB105" s="3"/>
      <c r="BQC105" s="3"/>
      <c r="BQD105" s="3"/>
      <c r="BQE105" s="3"/>
      <c r="BQF105" s="3"/>
      <c r="BQG105" s="3"/>
      <c r="BQH105" s="3"/>
      <c r="BQI105" s="3"/>
      <c r="BQJ105" s="3"/>
      <c r="BQK105" s="3"/>
      <c r="BQL105" s="3"/>
      <c r="BQM105" s="3"/>
      <c r="BQN105" s="3"/>
      <c r="BQO105" s="3"/>
      <c r="BQP105" s="3"/>
      <c r="BQQ105" s="3"/>
      <c r="BQR105" s="3"/>
      <c r="BQS105" s="3"/>
      <c r="BQT105" s="3"/>
      <c r="BQU105" s="3"/>
      <c r="BQV105" s="3"/>
      <c r="BQW105" s="3"/>
      <c r="BQX105" s="3"/>
      <c r="BQY105" s="3"/>
      <c r="BQZ105" s="3"/>
      <c r="BRA105" s="3"/>
      <c r="BRB105" s="3"/>
      <c r="BRC105" s="3"/>
      <c r="BRD105" s="3"/>
      <c r="BRE105" s="3"/>
      <c r="BRF105" s="3"/>
      <c r="BRG105" s="3"/>
      <c r="BRH105" s="3"/>
      <c r="BRI105" s="3"/>
      <c r="BRJ105" s="3"/>
      <c r="BRK105" s="3"/>
      <c r="BRL105" s="3"/>
      <c r="BRM105" s="3"/>
      <c r="BRN105" s="3"/>
      <c r="BRO105" s="3"/>
      <c r="BRP105" s="3"/>
      <c r="BRQ105" s="3"/>
      <c r="BRR105" s="3"/>
      <c r="BRS105" s="3"/>
      <c r="BRT105" s="3"/>
      <c r="BRU105" s="3"/>
      <c r="BRV105" s="3"/>
      <c r="BRW105" s="3"/>
      <c r="BRX105" s="3"/>
      <c r="BRY105" s="3"/>
      <c r="BRZ105" s="3"/>
      <c r="BSA105" s="3"/>
      <c r="BSB105" s="3"/>
      <c r="BSC105" s="3"/>
      <c r="BSD105" s="3"/>
      <c r="BSE105" s="3"/>
      <c r="BSF105" s="3"/>
      <c r="BSG105" s="3"/>
      <c r="BSH105" s="3"/>
      <c r="BSI105" s="3"/>
      <c r="BSJ105" s="3"/>
      <c r="BSK105" s="3"/>
      <c r="BSL105" s="3"/>
      <c r="BSM105" s="3"/>
      <c r="BSN105" s="3"/>
      <c r="BSO105" s="3"/>
      <c r="BSP105" s="3"/>
      <c r="BSQ105" s="3"/>
      <c r="BSR105" s="3"/>
      <c r="BSS105" s="3"/>
      <c r="BST105" s="3"/>
      <c r="BSU105" s="3"/>
      <c r="BSV105" s="3"/>
      <c r="BSW105" s="3"/>
      <c r="BSX105" s="3"/>
      <c r="BSY105" s="3"/>
      <c r="BSZ105" s="3"/>
      <c r="BTA105" s="3"/>
      <c r="BTB105" s="3"/>
      <c r="BTC105" s="3"/>
      <c r="BTD105" s="3"/>
      <c r="BTE105" s="3"/>
      <c r="BTF105" s="3"/>
      <c r="BTG105" s="3"/>
      <c r="BTH105" s="3"/>
      <c r="BTI105" s="3"/>
      <c r="BTJ105" s="3"/>
      <c r="BTK105" s="3"/>
      <c r="BTL105" s="3"/>
      <c r="BTM105" s="3"/>
      <c r="BTN105" s="3"/>
      <c r="BTO105" s="3"/>
      <c r="BTP105" s="3"/>
      <c r="BTQ105" s="3"/>
      <c r="BTR105" s="3"/>
      <c r="BTS105" s="3"/>
      <c r="BTT105" s="3"/>
      <c r="BTU105" s="3"/>
      <c r="BTV105" s="3"/>
      <c r="BTW105" s="3"/>
      <c r="BTX105" s="3"/>
      <c r="BTY105" s="3"/>
      <c r="BTZ105" s="3"/>
      <c r="BUA105" s="3"/>
      <c r="BUB105" s="3"/>
      <c r="BUC105" s="3"/>
      <c r="BUD105" s="3"/>
      <c r="BUE105" s="3"/>
      <c r="BUF105" s="3"/>
      <c r="BUG105" s="3"/>
      <c r="BUH105" s="3"/>
      <c r="BUI105" s="3"/>
      <c r="BUJ105" s="3"/>
      <c r="BUK105" s="3"/>
      <c r="BUL105" s="3"/>
      <c r="BUM105" s="3"/>
      <c r="BUN105" s="3"/>
      <c r="BUO105" s="3"/>
      <c r="BUP105" s="3"/>
      <c r="BUQ105" s="3"/>
      <c r="BUR105" s="3"/>
      <c r="BUS105" s="3"/>
      <c r="BUT105" s="3"/>
      <c r="BUU105" s="3"/>
      <c r="BUV105" s="3"/>
      <c r="BUW105" s="3"/>
      <c r="BUX105" s="3"/>
      <c r="BUY105" s="3"/>
      <c r="BUZ105" s="3"/>
      <c r="BVA105" s="3"/>
      <c r="BVB105" s="3"/>
      <c r="BVC105" s="3"/>
      <c r="BVD105" s="3"/>
      <c r="BVE105" s="3"/>
      <c r="BVF105" s="3"/>
      <c r="BVG105" s="3"/>
      <c r="BVH105" s="3"/>
      <c r="BVI105" s="3"/>
      <c r="BVJ105" s="3"/>
      <c r="BVK105" s="3"/>
      <c r="BVL105" s="3"/>
      <c r="BVM105" s="3"/>
      <c r="BVN105" s="3"/>
      <c r="BVO105" s="3"/>
      <c r="BVP105" s="3"/>
      <c r="BVQ105" s="3"/>
      <c r="BVR105" s="3"/>
      <c r="BVS105" s="3"/>
      <c r="BVT105" s="3"/>
      <c r="BVU105" s="3"/>
      <c r="BVV105" s="3"/>
      <c r="BVW105" s="3"/>
      <c r="BVX105" s="3"/>
      <c r="BVY105" s="3"/>
      <c r="BVZ105" s="3"/>
      <c r="BWA105" s="3"/>
      <c r="BWB105" s="3"/>
      <c r="BWC105" s="3"/>
      <c r="BWD105" s="3"/>
      <c r="BWE105" s="3"/>
      <c r="BWF105" s="3"/>
      <c r="BWG105" s="3"/>
      <c r="BWH105" s="3"/>
      <c r="BWI105" s="3"/>
      <c r="BWJ105" s="3"/>
      <c r="BWK105" s="3"/>
      <c r="BWL105" s="3"/>
      <c r="BWM105" s="3"/>
      <c r="BWN105" s="3"/>
      <c r="BWO105" s="3"/>
      <c r="BWP105" s="3"/>
      <c r="BWQ105" s="3"/>
      <c r="BWR105" s="3"/>
      <c r="BWS105" s="3"/>
      <c r="BWT105" s="3"/>
      <c r="BWU105" s="3"/>
      <c r="BWV105" s="3"/>
      <c r="BWW105" s="3"/>
      <c r="BWX105" s="3"/>
      <c r="BWY105" s="3"/>
      <c r="BWZ105" s="3"/>
      <c r="BXA105" s="3"/>
      <c r="BXB105" s="3"/>
      <c r="BXC105" s="3"/>
      <c r="BXD105" s="3"/>
      <c r="BXE105" s="3"/>
      <c r="BXF105" s="3"/>
      <c r="BXG105" s="3"/>
      <c r="BXH105" s="3"/>
      <c r="BXI105" s="3"/>
      <c r="BXJ105" s="3"/>
      <c r="BXK105" s="3"/>
      <c r="BXL105" s="3"/>
      <c r="BXM105" s="3"/>
      <c r="BXN105" s="3"/>
      <c r="BXO105" s="3"/>
      <c r="BXP105" s="3"/>
      <c r="BXQ105" s="3"/>
      <c r="BXR105" s="3"/>
      <c r="BXS105" s="3"/>
      <c r="BXT105" s="3"/>
      <c r="BXU105" s="3"/>
      <c r="BXV105" s="3"/>
      <c r="BXW105" s="3"/>
      <c r="BXX105" s="3"/>
      <c r="BXY105" s="3"/>
      <c r="BXZ105" s="3"/>
      <c r="BYA105" s="3"/>
      <c r="BYB105" s="3"/>
      <c r="BYC105" s="3"/>
      <c r="BYD105" s="3"/>
      <c r="BYE105" s="3"/>
      <c r="BYF105" s="3"/>
      <c r="BYG105" s="3"/>
      <c r="BYH105" s="3"/>
      <c r="BYI105" s="3"/>
      <c r="BYJ105" s="3"/>
      <c r="BYK105" s="3"/>
      <c r="BYL105" s="3"/>
      <c r="BYM105" s="3"/>
      <c r="BYN105" s="3"/>
      <c r="BYO105" s="3"/>
      <c r="BYP105" s="3"/>
      <c r="BYQ105" s="3"/>
      <c r="BYR105" s="3"/>
      <c r="BYS105" s="3"/>
      <c r="BYT105" s="3"/>
      <c r="BYU105" s="3"/>
      <c r="BYV105" s="3"/>
      <c r="BYW105" s="3"/>
      <c r="BYX105" s="3"/>
      <c r="BYY105" s="3"/>
      <c r="BYZ105" s="3"/>
      <c r="BZA105" s="3"/>
      <c r="BZB105" s="3"/>
      <c r="BZC105" s="3"/>
      <c r="BZD105" s="3"/>
      <c r="BZE105" s="3"/>
      <c r="BZF105" s="3"/>
      <c r="BZG105" s="3"/>
      <c r="BZH105" s="3"/>
      <c r="BZI105" s="3"/>
      <c r="BZJ105" s="3"/>
      <c r="BZK105" s="3"/>
      <c r="BZL105" s="3"/>
      <c r="BZM105" s="3"/>
      <c r="BZN105" s="3"/>
      <c r="BZO105" s="3"/>
      <c r="BZP105" s="3"/>
      <c r="BZQ105" s="3"/>
      <c r="BZR105" s="3"/>
      <c r="BZS105" s="3"/>
      <c r="BZT105" s="3"/>
      <c r="BZU105" s="3"/>
      <c r="BZV105" s="3"/>
      <c r="BZW105" s="3"/>
      <c r="BZX105" s="3"/>
      <c r="BZY105" s="3"/>
      <c r="BZZ105" s="3"/>
      <c r="CAA105" s="3"/>
      <c r="CAB105" s="3"/>
      <c r="CAC105" s="3"/>
      <c r="CAD105" s="3"/>
      <c r="CAE105" s="3"/>
      <c r="CAF105" s="3"/>
      <c r="CAG105" s="3"/>
      <c r="CAH105" s="3"/>
      <c r="CAI105" s="3"/>
      <c r="CAJ105" s="3"/>
      <c r="CAK105" s="3"/>
      <c r="CAL105" s="3"/>
      <c r="CAM105" s="3"/>
      <c r="CAN105" s="3"/>
      <c r="CAO105" s="3"/>
      <c r="CAP105" s="3"/>
      <c r="CAQ105" s="3"/>
      <c r="CAR105" s="3"/>
      <c r="CAS105" s="3"/>
      <c r="CAT105" s="3"/>
      <c r="CAU105" s="3"/>
      <c r="CAV105" s="3"/>
      <c r="CAW105" s="3"/>
      <c r="CAX105" s="3"/>
      <c r="CAY105" s="3"/>
      <c r="CAZ105" s="3"/>
      <c r="CBA105" s="3"/>
      <c r="CBB105" s="3"/>
      <c r="CBC105" s="3"/>
      <c r="CBD105" s="3"/>
      <c r="CBE105" s="3"/>
      <c r="CBF105" s="3"/>
      <c r="CBG105" s="3"/>
      <c r="CBH105" s="3"/>
      <c r="CBI105" s="3"/>
      <c r="CBJ105" s="3"/>
      <c r="CBK105" s="3"/>
      <c r="CBL105" s="3"/>
      <c r="CBM105" s="3"/>
      <c r="CBN105" s="3"/>
      <c r="CBO105" s="3"/>
      <c r="CBP105" s="3"/>
      <c r="CBQ105" s="3"/>
      <c r="CBR105" s="3"/>
      <c r="CBS105" s="3"/>
      <c r="CBT105" s="3"/>
      <c r="CBU105" s="3"/>
      <c r="CBV105" s="3"/>
      <c r="CBW105" s="3"/>
      <c r="CBX105" s="3"/>
      <c r="CBY105" s="3"/>
      <c r="CBZ105" s="3"/>
      <c r="CCA105" s="3"/>
      <c r="CCB105" s="3"/>
      <c r="CCC105" s="3"/>
      <c r="CCD105" s="3"/>
      <c r="CCE105" s="3"/>
      <c r="CCF105" s="3"/>
      <c r="CCG105" s="3"/>
      <c r="CCH105" s="3"/>
      <c r="CCI105" s="3"/>
      <c r="CCJ105" s="3"/>
      <c r="CCK105" s="3"/>
      <c r="CCL105" s="3"/>
      <c r="CCM105" s="3"/>
      <c r="CCN105" s="3"/>
      <c r="CCO105" s="3"/>
      <c r="CCP105" s="3"/>
      <c r="CCQ105" s="3"/>
      <c r="CCR105" s="3"/>
      <c r="CCS105" s="3"/>
      <c r="CCT105" s="3"/>
      <c r="CCU105" s="3"/>
      <c r="CCV105" s="3"/>
      <c r="CCW105" s="3"/>
      <c r="CCX105" s="3"/>
      <c r="CCY105" s="3"/>
      <c r="CCZ105" s="3"/>
      <c r="CDA105" s="3"/>
      <c r="CDB105" s="3"/>
      <c r="CDC105" s="3"/>
      <c r="CDD105" s="3"/>
      <c r="CDE105" s="3"/>
      <c r="CDF105" s="3"/>
      <c r="CDG105" s="3"/>
      <c r="CDH105" s="3"/>
      <c r="CDI105" s="3"/>
      <c r="CDJ105" s="3"/>
      <c r="CDK105" s="3"/>
      <c r="CDL105" s="3"/>
      <c r="CDM105" s="3"/>
      <c r="CDN105" s="3"/>
      <c r="CDO105" s="3"/>
      <c r="CDP105" s="3"/>
      <c r="CDQ105" s="3"/>
      <c r="CDR105" s="3"/>
      <c r="CDS105" s="3"/>
      <c r="CDT105" s="3"/>
      <c r="CDU105" s="3"/>
      <c r="CDV105" s="3"/>
      <c r="CDW105" s="3"/>
      <c r="CDX105" s="3"/>
      <c r="CDY105" s="3"/>
      <c r="CDZ105" s="3"/>
      <c r="CEA105" s="3"/>
      <c r="CEB105" s="3"/>
      <c r="CEC105" s="3"/>
      <c r="CED105" s="3"/>
      <c r="CEE105" s="3"/>
      <c r="CEF105" s="3"/>
      <c r="CEG105" s="3"/>
      <c r="CEH105" s="3"/>
      <c r="CEI105" s="3"/>
      <c r="CEJ105" s="3"/>
      <c r="CEK105" s="3"/>
      <c r="CEL105" s="3"/>
      <c r="CEM105" s="3"/>
      <c r="CEN105" s="3"/>
      <c r="CEO105" s="3"/>
      <c r="CEP105" s="3"/>
      <c r="CEQ105" s="3"/>
      <c r="CER105" s="3"/>
      <c r="CES105" s="3"/>
      <c r="CET105" s="3"/>
      <c r="CEU105" s="3"/>
      <c r="CEV105" s="3"/>
      <c r="CEW105" s="3"/>
      <c r="CEX105" s="3"/>
      <c r="CEY105" s="3"/>
      <c r="CEZ105" s="3"/>
      <c r="CFA105" s="3"/>
      <c r="CFB105" s="3"/>
      <c r="CFC105" s="3"/>
      <c r="CFD105" s="3"/>
      <c r="CFE105" s="3"/>
      <c r="CFF105" s="3"/>
      <c r="CFG105" s="3"/>
      <c r="CFH105" s="3"/>
      <c r="CFI105" s="3"/>
      <c r="CFJ105" s="3"/>
      <c r="CFK105" s="3"/>
      <c r="CFL105" s="3"/>
      <c r="CFM105" s="3"/>
      <c r="CFN105" s="3"/>
      <c r="CFO105" s="3"/>
      <c r="CFP105" s="3"/>
      <c r="CFQ105" s="3"/>
      <c r="CFR105" s="3"/>
      <c r="CFS105" s="3"/>
      <c r="CFT105" s="3"/>
      <c r="CFU105" s="3"/>
      <c r="CFV105" s="3"/>
      <c r="CFW105" s="3"/>
      <c r="CFX105" s="3"/>
      <c r="CFY105" s="3"/>
      <c r="CFZ105" s="3"/>
      <c r="CGA105" s="3"/>
      <c r="CGB105" s="3"/>
      <c r="CGC105" s="3"/>
      <c r="CGD105" s="3"/>
      <c r="CGE105" s="3"/>
      <c r="CGF105" s="3"/>
      <c r="CGG105" s="3"/>
      <c r="CGH105" s="3"/>
      <c r="CGI105" s="3"/>
      <c r="CGJ105" s="3"/>
      <c r="CGK105" s="3"/>
      <c r="CGL105" s="3"/>
      <c r="CGM105" s="3"/>
      <c r="CGN105" s="3"/>
      <c r="CGO105" s="3"/>
      <c r="CGP105" s="3"/>
      <c r="CGQ105" s="3"/>
      <c r="CGR105" s="3"/>
      <c r="CGS105" s="3"/>
      <c r="CGT105" s="3"/>
      <c r="CGU105" s="3"/>
      <c r="CGV105" s="3"/>
      <c r="CGW105" s="3"/>
      <c r="CGX105" s="3"/>
      <c r="CGY105" s="3"/>
      <c r="CGZ105" s="3"/>
      <c r="CHA105" s="3"/>
      <c r="CHB105" s="3"/>
      <c r="CHC105" s="3"/>
      <c r="CHD105" s="3"/>
      <c r="CHE105" s="3"/>
      <c r="CHF105" s="3"/>
      <c r="CHG105" s="3"/>
      <c r="CHH105" s="3"/>
      <c r="CHI105" s="3"/>
      <c r="CHJ105" s="3"/>
      <c r="CHK105" s="3"/>
      <c r="CHL105" s="3"/>
      <c r="CHM105" s="3"/>
      <c r="CHN105" s="3"/>
      <c r="CHO105" s="3"/>
      <c r="CHP105" s="3"/>
      <c r="CHQ105" s="3"/>
      <c r="CHR105" s="3"/>
      <c r="CHS105" s="3"/>
      <c r="CHT105" s="3"/>
      <c r="CHU105" s="3"/>
      <c r="CHV105" s="3"/>
      <c r="CHW105" s="3"/>
      <c r="CHX105" s="3"/>
      <c r="CHY105" s="3"/>
      <c r="CHZ105" s="3"/>
      <c r="CIA105" s="3"/>
      <c r="CIB105" s="3"/>
      <c r="CIC105" s="3"/>
      <c r="CID105" s="3"/>
      <c r="CIE105" s="3"/>
      <c r="CIF105" s="3"/>
      <c r="CIG105" s="3"/>
      <c r="CIH105" s="3"/>
      <c r="CII105" s="3"/>
      <c r="CIJ105" s="3"/>
      <c r="CIK105" s="3"/>
      <c r="CIL105" s="3"/>
      <c r="CIM105" s="3"/>
      <c r="CIN105" s="3"/>
      <c r="CIO105" s="3"/>
      <c r="CIP105" s="3"/>
      <c r="CIQ105" s="3"/>
      <c r="CIR105" s="3"/>
      <c r="CIS105" s="3"/>
      <c r="CIT105" s="3"/>
      <c r="CIU105" s="3"/>
      <c r="CIV105" s="3"/>
      <c r="CIW105" s="3"/>
      <c r="CIX105" s="3"/>
      <c r="CIY105" s="3"/>
      <c r="CIZ105" s="3"/>
      <c r="CJA105" s="3"/>
      <c r="CJB105" s="3"/>
      <c r="CJC105" s="3"/>
      <c r="CJD105" s="3"/>
      <c r="CJE105" s="3"/>
      <c r="CJF105" s="3"/>
      <c r="CJG105" s="3"/>
      <c r="CJH105" s="3"/>
      <c r="CJI105" s="3"/>
      <c r="CJJ105" s="3"/>
      <c r="CJK105" s="3"/>
      <c r="CJL105" s="3"/>
      <c r="CJM105" s="3"/>
      <c r="CJN105" s="3"/>
      <c r="CJO105" s="3"/>
      <c r="CJP105" s="3"/>
      <c r="CJQ105" s="3"/>
      <c r="CJR105" s="3"/>
      <c r="CJS105" s="3"/>
      <c r="CJT105" s="3"/>
      <c r="CJU105" s="3"/>
      <c r="CJV105" s="3"/>
      <c r="CJW105" s="3"/>
      <c r="CJX105" s="3"/>
      <c r="CJY105" s="3"/>
      <c r="CJZ105" s="3"/>
      <c r="CKA105" s="3"/>
      <c r="CKB105" s="3"/>
      <c r="CKC105" s="3"/>
      <c r="CKD105" s="3"/>
      <c r="CKE105" s="3"/>
      <c r="CKF105" s="3"/>
      <c r="CKG105" s="3"/>
      <c r="CKH105" s="3"/>
      <c r="CKI105" s="3"/>
      <c r="CKJ105" s="3"/>
      <c r="CKK105" s="3"/>
      <c r="CKL105" s="3"/>
      <c r="CKM105" s="3"/>
      <c r="CKN105" s="3"/>
      <c r="CKO105" s="3"/>
      <c r="CKP105" s="3"/>
      <c r="CKQ105" s="3"/>
      <c r="CKR105" s="3"/>
      <c r="CKS105" s="3"/>
      <c r="CKT105" s="3"/>
      <c r="CKU105" s="3"/>
      <c r="CKV105" s="3"/>
      <c r="CKW105" s="3"/>
      <c r="CKX105" s="3"/>
      <c r="CKY105" s="3"/>
      <c r="CKZ105" s="3"/>
      <c r="CLA105" s="3"/>
      <c r="CLB105" s="3"/>
      <c r="CLC105" s="3"/>
      <c r="CLD105" s="3"/>
      <c r="CLE105" s="3"/>
      <c r="CLF105" s="3"/>
      <c r="CLG105" s="3"/>
      <c r="CLH105" s="3"/>
      <c r="CLI105" s="3"/>
      <c r="CLJ105" s="3"/>
      <c r="CLK105" s="3"/>
      <c r="CLL105" s="3"/>
      <c r="CLM105" s="3"/>
      <c r="CLN105" s="3"/>
      <c r="CLO105" s="3"/>
      <c r="CLP105" s="3"/>
      <c r="CLQ105" s="3"/>
      <c r="CLR105" s="3"/>
      <c r="CLS105" s="3"/>
      <c r="CLT105" s="3"/>
      <c r="CLU105" s="3"/>
      <c r="CLV105" s="3"/>
      <c r="CLW105" s="3"/>
      <c r="CLX105" s="3"/>
      <c r="CLY105" s="3"/>
      <c r="CLZ105" s="3"/>
      <c r="CMA105" s="3"/>
      <c r="CMB105" s="3"/>
      <c r="CMC105" s="3"/>
      <c r="CMD105" s="3"/>
      <c r="CME105" s="3"/>
      <c r="CMF105" s="3"/>
      <c r="CMG105" s="3"/>
      <c r="CMH105" s="3"/>
      <c r="CMI105" s="3"/>
      <c r="CMJ105" s="3"/>
      <c r="CMK105" s="3"/>
      <c r="CML105" s="3"/>
      <c r="CMM105" s="3"/>
      <c r="CMN105" s="3"/>
      <c r="CMO105" s="3"/>
      <c r="CMP105" s="3"/>
      <c r="CMQ105" s="3"/>
      <c r="CMR105" s="3"/>
      <c r="CMS105" s="3"/>
      <c r="CMT105" s="3"/>
      <c r="CMU105" s="3"/>
      <c r="CMV105" s="3"/>
      <c r="CMW105" s="3"/>
      <c r="CMX105" s="3"/>
      <c r="CMY105" s="3"/>
      <c r="CMZ105" s="3"/>
      <c r="CNA105" s="3"/>
      <c r="CNB105" s="3"/>
      <c r="CNC105" s="3"/>
      <c r="CND105" s="3"/>
      <c r="CNE105" s="3"/>
      <c r="CNF105" s="3"/>
      <c r="CNG105" s="3"/>
      <c r="CNH105" s="3"/>
      <c r="CNI105" s="3"/>
      <c r="CNJ105" s="3"/>
      <c r="CNK105" s="3"/>
      <c r="CNL105" s="3"/>
      <c r="CNM105" s="3"/>
      <c r="CNN105" s="3"/>
      <c r="CNO105" s="3"/>
      <c r="CNP105" s="3"/>
      <c r="CNQ105" s="3"/>
      <c r="CNR105" s="3"/>
      <c r="CNS105" s="3"/>
      <c r="CNT105" s="3"/>
      <c r="CNU105" s="3"/>
      <c r="CNV105" s="3"/>
      <c r="CNW105" s="3"/>
      <c r="CNX105" s="3"/>
      <c r="CNY105" s="3"/>
      <c r="CNZ105" s="3"/>
      <c r="COA105" s="3"/>
      <c r="COB105" s="3"/>
      <c r="COC105" s="3"/>
      <c r="COD105" s="3"/>
      <c r="COE105" s="3"/>
      <c r="COF105" s="3"/>
      <c r="COG105" s="3"/>
      <c r="COH105" s="3"/>
      <c r="COI105" s="3"/>
      <c r="COJ105" s="3"/>
      <c r="COK105" s="3"/>
      <c r="COL105" s="3"/>
      <c r="COM105" s="3"/>
      <c r="CON105" s="3"/>
      <c r="COO105" s="3"/>
      <c r="COP105" s="3"/>
      <c r="COQ105" s="3"/>
      <c r="COR105" s="3"/>
      <c r="COS105" s="3"/>
      <c r="COT105" s="3"/>
      <c r="COU105" s="3"/>
      <c r="COV105" s="3"/>
      <c r="COW105" s="3"/>
      <c r="COX105" s="3"/>
      <c r="COY105" s="3"/>
      <c r="COZ105" s="3"/>
      <c r="CPA105" s="3"/>
      <c r="CPB105" s="3"/>
      <c r="CPC105" s="3"/>
      <c r="CPD105" s="3"/>
      <c r="CPE105" s="3"/>
      <c r="CPF105" s="3"/>
      <c r="CPG105" s="3"/>
      <c r="CPH105" s="3"/>
      <c r="CPI105" s="3"/>
      <c r="CPJ105" s="3"/>
      <c r="CPK105" s="3"/>
      <c r="CPL105" s="3"/>
      <c r="CPM105" s="3"/>
      <c r="CPN105" s="3"/>
      <c r="CPO105" s="3"/>
      <c r="CPP105" s="3"/>
      <c r="CPQ105" s="3"/>
      <c r="CPR105" s="3"/>
      <c r="CPS105" s="3"/>
      <c r="CPT105" s="3"/>
      <c r="CPU105" s="3"/>
      <c r="CPV105" s="3"/>
      <c r="CPW105" s="3"/>
      <c r="CPX105" s="3"/>
      <c r="CPY105" s="3"/>
      <c r="CPZ105" s="3"/>
      <c r="CQA105" s="3"/>
      <c r="CQB105" s="3"/>
      <c r="CQC105" s="3"/>
      <c r="CQD105" s="3"/>
      <c r="CQE105" s="3"/>
      <c r="CQF105" s="3"/>
      <c r="CQG105" s="3"/>
      <c r="CQH105" s="3"/>
      <c r="CQI105" s="3"/>
      <c r="CQJ105" s="3"/>
      <c r="CQK105" s="3"/>
      <c r="CQL105" s="3"/>
      <c r="CQM105" s="3"/>
      <c r="CQN105" s="3"/>
      <c r="CQO105" s="3"/>
      <c r="CQP105" s="3"/>
      <c r="CQQ105" s="3"/>
      <c r="CQR105" s="3"/>
      <c r="CQS105" s="3"/>
      <c r="CQT105" s="3"/>
      <c r="CQU105" s="3"/>
      <c r="CQV105" s="3"/>
      <c r="CQW105" s="3"/>
      <c r="CQX105" s="3"/>
      <c r="CQY105" s="3"/>
      <c r="CQZ105" s="3"/>
      <c r="CRA105" s="3"/>
      <c r="CRB105" s="3"/>
      <c r="CRC105" s="3"/>
      <c r="CRD105" s="3"/>
      <c r="CRE105" s="3"/>
      <c r="CRF105" s="3"/>
      <c r="CRG105" s="3"/>
      <c r="CRH105" s="3"/>
      <c r="CRI105" s="3"/>
      <c r="CRJ105" s="3"/>
      <c r="CRK105" s="3"/>
      <c r="CRL105" s="3"/>
      <c r="CRM105" s="3"/>
      <c r="CRN105" s="3"/>
      <c r="CRO105" s="3"/>
      <c r="CRP105" s="3"/>
      <c r="CRQ105" s="3"/>
      <c r="CRR105" s="3"/>
      <c r="CRS105" s="3"/>
      <c r="CRT105" s="3"/>
      <c r="CRU105" s="3"/>
      <c r="CRV105" s="3"/>
      <c r="CRW105" s="3"/>
      <c r="CRX105" s="3"/>
      <c r="CRY105" s="3"/>
      <c r="CRZ105" s="3"/>
      <c r="CSA105" s="3"/>
      <c r="CSB105" s="3"/>
      <c r="CSC105" s="3"/>
      <c r="CSD105" s="3"/>
      <c r="CSE105" s="3"/>
      <c r="CSF105" s="3"/>
      <c r="CSG105" s="3"/>
      <c r="CSH105" s="3"/>
      <c r="CSI105" s="3"/>
      <c r="CSJ105" s="3"/>
      <c r="CSK105" s="3"/>
      <c r="CSL105" s="3"/>
      <c r="CSM105" s="3"/>
      <c r="CSN105" s="3"/>
      <c r="CSO105" s="3"/>
      <c r="CSP105" s="3"/>
      <c r="CSQ105" s="3"/>
      <c r="CSR105" s="3"/>
      <c r="CSS105" s="3"/>
      <c r="CST105" s="3"/>
      <c r="CSU105" s="3"/>
      <c r="CSV105" s="3"/>
      <c r="CSW105" s="3"/>
      <c r="CSX105" s="3"/>
      <c r="CSY105" s="3"/>
      <c r="CSZ105" s="3"/>
      <c r="CTA105" s="3"/>
      <c r="CTB105" s="3"/>
      <c r="CTC105" s="3"/>
      <c r="CTD105" s="3"/>
      <c r="CTE105" s="3"/>
      <c r="CTF105" s="3"/>
      <c r="CTG105" s="3"/>
      <c r="CTH105" s="3"/>
      <c r="CTI105" s="3"/>
      <c r="CTJ105" s="3"/>
      <c r="CTK105" s="3"/>
      <c r="CTL105" s="3"/>
      <c r="CTM105" s="3"/>
      <c r="CTN105" s="3"/>
      <c r="CTO105" s="3"/>
      <c r="CTP105" s="3"/>
      <c r="CTQ105" s="3"/>
      <c r="CTR105" s="3"/>
      <c r="CTS105" s="3"/>
      <c r="CTT105" s="3"/>
      <c r="CTU105" s="3"/>
      <c r="CTV105" s="3"/>
      <c r="CTW105" s="3"/>
      <c r="CTX105" s="3"/>
      <c r="CTY105" s="3"/>
      <c r="CTZ105" s="3"/>
      <c r="CUA105" s="3"/>
      <c r="CUB105" s="3"/>
      <c r="CUC105" s="3"/>
      <c r="CUD105" s="3"/>
      <c r="CUE105" s="3"/>
      <c r="CUF105" s="3"/>
      <c r="CUG105" s="3"/>
      <c r="CUH105" s="3"/>
      <c r="CUI105" s="3"/>
      <c r="CUJ105" s="3"/>
      <c r="CUK105" s="3"/>
      <c r="CUL105" s="3"/>
      <c r="CUM105" s="3"/>
      <c r="CUN105" s="3"/>
      <c r="CUO105" s="3"/>
      <c r="CUP105" s="3"/>
      <c r="CUQ105" s="3"/>
      <c r="CUR105" s="3"/>
      <c r="CUS105" s="3"/>
      <c r="CUT105" s="3"/>
      <c r="CUU105" s="3"/>
      <c r="CUV105" s="3"/>
      <c r="CUW105" s="3"/>
      <c r="CUX105" s="3"/>
      <c r="CUY105" s="3"/>
      <c r="CUZ105" s="3"/>
      <c r="CVA105" s="3"/>
      <c r="CVB105" s="3"/>
      <c r="CVC105" s="3"/>
      <c r="CVD105" s="3"/>
      <c r="CVE105" s="3"/>
      <c r="CVF105" s="3"/>
      <c r="CVG105" s="3"/>
      <c r="CVH105" s="3"/>
      <c r="CVI105" s="3"/>
      <c r="CVJ105" s="3"/>
      <c r="CVK105" s="3"/>
      <c r="CVL105" s="3"/>
      <c r="CVM105" s="3"/>
      <c r="CVN105" s="3"/>
      <c r="CVO105" s="3"/>
      <c r="CVP105" s="3"/>
      <c r="CVQ105" s="3"/>
      <c r="CVR105" s="3"/>
      <c r="CVS105" s="3"/>
      <c r="CVT105" s="3"/>
      <c r="CVU105" s="3"/>
      <c r="CVV105" s="3"/>
      <c r="CVW105" s="3"/>
      <c r="CVX105" s="3"/>
      <c r="CVY105" s="3"/>
      <c r="CVZ105" s="3"/>
      <c r="CWA105" s="3"/>
      <c r="CWB105" s="3"/>
      <c r="CWC105" s="3"/>
      <c r="CWD105" s="3"/>
      <c r="CWE105" s="3"/>
      <c r="CWF105" s="3"/>
      <c r="CWG105" s="3"/>
      <c r="CWH105" s="3"/>
      <c r="CWI105" s="3"/>
      <c r="CWJ105" s="3"/>
      <c r="CWK105" s="3"/>
      <c r="CWL105" s="3"/>
      <c r="CWM105" s="3"/>
      <c r="CWN105" s="3"/>
      <c r="CWO105" s="3"/>
      <c r="CWP105" s="3"/>
      <c r="CWQ105" s="3"/>
      <c r="CWR105" s="3"/>
      <c r="CWS105" s="3"/>
      <c r="CWT105" s="3"/>
      <c r="CWU105" s="3"/>
      <c r="CWV105" s="3"/>
      <c r="CWW105" s="3"/>
      <c r="CWX105" s="3"/>
      <c r="CWY105" s="3"/>
      <c r="CWZ105" s="3"/>
      <c r="CXA105" s="3"/>
      <c r="CXB105" s="3"/>
      <c r="CXC105" s="3"/>
      <c r="CXD105" s="3"/>
      <c r="CXE105" s="3"/>
      <c r="CXF105" s="3"/>
      <c r="CXG105" s="3"/>
      <c r="CXH105" s="3"/>
      <c r="CXI105" s="3"/>
      <c r="CXJ105" s="3"/>
      <c r="CXK105" s="3"/>
      <c r="CXL105" s="3"/>
      <c r="CXM105" s="3"/>
      <c r="CXN105" s="3"/>
      <c r="CXO105" s="3"/>
      <c r="CXP105" s="3"/>
      <c r="CXQ105" s="3"/>
      <c r="CXR105" s="3"/>
      <c r="CXS105" s="3"/>
      <c r="CXT105" s="3"/>
      <c r="CXU105" s="3"/>
      <c r="CXV105" s="3"/>
      <c r="CXW105" s="3"/>
      <c r="CXX105" s="3"/>
      <c r="CXY105" s="3"/>
      <c r="CXZ105" s="3"/>
      <c r="CYA105" s="3"/>
      <c r="CYB105" s="3"/>
      <c r="CYC105" s="3"/>
      <c r="CYD105" s="3"/>
      <c r="CYE105" s="3"/>
      <c r="CYF105" s="3"/>
      <c r="CYG105" s="3"/>
      <c r="CYH105" s="3"/>
      <c r="CYI105" s="3"/>
      <c r="CYJ105" s="3"/>
      <c r="CYK105" s="3"/>
      <c r="CYL105" s="3"/>
      <c r="CYM105" s="3"/>
      <c r="CYN105" s="3"/>
      <c r="CYO105" s="3"/>
      <c r="CYP105" s="3"/>
      <c r="CYQ105" s="3"/>
      <c r="CYR105" s="3"/>
      <c r="CYS105" s="3"/>
      <c r="CYT105" s="3"/>
      <c r="CYU105" s="3"/>
      <c r="CYV105" s="3"/>
      <c r="CYW105" s="3"/>
      <c r="CYX105" s="3"/>
      <c r="CYY105" s="3"/>
      <c r="CYZ105" s="3"/>
      <c r="CZA105" s="3"/>
      <c r="CZB105" s="3"/>
      <c r="CZC105" s="3"/>
      <c r="CZD105" s="3"/>
      <c r="CZE105" s="3"/>
      <c r="CZF105" s="3"/>
      <c r="CZG105" s="3"/>
      <c r="CZH105" s="3"/>
      <c r="CZI105" s="3"/>
      <c r="CZJ105" s="3"/>
      <c r="CZK105" s="3"/>
      <c r="CZL105" s="3"/>
      <c r="CZM105" s="3"/>
      <c r="CZN105" s="3"/>
      <c r="CZO105" s="3"/>
      <c r="CZP105" s="3"/>
      <c r="CZQ105" s="3"/>
      <c r="CZR105" s="3"/>
      <c r="CZS105" s="3"/>
      <c r="CZT105" s="3"/>
      <c r="CZU105" s="3"/>
      <c r="CZV105" s="3"/>
      <c r="CZW105" s="3"/>
      <c r="CZX105" s="3"/>
      <c r="CZY105" s="3"/>
      <c r="CZZ105" s="3"/>
      <c r="DAA105" s="3"/>
      <c r="DAB105" s="3"/>
      <c r="DAC105" s="3"/>
      <c r="DAD105" s="3"/>
      <c r="DAE105" s="3"/>
      <c r="DAF105" s="3"/>
      <c r="DAG105" s="3"/>
      <c r="DAH105" s="3"/>
      <c r="DAI105" s="3"/>
      <c r="DAJ105" s="3"/>
      <c r="DAK105" s="3"/>
      <c r="DAL105" s="3"/>
      <c r="DAM105" s="3"/>
      <c r="DAN105" s="3"/>
      <c r="DAO105" s="3"/>
      <c r="DAP105" s="3"/>
      <c r="DAQ105" s="3"/>
      <c r="DAR105" s="3"/>
      <c r="DAS105" s="3"/>
      <c r="DAT105" s="3"/>
      <c r="DAU105" s="3"/>
      <c r="DAV105" s="3"/>
      <c r="DAW105" s="3"/>
      <c r="DAX105" s="3"/>
      <c r="DAY105" s="3"/>
      <c r="DAZ105" s="3"/>
      <c r="DBA105" s="3"/>
      <c r="DBB105" s="3"/>
      <c r="DBC105" s="3"/>
      <c r="DBD105" s="3"/>
      <c r="DBE105" s="3"/>
      <c r="DBF105" s="3"/>
      <c r="DBG105" s="3"/>
      <c r="DBH105" s="3"/>
      <c r="DBI105" s="3"/>
      <c r="DBJ105" s="3"/>
      <c r="DBK105" s="3"/>
      <c r="DBL105" s="3"/>
      <c r="DBM105" s="3"/>
      <c r="DBN105" s="3"/>
      <c r="DBO105" s="3"/>
      <c r="DBP105" s="3"/>
      <c r="DBQ105" s="3"/>
      <c r="DBR105" s="3"/>
      <c r="DBS105" s="3"/>
      <c r="DBT105" s="3"/>
      <c r="DBU105" s="3"/>
      <c r="DBV105" s="3"/>
      <c r="DBW105" s="3"/>
      <c r="DBX105" s="3"/>
      <c r="DBY105" s="3"/>
      <c r="DBZ105" s="3"/>
      <c r="DCA105" s="3"/>
      <c r="DCB105" s="3"/>
      <c r="DCC105" s="3"/>
      <c r="DCD105" s="3"/>
      <c r="DCE105" s="3"/>
      <c r="DCF105" s="3"/>
      <c r="DCG105" s="3"/>
      <c r="DCH105" s="3"/>
      <c r="DCI105" s="3"/>
      <c r="DCJ105" s="3"/>
      <c r="DCK105" s="3"/>
      <c r="DCL105" s="3"/>
      <c r="DCM105" s="3"/>
      <c r="DCN105" s="3"/>
      <c r="DCO105" s="3"/>
      <c r="DCP105" s="3"/>
      <c r="DCQ105" s="3"/>
      <c r="DCR105" s="3"/>
      <c r="DCS105" s="3"/>
      <c r="DCT105" s="3"/>
      <c r="DCU105" s="3"/>
      <c r="DCV105" s="3"/>
      <c r="DCW105" s="3"/>
      <c r="DCX105" s="3"/>
      <c r="DCY105" s="3"/>
      <c r="DCZ105" s="3"/>
      <c r="DDA105" s="3"/>
      <c r="DDB105" s="3"/>
      <c r="DDC105" s="3"/>
      <c r="DDD105" s="3"/>
      <c r="DDE105" s="3"/>
      <c r="DDF105" s="3"/>
      <c r="DDG105" s="3"/>
      <c r="DDH105" s="3"/>
      <c r="DDI105" s="3"/>
      <c r="DDJ105" s="3"/>
      <c r="DDK105" s="3"/>
      <c r="DDL105" s="3"/>
      <c r="DDM105" s="3"/>
      <c r="DDN105" s="3"/>
      <c r="DDO105" s="3"/>
      <c r="DDP105" s="3"/>
      <c r="DDQ105" s="3"/>
      <c r="DDR105" s="3"/>
      <c r="DDS105" s="3"/>
      <c r="DDT105" s="3"/>
      <c r="DDU105" s="3"/>
      <c r="DDV105" s="3"/>
      <c r="DDW105" s="3"/>
      <c r="DDX105" s="3"/>
      <c r="DDY105" s="3"/>
      <c r="DDZ105" s="3"/>
      <c r="DEA105" s="3"/>
      <c r="DEB105" s="3"/>
      <c r="DEC105" s="3"/>
      <c r="DED105" s="3"/>
      <c r="DEE105" s="3"/>
      <c r="DEF105" s="3"/>
      <c r="DEG105" s="3"/>
      <c r="DEH105" s="3"/>
      <c r="DEI105" s="3"/>
      <c r="DEJ105" s="3"/>
      <c r="DEK105" s="3"/>
      <c r="DEL105" s="3"/>
      <c r="DEM105" s="3"/>
      <c r="DEN105" s="3"/>
      <c r="DEO105" s="3"/>
      <c r="DEP105" s="3"/>
      <c r="DEQ105" s="3"/>
      <c r="DER105" s="3"/>
      <c r="DES105" s="3"/>
      <c r="DET105" s="3"/>
      <c r="DEU105" s="3"/>
      <c r="DEV105" s="3"/>
      <c r="DEW105" s="3"/>
      <c r="DEX105" s="3"/>
      <c r="DEY105" s="3"/>
      <c r="DEZ105" s="3"/>
      <c r="DFA105" s="3"/>
      <c r="DFB105" s="3"/>
      <c r="DFC105" s="3"/>
      <c r="DFD105" s="3"/>
      <c r="DFE105" s="3"/>
      <c r="DFF105" s="3"/>
      <c r="DFG105" s="3"/>
      <c r="DFH105" s="3"/>
      <c r="DFI105" s="3"/>
      <c r="DFJ105" s="3"/>
      <c r="DFK105" s="3"/>
      <c r="DFL105" s="3"/>
      <c r="DFM105" s="3"/>
      <c r="DFN105" s="3"/>
      <c r="DFO105" s="3"/>
      <c r="DFP105" s="3"/>
      <c r="DFQ105" s="3"/>
      <c r="DFR105" s="3"/>
      <c r="DFS105" s="3"/>
      <c r="DFT105" s="3"/>
      <c r="DFU105" s="3"/>
      <c r="DFV105" s="3"/>
      <c r="DFW105" s="3"/>
      <c r="DFX105" s="3"/>
      <c r="DFY105" s="3"/>
      <c r="DFZ105" s="3"/>
      <c r="DGA105" s="3"/>
      <c r="DGB105" s="3"/>
      <c r="DGC105" s="3"/>
      <c r="DGD105" s="3"/>
      <c r="DGE105" s="3"/>
      <c r="DGF105" s="3"/>
      <c r="DGG105" s="3"/>
      <c r="DGH105" s="3"/>
      <c r="DGI105" s="3"/>
      <c r="DGJ105" s="3"/>
      <c r="DGK105" s="3"/>
      <c r="DGL105" s="3"/>
      <c r="DGM105" s="3"/>
      <c r="DGN105" s="3"/>
      <c r="DGO105" s="3"/>
      <c r="DGP105" s="3"/>
      <c r="DGQ105" s="3"/>
      <c r="DGR105" s="3"/>
      <c r="DGS105" s="3"/>
      <c r="DGT105" s="3"/>
      <c r="DGU105" s="3"/>
      <c r="DGV105" s="3"/>
      <c r="DGW105" s="3"/>
      <c r="DGX105" s="3"/>
      <c r="DGY105" s="3"/>
      <c r="DGZ105" s="3"/>
      <c r="DHA105" s="3"/>
      <c r="DHB105" s="3"/>
      <c r="DHC105" s="3"/>
      <c r="DHD105" s="3"/>
      <c r="DHE105" s="3"/>
      <c r="DHF105" s="3"/>
      <c r="DHG105" s="3"/>
      <c r="DHH105" s="3"/>
      <c r="DHI105" s="3"/>
      <c r="DHJ105" s="3"/>
      <c r="DHK105" s="3"/>
      <c r="DHL105" s="3"/>
      <c r="DHM105" s="3"/>
      <c r="DHN105" s="3"/>
      <c r="DHO105" s="3"/>
      <c r="DHP105" s="3"/>
      <c r="DHQ105" s="3"/>
      <c r="DHR105" s="3"/>
      <c r="DHS105" s="3"/>
      <c r="DHT105" s="3"/>
      <c r="DHU105" s="3"/>
      <c r="DHV105" s="3"/>
      <c r="DHW105" s="3"/>
      <c r="DHX105" s="3"/>
      <c r="DHY105" s="3"/>
      <c r="DHZ105" s="3"/>
      <c r="DIA105" s="3"/>
      <c r="DIB105" s="3"/>
      <c r="DIC105" s="3"/>
      <c r="DID105" s="3"/>
      <c r="DIE105" s="3"/>
      <c r="DIF105" s="3"/>
      <c r="DIG105" s="3"/>
      <c r="DIH105" s="3"/>
      <c r="DII105" s="3"/>
      <c r="DIJ105" s="3"/>
      <c r="DIK105" s="3"/>
      <c r="DIL105" s="3"/>
      <c r="DIM105" s="3"/>
      <c r="DIN105" s="3"/>
      <c r="DIO105" s="3"/>
      <c r="DIP105" s="3"/>
      <c r="DIQ105" s="3"/>
      <c r="DIR105" s="3"/>
      <c r="DIS105" s="3"/>
      <c r="DIT105" s="3"/>
      <c r="DIU105" s="3"/>
      <c r="DIV105" s="3"/>
      <c r="DIW105" s="3"/>
      <c r="DIX105" s="3"/>
      <c r="DIY105" s="3"/>
      <c r="DIZ105" s="3"/>
      <c r="DJA105" s="3"/>
      <c r="DJB105" s="3"/>
      <c r="DJC105" s="3"/>
      <c r="DJD105" s="3"/>
      <c r="DJE105" s="3"/>
      <c r="DJF105" s="3"/>
      <c r="DJG105" s="3"/>
      <c r="DJH105" s="3"/>
      <c r="DJI105" s="3"/>
      <c r="DJJ105" s="3"/>
      <c r="DJK105" s="3"/>
      <c r="DJL105" s="3"/>
      <c r="DJM105" s="3"/>
      <c r="DJN105" s="3"/>
      <c r="DJO105" s="3"/>
      <c r="DJP105" s="3"/>
      <c r="DJQ105" s="3"/>
      <c r="DJR105" s="3"/>
      <c r="DJS105" s="3"/>
      <c r="DJT105" s="3"/>
      <c r="DJU105" s="3"/>
      <c r="DJV105" s="3"/>
      <c r="DJW105" s="3"/>
      <c r="DJX105" s="3"/>
      <c r="DJY105" s="3"/>
      <c r="DJZ105" s="3"/>
      <c r="DKA105" s="3"/>
      <c r="DKB105" s="3"/>
      <c r="DKC105" s="3"/>
      <c r="DKD105" s="3"/>
      <c r="DKE105" s="3"/>
      <c r="DKF105" s="3"/>
      <c r="DKG105" s="3"/>
      <c r="DKH105" s="3"/>
      <c r="DKI105" s="3"/>
      <c r="DKJ105" s="3"/>
      <c r="DKK105" s="3"/>
      <c r="DKL105" s="3"/>
      <c r="DKM105" s="3"/>
      <c r="DKN105" s="3"/>
      <c r="DKO105" s="3"/>
      <c r="DKP105" s="3"/>
      <c r="DKQ105" s="3"/>
      <c r="DKR105" s="3"/>
      <c r="DKS105" s="3"/>
      <c r="DKT105" s="3"/>
      <c r="DKU105" s="3"/>
      <c r="DKV105" s="3"/>
      <c r="DKW105" s="3"/>
      <c r="DKX105" s="3"/>
      <c r="DKY105" s="3"/>
      <c r="DKZ105" s="3"/>
      <c r="DLA105" s="3"/>
      <c r="DLB105" s="3"/>
      <c r="DLC105" s="3"/>
      <c r="DLD105" s="3"/>
      <c r="DLE105" s="3"/>
      <c r="DLF105" s="3"/>
      <c r="DLG105" s="3"/>
      <c r="DLH105" s="3"/>
      <c r="DLI105" s="3"/>
      <c r="DLJ105" s="3"/>
      <c r="DLK105" s="3"/>
      <c r="DLL105" s="3"/>
      <c r="DLM105" s="3"/>
      <c r="DLN105" s="3"/>
      <c r="DLO105" s="3"/>
      <c r="DLP105" s="3"/>
      <c r="DLQ105" s="3"/>
      <c r="DLR105" s="3"/>
      <c r="DLS105" s="3"/>
      <c r="DLT105" s="3"/>
      <c r="DLU105" s="3"/>
      <c r="DLV105" s="3"/>
      <c r="DLW105" s="3"/>
      <c r="DLX105" s="3"/>
      <c r="DLY105" s="3"/>
      <c r="DLZ105" s="3"/>
      <c r="DMA105" s="3"/>
      <c r="DMB105" s="3"/>
      <c r="DMC105" s="3"/>
      <c r="DMD105" s="3"/>
      <c r="DME105" s="3"/>
      <c r="DMF105" s="3"/>
      <c r="DMG105" s="3"/>
      <c r="DMH105" s="3"/>
      <c r="DMI105" s="3"/>
      <c r="DMJ105" s="3"/>
      <c r="DMK105" s="3"/>
      <c r="DML105" s="3"/>
      <c r="DMM105" s="3"/>
      <c r="DMN105" s="3"/>
      <c r="DMO105" s="3"/>
      <c r="DMP105" s="3"/>
      <c r="DMQ105" s="3"/>
      <c r="DMR105" s="3"/>
      <c r="DMS105" s="3"/>
      <c r="DMT105" s="3"/>
      <c r="DMU105" s="3"/>
      <c r="DMV105" s="3"/>
      <c r="DMW105" s="3"/>
      <c r="DMX105" s="3"/>
      <c r="DMY105" s="3"/>
      <c r="DMZ105" s="3"/>
      <c r="DNA105" s="3"/>
      <c r="DNB105" s="3"/>
      <c r="DNC105" s="3"/>
      <c r="DND105" s="3"/>
      <c r="DNE105" s="3"/>
      <c r="DNF105" s="3"/>
      <c r="DNG105" s="3"/>
      <c r="DNH105" s="3"/>
      <c r="DNI105" s="3"/>
      <c r="DNJ105" s="3"/>
      <c r="DNK105" s="3"/>
      <c r="DNL105" s="3"/>
      <c r="DNM105" s="3"/>
      <c r="DNN105" s="3"/>
      <c r="DNO105" s="3"/>
      <c r="DNP105" s="3"/>
      <c r="DNQ105" s="3"/>
      <c r="DNR105" s="3"/>
      <c r="DNS105" s="3"/>
      <c r="DNT105" s="3"/>
      <c r="DNU105" s="3"/>
      <c r="DNV105" s="3"/>
      <c r="DNW105" s="3"/>
      <c r="DNX105" s="3"/>
      <c r="DNY105" s="3"/>
      <c r="DNZ105" s="3"/>
      <c r="DOA105" s="3"/>
      <c r="DOB105" s="3"/>
      <c r="DOC105" s="3"/>
      <c r="DOD105" s="3"/>
      <c r="DOE105" s="3"/>
      <c r="DOF105" s="3"/>
      <c r="DOG105" s="3"/>
      <c r="DOH105" s="3"/>
      <c r="DOI105" s="3"/>
      <c r="DOJ105" s="3"/>
      <c r="DOK105" s="3"/>
      <c r="DOL105" s="3"/>
      <c r="DOM105" s="3"/>
      <c r="DON105" s="3"/>
      <c r="DOO105" s="3"/>
      <c r="DOP105" s="3"/>
      <c r="DOQ105" s="3"/>
      <c r="DOR105" s="3"/>
      <c r="DOS105" s="3"/>
      <c r="DOT105" s="3"/>
      <c r="DOU105" s="3"/>
      <c r="DOV105" s="3"/>
      <c r="DOW105" s="3"/>
      <c r="DOX105" s="3"/>
      <c r="DOY105" s="3"/>
      <c r="DOZ105" s="3"/>
      <c r="DPA105" s="3"/>
      <c r="DPB105" s="3"/>
      <c r="DPC105" s="3"/>
      <c r="DPD105" s="3"/>
      <c r="DPE105" s="3"/>
      <c r="DPF105" s="3"/>
      <c r="DPG105" s="3"/>
      <c r="DPH105" s="3"/>
      <c r="DPI105" s="3"/>
      <c r="DPJ105" s="3"/>
      <c r="DPK105" s="3"/>
      <c r="DPL105" s="3"/>
      <c r="DPM105" s="3"/>
      <c r="DPN105" s="3"/>
      <c r="DPO105" s="3"/>
      <c r="DPP105" s="3"/>
      <c r="DPQ105" s="3"/>
      <c r="DPR105" s="3"/>
      <c r="DPS105" s="3"/>
      <c r="DPT105" s="3"/>
      <c r="DPU105" s="3"/>
      <c r="DPV105" s="3"/>
      <c r="DPW105" s="3"/>
      <c r="DPX105" s="3"/>
      <c r="DPY105" s="3"/>
      <c r="DPZ105" s="3"/>
      <c r="DQA105" s="3"/>
      <c r="DQB105" s="3"/>
      <c r="DQC105" s="3"/>
      <c r="DQD105" s="3"/>
      <c r="DQE105" s="3"/>
      <c r="DQF105" s="3"/>
      <c r="DQG105" s="3"/>
      <c r="DQH105" s="3"/>
      <c r="DQI105" s="3"/>
      <c r="DQJ105" s="3"/>
      <c r="DQK105" s="3"/>
      <c r="DQL105" s="3"/>
      <c r="DQM105" s="3"/>
      <c r="DQN105" s="3"/>
      <c r="DQO105" s="3"/>
      <c r="DQP105" s="3"/>
      <c r="DQQ105" s="3"/>
      <c r="DQR105" s="3"/>
      <c r="DQS105" s="3"/>
      <c r="DQT105" s="3"/>
      <c r="DQU105" s="3"/>
      <c r="DQV105" s="3"/>
      <c r="DQW105" s="3"/>
      <c r="DQX105" s="3"/>
      <c r="DQY105" s="3"/>
      <c r="DQZ105" s="3"/>
      <c r="DRA105" s="3"/>
      <c r="DRB105" s="3"/>
      <c r="DRC105" s="3"/>
      <c r="DRD105" s="3"/>
      <c r="DRE105" s="3"/>
      <c r="DRF105" s="3"/>
      <c r="DRG105" s="3"/>
      <c r="DRH105" s="3"/>
      <c r="DRI105" s="3"/>
      <c r="DRJ105" s="3"/>
      <c r="DRK105" s="3"/>
      <c r="DRL105" s="3"/>
      <c r="DRM105" s="3"/>
      <c r="DRN105" s="3"/>
      <c r="DRO105" s="3"/>
      <c r="DRP105" s="3"/>
      <c r="DRQ105" s="3"/>
      <c r="DRR105" s="3"/>
      <c r="DRS105" s="3"/>
      <c r="DRT105" s="3"/>
      <c r="DRU105" s="3"/>
      <c r="DRV105" s="3"/>
      <c r="DRW105" s="3"/>
      <c r="DRX105" s="3"/>
      <c r="DRY105" s="3"/>
      <c r="DRZ105" s="3"/>
      <c r="DSA105" s="3"/>
      <c r="DSB105" s="3"/>
      <c r="DSC105" s="3"/>
      <c r="DSD105" s="3"/>
      <c r="DSE105" s="3"/>
      <c r="DSF105" s="3"/>
      <c r="DSG105" s="3"/>
      <c r="DSH105" s="3"/>
      <c r="DSI105" s="3"/>
      <c r="DSJ105" s="3"/>
      <c r="DSK105" s="3"/>
      <c r="DSL105" s="3"/>
      <c r="DSM105" s="3"/>
      <c r="DSN105" s="3"/>
      <c r="DSO105" s="3"/>
      <c r="DSP105" s="3"/>
      <c r="DSQ105" s="3"/>
      <c r="DSR105" s="3"/>
      <c r="DSS105" s="3"/>
      <c r="DST105" s="3"/>
      <c r="DSU105" s="3"/>
      <c r="DSV105" s="3"/>
      <c r="DSW105" s="3"/>
      <c r="DSX105" s="3"/>
      <c r="DSY105" s="3"/>
      <c r="DSZ105" s="3"/>
      <c r="DTA105" s="3"/>
      <c r="DTB105" s="3"/>
      <c r="DTC105" s="3"/>
      <c r="DTD105" s="3"/>
      <c r="DTE105" s="3"/>
      <c r="DTF105" s="3"/>
      <c r="DTG105" s="3"/>
      <c r="DTH105" s="3"/>
      <c r="DTI105" s="3"/>
      <c r="DTJ105" s="3"/>
      <c r="DTK105" s="3"/>
      <c r="DTL105" s="3"/>
      <c r="DTM105" s="3"/>
      <c r="DTN105" s="3"/>
      <c r="DTO105" s="3"/>
      <c r="DTP105" s="3"/>
      <c r="DTQ105" s="3"/>
      <c r="DTR105" s="3"/>
      <c r="DTS105" s="3"/>
      <c r="DTT105" s="3"/>
      <c r="DTU105" s="3"/>
      <c r="DTV105" s="3"/>
      <c r="DTW105" s="3"/>
      <c r="DTX105" s="3"/>
      <c r="DTY105" s="3"/>
      <c r="DTZ105" s="3"/>
      <c r="DUA105" s="3"/>
      <c r="DUB105" s="3"/>
      <c r="DUC105" s="3"/>
      <c r="DUD105" s="3"/>
      <c r="DUE105" s="3"/>
      <c r="DUF105" s="3"/>
      <c r="DUG105" s="3"/>
      <c r="DUH105" s="3"/>
      <c r="DUI105" s="3"/>
      <c r="DUJ105" s="3"/>
      <c r="DUK105" s="3"/>
      <c r="DUL105" s="3"/>
      <c r="DUM105" s="3"/>
      <c r="DUN105" s="3"/>
      <c r="DUO105" s="3"/>
      <c r="DUP105" s="3"/>
      <c r="DUQ105" s="3"/>
      <c r="DUR105" s="3"/>
      <c r="DUS105" s="3"/>
      <c r="DUT105" s="3"/>
      <c r="DUU105" s="3"/>
      <c r="DUV105" s="3"/>
      <c r="DUW105" s="3"/>
      <c r="DUX105" s="3"/>
      <c r="DUY105" s="3"/>
      <c r="DUZ105" s="3"/>
      <c r="DVA105" s="3"/>
      <c r="DVB105" s="3"/>
      <c r="DVC105" s="3"/>
      <c r="DVD105" s="3"/>
      <c r="DVE105" s="3"/>
      <c r="DVF105" s="3"/>
      <c r="DVG105" s="3"/>
      <c r="DVH105" s="3"/>
      <c r="DVI105" s="3"/>
      <c r="DVJ105" s="3"/>
      <c r="DVK105" s="3"/>
      <c r="DVL105" s="3"/>
      <c r="DVM105" s="3"/>
      <c r="DVN105" s="3"/>
      <c r="DVO105" s="3"/>
      <c r="DVP105" s="3"/>
      <c r="DVQ105" s="3"/>
      <c r="DVR105" s="3"/>
      <c r="DVS105" s="3"/>
      <c r="DVT105" s="3"/>
      <c r="DVU105" s="3"/>
      <c r="DVV105" s="3"/>
      <c r="DVW105" s="3"/>
      <c r="DVX105" s="3"/>
      <c r="DVY105" s="3"/>
      <c r="DVZ105" s="3"/>
      <c r="DWA105" s="3"/>
      <c r="DWB105" s="3"/>
      <c r="DWC105" s="3"/>
      <c r="DWD105" s="3"/>
      <c r="DWE105" s="3"/>
      <c r="DWF105" s="3"/>
      <c r="DWG105" s="3"/>
      <c r="DWH105" s="3"/>
      <c r="DWI105" s="3"/>
      <c r="DWJ105" s="3"/>
      <c r="DWK105" s="3"/>
      <c r="DWL105" s="3"/>
      <c r="DWM105" s="3"/>
      <c r="DWN105" s="3"/>
      <c r="DWO105" s="3"/>
      <c r="DWP105" s="3"/>
      <c r="DWQ105" s="3"/>
      <c r="DWR105" s="3"/>
      <c r="DWS105" s="3"/>
      <c r="DWT105" s="3"/>
      <c r="DWU105" s="3"/>
      <c r="DWV105" s="3"/>
      <c r="DWW105" s="3"/>
      <c r="DWX105" s="3"/>
      <c r="DWY105" s="3"/>
      <c r="DWZ105" s="3"/>
      <c r="DXA105" s="3"/>
      <c r="DXB105" s="3"/>
      <c r="DXC105" s="3"/>
      <c r="DXD105" s="3"/>
      <c r="DXE105" s="3"/>
      <c r="DXF105" s="3"/>
      <c r="DXG105" s="3"/>
      <c r="DXH105" s="3"/>
      <c r="DXI105" s="3"/>
      <c r="DXJ105" s="3"/>
      <c r="DXK105" s="3"/>
      <c r="DXL105" s="3"/>
      <c r="DXM105" s="3"/>
      <c r="DXN105" s="3"/>
      <c r="DXO105" s="3"/>
      <c r="DXP105" s="3"/>
      <c r="DXQ105" s="3"/>
      <c r="DXR105" s="3"/>
      <c r="DXS105" s="3"/>
      <c r="DXT105" s="3"/>
      <c r="DXU105" s="3"/>
      <c r="DXV105" s="3"/>
      <c r="DXW105" s="3"/>
      <c r="DXX105" s="3"/>
      <c r="DXY105" s="3"/>
      <c r="DXZ105" s="3"/>
      <c r="DYA105" s="3"/>
      <c r="DYB105" s="3"/>
      <c r="DYC105" s="3"/>
      <c r="DYD105" s="3"/>
      <c r="DYE105" s="3"/>
      <c r="DYF105" s="3"/>
      <c r="DYG105" s="3"/>
      <c r="DYH105" s="3"/>
      <c r="DYI105" s="3"/>
      <c r="DYJ105" s="3"/>
      <c r="DYK105" s="3"/>
      <c r="DYL105" s="3"/>
      <c r="DYM105" s="3"/>
      <c r="DYN105" s="3"/>
      <c r="DYO105" s="3"/>
      <c r="DYP105" s="3"/>
      <c r="DYQ105" s="3"/>
      <c r="DYR105" s="3"/>
      <c r="DYS105" s="3"/>
      <c r="DYT105" s="3"/>
      <c r="DYU105" s="3"/>
      <c r="DYV105" s="3"/>
      <c r="DYW105" s="3"/>
      <c r="DYX105" s="3"/>
      <c r="DYY105" s="3"/>
      <c r="DYZ105" s="3"/>
      <c r="DZA105" s="3"/>
      <c r="DZB105" s="3"/>
      <c r="DZC105" s="3"/>
      <c r="DZD105" s="3"/>
      <c r="DZE105" s="3"/>
      <c r="DZF105" s="3"/>
      <c r="DZG105" s="3"/>
      <c r="DZH105" s="3"/>
      <c r="DZI105" s="3"/>
      <c r="DZJ105" s="3"/>
      <c r="DZK105" s="3"/>
      <c r="DZL105" s="3"/>
      <c r="DZM105" s="3"/>
      <c r="DZN105" s="3"/>
      <c r="DZO105" s="3"/>
      <c r="DZP105" s="3"/>
      <c r="DZQ105" s="3"/>
      <c r="DZR105" s="3"/>
      <c r="DZS105" s="3"/>
      <c r="DZT105" s="3"/>
      <c r="DZU105" s="3"/>
      <c r="DZV105" s="3"/>
      <c r="DZW105" s="3"/>
      <c r="DZX105" s="3"/>
      <c r="DZY105" s="3"/>
      <c r="DZZ105" s="3"/>
      <c r="EAA105" s="3"/>
      <c r="EAB105" s="3"/>
      <c r="EAC105" s="3"/>
      <c r="EAD105" s="3"/>
      <c r="EAE105" s="3"/>
      <c r="EAF105" s="3"/>
      <c r="EAG105" s="3"/>
      <c r="EAH105" s="3"/>
      <c r="EAI105" s="3"/>
      <c r="EAJ105" s="3"/>
      <c r="EAK105" s="3"/>
      <c r="EAL105" s="3"/>
      <c r="EAM105" s="3"/>
      <c r="EAN105" s="3"/>
      <c r="EAO105" s="3"/>
      <c r="EAP105" s="3"/>
      <c r="EAQ105" s="3"/>
      <c r="EAR105" s="3"/>
      <c r="EAS105" s="3"/>
      <c r="EAT105" s="3"/>
      <c r="EAU105" s="3"/>
      <c r="EAV105" s="3"/>
      <c r="EAW105" s="3"/>
      <c r="EAX105" s="3"/>
      <c r="EAY105" s="3"/>
      <c r="EAZ105" s="3"/>
      <c r="EBA105" s="3"/>
      <c r="EBB105" s="3"/>
      <c r="EBC105" s="3"/>
      <c r="EBD105" s="3"/>
      <c r="EBE105" s="3"/>
      <c r="EBF105" s="3"/>
      <c r="EBG105" s="3"/>
      <c r="EBH105" s="3"/>
      <c r="EBI105" s="3"/>
      <c r="EBJ105" s="3"/>
      <c r="EBK105" s="3"/>
      <c r="EBL105" s="3"/>
      <c r="EBM105" s="3"/>
      <c r="EBN105" s="3"/>
      <c r="EBO105" s="3"/>
      <c r="EBP105" s="3"/>
      <c r="EBQ105" s="3"/>
      <c r="EBR105" s="3"/>
      <c r="EBS105" s="3"/>
      <c r="EBT105" s="3"/>
      <c r="EBU105" s="3"/>
      <c r="EBV105" s="3"/>
      <c r="EBW105" s="3"/>
      <c r="EBX105" s="3"/>
      <c r="EBY105" s="3"/>
      <c r="EBZ105" s="3"/>
      <c r="ECA105" s="3"/>
      <c r="ECB105" s="3"/>
      <c r="ECC105" s="3"/>
      <c r="ECD105" s="3"/>
      <c r="ECE105" s="3"/>
      <c r="ECF105" s="3"/>
      <c r="ECG105" s="3"/>
      <c r="ECH105" s="3"/>
      <c r="ECI105" s="3"/>
      <c r="ECJ105" s="3"/>
      <c r="ECK105" s="3"/>
      <c r="ECL105" s="3"/>
      <c r="ECM105" s="3"/>
      <c r="ECN105" s="3"/>
      <c r="ECO105" s="3"/>
      <c r="ECP105" s="3"/>
      <c r="ECQ105" s="3"/>
      <c r="ECR105" s="3"/>
      <c r="ECS105" s="3"/>
      <c r="ECT105" s="3"/>
      <c r="ECU105" s="3"/>
      <c r="ECV105" s="3"/>
      <c r="ECW105" s="3"/>
      <c r="ECX105" s="3"/>
      <c r="ECY105" s="3"/>
      <c r="ECZ105" s="3"/>
      <c r="EDA105" s="3"/>
      <c r="EDB105" s="3"/>
      <c r="EDC105" s="3"/>
      <c r="EDD105" s="3"/>
      <c r="EDE105" s="3"/>
      <c r="EDF105" s="3"/>
      <c r="EDG105" s="3"/>
      <c r="EDH105" s="3"/>
      <c r="EDI105" s="3"/>
      <c r="EDJ105" s="3"/>
      <c r="EDK105" s="3"/>
      <c r="EDL105" s="3"/>
      <c r="EDM105" s="3"/>
      <c r="EDN105" s="3"/>
      <c r="EDO105" s="3"/>
      <c r="EDP105" s="3"/>
      <c r="EDQ105" s="3"/>
      <c r="EDR105" s="3"/>
      <c r="EDS105" s="3"/>
      <c r="EDT105" s="3"/>
      <c r="EDU105" s="3"/>
      <c r="EDV105" s="3"/>
      <c r="EDW105" s="3"/>
      <c r="EDX105" s="3"/>
      <c r="EDY105" s="3"/>
      <c r="EDZ105" s="3"/>
      <c r="EEA105" s="3"/>
      <c r="EEB105" s="3"/>
      <c r="EEC105" s="3"/>
      <c r="EED105" s="3"/>
      <c r="EEE105" s="3"/>
      <c r="EEF105" s="3"/>
      <c r="EEG105" s="3"/>
      <c r="EEH105" s="3"/>
      <c r="EEI105" s="3"/>
      <c r="EEJ105" s="3"/>
      <c r="EEK105" s="3"/>
      <c r="EEL105" s="3"/>
      <c r="EEM105" s="3"/>
      <c r="EEN105" s="3"/>
      <c r="EEO105" s="3"/>
      <c r="EEP105" s="3"/>
      <c r="EEQ105" s="3"/>
      <c r="EER105" s="3"/>
      <c r="EES105" s="3"/>
      <c r="EET105" s="3"/>
      <c r="EEU105" s="3"/>
      <c r="EEV105" s="3"/>
      <c r="EEW105" s="3"/>
      <c r="EEX105" s="3"/>
      <c r="EEY105" s="3"/>
      <c r="EEZ105" s="3"/>
      <c r="EFA105" s="3"/>
      <c r="EFB105" s="3"/>
      <c r="EFC105" s="3"/>
      <c r="EFD105" s="3"/>
      <c r="EFE105" s="3"/>
      <c r="EFF105" s="3"/>
      <c r="EFG105" s="3"/>
      <c r="EFH105" s="3"/>
      <c r="EFI105" s="3"/>
      <c r="EFJ105" s="3"/>
      <c r="EFK105" s="3"/>
      <c r="EFL105" s="3"/>
      <c r="EFM105" s="3"/>
      <c r="EFN105" s="3"/>
      <c r="EFO105" s="3"/>
      <c r="EFP105" s="3"/>
      <c r="EFQ105" s="3"/>
      <c r="EFR105" s="3"/>
      <c r="EFS105" s="3"/>
      <c r="EFT105" s="3"/>
      <c r="EFU105" s="3"/>
      <c r="EFV105" s="3"/>
      <c r="EFW105" s="3"/>
      <c r="EFX105" s="3"/>
      <c r="EFY105" s="3"/>
      <c r="EFZ105" s="3"/>
      <c r="EGA105" s="3"/>
      <c r="EGB105" s="3"/>
      <c r="EGC105" s="3"/>
      <c r="EGD105" s="3"/>
      <c r="EGE105" s="3"/>
      <c r="EGF105" s="3"/>
      <c r="EGG105" s="3"/>
      <c r="EGH105" s="3"/>
      <c r="EGI105" s="3"/>
      <c r="EGJ105" s="3"/>
      <c r="EGK105" s="3"/>
      <c r="EGL105" s="3"/>
      <c r="EGM105" s="3"/>
      <c r="EGN105" s="3"/>
      <c r="EGO105" s="3"/>
      <c r="EGP105" s="3"/>
      <c r="EGQ105" s="3"/>
      <c r="EGR105" s="3"/>
      <c r="EGS105" s="3"/>
      <c r="EGT105" s="3"/>
      <c r="EGU105" s="3"/>
      <c r="EGV105" s="3"/>
      <c r="EGW105" s="3"/>
      <c r="EGX105" s="3"/>
      <c r="EGY105" s="3"/>
      <c r="EGZ105" s="3"/>
      <c r="EHA105" s="3"/>
      <c r="EHB105" s="3"/>
      <c r="EHC105" s="3"/>
      <c r="EHD105" s="3"/>
      <c r="EHE105" s="3"/>
      <c r="EHF105" s="3"/>
      <c r="EHG105" s="3"/>
      <c r="EHH105" s="3"/>
      <c r="EHI105" s="3"/>
      <c r="EHJ105" s="3"/>
      <c r="EHK105" s="3"/>
      <c r="EHL105" s="3"/>
      <c r="EHM105" s="3"/>
      <c r="EHN105" s="3"/>
      <c r="EHO105" s="3"/>
      <c r="EHP105" s="3"/>
      <c r="EHQ105" s="3"/>
      <c r="EHR105" s="3"/>
      <c r="EHS105" s="3"/>
      <c r="EHT105" s="3"/>
      <c r="EHU105" s="3"/>
      <c r="EHV105" s="3"/>
      <c r="EHW105" s="3"/>
      <c r="EHX105" s="3"/>
      <c r="EHY105" s="3"/>
      <c r="EHZ105" s="3"/>
      <c r="EIA105" s="3"/>
      <c r="EIB105" s="3"/>
      <c r="EIC105" s="3"/>
      <c r="EID105" s="3"/>
      <c r="EIE105" s="3"/>
      <c r="EIF105" s="3"/>
      <c r="EIG105" s="3"/>
      <c r="EIH105" s="3"/>
      <c r="EII105" s="3"/>
      <c r="EIJ105" s="3"/>
      <c r="EIK105" s="3"/>
      <c r="EIL105" s="3"/>
      <c r="EIM105" s="3"/>
      <c r="EIN105" s="3"/>
      <c r="EIO105" s="3"/>
      <c r="EIP105" s="3"/>
      <c r="EIQ105" s="3"/>
      <c r="EIR105" s="3"/>
      <c r="EIS105" s="3"/>
      <c r="EIT105" s="3"/>
      <c r="EIU105" s="3"/>
      <c r="EIV105" s="3"/>
      <c r="EIW105" s="3"/>
      <c r="EIX105" s="3"/>
      <c r="EIY105" s="3"/>
      <c r="EIZ105" s="3"/>
      <c r="EJA105" s="3"/>
      <c r="EJB105" s="3"/>
      <c r="EJC105" s="3"/>
      <c r="EJD105" s="3"/>
      <c r="EJE105" s="3"/>
      <c r="EJF105" s="3"/>
      <c r="EJG105" s="3"/>
      <c r="EJH105" s="3"/>
      <c r="EJI105" s="3"/>
      <c r="EJJ105" s="3"/>
      <c r="EJK105" s="3"/>
      <c r="EJL105" s="3"/>
      <c r="EJM105" s="3"/>
      <c r="EJN105" s="3"/>
      <c r="EJO105" s="3"/>
      <c r="EJP105" s="3"/>
      <c r="EJQ105" s="3"/>
      <c r="EJR105" s="3"/>
      <c r="EJS105" s="3"/>
      <c r="EJT105" s="3"/>
      <c r="EJU105" s="3"/>
      <c r="EJV105" s="3"/>
      <c r="EJW105" s="3"/>
      <c r="EJX105" s="3"/>
      <c r="EJY105" s="3"/>
      <c r="EJZ105" s="3"/>
      <c r="EKA105" s="3"/>
      <c r="EKB105" s="3"/>
      <c r="EKC105" s="3"/>
      <c r="EKD105" s="3"/>
      <c r="EKE105" s="3"/>
      <c r="EKF105" s="3"/>
      <c r="EKG105" s="3"/>
      <c r="EKH105" s="3"/>
      <c r="EKI105" s="3"/>
      <c r="EKJ105" s="3"/>
      <c r="EKK105" s="3"/>
      <c r="EKL105" s="3"/>
      <c r="EKM105" s="3"/>
      <c r="EKN105" s="3"/>
      <c r="EKO105" s="3"/>
      <c r="EKP105" s="3"/>
      <c r="EKQ105" s="3"/>
      <c r="EKR105" s="3"/>
      <c r="EKS105" s="3"/>
      <c r="EKT105" s="3"/>
      <c r="EKU105" s="3"/>
      <c r="EKV105" s="3"/>
      <c r="EKW105" s="3"/>
      <c r="EKX105" s="3"/>
      <c r="EKY105" s="3"/>
      <c r="EKZ105" s="3"/>
      <c r="ELA105" s="3"/>
      <c r="ELB105" s="3"/>
      <c r="ELC105" s="3"/>
      <c r="ELD105" s="3"/>
      <c r="ELE105" s="3"/>
      <c r="ELF105" s="3"/>
      <c r="ELG105" s="3"/>
      <c r="ELH105" s="3"/>
      <c r="ELI105" s="3"/>
      <c r="ELJ105" s="3"/>
      <c r="ELK105" s="3"/>
      <c r="ELL105" s="3"/>
      <c r="ELM105" s="3"/>
      <c r="ELN105" s="3"/>
      <c r="ELO105" s="3"/>
      <c r="ELP105" s="3"/>
      <c r="ELQ105" s="3"/>
      <c r="ELR105" s="3"/>
      <c r="ELS105" s="3"/>
      <c r="ELT105" s="3"/>
      <c r="ELU105" s="3"/>
      <c r="ELV105" s="3"/>
      <c r="ELW105" s="3"/>
      <c r="ELX105" s="3"/>
      <c r="ELY105" s="3"/>
      <c r="ELZ105" s="3"/>
      <c r="EMA105" s="3"/>
      <c r="EMB105" s="3"/>
      <c r="EMC105" s="3"/>
      <c r="EMD105" s="3"/>
      <c r="EME105" s="3"/>
      <c r="EMF105" s="3"/>
      <c r="EMG105" s="3"/>
      <c r="EMH105" s="3"/>
      <c r="EMI105" s="3"/>
      <c r="EMJ105" s="3"/>
      <c r="EMK105" s="3"/>
      <c r="EML105" s="3"/>
      <c r="EMM105" s="3"/>
      <c r="EMN105" s="3"/>
      <c r="EMO105" s="3"/>
      <c r="EMP105" s="3"/>
      <c r="EMQ105" s="3"/>
      <c r="EMR105" s="3"/>
      <c r="EMS105" s="3"/>
      <c r="EMT105" s="3"/>
      <c r="EMU105" s="3"/>
      <c r="EMV105" s="3"/>
      <c r="EMW105" s="3"/>
      <c r="EMX105" s="3"/>
      <c r="EMY105" s="3"/>
      <c r="EMZ105" s="3"/>
      <c r="ENA105" s="3"/>
      <c r="ENB105" s="3"/>
      <c r="ENC105" s="3"/>
      <c r="END105" s="3"/>
      <c r="ENE105" s="3"/>
      <c r="ENF105" s="3"/>
      <c r="ENG105" s="3"/>
      <c r="ENH105" s="3"/>
      <c r="ENI105" s="3"/>
      <c r="ENJ105" s="3"/>
      <c r="ENK105" s="3"/>
      <c r="ENL105" s="3"/>
      <c r="ENM105" s="3"/>
      <c r="ENN105" s="3"/>
      <c r="ENO105" s="3"/>
      <c r="ENP105" s="3"/>
      <c r="ENQ105" s="3"/>
      <c r="ENR105" s="3"/>
      <c r="ENS105" s="3"/>
      <c r="ENT105" s="3"/>
      <c r="ENU105" s="3"/>
      <c r="ENV105" s="3"/>
      <c r="ENW105" s="3"/>
      <c r="ENX105" s="3"/>
      <c r="ENY105" s="3"/>
      <c r="ENZ105" s="3"/>
      <c r="EOA105" s="3"/>
      <c r="EOB105" s="3"/>
      <c r="EOC105" s="3"/>
      <c r="EOD105" s="3"/>
      <c r="EOE105" s="3"/>
      <c r="EOF105" s="3"/>
      <c r="EOG105" s="3"/>
      <c r="EOH105" s="3"/>
      <c r="EOI105" s="3"/>
      <c r="EOJ105" s="3"/>
      <c r="EOK105" s="3"/>
      <c r="EOL105" s="3"/>
      <c r="EOM105" s="3"/>
      <c r="EON105" s="3"/>
      <c r="EOO105" s="3"/>
      <c r="EOP105" s="3"/>
      <c r="EOQ105" s="3"/>
      <c r="EOR105" s="3"/>
      <c r="EOS105" s="3"/>
      <c r="EOT105" s="3"/>
      <c r="EOU105" s="3"/>
      <c r="EOV105" s="3"/>
      <c r="EOW105" s="3"/>
      <c r="EOX105" s="3"/>
      <c r="EOY105" s="3"/>
      <c r="EOZ105" s="3"/>
      <c r="EPA105" s="3"/>
      <c r="EPB105" s="3"/>
      <c r="EPC105" s="3"/>
      <c r="EPD105" s="3"/>
      <c r="EPE105" s="3"/>
      <c r="EPF105" s="3"/>
      <c r="EPG105" s="3"/>
      <c r="EPH105" s="3"/>
      <c r="EPI105" s="3"/>
      <c r="EPJ105" s="3"/>
      <c r="EPK105" s="3"/>
      <c r="EPL105" s="3"/>
      <c r="EPM105" s="3"/>
      <c r="EPN105" s="3"/>
      <c r="EPO105" s="3"/>
      <c r="EPP105" s="3"/>
      <c r="EPQ105" s="3"/>
      <c r="EPR105" s="3"/>
      <c r="EPS105" s="3"/>
      <c r="EPT105" s="3"/>
      <c r="EPU105" s="3"/>
      <c r="EPV105" s="3"/>
      <c r="EPW105" s="3"/>
      <c r="EPX105" s="3"/>
      <c r="EPY105" s="3"/>
      <c r="EPZ105" s="3"/>
      <c r="EQA105" s="3"/>
      <c r="EQB105" s="3"/>
      <c r="EQC105" s="3"/>
      <c r="EQD105" s="3"/>
      <c r="EQE105" s="3"/>
      <c r="EQF105" s="3"/>
      <c r="EQG105" s="3"/>
      <c r="EQH105" s="3"/>
      <c r="EQI105" s="3"/>
      <c r="EQJ105" s="3"/>
      <c r="EQK105" s="3"/>
      <c r="EQL105" s="3"/>
      <c r="EQM105" s="3"/>
      <c r="EQN105" s="3"/>
      <c r="EQO105" s="3"/>
      <c r="EQP105" s="3"/>
      <c r="EQQ105" s="3"/>
      <c r="EQR105" s="3"/>
      <c r="EQS105" s="3"/>
      <c r="EQT105" s="3"/>
      <c r="EQU105" s="3"/>
      <c r="EQV105" s="3"/>
      <c r="EQW105" s="3"/>
      <c r="EQX105" s="3"/>
      <c r="EQY105" s="3"/>
      <c r="EQZ105" s="3"/>
      <c r="ERA105" s="3"/>
      <c r="ERB105" s="3"/>
      <c r="ERC105" s="3"/>
      <c r="ERD105" s="3"/>
      <c r="ERE105" s="3"/>
      <c r="ERF105" s="3"/>
      <c r="ERG105" s="3"/>
      <c r="ERH105" s="3"/>
      <c r="ERI105" s="3"/>
      <c r="ERJ105" s="3"/>
      <c r="ERK105" s="3"/>
      <c r="ERL105" s="3"/>
      <c r="ERM105" s="3"/>
      <c r="ERN105" s="3"/>
      <c r="ERO105" s="3"/>
      <c r="ERP105" s="3"/>
      <c r="ERQ105" s="3"/>
      <c r="ERR105" s="3"/>
      <c r="ERS105" s="3"/>
      <c r="ERT105" s="3"/>
      <c r="ERU105" s="3"/>
      <c r="ERV105" s="3"/>
      <c r="ERW105" s="3"/>
      <c r="ERX105" s="3"/>
      <c r="ERY105" s="3"/>
      <c r="ERZ105" s="3"/>
      <c r="ESA105" s="3"/>
      <c r="ESB105" s="3"/>
      <c r="ESC105" s="3"/>
      <c r="ESD105" s="3"/>
      <c r="ESE105" s="3"/>
      <c r="ESF105" s="3"/>
      <c r="ESG105" s="3"/>
      <c r="ESH105" s="3"/>
      <c r="ESI105" s="3"/>
      <c r="ESJ105" s="3"/>
      <c r="ESK105" s="3"/>
      <c r="ESL105" s="3"/>
      <c r="ESM105" s="3"/>
      <c r="ESN105" s="3"/>
      <c r="ESO105" s="3"/>
      <c r="ESP105" s="3"/>
      <c r="ESQ105" s="3"/>
      <c r="ESR105" s="3"/>
      <c r="ESS105" s="3"/>
      <c r="EST105" s="3"/>
      <c r="ESU105" s="3"/>
      <c r="ESV105" s="3"/>
      <c r="ESW105" s="3"/>
      <c r="ESX105" s="3"/>
      <c r="ESY105" s="3"/>
      <c r="ESZ105" s="3"/>
      <c r="ETA105" s="3"/>
      <c r="ETB105" s="3"/>
      <c r="ETC105" s="3"/>
      <c r="ETD105" s="3"/>
      <c r="ETE105" s="3"/>
      <c r="ETF105" s="3"/>
      <c r="ETG105" s="3"/>
      <c r="ETH105" s="3"/>
      <c r="ETI105" s="3"/>
      <c r="ETJ105" s="3"/>
      <c r="ETK105" s="3"/>
      <c r="ETL105" s="3"/>
      <c r="ETM105" s="3"/>
      <c r="ETN105" s="3"/>
      <c r="ETO105" s="3"/>
      <c r="ETP105" s="3"/>
      <c r="ETQ105" s="3"/>
      <c r="ETR105" s="3"/>
      <c r="ETS105" s="3"/>
      <c r="ETT105" s="3"/>
      <c r="ETU105" s="3"/>
      <c r="ETV105" s="3"/>
      <c r="ETW105" s="3"/>
      <c r="ETX105" s="3"/>
      <c r="ETY105" s="3"/>
      <c r="ETZ105" s="3"/>
      <c r="EUA105" s="3"/>
      <c r="EUB105" s="3"/>
      <c r="EUC105" s="3"/>
      <c r="EUD105" s="3"/>
      <c r="EUE105" s="3"/>
      <c r="EUF105" s="3"/>
      <c r="EUG105" s="3"/>
      <c r="EUH105" s="3"/>
      <c r="EUI105" s="3"/>
      <c r="EUJ105" s="3"/>
      <c r="EUK105" s="3"/>
      <c r="EUL105" s="3"/>
      <c r="EUM105" s="3"/>
      <c r="EUN105" s="3"/>
      <c r="EUO105" s="3"/>
      <c r="EUP105" s="3"/>
      <c r="EUQ105" s="3"/>
      <c r="EUR105" s="3"/>
      <c r="EUS105" s="3"/>
      <c r="EUT105" s="3"/>
      <c r="EUU105" s="3"/>
      <c r="EUV105" s="3"/>
      <c r="EUW105" s="3"/>
      <c r="EUX105" s="3"/>
      <c r="EUY105" s="3"/>
      <c r="EUZ105" s="3"/>
      <c r="EVA105" s="3"/>
      <c r="EVB105" s="3"/>
      <c r="EVC105" s="3"/>
      <c r="EVD105" s="3"/>
      <c r="EVE105" s="3"/>
      <c r="EVF105" s="3"/>
      <c r="EVG105" s="3"/>
      <c r="EVH105" s="3"/>
      <c r="EVI105" s="3"/>
      <c r="EVJ105" s="3"/>
      <c r="EVK105" s="3"/>
      <c r="EVL105" s="3"/>
      <c r="EVM105" s="3"/>
      <c r="EVN105" s="3"/>
      <c r="EVO105" s="3"/>
      <c r="EVP105" s="3"/>
      <c r="EVQ105" s="3"/>
      <c r="EVR105" s="3"/>
      <c r="EVS105" s="3"/>
      <c r="EVT105" s="3"/>
      <c r="EVU105" s="3"/>
      <c r="EVV105" s="3"/>
      <c r="EVW105" s="3"/>
      <c r="EVX105" s="3"/>
      <c r="EVY105" s="3"/>
      <c r="EVZ105" s="3"/>
      <c r="EWA105" s="3"/>
      <c r="EWB105" s="3"/>
      <c r="EWC105" s="3"/>
      <c r="EWD105" s="3"/>
      <c r="EWE105" s="3"/>
      <c r="EWF105" s="3"/>
      <c r="EWG105" s="3"/>
      <c r="EWH105" s="3"/>
      <c r="EWI105" s="3"/>
      <c r="EWJ105" s="3"/>
      <c r="EWK105" s="3"/>
      <c r="EWL105" s="3"/>
      <c r="EWM105" s="3"/>
      <c r="EWN105" s="3"/>
      <c r="EWO105" s="3"/>
      <c r="EWP105" s="3"/>
      <c r="EWQ105" s="3"/>
      <c r="EWR105" s="3"/>
      <c r="EWS105" s="3"/>
      <c r="EWT105" s="3"/>
      <c r="EWU105" s="3"/>
      <c r="EWV105" s="3"/>
      <c r="EWW105" s="3"/>
      <c r="EWX105" s="3"/>
      <c r="EWY105" s="3"/>
      <c r="EWZ105" s="3"/>
      <c r="EXA105" s="3"/>
      <c r="EXB105" s="3"/>
      <c r="EXC105" s="3"/>
      <c r="EXD105" s="3"/>
      <c r="EXE105" s="3"/>
      <c r="EXF105" s="3"/>
      <c r="EXG105" s="3"/>
      <c r="EXH105" s="3"/>
      <c r="EXI105" s="3"/>
      <c r="EXJ105" s="3"/>
      <c r="EXK105" s="3"/>
      <c r="EXL105" s="3"/>
      <c r="EXM105" s="3"/>
      <c r="EXN105" s="3"/>
      <c r="EXO105" s="3"/>
      <c r="EXP105" s="3"/>
      <c r="EXQ105" s="3"/>
      <c r="EXR105" s="3"/>
      <c r="EXS105" s="3"/>
      <c r="EXT105" s="3"/>
      <c r="EXU105" s="3"/>
      <c r="EXV105" s="3"/>
      <c r="EXW105" s="3"/>
      <c r="EXX105" s="3"/>
      <c r="EXY105" s="3"/>
      <c r="EXZ105" s="3"/>
      <c r="EYA105" s="3"/>
      <c r="EYB105" s="3"/>
      <c r="EYC105" s="3"/>
      <c r="EYD105" s="3"/>
      <c r="EYE105" s="3"/>
      <c r="EYF105" s="3"/>
      <c r="EYG105" s="3"/>
      <c r="EYH105" s="3"/>
      <c r="EYI105" s="3"/>
      <c r="EYJ105" s="3"/>
      <c r="EYK105" s="3"/>
      <c r="EYL105" s="3"/>
      <c r="EYM105" s="3"/>
      <c r="EYN105" s="3"/>
      <c r="EYO105" s="3"/>
      <c r="EYP105" s="3"/>
      <c r="EYQ105" s="3"/>
      <c r="EYR105" s="3"/>
      <c r="EYS105" s="3"/>
      <c r="EYT105" s="3"/>
      <c r="EYU105" s="3"/>
      <c r="EYV105" s="3"/>
      <c r="EYW105" s="3"/>
      <c r="EYX105" s="3"/>
      <c r="EYY105" s="3"/>
      <c r="EYZ105" s="3"/>
      <c r="EZA105" s="3"/>
      <c r="EZB105" s="3"/>
      <c r="EZC105" s="3"/>
      <c r="EZD105" s="3"/>
      <c r="EZE105" s="3"/>
      <c r="EZF105" s="3"/>
      <c r="EZG105" s="3"/>
      <c r="EZH105" s="3"/>
      <c r="EZI105" s="3"/>
      <c r="EZJ105" s="3"/>
      <c r="EZK105" s="3"/>
      <c r="EZL105" s="3"/>
      <c r="EZM105" s="3"/>
      <c r="EZN105" s="3"/>
      <c r="EZO105" s="3"/>
      <c r="EZP105" s="3"/>
      <c r="EZQ105" s="3"/>
      <c r="EZR105" s="3"/>
      <c r="EZS105" s="3"/>
      <c r="EZT105" s="3"/>
      <c r="EZU105" s="3"/>
      <c r="EZV105" s="3"/>
      <c r="EZW105" s="3"/>
      <c r="EZX105" s="3"/>
      <c r="EZY105" s="3"/>
      <c r="EZZ105" s="3"/>
      <c r="FAA105" s="3"/>
      <c r="FAB105" s="3"/>
      <c r="FAC105" s="3"/>
      <c r="FAD105" s="3"/>
      <c r="FAE105" s="3"/>
      <c r="FAF105" s="3"/>
      <c r="FAG105" s="3"/>
      <c r="FAH105" s="3"/>
      <c r="FAI105" s="3"/>
      <c r="FAJ105" s="3"/>
      <c r="FAK105" s="3"/>
      <c r="FAL105" s="3"/>
      <c r="FAM105" s="3"/>
      <c r="FAN105" s="3"/>
      <c r="FAO105" s="3"/>
      <c r="FAP105" s="3"/>
      <c r="FAQ105" s="3"/>
      <c r="FAR105" s="3"/>
      <c r="FAS105" s="3"/>
      <c r="FAT105" s="3"/>
      <c r="FAU105" s="3"/>
      <c r="FAV105" s="3"/>
      <c r="FAW105" s="3"/>
      <c r="FAX105" s="3"/>
      <c r="FAY105" s="3"/>
      <c r="FAZ105" s="3"/>
      <c r="FBA105" s="3"/>
      <c r="FBB105" s="3"/>
      <c r="FBC105" s="3"/>
      <c r="FBD105" s="3"/>
      <c r="FBE105" s="3"/>
      <c r="FBF105" s="3"/>
      <c r="FBG105" s="3"/>
      <c r="FBH105" s="3"/>
      <c r="FBI105" s="3"/>
      <c r="FBJ105" s="3"/>
      <c r="FBK105" s="3"/>
      <c r="FBL105" s="3"/>
      <c r="FBM105" s="3"/>
      <c r="FBN105" s="3"/>
      <c r="FBO105" s="3"/>
      <c r="FBP105" s="3"/>
      <c r="FBQ105" s="3"/>
      <c r="FBR105" s="3"/>
      <c r="FBS105" s="3"/>
      <c r="FBT105" s="3"/>
      <c r="FBU105" s="3"/>
      <c r="FBV105" s="3"/>
      <c r="FBW105" s="3"/>
      <c r="FBX105" s="3"/>
      <c r="FBY105" s="3"/>
      <c r="FBZ105" s="3"/>
      <c r="FCA105" s="3"/>
      <c r="FCB105" s="3"/>
      <c r="FCC105" s="3"/>
      <c r="FCD105" s="3"/>
      <c r="FCE105" s="3"/>
      <c r="FCF105" s="3"/>
      <c r="FCG105" s="3"/>
      <c r="FCH105" s="3"/>
      <c r="FCI105" s="3"/>
      <c r="FCJ105" s="3"/>
      <c r="FCK105" s="3"/>
      <c r="FCL105" s="3"/>
      <c r="FCM105" s="3"/>
      <c r="FCN105" s="3"/>
      <c r="FCO105" s="3"/>
      <c r="FCP105" s="3"/>
      <c r="FCQ105" s="3"/>
      <c r="FCR105" s="3"/>
      <c r="FCS105" s="3"/>
      <c r="FCT105" s="3"/>
      <c r="FCU105" s="3"/>
      <c r="FCV105" s="3"/>
      <c r="FCW105" s="3"/>
      <c r="FCX105" s="3"/>
      <c r="FCY105" s="3"/>
      <c r="FCZ105" s="3"/>
      <c r="FDA105" s="3"/>
      <c r="FDB105" s="3"/>
      <c r="FDC105" s="3"/>
      <c r="FDD105" s="3"/>
      <c r="FDE105" s="3"/>
      <c r="FDF105" s="3"/>
      <c r="FDG105" s="3"/>
      <c r="FDH105" s="3"/>
      <c r="FDI105" s="3"/>
      <c r="FDJ105" s="3"/>
      <c r="FDK105" s="3"/>
      <c r="FDL105" s="3"/>
      <c r="FDM105" s="3"/>
      <c r="FDN105" s="3"/>
      <c r="FDO105" s="3"/>
      <c r="FDP105" s="3"/>
      <c r="FDQ105" s="3"/>
      <c r="FDR105" s="3"/>
      <c r="FDS105" s="3"/>
      <c r="FDT105" s="3"/>
      <c r="FDU105" s="3"/>
      <c r="FDV105" s="3"/>
      <c r="FDW105" s="3"/>
      <c r="FDX105" s="3"/>
      <c r="FDY105" s="3"/>
      <c r="FDZ105" s="3"/>
      <c r="FEA105" s="3"/>
      <c r="FEB105" s="3"/>
      <c r="FEC105" s="3"/>
      <c r="FED105" s="3"/>
      <c r="FEE105" s="3"/>
      <c r="FEF105" s="3"/>
      <c r="FEG105" s="3"/>
      <c r="FEH105" s="3"/>
      <c r="FEI105" s="3"/>
      <c r="FEJ105" s="3"/>
      <c r="FEK105" s="3"/>
      <c r="FEL105" s="3"/>
      <c r="FEM105" s="3"/>
      <c r="FEN105" s="3"/>
      <c r="FEO105" s="3"/>
      <c r="FEP105" s="3"/>
      <c r="FEQ105" s="3"/>
      <c r="FER105" s="3"/>
      <c r="FES105" s="3"/>
      <c r="FET105" s="3"/>
      <c r="FEU105" s="3"/>
      <c r="FEV105" s="3"/>
      <c r="FEW105" s="3"/>
      <c r="FEX105" s="3"/>
      <c r="FEY105" s="3"/>
      <c r="FEZ105" s="3"/>
      <c r="FFA105" s="3"/>
      <c r="FFB105" s="3"/>
      <c r="FFC105" s="3"/>
      <c r="FFD105" s="3"/>
      <c r="FFE105" s="3"/>
      <c r="FFF105" s="3"/>
      <c r="FFG105" s="3"/>
      <c r="FFH105" s="3"/>
      <c r="FFI105" s="3"/>
      <c r="FFJ105" s="3"/>
      <c r="FFK105" s="3"/>
      <c r="FFL105" s="3"/>
      <c r="FFM105" s="3"/>
      <c r="FFN105" s="3"/>
      <c r="FFO105" s="3"/>
      <c r="FFP105" s="3"/>
      <c r="FFQ105" s="3"/>
      <c r="FFR105" s="3"/>
      <c r="FFS105" s="3"/>
      <c r="FFT105" s="3"/>
      <c r="FFU105" s="3"/>
      <c r="FFV105" s="3"/>
      <c r="FFW105" s="3"/>
      <c r="FFX105" s="3"/>
      <c r="FFY105" s="3"/>
      <c r="FFZ105" s="3"/>
      <c r="FGA105" s="3"/>
      <c r="FGB105" s="3"/>
      <c r="FGC105" s="3"/>
      <c r="FGD105" s="3"/>
      <c r="FGE105" s="3"/>
      <c r="FGF105" s="3"/>
      <c r="FGG105" s="3"/>
      <c r="FGH105" s="3"/>
      <c r="FGI105" s="3"/>
      <c r="FGJ105" s="3"/>
      <c r="FGK105" s="3"/>
      <c r="FGL105" s="3"/>
      <c r="FGM105" s="3"/>
      <c r="FGN105" s="3"/>
      <c r="FGO105" s="3"/>
      <c r="FGP105" s="3"/>
      <c r="FGQ105" s="3"/>
      <c r="FGR105" s="3"/>
      <c r="FGS105" s="3"/>
      <c r="FGT105" s="3"/>
      <c r="FGU105" s="3"/>
      <c r="FGV105" s="3"/>
      <c r="FGW105" s="3"/>
      <c r="FGX105" s="3"/>
      <c r="FGY105" s="3"/>
      <c r="FGZ105" s="3"/>
      <c r="FHA105" s="3"/>
      <c r="FHB105" s="3"/>
      <c r="FHC105" s="3"/>
      <c r="FHD105" s="3"/>
      <c r="FHE105" s="3"/>
      <c r="FHF105" s="3"/>
      <c r="FHG105" s="3"/>
      <c r="FHH105" s="3"/>
      <c r="FHI105" s="3"/>
      <c r="FHJ105" s="3"/>
      <c r="FHK105" s="3"/>
      <c r="FHL105" s="3"/>
      <c r="FHM105" s="3"/>
      <c r="FHN105" s="3"/>
      <c r="FHO105" s="3"/>
      <c r="FHP105" s="3"/>
      <c r="FHQ105" s="3"/>
      <c r="FHR105" s="3"/>
      <c r="FHS105" s="3"/>
      <c r="FHT105" s="3"/>
      <c r="FHU105" s="3"/>
      <c r="FHV105" s="3"/>
      <c r="FHW105" s="3"/>
      <c r="FHX105" s="3"/>
      <c r="FHY105" s="3"/>
      <c r="FHZ105" s="3"/>
      <c r="FIA105" s="3"/>
      <c r="FIB105" s="3"/>
      <c r="FIC105" s="3"/>
      <c r="FID105" s="3"/>
      <c r="FIE105" s="3"/>
      <c r="FIF105" s="3"/>
      <c r="FIG105" s="3"/>
      <c r="FIH105" s="3"/>
      <c r="FII105" s="3"/>
      <c r="FIJ105" s="3"/>
      <c r="FIK105" s="3"/>
      <c r="FIL105" s="3"/>
      <c r="FIM105" s="3"/>
      <c r="FIN105" s="3"/>
      <c r="FIO105" s="3"/>
      <c r="FIP105" s="3"/>
      <c r="FIQ105" s="3"/>
      <c r="FIR105" s="3"/>
      <c r="FIS105" s="3"/>
      <c r="FIT105" s="3"/>
      <c r="FIU105" s="3"/>
      <c r="FIV105" s="3"/>
      <c r="FIW105" s="3"/>
      <c r="FIX105" s="3"/>
      <c r="FIY105" s="3"/>
      <c r="FIZ105" s="3"/>
      <c r="FJA105" s="3"/>
      <c r="FJB105" s="3"/>
      <c r="FJC105" s="3"/>
      <c r="FJD105" s="3"/>
      <c r="FJE105" s="3"/>
      <c r="FJF105" s="3"/>
      <c r="FJG105" s="3"/>
      <c r="FJH105" s="3"/>
      <c r="FJI105" s="3"/>
      <c r="FJJ105" s="3"/>
      <c r="FJK105" s="3"/>
      <c r="FJL105" s="3"/>
      <c r="FJM105" s="3"/>
      <c r="FJN105" s="3"/>
      <c r="FJO105" s="3"/>
      <c r="FJP105" s="3"/>
      <c r="FJQ105" s="3"/>
      <c r="FJR105" s="3"/>
      <c r="FJS105" s="3"/>
      <c r="FJT105" s="3"/>
      <c r="FJU105" s="3"/>
      <c r="FJV105" s="3"/>
      <c r="FJW105" s="3"/>
      <c r="FJX105" s="3"/>
      <c r="FJY105" s="3"/>
      <c r="FJZ105" s="3"/>
      <c r="FKA105" s="3"/>
      <c r="FKB105" s="3"/>
      <c r="FKC105" s="3"/>
      <c r="FKD105" s="3"/>
      <c r="FKE105" s="3"/>
      <c r="FKF105" s="3"/>
      <c r="FKG105" s="3"/>
      <c r="FKH105" s="3"/>
      <c r="FKI105" s="3"/>
      <c r="FKJ105" s="3"/>
      <c r="FKK105" s="3"/>
      <c r="FKL105" s="3"/>
      <c r="FKM105" s="3"/>
      <c r="FKN105" s="3"/>
      <c r="FKO105" s="3"/>
      <c r="FKP105" s="3"/>
      <c r="FKQ105" s="3"/>
      <c r="FKR105" s="3"/>
      <c r="FKS105" s="3"/>
      <c r="FKT105" s="3"/>
      <c r="FKU105" s="3"/>
      <c r="FKV105" s="3"/>
      <c r="FKW105" s="3"/>
      <c r="FKX105" s="3"/>
      <c r="FKY105" s="3"/>
      <c r="FKZ105" s="3"/>
      <c r="FLA105" s="3"/>
      <c r="FLB105" s="3"/>
      <c r="FLC105" s="3"/>
      <c r="FLD105" s="3"/>
      <c r="FLE105" s="3"/>
      <c r="FLF105" s="3"/>
      <c r="FLG105" s="3"/>
      <c r="FLH105" s="3"/>
      <c r="FLI105" s="3"/>
      <c r="FLJ105" s="3"/>
      <c r="FLK105" s="3"/>
      <c r="FLL105" s="3"/>
      <c r="FLM105" s="3"/>
      <c r="FLN105" s="3"/>
      <c r="FLO105" s="3"/>
      <c r="FLP105" s="3"/>
      <c r="FLQ105" s="3"/>
      <c r="FLR105" s="3"/>
      <c r="FLS105" s="3"/>
      <c r="FLT105" s="3"/>
      <c r="FLU105" s="3"/>
      <c r="FLV105" s="3"/>
      <c r="FLW105" s="3"/>
      <c r="FLX105" s="3"/>
      <c r="FLY105" s="3"/>
      <c r="FLZ105" s="3"/>
      <c r="FMA105" s="3"/>
      <c r="FMB105" s="3"/>
      <c r="FMC105" s="3"/>
      <c r="FMD105" s="3"/>
      <c r="FME105" s="3"/>
      <c r="FMF105" s="3"/>
      <c r="FMG105" s="3"/>
      <c r="FMH105" s="3"/>
      <c r="FMI105" s="3"/>
      <c r="FMJ105" s="3"/>
      <c r="FMK105" s="3"/>
      <c r="FML105" s="3"/>
      <c r="FMM105" s="3"/>
      <c r="FMN105" s="3"/>
      <c r="FMO105" s="3"/>
      <c r="FMP105" s="3"/>
      <c r="FMQ105" s="3"/>
      <c r="FMR105" s="3"/>
      <c r="FMS105" s="3"/>
      <c r="FMT105" s="3"/>
      <c r="FMU105" s="3"/>
      <c r="FMV105" s="3"/>
      <c r="FMW105" s="3"/>
      <c r="FMX105" s="3"/>
      <c r="FMY105" s="3"/>
      <c r="FMZ105" s="3"/>
      <c r="FNA105" s="3"/>
      <c r="FNB105" s="3"/>
      <c r="FNC105" s="3"/>
      <c r="FND105" s="3"/>
      <c r="FNE105" s="3"/>
      <c r="FNF105" s="3"/>
      <c r="FNG105" s="3"/>
      <c r="FNH105" s="3"/>
      <c r="FNI105" s="3"/>
      <c r="FNJ105" s="3"/>
      <c r="FNK105" s="3"/>
      <c r="FNL105" s="3"/>
      <c r="FNM105" s="3"/>
      <c r="FNN105" s="3"/>
      <c r="FNO105" s="3"/>
      <c r="FNP105" s="3"/>
      <c r="FNQ105" s="3"/>
      <c r="FNR105" s="3"/>
      <c r="FNS105" s="3"/>
      <c r="FNT105" s="3"/>
      <c r="FNU105" s="3"/>
      <c r="FNV105" s="3"/>
      <c r="FNW105" s="3"/>
      <c r="FNX105" s="3"/>
      <c r="FNY105" s="3"/>
      <c r="FNZ105" s="3"/>
      <c r="FOA105" s="3"/>
      <c r="FOB105" s="3"/>
      <c r="FOC105" s="3"/>
      <c r="FOD105" s="3"/>
      <c r="FOE105" s="3"/>
      <c r="FOF105" s="3"/>
      <c r="FOG105" s="3"/>
      <c r="FOH105" s="3"/>
      <c r="FOI105" s="3"/>
      <c r="FOJ105" s="3"/>
      <c r="FOK105" s="3"/>
      <c r="FOL105" s="3"/>
      <c r="FOM105" s="3"/>
      <c r="FON105" s="3"/>
      <c r="FOO105" s="3"/>
      <c r="FOP105" s="3"/>
      <c r="FOQ105" s="3"/>
      <c r="FOR105" s="3"/>
      <c r="FOS105" s="3"/>
      <c r="FOT105" s="3"/>
      <c r="FOU105" s="3"/>
      <c r="FOV105" s="3"/>
      <c r="FOW105" s="3"/>
      <c r="FOX105" s="3"/>
      <c r="FOY105" s="3"/>
      <c r="FOZ105" s="3"/>
      <c r="FPA105" s="3"/>
      <c r="FPB105" s="3"/>
      <c r="FPC105" s="3"/>
      <c r="FPD105" s="3"/>
      <c r="FPE105" s="3"/>
      <c r="FPF105" s="3"/>
      <c r="FPG105" s="3"/>
      <c r="FPH105" s="3"/>
      <c r="FPI105" s="3"/>
      <c r="FPJ105" s="3"/>
      <c r="FPK105" s="3"/>
      <c r="FPL105" s="3"/>
      <c r="FPM105" s="3"/>
      <c r="FPN105" s="3"/>
      <c r="FPO105" s="3"/>
      <c r="FPP105" s="3"/>
      <c r="FPQ105" s="3"/>
      <c r="FPR105" s="3"/>
      <c r="FPS105" s="3"/>
      <c r="FPT105" s="3"/>
      <c r="FPU105" s="3"/>
      <c r="FPV105" s="3"/>
      <c r="FPW105" s="3"/>
      <c r="FPX105" s="3"/>
      <c r="FPY105" s="3"/>
      <c r="FPZ105" s="3"/>
      <c r="FQA105" s="3"/>
      <c r="FQB105" s="3"/>
      <c r="FQC105" s="3"/>
      <c r="FQD105" s="3"/>
      <c r="FQE105" s="3"/>
      <c r="FQF105" s="3"/>
      <c r="FQG105" s="3"/>
      <c r="FQH105" s="3"/>
      <c r="FQI105" s="3"/>
      <c r="FQJ105" s="3"/>
      <c r="FQK105" s="3"/>
      <c r="FQL105" s="3"/>
      <c r="FQM105" s="3"/>
      <c r="FQN105" s="3"/>
      <c r="FQO105" s="3"/>
      <c r="FQP105" s="3"/>
      <c r="FQQ105" s="3"/>
      <c r="FQR105" s="3"/>
      <c r="FQS105" s="3"/>
      <c r="FQT105" s="3"/>
      <c r="FQU105" s="3"/>
      <c r="FQV105" s="3"/>
      <c r="FQW105" s="3"/>
      <c r="FQX105" s="3"/>
      <c r="FQY105" s="3"/>
      <c r="FQZ105" s="3"/>
      <c r="FRA105" s="3"/>
      <c r="FRB105" s="3"/>
      <c r="FRC105" s="3"/>
      <c r="FRD105" s="3"/>
      <c r="FRE105" s="3"/>
      <c r="FRF105" s="3"/>
      <c r="FRG105" s="3"/>
      <c r="FRH105" s="3"/>
      <c r="FRI105" s="3"/>
      <c r="FRJ105" s="3"/>
      <c r="FRK105" s="3"/>
      <c r="FRL105" s="3"/>
      <c r="FRM105" s="3"/>
      <c r="FRN105" s="3"/>
      <c r="FRO105" s="3"/>
      <c r="FRP105" s="3"/>
      <c r="FRQ105" s="3"/>
      <c r="FRR105" s="3"/>
      <c r="FRS105" s="3"/>
      <c r="FRT105" s="3"/>
      <c r="FRU105" s="3"/>
      <c r="FRV105" s="3"/>
      <c r="FRW105" s="3"/>
      <c r="FRX105" s="3"/>
      <c r="FRY105" s="3"/>
      <c r="FRZ105" s="3"/>
      <c r="FSA105" s="3"/>
      <c r="FSB105" s="3"/>
      <c r="FSC105" s="3"/>
      <c r="FSD105" s="3"/>
      <c r="FSE105" s="3"/>
      <c r="FSF105" s="3"/>
      <c r="FSG105" s="3"/>
      <c r="FSH105" s="3"/>
      <c r="FSI105" s="3"/>
      <c r="FSJ105" s="3"/>
      <c r="FSK105" s="3"/>
      <c r="FSL105" s="3"/>
      <c r="FSM105" s="3"/>
      <c r="FSN105" s="3"/>
      <c r="FSO105" s="3"/>
      <c r="FSP105" s="3"/>
      <c r="FSQ105" s="3"/>
      <c r="FSR105" s="3"/>
      <c r="FSS105" s="3"/>
      <c r="FST105" s="3"/>
      <c r="FSU105" s="3"/>
      <c r="FSV105" s="3"/>
      <c r="FSW105" s="3"/>
      <c r="FSX105" s="3"/>
      <c r="FSY105" s="3"/>
      <c r="FSZ105" s="3"/>
      <c r="FTA105" s="3"/>
      <c r="FTB105" s="3"/>
      <c r="FTC105" s="3"/>
      <c r="FTD105" s="3"/>
      <c r="FTE105" s="3"/>
      <c r="FTF105" s="3"/>
      <c r="FTG105" s="3"/>
      <c r="FTH105" s="3"/>
      <c r="FTI105" s="3"/>
      <c r="FTJ105" s="3"/>
      <c r="FTK105" s="3"/>
      <c r="FTL105" s="3"/>
      <c r="FTM105" s="3"/>
      <c r="FTN105" s="3"/>
      <c r="FTO105" s="3"/>
      <c r="FTP105" s="3"/>
      <c r="FTQ105" s="3"/>
      <c r="FTR105" s="3"/>
      <c r="FTS105" s="3"/>
      <c r="FTT105" s="3"/>
      <c r="FTU105" s="3"/>
      <c r="FTV105" s="3"/>
      <c r="FTW105" s="3"/>
      <c r="FTX105" s="3"/>
      <c r="FTY105" s="3"/>
      <c r="FTZ105" s="3"/>
      <c r="FUA105" s="3"/>
      <c r="FUB105" s="3"/>
      <c r="FUC105" s="3"/>
      <c r="FUD105" s="3"/>
      <c r="FUE105" s="3"/>
      <c r="FUF105" s="3"/>
      <c r="FUG105" s="3"/>
      <c r="FUH105" s="3"/>
      <c r="FUI105" s="3"/>
      <c r="FUJ105" s="3"/>
      <c r="FUK105" s="3"/>
      <c r="FUL105" s="3"/>
      <c r="FUM105" s="3"/>
      <c r="FUN105" s="3"/>
      <c r="FUO105" s="3"/>
      <c r="FUP105" s="3"/>
      <c r="FUQ105" s="3"/>
      <c r="FUR105" s="3"/>
      <c r="FUS105" s="3"/>
      <c r="FUT105" s="3"/>
      <c r="FUU105" s="3"/>
      <c r="FUV105" s="3"/>
      <c r="FUW105" s="3"/>
      <c r="FUX105" s="3"/>
      <c r="FUY105" s="3"/>
      <c r="FUZ105" s="3"/>
      <c r="FVA105" s="3"/>
      <c r="FVB105" s="3"/>
      <c r="FVC105" s="3"/>
      <c r="FVD105" s="3"/>
      <c r="FVE105" s="3"/>
      <c r="FVF105" s="3"/>
      <c r="FVG105" s="3"/>
      <c r="FVH105" s="3"/>
      <c r="FVI105" s="3"/>
      <c r="FVJ105" s="3"/>
      <c r="FVK105" s="3"/>
      <c r="FVL105" s="3"/>
      <c r="FVM105" s="3"/>
      <c r="FVN105" s="3"/>
      <c r="FVO105" s="3"/>
      <c r="FVP105" s="3"/>
      <c r="FVQ105" s="3"/>
      <c r="FVR105" s="3"/>
      <c r="FVS105" s="3"/>
      <c r="FVT105" s="3"/>
      <c r="FVU105" s="3"/>
      <c r="FVV105" s="3"/>
      <c r="FVW105" s="3"/>
      <c r="FVX105" s="3"/>
      <c r="FVY105" s="3"/>
      <c r="FVZ105" s="3"/>
      <c r="FWA105" s="3"/>
      <c r="FWB105" s="3"/>
      <c r="FWC105" s="3"/>
      <c r="FWD105" s="3"/>
      <c r="FWE105" s="3"/>
      <c r="FWF105" s="3"/>
      <c r="FWG105" s="3"/>
      <c r="FWH105" s="3"/>
      <c r="FWI105" s="3"/>
      <c r="FWJ105" s="3"/>
      <c r="FWK105" s="3"/>
      <c r="FWL105" s="3"/>
      <c r="FWM105" s="3"/>
      <c r="FWN105" s="3"/>
      <c r="FWO105" s="3"/>
      <c r="FWP105" s="3"/>
      <c r="FWQ105" s="3"/>
      <c r="FWR105" s="3"/>
      <c r="FWS105" s="3"/>
      <c r="FWT105" s="3"/>
      <c r="FWU105" s="3"/>
      <c r="FWV105" s="3"/>
      <c r="FWW105" s="3"/>
      <c r="FWX105" s="3"/>
      <c r="FWY105" s="3"/>
      <c r="FWZ105" s="3"/>
      <c r="FXA105" s="3"/>
      <c r="FXB105" s="3"/>
      <c r="FXC105" s="3"/>
      <c r="FXD105" s="3"/>
      <c r="FXE105" s="3"/>
      <c r="FXF105" s="3"/>
      <c r="FXG105" s="3"/>
      <c r="FXH105" s="3"/>
      <c r="FXI105" s="3"/>
      <c r="FXJ105" s="3"/>
      <c r="FXK105" s="3"/>
      <c r="FXL105" s="3"/>
      <c r="FXM105" s="3"/>
      <c r="FXN105" s="3"/>
      <c r="FXO105" s="3"/>
      <c r="FXP105" s="3"/>
      <c r="FXQ105" s="3"/>
      <c r="FXR105" s="3"/>
      <c r="FXS105" s="3"/>
      <c r="FXT105" s="3"/>
      <c r="FXU105" s="3"/>
      <c r="FXV105" s="3"/>
      <c r="FXW105" s="3"/>
      <c r="FXX105" s="3"/>
      <c r="FXY105" s="3"/>
      <c r="FXZ105" s="3"/>
      <c r="FYA105" s="3"/>
      <c r="FYB105" s="3"/>
      <c r="FYC105" s="3"/>
      <c r="FYD105" s="3"/>
      <c r="FYE105" s="3"/>
      <c r="FYF105" s="3"/>
      <c r="FYG105" s="3"/>
      <c r="FYH105" s="3"/>
      <c r="FYI105" s="3"/>
      <c r="FYJ105" s="3"/>
      <c r="FYK105" s="3"/>
      <c r="FYL105" s="3"/>
      <c r="FYM105" s="3"/>
      <c r="FYN105" s="3"/>
      <c r="FYO105" s="3"/>
      <c r="FYP105" s="3"/>
      <c r="FYQ105" s="3"/>
      <c r="FYR105" s="3"/>
      <c r="FYS105" s="3"/>
      <c r="FYT105" s="3"/>
      <c r="FYU105" s="3"/>
      <c r="FYV105" s="3"/>
      <c r="FYW105" s="3"/>
      <c r="FYX105" s="3"/>
      <c r="FYY105" s="3"/>
      <c r="FYZ105" s="3"/>
      <c r="FZA105" s="3"/>
      <c r="FZB105" s="3"/>
      <c r="FZC105" s="3"/>
      <c r="FZD105" s="3"/>
      <c r="FZE105" s="3"/>
      <c r="FZF105" s="3"/>
      <c r="FZG105" s="3"/>
      <c r="FZH105" s="3"/>
      <c r="FZI105" s="3"/>
      <c r="FZJ105" s="3"/>
      <c r="FZK105" s="3"/>
      <c r="FZL105" s="3"/>
      <c r="FZM105" s="3"/>
      <c r="FZN105" s="3"/>
      <c r="FZO105" s="3"/>
      <c r="FZP105" s="3"/>
      <c r="FZQ105" s="3"/>
      <c r="FZR105" s="3"/>
      <c r="FZS105" s="3"/>
      <c r="FZT105" s="3"/>
      <c r="FZU105" s="3"/>
      <c r="FZV105" s="3"/>
      <c r="FZW105" s="3"/>
      <c r="FZX105" s="3"/>
      <c r="FZY105" s="3"/>
      <c r="FZZ105" s="3"/>
      <c r="GAA105" s="3"/>
      <c r="GAB105" s="3"/>
      <c r="GAC105" s="3"/>
      <c r="GAD105" s="3"/>
      <c r="GAE105" s="3"/>
      <c r="GAF105" s="3"/>
      <c r="GAG105" s="3"/>
      <c r="GAH105" s="3"/>
      <c r="GAI105" s="3"/>
      <c r="GAJ105" s="3"/>
      <c r="GAK105" s="3"/>
      <c r="GAL105" s="3"/>
      <c r="GAM105" s="3"/>
      <c r="GAN105" s="3"/>
      <c r="GAO105" s="3"/>
      <c r="GAP105" s="3"/>
      <c r="GAQ105" s="3"/>
      <c r="GAR105" s="3"/>
      <c r="GAS105" s="3"/>
      <c r="GAT105" s="3"/>
      <c r="GAU105" s="3"/>
      <c r="GAV105" s="3"/>
      <c r="GAW105" s="3"/>
      <c r="GAX105" s="3"/>
      <c r="GAY105" s="3"/>
      <c r="GAZ105" s="3"/>
      <c r="GBA105" s="3"/>
      <c r="GBB105" s="3"/>
      <c r="GBC105" s="3"/>
      <c r="GBD105" s="3"/>
      <c r="GBE105" s="3"/>
      <c r="GBF105" s="3"/>
      <c r="GBG105" s="3"/>
      <c r="GBH105" s="3"/>
      <c r="GBI105" s="3"/>
      <c r="GBJ105" s="3"/>
      <c r="GBK105" s="3"/>
      <c r="GBL105" s="3"/>
      <c r="GBM105" s="3"/>
      <c r="GBN105" s="3"/>
      <c r="GBO105" s="3"/>
      <c r="GBP105" s="3"/>
      <c r="GBQ105" s="3"/>
      <c r="GBR105" s="3"/>
      <c r="GBS105" s="3"/>
      <c r="GBT105" s="3"/>
      <c r="GBU105" s="3"/>
      <c r="GBV105" s="3"/>
      <c r="GBW105" s="3"/>
      <c r="GBX105" s="3"/>
      <c r="GBY105" s="3"/>
      <c r="GBZ105" s="3"/>
      <c r="GCA105" s="3"/>
      <c r="GCB105" s="3"/>
      <c r="GCC105" s="3"/>
      <c r="GCD105" s="3"/>
      <c r="GCE105" s="3"/>
      <c r="GCF105" s="3"/>
      <c r="GCG105" s="3"/>
      <c r="GCH105" s="3"/>
      <c r="GCI105" s="3"/>
      <c r="GCJ105" s="3"/>
      <c r="GCK105" s="3"/>
      <c r="GCL105" s="3"/>
      <c r="GCM105" s="3"/>
      <c r="GCN105" s="3"/>
      <c r="GCO105" s="3"/>
      <c r="GCP105" s="3"/>
      <c r="GCQ105" s="3"/>
      <c r="GCR105" s="3"/>
      <c r="GCS105" s="3"/>
      <c r="GCT105" s="3"/>
      <c r="GCU105" s="3"/>
      <c r="GCV105" s="3"/>
      <c r="GCW105" s="3"/>
      <c r="GCX105" s="3"/>
      <c r="GCY105" s="3"/>
      <c r="GCZ105" s="3"/>
      <c r="GDA105" s="3"/>
      <c r="GDB105" s="3"/>
      <c r="GDC105" s="3"/>
      <c r="GDD105" s="3"/>
      <c r="GDE105" s="3"/>
      <c r="GDF105" s="3"/>
      <c r="GDG105" s="3"/>
      <c r="GDH105" s="3"/>
      <c r="GDI105" s="3"/>
      <c r="GDJ105" s="3"/>
      <c r="GDK105" s="3"/>
      <c r="GDL105" s="3"/>
      <c r="GDM105" s="3"/>
      <c r="GDN105" s="3"/>
      <c r="GDO105" s="3"/>
      <c r="GDP105" s="3"/>
      <c r="GDQ105" s="3"/>
      <c r="GDR105" s="3"/>
      <c r="GDS105" s="3"/>
      <c r="GDT105" s="3"/>
      <c r="GDU105" s="3"/>
      <c r="GDV105" s="3"/>
      <c r="GDW105" s="3"/>
      <c r="GDX105" s="3"/>
      <c r="GDY105" s="3"/>
      <c r="GDZ105" s="3"/>
      <c r="GEA105" s="3"/>
      <c r="GEB105" s="3"/>
      <c r="GEC105" s="3"/>
      <c r="GED105" s="3"/>
      <c r="GEE105" s="3"/>
      <c r="GEF105" s="3"/>
      <c r="GEG105" s="3"/>
      <c r="GEH105" s="3"/>
      <c r="GEI105" s="3"/>
      <c r="GEJ105" s="3"/>
      <c r="GEK105" s="3"/>
      <c r="GEL105" s="3"/>
      <c r="GEM105" s="3"/>
      <c r="GEN105" s="3"/>
      <c r="GEO105" s="3"/>
      <c r="GEP105" s="3"/>
      <c r="GEQ105" s="3"/>
      <c r="GER105" s="3"/>
      <c r="GES105" s="3"/>
      <c r="GET105" s="3"/>
      <c r="GEU105" s="3"/>
      <c r="GEV105" s="3"/>
      <c r="GEW105" s="3"/>
      <c r="GEX105" s="3"/>
      <c r="GEY105" s="3"/>
      <c r="GEZ105" s="3"/>
      <c r="GFA105" s="3"/>
      <c r="GFB105" s="3"/>
      <c r="GFC105" s="3"/>
      <c r="GFD105" s="3"/>
      <c r="GFE105" s="3"/>
      <c r="GFF105" s="3"/>
      <c r="GFG105" s="3"/>
      <c r="GFH105" s="3"/>
      <c r="GFI105" s="3"/>
      <c r="GFJ105" s="3"/>
      <c r="GFK105" s="3"/>
      <c r="GFL105" s="3"/>
      <c r="GFM105" s="3"/>
      <c r="GFN105" s="3"/>
      <c r="GFO105" s="3"/>
      <c r="GFP105" s="3"/>
      <c r="GFQ105" s="3"/>
      <c r="GFR105" s="3"/>
      <c r="GFS105" s="3"/>
      <c r="GFT105" s="3"/>
      <c r="GFU105" s="3"/>
      <c r="GFV105" s="3"/>
      <c r="GFW105" s="3"/>
      <c r="GFX105" s="3"/>
      <c r="GFY105" s="3"/>
      <c r="GFZ105" s="3"/>
      <c r="GGA105" s="3"/>
      <c r="GGB105" s="3"/>
      <c r="GGC105" s="3"/>
      <c r="GGD105" s="3"/>
      <c r="GGE105" s="3"/>
      <c r="GGF105" s="3"/>
      <c r="GGG105" s="3"/>
      <c r="GGH105" s="3"/>
      <c r="GGI105" s="3"/>
      <c r="GGJ105" s="3"/>
      <c r="GGK105" s="3"/>
      <c r="GGL105" s="3"/>
      <c r="GGM105" s="3"/>
      <c r="GGN105" s="3"/>
      <c r="GGO105" s="3"/>
      <c r="GGP105" s="3"/>
      <c r="GGQ105" s="3"/>
      <c r="GGR105" s="3"/>
      <c r="GGS105" s="3"/>
      <c r="GGT105" s="3"/>
      <c r="GGU105" s="3"/>
      <c r="GGV105" s="3"/>
      <c r="GGW105" s="3"/>
      <c r="GGX105" s="3"/>
      <c r="GGY105" s="3"/>
      <c r="GGZ105" s="3"/>
      <c r="GHA105" s="3"/>
      <c r="GHB105" s="3"/>
      <c r="GHC105" s="3"/>
      <c r="GHD105" s="3"/>
      <c r="GHE105" s="3"/>
      <c r="GHF105" s="3"/>
      <c r="GHG105" s="3"/>
      <c r="GHH105" s="3"/>
      <c r="GHI105" s="3"/>
      <c r="GHJ105" s="3"/>
      <c r="GHK105" s="3"/>
      <c r="GHL105" s="3"/>
      <c r="GHM105" s="3"/>
      <c r="GHN105" s="3"/>
      <c r="GHO105" s="3"/>
      <c r="GHP105" s="3"/>
      <c r="GHQ105" s="3"/>
      <c r="GHR105" s="3"/>
      <c r="GHS105" s="3"/>
      <c r="GHT105" s="3"/>
      <c r="GHU105" s="3"/>
      <c r="GHV105" s="3"/>
      <c r="GHW105" s="3"/>
      <c r="GHX105" s="3"/>
      <c r="GHY105" s="3"/>
      <c r="GHZ105" s="3"/>
      <c r="GIA105" s="3"/>
      <c r="GIB105" s="3"/>
      <c r="GIC105" s="3"/>
      <c r="GID105" s="3"/>
      <c r="GIE105" s="3"/>
      <c r="GIF105" s="3"/>
      <c r="GIG105" s="3"/>
      <c r="GIH105" s="3"/>
      <c r="GII105" s="3"/>
      <c r="GIJ105" s="3"/>
      <c r="GIK105" s="3"/>
      <c r="GIL105" s="3"/>
      <c r="GIM105" s="3"/>
      <c r="GIN105" s="3"/>
      <c r="GIO105" s="3"/>
      <c r="GIP105" s="3"/>
      <c r="GIQ105" s="3"/>
      <c r="GIR105" s="3"/>
      <c r="GIS105" s="3"/>
      <c r="GIT105" s="3"/>
      <c r="GIU105" s="3"/>
      <c r="GIV105" s="3"/>
      <c r="GIW105" s="3"/>
      <c r="GIX105" s="3"/>
      <c r="GIY105" s="3"/>
      <c r="GIZ105" s="3"/>
      <c r="GJA105" s="3"/>
      <c r="GJB105" s="3"/>
      <c r="GJC105" s="3"/>
      <c r="GJD105" s="3"/>
      <c r="GJE105" s="3"/>
      <c r="GJF105" s="3"/>
      <c r="GJG105" s="3"/>
      <c r="GJH105" s="3"/>
      <c r="GJI105" s="3"/>
      <c r="GJJ105" s="3"/>
      <c r="GJK105" s="3"/>
      <c r="GJL105" s="3"/>
      <c r="GJM105" s="3"/>
      <c r="GJN105" s="3"/>
      <c r="GJO105" s="3"/>
      <c r="GJP105" s="3"/>
      <c r="GJQ105" s="3"/>
      <c r="GJR105" s="3"/>
      <c r="GJS105" s="3"/>
      <c r="GJT105" s="3"/>
      <c r="GJU105" s="3"/>
      <c r="GJV105" s="3"/>
      <c r="GJW105" s="3"/>
      <c r="GJX105" s="3"/>
      <c r="GJY105" s="3"/>
      <c r="GJZ105" s="3"/>
      <c r="GKA105" s="3"/>
      <c r="GKB105" s="3"/>
      <c r="GKC105" s="3"/>
      <c r="GKD105" s="3"/>
      <c r="GKE105" s="3"/>
      <c r="GKF105" s="3"/>
      <c r="GKG105" s="3"/>
      <c r="GKH105" s="3"/>
      <c r="GKI105" s="3"/>
      <c r="GKJ105" s="3"/>
      <c r="GKK105" s="3"/>
      <c r="GKL105" s="3"/>
      <c r="GKM105" s="3"/>
      <c r="GKN105" s="3"/>
      <c r="GKO105" s="3"/>
      <c r="GKP105" s="3"/>
      <c r="GKQ105" s="3"/>
      <c r="GKR105" s="3"/>
      <c r="GKS105" s="3"/>
      <c r="GKT105" s="3"/>
      <c r="GKU105" s="3"/>
      <c r="GKV105" s="3"/>
      <c r="GKW105" s="3"/>
      <c r="GKX105" s="3"/>
      <c r="GKY105" s="3"/>
      <c r="GKZ105" s="3"/>
      <c r="GLA105" s="3"/>
      <c r="GLB105" s="3"/>
      <c r="GLC105" s="3"/>
      <c r="GLD105" s="3"/>
      <c r="GLE105" s="3"/>
      <c r="GLF105" s="3"/>
      <c r="GLG105" s="3"/>
      <c r="GLH105" s="3"/>
      <c r="GLI105" s="3"/>
      <c r="GLJ105" s="3"/>
      <c r="GLK105" s="3"/>
      <c r="GLL105" s="3"/>
      <c r="GLM105" s="3"/>
      <c r="GLN105" s="3"/>
      <c r="GLO105" s="3"/>
      <c r="GLP105" s="3"/>
      <c r="GLQ105" s="3"/>
      <c r="GLR105" s="3"/>
      <c r="GLS105" s="3"/>
      <c r="GLT105" s="3"/>
      <c r="GLU105" s="3"/>
      <c r="GLV105" s="3"/>
      <c r="GLW105" s="3"/>
      <c r="GLX105" s="3"/>
      <c r="GLY105" s="3"/>
      <c r="GLZ105" s="3"/>
      <c r="GMA105" s="3"/>
      <c r="GMB105" s="3"/>
      <c r="GMC105" s="3"/>
      <c r="GMD105" s="3"/>
      <c r="GME105" s="3"/>
      <c r="GMF105" s="3"/>
      <c r="GMG105" s="3"/>
      <c r="GMH105" s="3"/>
      <c r="GMI105" s="3"/>
      <c r="GMJ105" s="3"/>
      <c r="GMK105" s="3"/>
      <c r="GML105" s="3"/>
      <c r="GMM105" s="3"/>
      <c r="GMN105" s="3"/>
      <c r="GMO105" s="3"/>
      <c r="GMP105" s="3"/>
      <c r="GMQ105" s="3"/>
      <c r="GMR105" s="3"/>
      <c r="GMS105" s="3"/>
      <c r="GMT105" s="3"/>
      <c r="GMU105" s="3"/>
      <c r="GMV105" s="3"/>
      <c r="GMW105" s="3"/>
      <c r="GMX105" s="3"/>
      <c r="GMY105" s="3"/>
      <c r="GMZ105" s="3"/>
      <c r="GNA105" s="3"/>
      <c r="GNB105" s="3"/>
      <c r="GNC105" s="3"/>
      <c r="GND105" s="3"/>
      <c r="GNE105" s="3"/>
      <c r="GNF105" s="3"/>
      <c r="GNG105" s="3"/>
      <c r="GNH105" s="3"/>
      <c r="GNI105" s="3"/>
      <c r="GNJ105" s="3"/>
      <c r="GNK105" s="3"/>
      <c r="GNL105" s="3"/>
      <c r="GNM105" s="3"/>
      <c r="GNN105" s="3"/>
      <c r="GNO105" s="3"/>
      <c r="GNP105" s="3"/>
      <c r="GNQ105" s="3"/>
      <c r="GNR105" s="3"/>
      <c r="GNS105" s="3"/>
      <c r="GNT105" s="3"/>
      <c r="GNU105" s="3"/>
      <c r="GNV105" s="3"/>
      <c r="GNW105" s="3"/>
      <c r="GNX105" s="3"/>
      <c r="GNY105" s="3"/>
      <c r="GNZ105" s="3"/>
      <c r="GOA105" s="3"/>
      <c r="GOB105" s="3"/>
      <c r="GOC105" s="3"/>
      <c r="GOD105" s="3"/>
      <c r="GOE105" s="3"/>
      <c r="GOF105" s="3"/>
      <c r="GOG105" s="3"/>
      <c r="GOH105" s="3"/>
      <c r="GOI105" s="3"/>
      <c r="GOJ105" s="3"/>
      <c r="GOK105" s="3"/>
      <c r="GOL105" s="3"/>
      <c r="GOM105" s="3"/>
      <c r="GON105" s="3"/>
      <c r="GOO105" s="3"/>
      <c r="GOP105" s="3"/>
      <c r="GOQ105" s="3"/>
      <c r="GOR105" s="3"/>
      <c r="GOS105" s="3"/>
      <c r="GOT105" s="3"/>
      <c r="GOU105" s="3"/>
      <c r="GOV105" s="3"/>
      <c r="GOW105" s="3"/>
      <c r="GOX105" s="3"/>
      <c r="GOY105" s="3"/>
      <c r="GOZ105" s="3"/>
      <c r="GPA105" s="3"/>
      <c r="GPB105" s="3"/>
      <c r="GPC105" s="3"/>
      <c r="GPD105" s="3"/>
      <c r="GPE105" s="3"/>
      <c r="GPF105" s="3"/>
      <c r="GPG105" s="3"/>
      <c r="GPH105" s="3"/>
      <c r="GPI105" s="3"/>
      <c r="GPJ105" s="3"/>
      <c r="GPK105" s="3"/>
      <c r="GPL105" s="3"/>
      <c r="GPM105" s="3"/>
      <c r="GPN105" s="3"/>
      <c r="GPO105" s="3"/>
      <c r="GPP105" s="3"/>
      <c r="GPQ105" s="3"/>
      <c r="GPR105" s="3"/>
      <c r="GPS105" s="3"/>
      <c r="GPT105" s="3"/>
      <c r="GPU105" s="3"/>
      <c r="GPV105" s="3"/>
      <c r="GPW105" s="3"/>
      <c r="GPX105" s="3"/>
      <c r="GPY105" s="3"/>
      <c r="GPZ105" s="3"/>
      <c r="GQA105" s="3"/>
      <c r="GQB105" s="3"/>
      <c r="GQC105" s="3"/>
      <c r="GQD105" s="3"/>
      <c r="GQE105" s="3"/>
      <c r="GQF105" s="3"/>
      <c r="GQG105" s="3"/>
      <c r="GQH105" s="3"/>
      <c r="GQI105" s="3"/>
      <c r="GQJ105" s="3"/>
      <c r="GQK105" s="3"/>
      <c r="GQL105" s="3"/>
      <c r="GQM105" s="3"/>
      <c r="GQN105" s="3"/>
      <c r="GQO105" s="3"/>
      <c r="GQP105" s="3"/>
      <c r="GQQ105" s="3"/>
      <c r="GQR105" s="3"/>
      <c r="GQS105" s="3"/>
      <c r="GQT105" s="3"/>
      <c r="GQU105" s="3"/>
      <c r="GQV105" s="3"/>
      <c r="GQW105" s="3"/>
      <c r="GQX105" s="3"/>
      <c r="GQY105" s="3"/>
      <c r="GQZ105" s="3"/>
      <c r="GRA105" s="3"/>
      <c r="GRB105" s="3"/>
      <c r="GRC105" s="3"/>
      <c r="GRD105" s="3"/>
      <c r="GRE105" s="3"/>
      <c r="GRF105" s="3"/>
      <c r="GRG105" s="3"/>
      <c r="GRH105" s="3"/>
      <c r="GRI105" s="3"/>
      <c r="GRJ105" s="3"/>
      <c r="GRK105" s="3"/>
      <c r="GRL105" s="3"/>
      <c r="GRM105" s="3"/>
      <c r="GRN105" s="3"/>
      <c r="GRO105" s="3"/>
      <c r="GRP105" s="3"/>
      <c r="GRQ105" s="3"/>
      <c r="GRR105" s="3"/>
      <c r="GRS105" s="3"/>
      <c r="GRT105" s="3"/>
      <c r="GRU105" s="3"/>
      <c r="GRV105" s="3"/>
      <c r="GRW105" s="3"/>
      <c r="GRX105" s="3"/>
      <c r="GRY105" s="3"/>
      <c r="GRZ105" s="3"/>
      <c r="GSA105" s="3"/>
      <c r="GSB105" s="3"/>
      <c r="GSC105" s="3"/>
      <c r="GSD105" s="3"/>
      <c r="GSE105" s="3"/>
      <c r="GSF105" s="3"/>
      <c r="GSG105" s="3"/>
      <c r="GSH105" s="3"/>
      <c r="GSI105" s="3"/>
      <c r="GSJ105" s="3"/>
      <c r="GSK105" s="3"/>
      <c r="GSL105" s="3"/>
      <c r="GSM105" s="3"/>
      <c r="GSN105" s="3"/>
      <c r="GSO105" s="3"/>
      <c r="GSP105" s="3"/>
      <c r="GSQ105" s="3"/>
      <c r="GSR105" s="3"/>
      <c r="GSS105" s="3"/>
      <c r="GST105" s="3"/>
      <c r="GSU105" s="3"/>
      <c r="GSV105" s="3"/>
      <c r="GSW105" s="3"/>
      <c r="GSX105" s="3"/>
      <c r="GSY105" s="3"/>
      <c r="GSZ105" s="3"/>
      <c r="GTA105" s="3"/>
      <c r="GTB105" s="3"/>
      <c r="GTC105" s="3"/>
      <c r="GTD105" s="3"/>
      <c r="GTE105" s="3"/>
      <c r="GTF105" s="3"/>
      <c r="GTG105" s="3"/>
      <c r="GTH105" s="3"/>
      <c r="GTI105" s="3"/>
      <c r="GTJ105" s="3"/>
      <c r="GTK105" s="3"/>
      <c r="GTL105" s="3"/>
      <c r="GTM105" s="3"/>
      <c r="GTN105" s="3"/>
      <c r="GTO105" s="3"/>
      <c r="GTP105" s="3"/>
      <c r="GTQ105" s="3"/>
      <c r="GTR105" s="3"/>
      <c r="GTS105" s="3"/>
      <c r="GTT105" s="3"/>
      <c r="GTU105" s="3"/>
      <c r="GTV105" s="3"/>
      <c r="GTW105" s="3"/>
      <c r="GTX105" s="3"/>
      <c r="GTY105" s="3"/>
      <c r="GTZ105" s="3"/>
      <c r="GUA105" s="3"/>
      <c r="GUB105" s="3"/>
      <c r="GUC105" s="3"/>
      <c r="GUD105" s="3"/>
      <c r="GUE105" s="3"/>
      <c r="GUF105" s="3"/>
      <c r="GUG105" s="3"/>
      <c r="GUH105" s="3"/>
      <c r="GUI105" s="3"/>
      <c r="GUJ105" s="3"/>
      <c r="GUK105" s="3"/>
      <c r="GUL105" s="3"/>
      <c r="GUM105" s="3"/>
      <c r="GUN105" s="3"/>
      <c r="GUO105" s="3"/>
      <c r="GUP105" s="3"/>
      <c r="GUQ105" s="3"/>
      <c r="GUR105" s="3"/>
      <c r="GUS105" s="3"/>
      <c r="GUT105" s="3"/>
      <c r="GUU105" s="3"/>
      <c r="GUV105" s="3"/>
      <c r="GUW105" s="3"/>
      <c r="GUX105" s="3"/>
      <c r="GUY105" s="3"/>
      <c r="GUZ105" s="3"/>
      <c r="GVA105" s="3"/>
      <c r="GVB105" s="3"/>
      <c r="GVC105" s="3"/>
      <c r="GVD105" s="3"/>
      <c r="GVE105" s="3"/>
      <c r="GVF105" s="3"/>
      <c r="GVG105" s="3"/>
      <c r="GVH105" s="3"/>
      <c r="GVI105" s="3"/>
      <c r="GVJ105" s="3"/>
      <c r="GVK105" s="3"/>
      <c r="GVL105" s="3"/>
      <c r="GVM105" s="3"/>
      <c r="GVN105" s="3"/>
      <c r="GVO105" s="3"/>
      <c r="GVP105" s="3"/>
      <c r="GVQ105" s="3"/>
      <c r="GVR105" s="3"/>
      <c r="GVS105" s="3"/>
      <c r="GVT105" s="3"/>
      <c r="GVU105" s="3"/>
      <c r="GVV105" s="3"/>
      <c r="GVW105" s="3"/>
      <c r="GVX105" s="3"/>
      <c r="GVY105" s="3"/>
      <c r="GVZ105" s="3"/>
      <c r="GWA105" s="3"/>
      <c r="GWB105" s="3"/>
      <c r="GWC105" s="3"/>
      <c r="GWD105" s="3"/>
      <c r="GWE105" s="3"/>
      <c r="GWF105" s="3"/>
      <c r="GWG105" s="3"/>
      <c r="GWH105" s="3"/>
      <c r="GWI105" s="3"/>
      <c r="GWJ105" s="3"/>
      <c r="GWK105" s="3"/>
      <c r="GWL105" s="3"/>
      <c r="GWM105" s="3"/>
      <c r="GWN105" s="3"/>
      <c r="GWO105" s="3"/>
      <c r="GWP105" s="3"/>
      <c r="GWQ105" s="3"/>
      <c r="GWR105" s="3"/>
      <c r="GWS105" s="3"/>
      <c r="GWT105" s="3"/>
      <c r="GWU105" s="3"/>
      <c r="GWV105" s="3"/>
      <c r="GWW105" s="3"/>
      <c r="GWX105" s="3"/>
      <c r="GWY105" s="3"/>
      <c r="GWZ105" s="3"/>
      <c r="GXA105" s="3"/>
      <c r="GXB105" s="3"/>
      <c r="GXC105" s="3"/>
      <c r="GXD105" s="3"/>
      <c r="GXE105" s="3"/>
      <c r="GXF105" s="3"/>
      <c r="GXG105" s="3"/>
      <c r="GXH105" s="3"/>
      <c r="GXI105" s="3"/>
      <c r="GXJ105" s="3"/>
      <c r="GXK105" s="3"/>
      <c r="GXL105" s="3"/>
      <c r="GXM105" s="3"/>
      <c r="GXN105" s="3"/>
      <c r="GXO105" s="3"/>
      <c r="GXP105" s="3"/>
      <c r="GXQ105" s="3"/>
      <c r="GXR105" s="3"/>
      <c r="GXS105" s="3"/>
      <c r="GXT105" s="3"/>
      <c r="GXU105" s="3"/>
      <c r="GXV105" s="3"/>
      <c r="GXW105" s="3"/>
      <c r="GXX105" s="3"/>
      <c r="GXY105" s="3"/>
      <c r="GXZ105" s="3"/>
      <c r="GYA105" s="3"/>
      <c r="GYB105" s="3"/>
      <c r="GYC105" s="3"/>
      <c r="GYD105" s="3"/>
      <c r="GYE105" s="3"/>
      <c r="GYF105" s="3"/>
      <c r="GYG105" s="3"/>
      <c r="GYH105" s="3"/>
      <c r="GYI105" s="3"/>
      <c r="GYJ105" s="3"/>
      <c r="GYK105" s="3"/>
      <c r="GYL105" s="3"/>
      <c r="GYM105" s="3"/>
      <c r="GYN105" s="3"/>
      <c r="GYO105" s="3"/>
      <c r="GYP105" s="3"/>
      <c r="GYQ105" s="3"/>
      <c r="GYR105" s="3"/>
      <c r="GYS105" s="3"/>
      <c r="GYT105" s="3"/>
      <c r="GYU105" s="3"/>
      <c r="GYV105" s="3"/>
      <c r="GYW105" s="3"/>
      <c r="GYX105" s="3"/>
      <c r="GYY105" s="3"/>
      <c r="GYZ105" s="3"/>
      <c r="GZA105" s="3"/>
      <c r="GZB105" s="3"/>
      <c r="GZC105" s="3"/>
      <c r="GZD105" s="3"/>
      <c r="GZE105" s="3"/>
      <c r="GZF105" s="3"/>
      <c r="GZG105" s="3"/>
      <c r="GZH105" s="3"/>
      <c r="GZI105" s="3"/>
      <c r="GZJ105" s="3"/>
      <c r="GZK105" s="3"/>
      <c r="GZL105" s="3"/>
      <c r="GZM105" s="3"/>
      <c r="GZN105" s="3"/>
      <c r="GZO105" s="3"/>
      <c r="GZP105" s="3"/>
      <c r="GZQ105" s="3"/>
      <c r="GZR105" s="3"/>
      <c r="GZS105" s="3"/>
      <c r="GZT105" s="3"/>
      <c r="GZU105" s="3"/>
      <c r="GZV105" s="3"/>
      <c r="GZW105" s="3"/>
      <c r="GZX105" s="3"/>
      <c r="GZY105" s="3"/>
      <c r="GZZ105" s="3"/>
      <c r="HAA105" s="3"/>
      <c r="HAB105" s="3"/>
      <c r="HAC105" s="3"/>
      <c r="HAD105" s="3"/>
      <c r="HAE105" s="3"/>
      <c r="HAF105" s="3"/>
      <c r="HAG105" s="3"/>
      <c r="HAH105" s="3"/>
      <c r="HAI105" s="3"/>
      <c r="HAJ105" s="3"/>
      <c r="HAK105" s="3"/>
      <c r="HAL105" s="3"/>
      <c r="HAM105" s="3"/>
      <c r="HAN105" s="3"/>
      <c r="HAO105" s="3"/>
      <c r="HAP105" s="3"/>
      <c r="HAQ105" s="3"/>
      <c r="HAR105" s="3"/>
      <c r="HAS105" s="3"/>
      <c r="HAT105" s="3"/>
      <c r="HAU105" s="3"/>
      <c r="HAV105" s="3"/>
      <c r="HAW105" s="3"/>
      <c r="HAX105" s="3"/>
      <c r="HAY105" s="3"/>
      <c r="HAZ105" s="3"/>
      <c r="HBA105" s="3"/>
      <c r="HBB105" s="3"/>
      <c r="HBC105" s="3"/>
      <c r="HBD105" s="3"/>
      <c r="HBE105" s="3"/>
      <c r="HBF105" s="3"/>
      <c r="HBG105" s="3"/>
      <c r="HBH105" s="3"/>
      <c r="HBI105" s="3"/>
      <c r="HBJ105" s="3"/>
      <c r="HBK105" s="3"/>
      <c r="HBL105" s="3"/>
      <c r="HBM105" s="3"/>
      <c r="HBN105" s="3"/>
      <c r="HBO105" s="3"/>
      <c r="HBP105" s="3"/>
      <c r="HBQ105" s="3"/>
      <c r="HBR105" s="3"/>
      <c r="HBS105" s="3"/>
      <c r="HBT105" s="3"/>
      <c r="HBU105" s="3"/>
      <c r="HBV105" s="3"/>
      <c r="HBW105" s="3"/>
      <c r="HBX105" s="3"/>
      <c r="HBY105" s="3"/>
      <c r="HBZ105" s="3"/>
      <c r="HCA105" s="3"/>
      <c r="HCB105" s="3"/>
      <c r="HCC105" s="3"/>
      <c r="HCD105" s="3"/>
      <c r="HCE105" s="3"/>
      <c r="HCF105" s="3"/>
      <c r="HCG105" s="3"/>
      <c r="HCH105" s="3"/>
      <c r="HCI105" s="3"/>
      <c r="HCJ105" s="3"/>
      <c r="HCK105" s="3"/>
      <c r="HCL105" s="3"/>
      <c r="HCM105" s="3"/>
      <c r="HCN105" s="3"/>
      <c r="HCO105" s="3"/>
      <c r="HCP105" s="3"/>
      <c r="HCQ105" s="3"/>
      <c r="HCR105" s="3"/>
      <c r="HCS105" s="3"/>
      <c r="HCT105" s="3"/>
      <c r="HCU105" s="3"/>
      <c r="HCV105" s="3"/>
      <c r="HCW105" s="3"/>
      <c r="HCX105" s="3"/>
      <c r="HCY105" s="3"/>
      <c r="HCZ105" s="3"/>
      <c r="HDA105" s="3"/>
      <c r="HDB105" s="3"/>
      <c r="HDC105" s="3"/>
      <c r="HDD105" s="3"/>
      <c r="HDE105" s="3"/>
      <c r="HDF105" s="3"/>
      <c r="HDG105" s="3"/>
      <c r="HDH105" s="3"/>
      <c r="HDI105" s="3"/>
      <c r="HDJ105" s="3"/>
      <c r="HDK105" s="3"/>
      <c r="HDL105" s="3"/>
      <c r="HDM105" s="3"/>
      <c r="HDN105" s="3"/>
      <c r="HDO105" s="3"/>
      <c r="HDP105" s="3"/>
      <c r="HDQ105" s="3"/>
      <c r="HDR105" s="3"/>
      <c r="HDS105" s="3"/>
      <c r="HDT105" s="3"/>
      <c r="HDU105" s="3"/>
      <c r="HDV105" s="3"/>
      <c r="HDW105" s="3"/>
      <c r="HDX105" s="3"/>
      <c r="HDY105" s="3"/>
      <c r="HDZ105" s="3"/>
      <c r="HEA105" s="3"/>
      <c r="HEB105" s="3"/>
      <c r="HEC105" s="3"/>
      <c r="HED105" s="3"/>
      <c r="HEE105" s="3"/>
      <c r="HEF105" s="3"/>
      <c r="HEG105" s="3"/>
      <c r="HEH105" s="3"/>
      <c r="HEI105" s="3"/>
      <c r="HEJ105" s="3"/>
      <c r="HEK105" s="3"/>
      <c r="HEL105" s="3"/>
      <c r="HEM105" s="3"/>
      <c r="HEN105" s="3"/>
      <c r="HEO105" s="3"/>
      <c r="HEP105" s="3"/>
      <c r="HEQ105" s="3"/>
      <c r="HER105" s="3"/>
      <c r="HES105" s="3"/>
      <c r="HET105" s="3"/>
      <c r="HEU105" s="3"/>
      <c r="HEV105" s="3"/>
      <c r="HEW105" s="3"/>
      <c r="HEX105" s="3"/>
      <c r="HEY105" s="3"/>
      <c r="HEZ105" s="3"/>
      <c r="HFA105" s="3"/>
      <c r="HFB105" s="3"/>
      <c r="HFC105" s="3"/>
      <c r="HFD105" s="3"/>
      <c r="HFE105" s="3"/>
      <c r="HFF105" s="3"/>
      <c r="HFG105" s="3"/>
      <c r="HFH105" s="3"/>
      <c r="HFI105" s="3"/>
      <c r="HFJ105" s="3"/>
      <c r="HFK105" s="3"/>
      <c r="HFL105" s="3"/>
      <c r="HFM105" s="3"/>
      <c r="HFN105" s="3"/>
      <c r="HFO105" s="3"/>
      <c r="HFP105" s="3"/>
      <c r="HFQ105" s="3"/>
      <c r="HFR105" s="3"/>
      <c r="HFS105" s="3"/>
      <c r="HFT105" s="3"/>
      <c r="HFU105" s="3"/>
      <c r="HFV105" s="3"/>
      <c r="HFW105" s="3"/>
      <c r="HFX105" s="3"/>
      <c r="HFY105" s="3"/>
      <c r="HFZ105" s="3"/>
      <c r="HGA105" s="3"/>
      <c r="HGB105" s="3"/>
      <c r="HGC105" s="3"/>
      <c r="HGD105" s="3"/>
      <c r="HGE105" s="3"/>
      <c r="HGF105" s="3"/>
      <c r="HGG105" s="3"/>
      <c r="HGH105" s="3"/>
      <c r="HGI105" s="3"/>
      <c r="HGJ105" s="3"/>
      <c r="HGK105" s="3"/>
      <c r="HGL105" s="3"/>
      <c r="HGM105" s="3"/>
      <c r="HGN105" s="3"/>
      <c r="HGO105" s="3"/>
      <c r="HGP105" s="3"/>
      <c r="HGQ105" s="3"/>
      <c r="HGR105" s="3"/>
      <c r="HGS105" s="3"/>
      <c r="HGT105" s="3"/>
      <c r="HGU105" s="3"/>
      <c r="HGV105" s="3"/>
      <c r="HGW105" s="3"/>
      <c r="HGX105" s="3"/>
      <c r="HGY105" s="3"/>
      <c r="HGZ105" s="3"/>
      <c r="HHA105" s="3"/>
      <c r="HHB105" s="3"/>
      <c r="HHC105" s="3"/>
      <c r="HHD105" s="3"/>
      <c r="HHE105" s="3"/>
      <c r="HHF105" s="3"/>
      <c r="HHG105" s="3"/>
      <c r="HHH105" s="3"/>
      <c r="HHI105" s="3"/>
      <c r="HHJ105" s="3"/>
      <c r="HHK105" s="3"/>
      <c r="HHL105" s="3"/>
      <c r="HHM105" s="3"/>
      <c r="HHN105" s="3"/>
      <c r="HHO105" s="3"/>
      <c r="HHP105" s="3"/>
      <c r="HHQ105" s="3"/>
      <c r="HHR105" s="3"/>
      <c r="HHS105" s="3"/>
      <c r="HHT105" s="3"/>
      <c r="HHU105" s="3"/>
      <c r="HHV105" s="3"/>
      <c r="HHW105" s="3"/>
      <c r="HHX105" s="3"/>
      <c r="HHY105" s="3"/>
      <c r="HHZ105" s="3"/>
      <c r="HIA105" s="3"/>
      <c r="HIB105" s="3"/>
      <c r="HIC105" s="3"/>
      <c r="HID105" s="3"/>
      <c r="HIE105" s="3"/>
      <c r="HIF105" s="3"/>
      <c r="HIG105" s="3"/>
      <c r="HIH105" s="3"/>
      <c r="HII105" s="3"/>
      <c r="HIJ105" s="3"/>
      <c r="HIK105" s="3"/>
      <c r="HIL105" s="3"/>
      <c r="HIM105" s="3"/>
      <c r="HIN105" s="3"/>
      <c r="HIO105" s="3"/>
      <c r="HIP105" s="3"/>
      <c r="HIQ105" s="3"/>
      <c r="HIR105" s="3"/>
      <c r="HIS105" s="3"/>
      <c r="HIT105" s="3"/>
      <c r="HIU105" s="3"/>
      <c r="HIV105" s="3"/>
      <c r="HIW105" s="3"/>
      <c r="HIX105" s="3"/>
      <c r="HIY105" s="3"/>
      <c r="HIZ105" s="3"/>
      <c r="HJA105" s="3"/>
      <c r="HJB105" s="3"/>
      <c r="HJC105" s="3"/>
      <c r="HJD105" s="3"/>
      <c r="HJE105" s="3"/>
      <c r="HJF105" s="3"/>
      <c r="HJG105" s="3"/>
      <c r="HJH105" s="3"/>
      <c r="HJI105" s="3"/>
      <c r="HJJ105" s="3"/>
      <c r="HJK105" s="3"/>
      <c r="HJL105" s="3"/>
      <c r="HJM105" s="3"/>
      <c r="HJN105" s="3"/>
      <c r="HJO105" s="3"/>
      <c r="HJP105" s="3"/>
      <c r="HJQ105" s="3"/>
      <c r="HJR105" s="3"/>
      <c r="HJS105" s="3"/>
      <c r="HJT105" s="3"/>
      <c r="HJU105" s="3"/>
      <c r="HJV105" s="3"/>
      <c r="HJW105" s="3"/>
      <c r="HJX105" s="3"/>
      <c r="HJY105" s="3"/>
      <c r="HJZ105" s="3"/>
      <c r="HKA105" s="3"/>
      <c r="HKB105" s="3"/>
      <c r="HKC105" s="3"/>
      <c r="HKD105" s="3"/>
      <c r="HKE105" s="3"/>
      <c r="HKF105" s="3"/>
      <c r="HKG105" s="3"/>
      <c r="HKH105" s="3"/>
      <c r="HKI105" s="3"/>
      <c r="HKJ105" s="3"/>
      <c r="HKK105" s="3"/>
      <c r="HKL105" s="3"/>
      <c r="HKM105" s="3"/>
      <c r="HKN105" s="3"/>
      <c r="HKO105" s="3"/>
      <c r="HKP105" s="3"/>
      <c r="HKQ105" s="3"/>
      <c r="HKR105" s="3"/>
      <c r="HKS105" s="3"/>
      <c r="HKT105" s="3"/>
      <c r="HKU105" s="3"/>
      <c r="HKV105" s="3"/>
      <c r="HKW105" s="3"/>
      <c r="HKX105" s="3"/>
      <c r="HKY105" s="3"/>
      <c r="HKZ105" s="3"/>
      <c r="HLA105" s="3"/>
      <c r="HLB105" s="3"/>
      <c r="HLC105" s="3"/>
      <c r="HLD105" s="3"/>
      <c r="HLE105" s="3"/>
      <c r="HLF105" s="3"/>
      <c r="HLG105" s="3"/>
      <c r="HLH105" s="3"/>
      <c r="HLI105" s="3"/>
      <c r="HLJ105" s="3"/>
      <c r="HLK105" s="3"/>
      <c r="HLL105" s="3"/>
      <c r="HLM105" s="3"/>
      <c r="HLN105" s="3"/>
      <c r="HLO105" s="3"/>
      <c r="HLP105" s="3"/>
      <c r="HLQ105" s="3"/>
      <c r="HLR105" s="3"/>
      <c r="HLS105" s="3"/>
      <c r="HLT105" s="3"/>
      <c r="HLU105" s="3"/>
      <c r="HLV105" s="3"/>
      <c r="HLW105" s="3"/>
      <c r="HLX105" s="3"/>
      <c r="HLY105" s="3"/>
      <c r="HLZ105" s="3"/>
      <c r="HMA105" s="3"/>
      <c r="HMB105" s="3"/>
      <c r="HMC105" s="3"/>
      <c r="HMD105" s="3"/>
      <c r="HME105" s="3"/>
      <c r="HMF105" s="3"/>
      <c r="HMG105" s="3"/>
      <c r="HMH105" s="3"/>
      <c r="HMI105" s="3"/>
      <c r="HMJ105" s="3"/>
      <c r="HMK105" s="3"/>
      <c r="HML105" s="3"/>
      <c r="HMM105" s="3"/>
      <c r="HMN105" s="3"/>
      <c r="HMO105" s="3"/>
      <c r="HMP105" s="3"/>
      <c r="HMQ105" s="3"/>
      <c r="HMR105" s="3"/>
      <c r="HMS105" s="3"/>
      <c r="HMT105" s="3"/>
      <c r="HMU105" s="3"/>
      <c r="HMV105" s="3"/>
      <c r="HMW105" s="3"/>
      <c r="HMX105" s="3"/>
      <c r="HMY105" s="3"/>
      <c r="HMZ105" s="3"/>
      <c r="HNA105" s="3"/>
      <c r="HNB105" s="3"/>
      <c r="HNC105" s="3"/>
      <c r="HND105" s="3"/>
      <c r="HNE105" s="3"/>
      <c r="HNF105" s="3"/>
      <c r="HNG105" s="3"/>
      <c r="HNH105" s="3"/>
      <c r="HNI105" s="3"/>
      <c r="HNJ105" s="3"/>
      <c r="HNK105" s="3"/>
      <c r="HNL105" s="3"/>
      <c r="HNM105" s="3"/>
      <c r="HNN105" s="3"/>
      <c r="HNO105" s="3"/>
      <c r="HNP105" s="3"/>
      <c r="HNQ105" s="3"/>
      <c r="HNR105" s="3"/>
      <c r="HNS105" s="3"/>
      <c r="HNT105" s="3"/>
      <c r="HNU105" s="3"/>
      <c r="HNV105" s="3"/>
      <c r="HNW105" s="3"/>
      <c r="HNX105" s="3"/>
      <c r="HNY105" s="3"/>
      <c r="HNZ105" s="3"/>
      <c r="HOA105" s="3"/>
      <c r="HOB105" s="3"/>
      <c r="HOC105" s="3"/>
      <c r="HOD105" s="3"/>
      <c r="HOE105" s="3"/>
      <c r="HOF105" s="3"/>
      <c r="HOG105" s="3"/>
      <c r="HOH105" s="3"/>
      <c r="HOI105" s="3"/>
      <c r="HOJ105" s="3"/>
      <c r="HOK105" s="3"/>
      <c r="HOL105" s="3"/>
      <c r="HOM105" s="3"/>
      <c r="HON105" s="3"/>
      <c r="HOO105" s="3"/>
      <c r="HOP105" s="3"/>
      <c r="HOQ105" s="3"/>
      <c r="HOR105" s="3"/>
      <c r="HOS105" s="3"/>
      <c r="HOT105" s="3"/>
      <c r="HOU105" s="3"/>
      <c r="HOV105" s="3"/>
      <c r="HOW105" s="3"/>
      <c r="HOX105" s="3"/>
      <c r="HOY105" s="3"/>
      <c r="HOZ105" s="3"/>
      <c r="HPA105" s="3"/>
      <c r="HPB105" s="3"/>
      <c r="HPC105" s="3"/>
      <c r="HPD105" s="3"/>
      <c r="HPE105" s="3"/>
      <c r="HPF105" s="3"/>
      <c r="HPG105" s="3"/>
      <c r="HPH105" s="3"/>
      <c r="HPI105" s="3"/>
      <c r="HPJ105" s="3"/>
      <c r="HPK105" s="3"/>
      <c r="HPL105" s="3"/>
      <c r="HPM105" s="3"/>
      <c r="HPN105" s="3"/>
      <c r="HPO105" s="3"/>
      <c r="HPP105" s="3"/>
      <c r="HPQ105" s="3"/>
      <c r="HPR105" s="3"/>
      <c r="HPS105" s="3"/>
      <c r="HPT105" s="3"/>
      <c r="HPU105" s="3"/>
      <c r="HPV105" s="3"/>
      <c r="HPW105" s="3"/>
      <c r="HPX105" s="3"/>
      <c r="HPY105" s="3"/>
      <c r="HPZ105" s="3"/>
      <c r="HQA105" s="3"/>
      <c r="HQB105" s="3"/>
      <c r="HQC105" s="3"/>
      <c r="HQD105" s="3"/>
      <c r="HQE105" s="3"/>
      <c r="HQF105" s="3"/>
      <c r="HQG105" s="3"/>
      <c r="HQH105" s="3"/>
      <c r="HQI105" s="3"/>
      <c r="HQJ105" s="3"/>
      <c r="HQK105" s="3"/>
      <c r="HQL105" s="3"/>
      <c r="HQM105" s="3"/>
      <c r="HQN105" s="3"/>
      <c r="HQO105" s="3"/>
      <c r="HQP105" s="3"/>
      <c r="HQQ105" s="3"/>
      <c r="HQR105" s="3"/>
      <c r="HQS105" s="3"/>
      <c r="HQT105" s="3"/>
      <c r="HQU105" s="3"/>
      <c r="HQV105" s="3"/>
      <c r="HQW105" s="3"/>
      <c r="HQX105" s="3"/>
      <c r="HQY105" s="3"/>
      <c r="HQZ105" s="3"/>
      <c r="HRA105" s="3"/>
      <c r="HRB105" s="3"/>
      <c r="HRC105" s="3"/>
      <c r="HRD105" s="3"/>
      <c r="HRE105" s="3"/>
      <c r="HRF105" s="3"/>
      <c r="HRG105" s="3"/>
      <c r="HRH105" s="3"/>
      <c r="HRI105" s="3"/>
      <c r="HRJ105" s="3"/>
      <c r="HRK105" s="3"/>
      <c r="HRL105" s="3"/>
      <c r="HRM105" s="3"/>
      <c r="HRN105" s="3"/>
      <c r="HRO105" s="3"/>
      <c r="HRP105" s="3"/>
      <c r="HRQ105" s="3"/>
      <c r="HRR105" s="3"/>
      <c r="HRS105" s="3"/>
      <c r="HRT105" s="3"/>
      <c r="HRU105" s="3"/>
      <c r="HRV105" s="3"/>
      <c r="HRW105" s="3"/>
      <c r="HRX105" s="3"/>
      <c r="HRY105" s="3"/>
      <c r="HRZ105" s="3"/>
      <c r="HSA105" s="3"/>
      <c r="HSB105" s="3"/>
      <c r="HSC105" s="3"/>
      <c r="HSD105" s="3"/>
      <c r="HSE105" s="3"/>
      <c r="HSF105" s="3"/>
      <c r="HSG105" s="3"/>
      <c r="HSH105" s="3"/>
      <c r="HSI105" s="3"/>
      <c r="HSJ105" s="3"/>
      <c r="HSK105" s="3"/>
      <c r="HSL105" s="3"/>
      <c r="HSM105" s="3"/>
      <c r="HSN105" s="3"/>
      <c r="HSO105" s="3"/>
      <c r="HSP105" s="3"/>
      <c r="HSQ105" s="3"/>
      <c r="HSR105" s="3"/>
      <c r="HSS105" s="3"/>
      <c r="HST105" s="3"/>
      <c r="HSU105" s="3"/>
      <c r="HSV105" s="3"/>
      <c r="HSW105" s="3"/>
      <c r="HSX105" s="3"/>
      <c r="HSY105" s="3"/>
      <c r="HSZ105" s="3"/>
      <c r="HTA105" s="3"/>
      <c r="HTB105" s="3"/>
      <c r="HTC105" s="3"/>
      <c r="HTD105" s="3"/>
      <c r="HTE105" s="3"/>
      <c r="HTF105" s="3"/>
      <c r="HTG105" s="3"/>
      <c r="HTH105" s="3"/>
      <c r="HTI105" s="3"/>
      <c r="HTJ105" s="3"/>
      <c r="HTK105" s="3"/>
      <c r="HTL105" s="3"/>
      <c r="HTM105" s="3"/>
      <c r="HTN105" s="3"/>
      <c r="HTO105" s="3"/>
      <c r="HTP105" s="3"/>
      <c r="HTQ105" s="3"/>
      <c r="HTR105" s="3"/>
      <c r="HTS105" s="3"/>
      <c r="HTT105" s="3"/>
      <c r="HTU105" s="3"/>
      <c r="HTV105" s="3"/>
      <c r="HTW105" s="3"/>
      <c r="HTX105" s="3"/>
      <c r="HTY105" s="3"/>
      <c r="HTZ105" s="3"/>
      <c r="HUA105" s="3"/>
      <c r="HUB105" s="3"/>
      <c r="HUC105" s="3"/>
      <c r="HUD105" s="3"/>
      <c r="HUE105" s="3"/>
      <c r="HUF105" s="3"/>
      <c r="HUG105" s="3"/>
      <c r="HUH105" s="3"/>
      <c r="HUI105" s="3"/>
      <c r="HUJ105" s="3"/>
      <c r="HUK105" s="3"/>
      <c r="HUL105" s="3"/>
      <c r="HUM105" s="3"/>
      <c r="HUN105" s="3"/>
      <c r="HUO105" s="3"/>
      <c r="HUP105" s="3"/>
      <c r="HUQ105" s="3"/>
      <c r="HUR105" s="3"/>
      <c r="HUS105" s="3"/>
      <c r="HUT105" s="3"/>
      <c r="HUU105" s="3"/>
      <c r="HUV105" s="3"/>
      <c r="HUW105" s="3"/>
      <c r="HUX105" s="3"/>
      <c r="HUY105" s="3"/>
      <c r="HUZ105" s="3"/>
      <c r="HVA105" s="3"/>
      <c r="HVB105" s="3"/>
      <c r="HVC105" s="3"/>
      <c r="HVD105" s="3"/>
      <c r="HVE105" s="3"/>
      <c r="HVF105" s="3"/>
      <c r="HVG105" s="3"/>
      <c r="HVH105" s="3"/>
      <c r="HVI105" s="3"/>
      <c r="HVJ105" s="3"/>
      <c r="HVK105" s="3"/>
      <c r="HVL105" s="3"/>
      <c r="HVM105" s="3"/>
      <c r="HVN105" s="3"/>
      <c r="HVO105" s="3"/>
      <c r="HVP105" s="3"/>
      <c r="HVQ105" s="3"/>
      <c r="HVR105" s="3"/>
      <c r="HVS105" s="3"/>
      <c r="HVT105" s="3"/>
      <c r="HVU105" s="3"/>
      <c r="HVV105" s="3"/>
      <c r="HVW105" s="3"/>
      <c r="HVX105" s="3"/>
      <c r="HVY105" s="3"/>
      <c r="HVZ105" s="3"/>
      <c r="HWA105" s="3"/>
      <c r="HWB105" s="3"/>
      <c r="HWC105" s="3"/>
      <c r="HWD105" s="3"/>
      <c r="HWE105" s="3"/>
      <c r="HWF105" s="3"/>
      <c r="HWG105" s="3"/>
      <c r="HWH105" s="3"/>
      <c r="HWI105" s="3"/>
      <c r="HWJ105" s="3"/>
      <c r="HWK105" s="3"/>
      <c r="HWL105" s="3"/>
      <c r="HWM105" s="3"/>
      <c r="HWN105" s="3"/>
      <c r="HWO105" s="3"/>
      <c r="HWP105" s="3"/>
      <c r="HWQ105" s="3"/>
      <c r="HWR105" s="3"/>
      <c r="HWS105" s="3"/>
      <c r="HWT105" s="3"/>
      <c r="HWU105" s="3"/>
      <c r="HWV105" s="3"/>
      <c r="HWW105" s="3"/>
      <c r="HWX105" s="3"/>
      <c r="HWY105" s="3"/>
      <c r="HWZ105" s="3"/>
      <c r="HXA105" s="3"/>
      <c r="HXB105" s="3"/>
      <c r="HXC105" s="3"/>
      <c r="HXD105" s="3"/>
      <c r="HXE105" s="3"/>
      <c r="HXF105" s="3"/>
      <c r="HXG105" s="3"/>
      <c r="HXH105" s="3"/>
      <c r="HXI105" s="3"/>
      <c r="HXJ105" s="3"/>
      <c r="HXK105" s="3"/>
      <c r="HXL105" s="3"/>
      <c r="HXM105" s="3"/>
      <c r="HXN105" s="3"/>
      <c r="HXO105" s="3"/>
      <c r="HXP105" s="3"/>
      <c r="HXQ105" s="3"/>
      <c r="HXR105" s="3"/>
      <c r="HXS105" s="3"/>
      <c r="HXT105" s="3"/>
      <c r="HXU105" s="3"/>
      <c r="HXV105" s="3"/>
      <c r="HXW105" s="3"/>
      <c r="HXX105" s="3"/>
      <c r="HXY105" s="3"/>
      <c r="HXZ105" s="3"/>
      <c r="HYA105" s="3"/>
      <c r="HYB105" s="3"/>
      <c r="HYC105" s="3"/>
      <c r="HYD105" s="3"/>
      <c r="HYE105" s="3"/>
      <c r="HYF105" s="3"/>
      <c r="HYG105" s="3"/>
      <c r="HYH105" s="3"/>
      <c r="HYI105" s="3"/>
      <c r="HYJ105" s="3"/>
      <c r="HYK105" s="3"/>
      <c r="HYL105" s="3"/>
      <c r="HYM105" s="3"/>
      <c r="HYN105" s="3"/>
      <c r="HYO105" s="3"/>
      <c r="HYP105" s="3"/>
      <c r="HYQ105" s="3"/>
      <c r="HYR105" s="3"/>
      <c r="HYS105" s="3"/>
      <c r="HYT105" s="3"/>
      <c r="HYU105" s="3"/>
      <c r="HYV105" s="3"/>
      <c r="HYW105" s="3"/>
      <c r="HYX105" s="3"/>
      <c r="HYY105" s="3"/>
      <c r="HYZ105" s="3"/>
      <c r="HZA105" s="3"/>
      <c r="HZB105" s="3"/>
      <c r="HZC105" s="3"/>
      <c r="HZD105" s="3"/>
      <c r="HZE105" s="3"/>
      <c r="HZF105" s="3"/>
      <c r="HZG105" s="3"/>
      <c r="HZH105" s="3"/>
      <c r="HZI105" s="3"/>
      <c r="HZJ105" s="3"/>
      <c r="HZK105" s="3"/>
      <c r="HZL105" s="3"/>
      <c r="HZM105" s="3"/>
      <c r="HZN105" s="3"/>
      <c r="HZO105" s="3"/>
      <c r="HZP105" s="3"/>
      <c r="HZQ105" s="3"/>
      <c r="HZR105" s="3"/>
      <c r="HZS105" s="3"/>
      <c r="HZT105" s="3"/>
      <c r="HZU105" s="3"/>
      <c r="HZV105" s="3"/>
      <c r="HZW105" s="3"/>
      <c r="HZX105" s="3"/>
      <c r="HZY105" s="3"/>
      <c r="HZZ105" s="3"/>
      <c r="IAA105" s="3"/>
      <c r="IAB105" s="3"/>
      <c r="IAC105" s="3"/>
      <c r="IAD105" s="3"/>
      <c r="IAE105" s="3"/>
      <c r="IAF105" s="3"/>
      <c r="IAG105" s="3"/>
      <c r="IAH105" s="3"/>
      <c r="IAI105" s="3"/>
      <c r="IAJ105" s="3"/>
      <c r="IAK105" s="3"/>
      <c r="IAL105" s="3"/>
      <c r="IAM105" s="3"/>
      <c r="IAN105" s="3"/>
      <c r="IAO105" s="3"/>
      <c r="IAP105" s="3"/>
      <c r="IAQ105" s="3"/>
      <c r="IAR105" s="3"/>
      <c r="IAS105" s="3"/>
      <c r="IAT105" s="3"/>
      <c r="IAU105" s="3"/>
      <c r="IAV105" s="3"/>
      <c r="IAW105" s="3"/>
      <c r="IAX105" s="3"/>
      <c r="IAY105" s="3"/>
      <c r="IAZ105" s="3"/>
      <c r="IBA105" s="3"/>
      <c r="IBB105" s="3"/>
      <c r="IBC105" s="3"/>
      <c r="IBD105" s="3"/>
      <c r="IBE105" s="3"/>
      <c r="IBF105" s="3"/>
      <c r="IBG105" s="3"/>
      <c r="IBH105" s="3"/>
      <c r="IBI105" s="3"/>
      <c r="IBJ105" s="3"/>
      <c r="IBK105" s="3"/>
      <c r="IBL105" s="3"/>
      <c r="IBM105" s="3"/>
      <c r="IBN105" s="3"/>
      <c r="IBO105" s="3"/>
      <c r="IBP105" s="3"/>
      <c r="IBQ105" s="3"/>
      <c r="IBR105" s="3"/>
      <c r="IBS105" s="3"/>
      <c r="IBT105" s="3"/>
      <c r="IBU105" s="3"/>
      <c r="IBV105" s="3"/>
      <c r="IBW105" s="3"/>
      <c r="IBX105" s="3"/>
      <c r="IBY105" s="3"/>
      <c r="IBZ105" s="3"/>
      <c r="ICA105" s="3"/>
      <c r="ICB105" s="3"/>
      <c r="ICC105" s="3"/>
      <c r="ICD105" s="3"/>
      <c r="ICE105" s="3"/>
      <c r="ICF105" s="3"/>
      <c r="ICG105" s="3"/>
      <c r="ICH105" s="3"/>
      <c r="ICI105" s="3"/>
      <c r="ICJ105" s="3"/>
      <c r="ICK105" s="3"/>
      <c r="ICL105" s="3"/>
      <c r="ICM105" s="3"/>
      <c r="ICN105" s="3"/>
      <c r="ICO105" s="3"/>
      <c r="ICP105" s="3"/>
      <c r="ICQ105" s="3"/>
      <c r="ICR105" s="3"/>
      <c r="ICS105" s="3"/>
      <c r="ICT105" s="3"/>
      <c r="ICU105" s="3"/>
      <c r="ICV105" s="3"/>
      <c r="ICW105" s="3"/>
      <c r="ICX105" s="3"/>
      <c r="ICY105" s="3"/>
      <c r="ICZ105" s="3"/>
      <c r="IDA105" s="3"/>
      <c r="IDB105" s="3"/>
      <c r="IDC105" s="3"/>
      <c r="IDD105" s="3"/>
      <c r="IDE105" s="3"/>
      <c r="IDF105" s="3"/>
      <c r="IDG105" s="3"/>
      <c r="IDH105" s="3"/>
      <c r="IDI105" s="3"/>
      <c r="IDJ105" s="3"/>
      <c r="IDK105" s="3"/>
      <c r="IDL105" s="3"/>
      <c r="IDM105" s="3"/>
      <c r="IDN105" s="3"/>
      <c r="IDO105" s="3"/>
      <c r="IDP105" s="3"/>
      <c r="IDQ105" s="3"/>
      <c r="IDR105" s="3"/>
      <c r="IDS105" s="3"/>
      <c r="IDT105" s="3"/>
      <c r="IDU105" s="3"/>
      <c r="IDV105" s="3"/>
      <c r="IDW105" s="3"/>
      <c r="IDX105" s="3"/>
      <c r="IDY105" s="3"/>
      <c r="IDZ105" s="3"/>
      <c r="IEA105" s="3"/>
      <c r="IEB105" s="3"/>
      <c r="IEC105" s="3"/>
      <c r="IED105" s="3"/>
      <c r="IEE105" s="3"/>
      <c r="IEF105" s="3"/>
      <c r="IEG105" s="3"/>
      <c r="IEH105" s="3"/>
      <c r="IEI105" s="3"/>
      <c r="IEJ105" s="3"/>
      <c r="IEK105" s="3"/>
      <c r="IEL105" s="3"/>
      <c r="IEM105" s="3"/>
      <c r="IEN105" s="3"/>
      <c r="IEO105" s="3"/>
      <c r="IEP105" s="3"/>
      <c r="IEQ105" s="3"/>
      <c r="IER105" s="3"/>
      <c r="IES105" s="3"/>
      <c r="IET105" s="3"/>
      <c r="IEU105" s="3"/>
      <c r="IEV105" s="3"/>
      <c r="IEW105" s="3"/>
      <c r="IEX105" s="3"/>
      <c r="IEY105" s="3"/>
      <c r="IEZ105" s="3"/>
      <c r="IFA105" s="3"/>
      <c r="IFB105" s="3"/>
      <c r="IFC105" s="3"/>
      <c r="IFD105" s="3"/>
      <c r="IFE105" s="3"/>
      <c r="IFF105" s="3"/>
      <c r="IFG105" s="3"/>
      <c r="IFH105" s="3"/>
      <c r="IFI105" s="3"/>
      <c r="IFJ105" s="3"/>
      <c r="IFK105" s="3"/>
      <c r="IFL105" s="3"/>
      <c r="IFM105" s="3"/>
      <c r="IFN105" s="3"/>
      <c r="IFO105" s="3"/>
      <c r="IFP105" s="3"/>
      <c r="IFQ105" s="3"/>
      <c r="IFR105" s="3"/>
      <c r="IFS105" s="3"/>
      <c r="IFT105" s="3"/>
      <c r="IFU105" s="3"/>
      <c r="IFV105" s="3"/>
      <c r="IFW105" s="3"/>
      <c r="IFX105" s="3"/>
      <c r="IFY105" s="3"/>
      <c r="IFZ105" s="3"/>
      <c r="IGA105" s="3"/>
      <c r="IGB105" s="3"/>
      <c r="IGC105" s="3"/>
      <c r="IGD105" s="3"/>
      <c r="IGE105" s="3"/>
      <c r="IGF105" s="3"/>
      <c r="IGG105" s="3"/>
      <c r="IGH105" s="3"/>
      <c r="IGI105" s="3"/>
      <c r="IGJ105" s="3"/>
      <c r="IGK105" s="3"/>
      <c r="IGL105" s="3"/>
      <c r="IGM105" s="3"/>
      <c r="IGN105" s="3"/>
      <c r="IGO105" s="3"/>
      <c r="IGP105" s="3"/>
      <c r="IGQ105" s="3"/>
      <c r="IGR105" s="3"/>
      <c r="IGS105" s="3"/>
      <c r="IGT105" s="3"/>
      <c r="IGU105" s="3"/>
      <c r="IGV105" s="3"/>
      <c r="IGW105" s="3"/>
      <c r="IGX105" s="3"/>
      <c r="IGY105" s="3"/>
      <c r="IGZ105" s="3"/>
      <c r="IHA105" s="3"/>
      <c r="IHB105" s="3"/>
      <c r="IHC105" s="3"/>
      <c r="IHD105" s="3"/>
      <c r="IHE105" s="3"/>
      <c r="IHF105" s="3"/>
      <c r="IHG105" s="3"/>
      <c r="IHH105" s="3"/>
      <c r="IHI105" s="3"/>
      <c r="IHJ105" s="3"/>
      <c r="IHK105" s="3"/>
      <c r="IHL105" s="3"/>
      <c r="IHM105" s="3"/>
      <c r="IHN105" s="3"/>
      <c r="IHO105" s="3"/>
      <c r="IHP105" s="3"/>
      <c r="IHQ105" s="3"/>
      <c r="IHR105" s="3"/>
      <c r="IHS105" s="3"/>
      <c r="IHT105" s="3"/>
      <c r="IHU105" s="3"/>
      <c r="IHV105" s="3"/>
      <c r="IHW105" s="3"/>
      <c r="IHX105" s="3"/>
      <c r="IHY105" s="3"/>
      <c r="IHZ105" s="3"/>
      <c r="IIA105" s="3"/>
      <c r="IIB105" s="3"/>
      <c r="IIC105" s="3"/>
      <c r="IID105" s="3"/>
      <c r="IIE105" s="3"/>
      <c r="IIF105" s="3"/>
      <c r="IIG105" s="3"/>
      <c r="IIH105" s="3"/>
      <c r="III105" s="3"/>
      <c r="IIJ105" s="3"/>
      <c r="IIK105" s="3"/>
      <c r="IIL105" s="3"/>
      <c r="IIM105" s="3"/>
      <c r="IIN105" s="3"/>
      <c r="IIO105" s="3"/>
      <c r="IIP105" s="3"/>
      <c r="IIQ105" s="3"/>
      <c r="IIR105" s="3"/>
      <c r="IIS105" s="3"/>
      <c r="IIT105" s="3"/>
      <c r="IIU105" s="3"/>
      <c r="IIV105" s="3"/>
      <c r="IIW105" s="3"/>
      <c r="IIX105" s="3"/>
      <c r="IIY105" s="3"/>
      <c r="IIZ105" s="3"/>
      <c r="IJA105" s="3"/>
      <c r="IJB105" s="3"/>
      <c r="IJC105" s="3"/>
      <c r="IJD105" s="3"/>
      <c r="IJE105" s="3"/>
      <c r="IJF105" s="3"/>
      <c r="IJG105" s="3"/>
      <c r="IJH105" s="3"/>
      <c r="IJI105" s="3"/>
      <c r="IJJ105" s="3"/>
      <c r="IJK105" s="3"/>
      <c r="IJL105" s="3"/>
      <c r="IJM105" s="3"/>
      <c r="IJN105" s="3"/>
      <c r="IJO105" s="3"/>
      <c r="IJP105" s="3"/>
      <c r="IJQ105" s="3"/>
      <c r="IJR105" s="3"/>
      <c r="IJS105" s="3"/>
      <c r="IJT105" s="3"/>
      <c r="IJU105" s="3"/>
      <c r="IJV105" s="3"/>
      <c r="IJW105" s="3"/>
      <c r="IJX105" s="3"/>
      <c r="IJY105" s="3"/>
      <c r="IJZ105" s="3"/>
      <c r="IKA105" s="3"/>
      <c r="IKB105" s="3"/>
      <c r="IKC105" s="3"/>
      <c r="IKD105" s="3"/>
      <c r="IKE105" s="3"/>
      <c r="IKF105" s="3"/>
      <c r="IKG105" s="3"/>
      <c r="IKH105" s="3"/>
      <c r="IKI105" s="3"/>
      <c r="IKJ105" s="3"/>
      <c r="IKK105" s="3"/>
      <c r="IKL105" s="3"/>
      <c r="IKM105" s="3"/>
      <c r="IKN105" s="3"/>
      <c r="IKO105" s="3"/>
      <c r="IKP105" s="3"/>
      <c r="IKQ105" s="3"/>
      <c r="IKR105" s="3"/>
      <c r="IKS105" s="3"/>
      <c r="IKT105" s="3"/>
      <c r="IKU105" s="3"/>
      <c r="IKV105" s="3"/>
      <c r="IKW105" s="3"/>
      <c r="IKX105" s="3"/>
      <c r="IKY105" s="3"/>
      <c r="IKZ105" s="3"/>
      <c r="ILA105" s="3"/>
      <c r="ILB105" s="3"/>
      <c r="ILC105" s="3"/>
      <c r="ILD105" s="3"/>
      <c r="ILE105" s="3"/>
      <c r="ILF105" s="3"/>
      <c r="ILG105" s="3"/>
      <c r="ILH105" s="3"/>
      <c r="ILI105" s="3"/>
      <c r="ILJ105" s="3"/>
      <c r="ILK105" s="3"/>
      <c r="ILL105" s="3"/>
      <c r="ILM105" s="3"/>
      <c r="ILN105" s="3"/>
      <c r="ILO105" s="3"/>
      <c r="ILP105" s="3"/>
      <c r="ILQ105" s="3"/>
      <c r="ILR105" s="3"/>
      <c r="ILS105" s="3"/>
      <c r="ILT105" s="3"/>
      <c r="ILU105" s="3"/>
      <c r="ILV105" s="3"/>
      <c r="ILW105" s="3"/>
      <c r="ILX105" s="3"/>
      <c r="ILY105" s="3"/>
      <c r="ILZ105" s="3"/>
      <c r="IMA105" s="3"/>
      <c r="IMB105" s="3"/>
      <c r="IMC105" s="3"/>
      <c r="IMD105" s="3"/>
      <c r="IME105" s="3"/>
      <c r="IMF105" s="3"/>
      <c r="IMG105" s="3"/>
      <c r="IMH105" s="3"/>
      <c r="IMI105" s="3"/>
      <c r="IMJ105" s="3"/>
      <c r="IMK105" s="3"/>
      <c r="IML105" s="3"/>
      <c r="IMM105" s="3"/>
      <c r="IMN105" s="3"/>
      <c r="IMO105" s="3"/>
      <c r="IMP105" s="3"/>
      <c r="IMQ105" s="3"/>
      <c r="IMR105" s="3"/>
      <c r="IMS105" s="3"/>
      <c r="IMT105" s="3"/>
      <c r="IMU105" s="3"/>
      <c r="IMV105" s="3"/>
      <c r="IMW105" s="3"/>
      <c r="IMX105" s="3"/>
      <c r="IMY105" s="3"/>
      <c r="IMZ105" s="3"/>
      <c r="INA105" s="3"/>
      <c r="INB105" s="3"/>
      <c r="INC105" s="3"/>
      <c r="IND105" s="3"/>
      <c r="INE105" s="3"/>
      <c r="INF105" s="3"/>
      <c r="ING105" s="3"/>
      <c r="INH105" s="3"/>
      <c r="INI105" s="3"/>
      <c r="INJ105" s="3"/>
      <c r="INK105" s="3"/>
      <c r="INL105" s="3"/>
      <c r="INM105" s="3"/>
      <c r="INN105" s="3"/>
      <c r="INO105" s="3"/>
      <c r="INP105" s="3"/>
      <c r="INQ105" s="3"/>
      <c r="INR105" s="3"/>
      <c r="INS105" s="3"/>
      <c r="INT105" s="3"/>
      <c r="INU105" s="3"/>
      <c r="INV105" s="3"/>
      <c r="INW105" s="3"/>
      <c r="INX105" s="3"/>
      <c r="INY105" s="3"/>
      <c r="INZ105" s="3"/>
      <c r="IOA105" s="3"/>
      <c r="IOB105" s="3"/>
      <c r="IOC105" s="3"/>
      <c r="IOD105" s="3"/>
      <c r="IOE105" s="3"/>
      <c r="IOF105" s="3"/>
      <c r="IOG105" s="3"/>
      <c r="IOH105" s="3"/>
      <c r="IOI105" s="3"/>
      <c r="IOJ105" s="3"/>
      <c r="IOK105" s="3"/>
      <c r="IOL105" s="3"/>
      <c r="IOM105" s="3"/>
      <c r="ION105" s="3"/>
      <c r="IOO105" s="3"/>
      <c r="IOP105" s="3"/>
      <c r="IOQ105" s="3"/>
      <c r="IOR105" s="3"/>
      <c r="IOS105" s="3"/>
      <c r="IOT105" s="3"/>
      <c r="IOU105" s="3"/>
      <c r="IOV105" s="3"/>
      <c r="IOW105" s="3"/>
      <c r="IOX105" s="3"/>
      <c r="IOY105" s="3"/>
      <c r="IOZ105" s="3"/>
      <c r="IPA105" s="3"/>
      <c r="IPB105" s="3"/>
      <c r="IPC105" s="3"/>
      <c r="IPD105" s="3"/>
      <c r="IPE105" s="3"/>
      <c r="IPF105" s="3"/>
      <c r="IPG105" s="3"/>
      <c r="IPH105" s="3"/>
      <c r="IPI105" s="3"/>
      <c r="IPJ105" s="3"/>
      <c r="IPK105" s="3"/>
      <c r="IPL105" s="3"/>
      <c r="IPM105" s="3"/>
      <c r="IPN105" s="3"/>
      <c r="IPO105" s="3"/>
      <c r="IPP105" s="3"/>
      <c r="IPQ105" s="3"/>
      <c r="IPR105" s="3"/>
      <c r="IPS105" s="3"/>
      <c r="IPT105" s="3"/>
      <c r="IPU105" s="3"/>
      <c r="IPV105" s="3"/>
      <c r="IPW105" s="3"/>
      <c r="IPX105" s="3"/>
      <c r="IPY105" s="3"/>
      <c r="IPZ105" s="3"/>
      <c r="IQA105" s="3"/>
      <c r="IQB105" s="3"/>
      <c r="IQC105" s="3"/>
      <c r="IQD105" s="3"/>
      <c r="IQE105" s="3"/>
      <c r="IQF105" s="3"/>
      <c r="IQG105" s="3"/>
      <c r="IQH105" s="3"/>
      <c r="IQI105" s="3"/>
      <c r="IQJ105" s="3"/>
      <c r="IQK105" s="3"/>
      <c r="IQL105" s="3"/>
      <c r="IQM105" s="3"/>
      <c r="IQN105" s="3"/>
      <c r="IQO105" s="3"/>
      <c r="IQP105" s="3"/>
      <c r="IQQ105" s="3"/>
      <c r="IQR105" s="3"/>
      <c r="IQS105" s="3"/>
      <c r="IQT105" s="3"/>
      <c r="IQU105" s="3"/>
      <c r="IQV105" s="3"/>
      <c r="IQW105" s="3"/>
      <c r="IQX105" s="3"/>
      <c r="IQY105" s="3"/>
      <c r="IQZ105" s="3"/>
      <c r="IRA105" s="3"/>
      <c r="IRB105" s="3"/>
      <c r="IRC105" s="3"/>
      <c r="IRD105" s="3"/>
      <c r="IRE105" s="3"/>
      <c r="IRF105" s="3"/>
      <c r="IRG105" s="3"/>
      <c r="IRH105" s="3"/>
      <c r="IRI105" s="3"/>
      <c r="IRJ105" s="3"/>
      <c r="IRK105" s="3"/>
      <c r="IRL105" s="3"/>
      <c r="IRM105" s="3"/>
      <c r="IRN105" s="3"/>
      <c r="IRO105" s="3"/>
      <c r="IRP105" s="3"/>
      <c r="IRQ105" s="3"/>
      <c r="IRR105" s="3"/>
      <c r="IRS105" s="3"/>
      <c r="IRT105" s="3"/>
      <c r="IRU105" s="3"/>
      <c r="IRV105" s="3"/>
      <c r="IRW105" s="3"/>
      <c r="IRX105" s="3"/>
      <c r="IRY105" s="3"/>
      <c r="IRZ105" s="3"/>
      <c r="ISA105" s="3"/>
      <c r="ISB105" s="3"/>
      <c r="ISC105" s="3"/>
      <c r="ISD105" s="3"/>
      <c r="ISE105" s="3"/>
      <c r="ISF105" s="3"/>
      <c r="ISG105" s="3"/>
      <c r="ISH105" s="3"/>
      <c r="ISI105" s="3"/>
      <c r="ISJ105" s="3"/>
      <c r="ISK105" s="3"/>
      <c r="ISL105" s="3"/>
      <c r="ISM105" s="3"/>
      <c r="ISN105" s="3"/>
      <c r="ISO105" s="3"/>
      <c r="ISP105" s="3"/>
      <c r="ISQ105" s="3"/>
      <c r="ISR105" s="3"/>
      <c r="ISS105" s="3"/>
      <c r="IST105" s="3"/>
      <c r="ISU105" s="3"/>
      <c r="ISV105" s="3"/>
      <c r="ISW105" s="3"/>
      <c r="ISX105" s="3"/>
      <c r="ISY105" s="3"/>
      <c r="ISZ105" s="3"/>
      <c r="ITA105" s="3"/>
      <c r="ITB105" s="3"/>
      <c r="ITC105" s="3"/>
      <c r="ITD105" s="3"/>
      <c r="ITE105" s="3"/>
      <c r="ITF105" s="3"/>
      <c r="ITG105" s="3"/>
      <c r="ITH105" s="3"/>
      <c r="ITI105" s="3"/>
      <c r="ITJ105" s="3"/>
      <c r="ITK105" s="3"/>
      <c r="ITL105" s="3"/>
      <c r="ITM105" s="3"/>
      <c r="ITN105" s="3"/>
      <c r="ITO105" s="3"/>
      <c r="ITP105" s="3"/>
      <c r="ITQ105" s="3"/>
      <c r="ITR105" s="3"/>
      <c r="ITS105" s="3"/>
      <c r="ITT105" s="3"/>
      <c r="ITU105" s="3"/>
      <c r="ITV105" s="3"/>
      <c r="ITW105" s="3"/>
      <c r="ITX105" s="3"/>
      <c r="ITY105" s="3"/>
      <c r="ITZ105" s="3"/>
      <c r="IUA105" s="3"/>
      <c r="IUB105" s="3"/>
      <c r="IUC105" s="3"/>
      <c r="IUD105" s="3"/>
      <c r="IUE105" s="3"/>
      <c r="IUF105" s="3"/>
      <c r="IUG105" s="3"/>
      <c r="IUH105" s="3"/>
      <c r="IUI105" s="3"/>
      <c r="IUJ105" s="3"/>
      <c r="IUK105" s="3"/>
      <c r="IUL105" s="3"/>
      <c r="IUM105" s="3"/>
      <c r="IUN105" s="3"/>
      <c r="IUO105" s="3"/>
      <c r="IUP105" s="3"/>
      <c r="IUQ105" s="3"/>
      <c r="IUR105" s="3"/>
      <c r="IUS105" s="3"/>
      <c r="IUT105" s="3"/>
      <c r="IUU105" s="3"/>
      <c r="IUV105" s="3"/>
      <c r="IUW105" s="3"/>
      <c r="IUX105" s="3"/>
      <c r="IUY105" s="3"/>
      <c r="IUZ105" s="3"/>
      <c r="IVA105" s="3"/>
      <c r="IVB105" s="3"/>
      <c r="IVC105" s="3"/>
      <c r="IVD105" s="3"/>
      <c r="IVE105" s="3"/>
      <c r="IVF105" s="3"/>
      <c r="IVG105" s="3"/>
      <c r="IVH105" s="3"/>
      <c r="IVI105" s="3"/>
      <c r="IVJ105" s="3"/>
      <c r="IVK105" s="3"/>
      <c r="IVL105" s="3"/>
      <c r="IVM105" s="3"/>
      <c r="IVN105" s="3"/>
      <c r="IVO105" s="3"/>
      <c r="IVP105" s="3"/>
      <c r="IVQ105" s="3"/>
      <c r="IVR105" s="3"/>
      <c r="IVS105" s="3"/>
      <c r="IVT105" s="3"/>
      <c r="IVU105" s="3"/>
      <c r="IVV105" s="3"/>
      <c r="IVW105" s="3"/>
      <c r="IVX105" s="3"/>
      <c r="IVY105" s="3"/>
      <c r="IVZ105" s="3"/>
      <c r="IWA105" s="3"/>
      <c r="IWB105" s="3"/>
      <c r="IWC105" s="3"/>
      <c r="IWD105" s="3"/>
      <c r="IWE105" s="3"/>
      <c r="IWF105" s="3"/>
      <c r="IWG105" s="3"/>
      <c r="IWH105" s="3"/>
      <c r="IWI105" s="3"/>
      <c r="IWJ105" s="3"/>
      <c r="IWK105" s="3"/>
      <c r="IWL105" s="3"/>
      <c r="IWM105" s="3"/>
      <c r="IWN105" s="3"/>
      <c r="IWO105" s="3"/>
      <c r="IWP105" s="3"/>
      <c r="IWQ105" s="3"/>
      <c r="IWR105" s="3"/>
      <c r="IWS105" s="3"/>
      <c r="IWT105" s="3"/>
      <c r="IWU105" s="3"/>
      <c r="IWV105" s="3"/>
      <c r="IWW105" s="3"/>
      <c r="IWX105" s="3"/>
      <c r="IWY105" s="3"/>
      <c r="IWZ105" s="3"/>
      <c r="IXA105" s="3"/>
      <c r="IXB105" s="3"/>
      <c r="IXC105" s="3"/>
      <c r="IXD105" s="3"/>
      <c r="IXE105" s="3"/>
      <c r="IXF105" s="3"/>
      <c r="IXG105" s="3"/>
      <c r="IXH105" s="3"/>
      <c r="IXI105" s="3"/>
      <c r="IXJ105" s="3"/>
      <c r="IXK105" s="3"/>
      <c r="IXL105" s="3"/>
      <c r="IXM105" s="3"/>
      <c r="IXN105" s="3"/>
      <c r="IXO105" s="3"/>
      <c r="IXP105" s="3"/>
      <c r="IXQ105" s="3"/>
      <c r="IXR105" s="3"/>
      <c r="IXS105" s="3"/>
      <c r="IXT105" s="3"/>
      <c r="IXU105" s="3"/>
      <c r="IXV105" s="3"/>
      <c r="IXW105" s="3"/>
      <c r="IXX105" s="3"/>
      <c r="IXY105" s="3"/>
      <c r="IXZ105" s="3"/>
      <c r="IYA105" s="3"/>
      <c r="IYB105" s="3"/>
      <c r="IYC105" s="3"/>
      <c r="IYD105" s="3"/>
      <c r="IYE105" s="3"/>
      <c r="IYF105" s="3"/>
      <c r="IYG105" s="3"/>
      <c r="IYH105" s="3"/>
      <c r="IYI105" s="3"/>
      <c r="IYJ105" s="3"/>
      <c r="IYK105" s="3"/>
      <c r="IYL105" s="3"/>
      <c r="IYM105" s="3"/>
      <c r="IYN105" s="3"/>
      <c r="IYO105" s="3"/>
      <c r="IYP105" s="3"/>
      <c r="IYQ105" s="3"/>
      <c r="IYR105" s="3"/>
      <c r="IYS105" s="3"/>
      <c r="IYT105" s="3"/>
      <c r="IYU105" s="3"/>
      <c r="IYV105" s="3"/>
      <c r="IYW105" s="3"/>
      <c r="IYX105" s="3"/>
      <c r="IYY105" s="3"/>
      <c r="IYZ105" s="3"/>
      <c r="IZA105" s="3"/>
      <c r="IZB105" s="3"/>
      <c r="IZC105" s="3"/>
      <c r="IZD105" s="3"/>
      <c r="IZE105" s="3"/>
      <c r="IZF105" s="3"/>
      <c r="IZG105" s="3"/>
      <c r="IZH105" s="3"/>
      <c r="IZI105" s="3"/>
      <c r="IZJ105" s="3"/>
      <c r="IZK105" s="3"/>
      <c r="IZL105" s="3"/>
      <c r="IZM105" s="3"/>
      <c r="IZN105" s="3"/>
      <c r="IZO105" s="3"/>
      <c r="IZP105" s="3"/>
      <c r="IZQ105" s="3"/>
      <c r="IZR105" s="3"/>
      <c r="IZS105" s="3"/>
      <c r="IZT105" s="3"/>
      <c r="IZU105" s="3"/>
      <c r="IZV105" s="3"/>
      <c r="IZW105" s="3"/>
      <c r="IZX105" s="3"/>
      <c r="IZY105" s="3"/>
      <c r="IZZ105" s="3"/>
      <c r="JAA105" s="3"/>
      <c r="JAB105" s="3"/>
      <c r="JAC105" s="3"/>
      <c r="JAD105" s="3"/>
      <c r="JAE105" s="3"/>
      <c r="JAF105" s="3"/>
      <c r="JAG105" s="3"/>
      <c r="JAH105" s="3"/>
      <c r="JAI105" s="3"/>
      <c r="JAJ105" s="3"/>
      <c r="JAK105" s="3"/>
      <c r="JAL105" s="3"/>
      <c r="JAM105" s="3"/>
      <c r="JAN105" s="3"/>
      <c r="JAO105" s="3"/>
      <c r="JAP105" s="3"/>
      <c r="JAQ105" s="3"/>
      <c r="JAR105" s="3"/>
      <c r="JAS105" s="3"/>
      <c r="JAT105" s="3"/>
      <c r="JAU105" s="3"/>
      <c r="JAV105" s="3"/>
      <c r="JAW105" s="3"/>
      <c r="JAX105" s="3"/>
      <c r="JAY105" s="3"/>
      <c r="JAZ105" s="3"/>
      <c r="JBA105" s="3"/>
      <c r="JBB105" s="3"/>
      <c r="JBC105" s="3"/>
      <c r="JBD105" s="3"/>
      <c r="JBE105" s="3"/>
      <c r="JBF105" s="3"/>
      <c r="JBG105" s="3"/>
      <c r="JBH105" s="3"/>
      <c r="JBI105" s="3"/>
      <c r="JBJ105" s="3"/>
      <c r="JBK105" s="3"/>
      <c r="JBL105" s="3"/>
      <c r="JBM105" s="3"/>
      <c r="JBN105" s="3"/>
      <c r="JBO105" s="3"/>
      <c r="JBP105" s="3"/>
      <c r="JBQ105" s="3"/>
      <c r="JBR105" s="3"/>
      <c r="JBS105" s="3"/>
      <c r="JBT105" s="3"/>
      <c r="JBU105" s="3"/>
      <c r="JBV105" s="3"/>
      <c r="JBW105" s="3"/>
      <c r="JBX105" s="3"/>
      <c r="JBY105" s="3"/>
      <c r="JBZ105" s="3"/>
      <c r="JCA105" s="3"/>
      <c r="JCB105" s="3"/>
      <c r="JCC105" s="3"/>
      <c r="JCD105" s="3"/>
      <c r="JCE105" s="3"/>
      <c r="JCF105" s="3"/>
      <c r="JCG105" s="3"/>
      <c r="JCH105" s="3"/>
      <c r="JCI105" s="3"/>
      <c r="JCJ105" s="3"/>
      <c r="JCK105" s="3"/>
      <c r="JCL105" s="3"/>
      <c r="JCM105" s="3"/>
      <c r="JCN105" s="3"/>
      <c r="JCO105" s="3"/>
      <c r="JCP105" s="3"/>
      <c r="JCQ105" s="3"/>
      <c r="JCR105" s="3"/>
      <c r="JCS105" s="3"/>
      <c r="JCT105" s="3"/>
      <c r="JCU105" s="3"/>
      <c r="JCV105" s="3"/>
      <c r="JCW105" s="3"/>
      <c r="JCX105" s="3"/>
      <c r="JCY105" s="3"/>
      <c r="JCZ105" s="3"/>
      <c r="JDA105" s="3"/>
      <c r="JDB105" s="3"/>
      <c r="JDC105" s="3"/>
      <c r="JDD105" s="3"/>
      <c r="JDE105" s="3"/>
      <c r="JDF105" s="3"/>
      <c r="JDG105" s="3"/>
      <c r="JDH105" s="3"/>
      <c r="JDI105" s="3"/>
      <c r="JDJ105" s="3"/>
      <c r="JDK105" s="3"/>
      <c r="JDL105" s="3"/>
      <c r="JDM105" s="3"/>
      <c r="JDN105" s="3"/>
      <c r="JDO105" s="3"/>
      <c r="JDP105" s="3"/>
      <c r="JDQ105" s="3"/>
      <c r="JDR105" s="3"/>
      <c r="JDS105" s="3"/>
      <c r="JDT105" s="3"/>
      <c r="JDU105" s="3"/>
      <c r="JDV105" s="3"/>
      <c r="JDW105" s="3"/>
      <c r="JDX105" s="3"/>
      <c r="JDY105" s="3"/>
      <c r="JDZ105" s="3"/>
      <c r="JEA105" s="3"/>
      <c r="JEB105" s="3"/>
      <c r="JEC105" s="3"/>
      <c r="JED105" s="3"/>
      <c r="JEE105" s="3"/>
      <c r="JEF105" s="3"/>
      <c r="JEG105" s="3"/>
      <c r="JEH105" s="3"/>
      <c r="JEI105" s="3"/>
      <c r="JEJ105" s="3"/>
      <c r="JEK105" s="3"/>
      <c r="JEL105" s="3"/>
      <c r="JEM105" s="3"/>
      <c r="JEN105" s="3"/>
      <c r="JEO105" s="3"/>
      <c r="JEP105" s="3"/>
      <c r="JEQ105" s="3"/>
      <c r="JER105" s="3"/>
      <c r="JES105" s="3"/>
      <c r="JET105" s="3"/>
      <c r="JEU105" s="3"/>
      <c r="JEV105" s="3"/>
      <c r="JEW105" s="3"/>
      <c r="JEX105" s="3"/>
      <c r="JEY105" s="3"/>
      <c r="JEZ105" s="3"/>
      <c r="JFA105" s="3"/>
      <c r="JFB105" s="3"/>
      <c r="JFC105" s="3"/>
      <c r="JFD105" s="3"/>
      <c r="JFE105" s="3"/>
      <c r="JFF105" s="3"/>
      <c r="JFG105" s="3"/>
      <c r="JFH105" s="3"/>
      <c r="JFI105" s="3"/>
      <c r="JFJ105" s="3"/>
      <c r="JFK105" s="3"/>
      <c r="JFL105" s="3"/>
      <c r="JFM105" s="3"/>
      <c r="JFN105" s="3"/>
      <c r="JFO105" s="3"/>
      <c r="JFP105" s="3"/>
      <c r="JFQ105" s="3"/>
      <c r="JFR105" s="3"/>
      <c r="JFS105" s="3"/>
      <c r="JFT105" s="3"/>
      <c r="JFU105" s="3"/>
      <c r="JFV105" s="3"/>
      <c r="JFW105" s="3"/>
      <c r="JFX105" s="3"/>
      <c r="JFY105" s="3"/>
      <c r="JFZ105" s="3"/>
      <c r="JGA105" s="3"/>
      <c r="JGB105" s="3"/>
      <c r="JGC105" s="3"/>
      <c r="JGD105" s="3"/>
      <c r="JGE105" s="3"/>
      <c r="JGF105" s="3"/>
      <c r="JGG105" s="3"/>
      <c r="JGH105" s="3"/>
      <c r="JGI105" s="3"/>
      <c r="JGJ105" s="3"/>
      <c r="JGK105" s="3"/>
      <c r="JGL105" s="3"/>
      <c r="JGM105" s="3"/>
      <c r="JGN105" s="3"/>
      <c r="JGO105" s="3"/>
      <c r="JGP105" s="3"/>
      <c r="JGQ105" s="3"/>
      <c r="JGR105" s="3"/>
      <c r="JGS105" s="3"/>
      <c r="JGT105" s="3"/>
      <c r="JGU105" s="3"/>
      <c r="JGV105" s="3"/>
      <c r="JGW105" s="3"/>
      <c r="JGX105" s="3"/>
      <c r="JGY105" s="3"/>
      <c r="JGZ105" s="3"/>
      <c r="JHA105" s="3"/>
      <c r="JHB105" s="3"/>
      <c r="JHC105" s="3"/>
      <c r="JHD105" s="3"/>
      <c r="JHE105" s="3"/>
      <c r="JHF105" s="3"/>
      <c r="JHG105" s="3"/>
      <c r="JHH105" s="3"/>
      <c r="JHI105" s="3"/>
      <c r="JHJ105" s="3"/>
      <c r="JHK105" s="3"/>
      <c r="JHL105" s="3"/>
      <c r="JHM105" s="3"/>
      <c r="JHN105" s="3"/>
      <c r="JHO105" s="3"/>
      <c r="JHP105" s="3"/>
      <c r="JHQ105" s="3"/>
      <c r="JHR105" s="3"/>
      <c r="JHS105" s="3"/>
      <c r="JHT105" s="3"/>
      <c r="JHU105" s="3"/>
      <c r="JHV105" s="3"/>
      <c r="JHW105" s="3"/>
      <c r="JHX105" s="3"/>
      <c r="JHY105" s="3"/>
      <c r="JHZ105" s="3"/>
      <c r="JIA105" s="3"/>
      <c r="JIB105" s="3"/>
      <c r="JIC105" s="3"/>
      <c r="JID105" s="3"/>
      <c r="JIE105" s="3"/>
      <c r="JIF105" s="3"/>
      <c r="JIG105" s="3"/>
      <c r="JIH105" s="3"/>
      <c r="JII105" s="3"/>
      <c r="JIJ105" s="3"/>
      <c r="JIK105" s="3"/>
      <c r="JIL105" s="3"/>
      <c r="JIM105" s="3"/>
      <c r="JIN105" s="3"/>
      <c r="JIO105" s="3"/>
      <c r="JIP105" s="3"/>
      <c r="JIQ105" s="3"/>
      <c r="JIR105" s="3"/>
      <c r="JIS105" s="3"/>
      <c r="JIT105" s="3"/>
      <c r="JIU105" s="3"/>
      <c r="JIV105" s="3"/>
      <c r="JIW105" s="3"/>
      <c r="JIX105" s="3"/>
      <c r="JIY105" s="3"/>
      <c r="JIZ105" s="3"/>
      <c r="JJA105" s="3"/>
      <c r="JJB105" s="3"/>
      <c r="JJC105" s="3"/>
      <c r="JJD105" s="3"/>
      <c r="JJE105" s="3"/>
      <c r="JJF105" s="3"/>
      <c r="JJG105" s="3"/>
      <c r="JJH105" s="3"/>
      <c r="JJI105" s="3"/>
      <c r="JJJ105" s="3"/>
      <c r="JJK105" s="3"/>
      <c r="JJL105" s="3"/>
      <c r="JJM105" s="3"/>
      <c r="JJN105" s="3"/>
      <c r="JJO105" s="3"/>
      <c r="JJP105" s="3"/>
      <c r="JJQ105" s="3"/>
      <c r="JJR105" s="3"/>
      <c r="JJS105" s="3"/>
      <c r="JJT105" s="3"/>
      <c r="JJU105" s="3"/>
      <c r="JJV105" s="3"/>
      <c r="JJW105" s="3"/>
      <c r="JJX105" s="3"/>
      <c r="JJY105" s="3"/>
      <c r="JJZ105" s="3"/>
      <c r="JKA105" s="3"/>
      <c r="JKB105" s="3"/>
      <c r="JKC105" s="3"/>
      <c r="JKD105" s="3"/>
      <c r="JKE105" s="3"/>
      <c r="JKF105" s="3"/>
      <c r="JKG105" s="3"/>
      <c r="JKH105" s="3"/>
      <c r="JKI105" s="3"/>
      <c r="JKJ105" s="3"/>
      <c r="JKK105" s="3"/>
      <c r="JKL105" s="3"/>
      <c r="JKM105" s="3"/>
      <c r="JKN105" s="3"/>
      <c r="JKO105" s="3"/>
      <c r="JKP105" s="3"/>
      <c r="JKQ105" s="3"/>
      <c r="JKR105" s="3"/>
      <c r="JKS105" s="3"/>
      <c r="JKT105" s="3"/>
      <c r="JKU105" s="3"/>
      <c r="JKV105" s="3"/>
      <c r="JKW105" s="3"/>
      <c r="JKX105" s="3"/>
      <c r="JKY105" s="3"/>
      <c r="JKZ105" s="3"/>
      <c r="JLA105" s="3"/>
      <c r="JLB105" s="3"/>
      <c r="JLC105" s="3"/>
      <c r="JLD105" s="3"/>
      <c r="JLE105" s="3"/>
      <c r="JLF105" s="3"/>
      <c r="JLG105" s="3"/>
      <c r="JLH105" s="3"/>
      <c r="JLI105" s="3"/>
      <c r="JLJ105" s="3"/>
      <c r="JLK105" s="3"/>
      <c r="JLL105" s="3"/>
      <c r="JLM105" s="3"/>
      <c r="JLN105" s="3"/>
      <c r="JLO105" s="3"/>
      <c r="JLP105" s="3"/>
      <c r="JLQ105" s="3"/>
      <c r="JLR105" s="3"/>
      <c r="JLS105" s="3"/>
      <c r="JLT105" s="3"/>
      <c r="JLU105" s="3"/>
      <c r="JLV105" s="3"/>
      <c r="JLW105" s="3"/>
      <c r="JLX105" s="3"/>
      <c r="JLY105" s="3"/>
      <c r="JLZ105" s="3"/>
      <c r="JMA105" s="3"/>
      <c r="JMB105" s="3"/>
      <c r="JMC105" s="3"/>
      <c r="JMD105" s="3"/>
      <c r="JME105" s="3"/>
      <c r="JMF105" s="3"/>
      <c r="JMG105" s="3"/>
      <c r="JMH105" s="3"/>
      <c r="JMI105" s="3"/>
      <c r="JMJ105" s="3"/>
      <c r="JMK105" s="3"/>
      <c r="JML105" s="3"/>
      <c r="JMM105" s="3"/>
      <c r="JMN105" s="3"/>
      <c r="JMO105" s="3"/>
      <c r="JMP105" s="3"/>
      <c r="JMQ105" s="3"/>
      <c r="JMR105" s="3"/>
      <c r="JMS105" s="3"/>
      <c r="JMT105" s="3"/>
      <c r="JMU105" s="3"/>
      <c r="JMV105" s="3"/>
      <c r="JMW105" s="3"/>
      <c r="JMX105" s="3"/>
      <c r="JMY105" s="3"/>
      <c r="JMZ105" s="3"/>
      <c r="JNA105" s="3"/>
      <c r="JNB105" s="3"/>
      <c r="JNC105" s="3"/>
      <c r="JND105" s="3"/>
      <c r="JNE105" s="3"/>
      <c r="JNF105" s="3"/>
      <c r="JNG105" s="3"/>
      <c r="JNH105" s="3"/>
      <c r="JNI105" s="3"/>
      <c r="JNJ105" s="3"/>
      <c r="JNK105" s="3"/>
      <c r="JNL105" s="3"/>
      <c r="JNM105" s="3"/>
      <c r="JNN105" s="3"/>
      <c r="JNO105" s="3"/>
      <c r="JNP105" s="3"/>
      <c r="JNQ105" s="3"/>
      <c r="JNR105" s="3"/>
      <c r="JNS105" s="3"/>
      <c r="JNT105" s="3"/>
      <c r="JNU105" s="3"/>
      <c r="JNV105" s="3"/>
      <c r="JNW105" s="3"/>
      <c r="JNX105" s="3"/>
      <c r="JNY105" s="3"/>
      <c r="JNZ105" s="3"/>
      <c r="JOA105" s="3"/>
      <c r="JOB105" s="3"/>
      <c r="JOC105" s="3"/>
      <c r="JOD105" s="3"/>
      <c r="JOE105" s="3"/>
      <c r="JOF105" s="3"/>
      <c r="JOG105" s="3"/>
      <c r="JOH105" s="3"/>
      <c r="JOI105" s="3"/>
      <c r="JOJ105" s="3"/>
      <c r="JOK105" s="3"/>
      <c r="JOL105" s="3"/>
      <c r="JOM105" s="3"/>
      <c r="JON105" s="3"/>
      <c r="JOO105" s="3"/>
      <c r="JOP105" s="3"/>
      <c r="JOQ105" s="3"/>
      <c r="JOR105" s="3"/>
      <c r="JOS105" s="3"/>
      <c r="JOT105" s="3"/>
      <c r="JOU105" s="3"/>
      <c r="JOV105" s="3"/>
      <c r="JOW105" s="3"/>
      <c r="JOX105" s="3"/>
      <c r="JOY105" s="3"/>
      <c r="JOZ105" s="3"/>
      <c r="JPA105" s="3"/>
      <c r="JPB105" s="3"/>
      <c r="JPC105" s="3"/>
      <c r="JPD105" s="3"/>
      <c r="JPE105" s="3"/>
      <c r="JPF105" s="3"/>
      <c r="JPG105" s="3"/>
      <c r="JPH105" s="3"/>
      <c r="JPI105" s="3"/>
      <c r="JPJ105" s="3"/>
      <c r="JPK105" s="3"/>
      <c r="JPL105" s="3"/>
      <c r="JPM105" s="3"/>
      <c r="JPN105" s="3"/>
      <c r="JPO105" s="3"/>
      <c r="JPP105" s="3"/>
      <c r="JPQ105" s="3"/>
      <c r="JPR105" s="3"/>
      <c r="JPS105" s="3"/>
      <c r="JPT105" s="3"/>
      <c r="JPU105" s="3"/>
      <c r="JPV105" s="3"/>
      <c r="JPW105" s="3"/>
      <c r="JPX105" s="3"/>
      <c r="JPY105" s="3"/>
      <c r="JPZ105" s="3"/>
      <c r="JQA105" s="3"/>
      <c r="JQB105" s="3"/>
      <c r="JQC105" s="3"/>
      <c r="JQD105" s="3"/>
      <c r="JQE105" s="3"/>
      <c r="JQF105" s="3"/>
      <c r="JQG105" s="3"/>
      <c r="JQH105" s="3"/>
      <c r="JQI105" s="3"/>
      <c r="JQJ105" s="3"/>
      <c r="JQK105" s="3"/>
      <c r="JQL105" s="3"/>
      <c r="JQM105" s="3"/>
      <c r="JQN105" s="3"/>
      <c r="JQO105" s="3"/>
      <c r="JQP105" s="3"/>
      <c r="JQQ105" s="3"/>
      <c r="JQR105" s="3"/>
      <c r="JQS105" s="3"/>
      <c r="JQT105" s="3"/>
      <c r="JQU105" s="3"/>
      <c r="JQV105" s="3"/>
      <c r="JQW105" s="3"/>
      <c r="JQX105" s="3"/>
      <c r="JQY105" s="3"/>
      <c r="JQZ105" s="3"/>
      <c r="JRA105" s="3"/>
      <c r="JRB105" s="3"/>
      <c r="JRC105" s="3"/>
      <c r="JRD105" s="3"/>
      <c r="JRE105" s="3"/>
      <c r="JRF105" s="3"/>
      <c r="JRG105" s="3"/>
      <c r="JRH105" s="3"/>
      <c r="JRI105" s="3"/>
      <c r="JRJ105" s="3"/>
      <c r="JRK105" s="3"/>
      <c r="JRL105" s="3"/>
      <c r="JRM105" s="3"/>
      <c r="JRN105" s="3"/>
      <c r="JRO105" s="3"/>
      <c r="JRP105" s="3"/>
      <c r="JRQ105" s="3"/>
      <c r="JRR105" s="3"/>
      <c r="JRS105" s="3"/>
      <c r="JRT105" s="3"/>
      <c r="JRU105" s="3"/>
      <c r="JRV105" s="3"/>
      <c r="JRW105" s="3"/>
      <c r="JRX105" s="3"/>
      <c r="JRY105" s="3"/>
      <c r="JRZ105" s="3"/>
      <c r="JSA105" s="3"/>
      <c r="JSB105" s="3"/>
      <c r="JSC105" s="3"/>
      <c r="JSD105" s="3"/>
      <c r="JSE105" s="3"/>
      <c r="JSF105" s="3"/>
      <c r="JSG105" s="3"/>
      <c r="JSH105" s="3"/>
      <c r="JSI105" s="3"/>
      <c r="JSJ105" s="3"/>
      <c r="JSK105" s="3"/>
      <c r="JSL105" s="3"/>
      <c r="JSM105" s="3"/>
      <c r="JSN105" s="3"/>
      <c r="JSO105" s="3"/>
      <c r="JSP105" s="3"/>
      <c r="JSQ105" s="3"/>
      <c r="JSR105" s="3"/>
      <c r="JSS105" s="3"/>
      <c r="JST105" s="3"/>
      <c r="JSU105" s="3"/>
      <c r="JSV105" s="3"/>
      <c r="JSW105" s="3"/>
      <c r="JSX105" s="3"/>
      <c r="JSY105" s="3"/>
      <c r="JSZ105" s="3"/>
      <c r="JTA105" s="3"/>
      <c r="JTB105" s="3"/>
      <c r="JTC105" s="3"/>
      <c r="JTD105" s="3"/>
      <c r="JTE105" s="3"/>
      <c r="JTF105" s="3"/>
      <c r="JTG105" s="3"/>
      <c r="JTH105" s="3"/>
      <c r="JTI105" s="3"/>
      <c r="JTJ105" s="3"/>
      <c r="JTK105" s="3"/>
      <c r="JTL105" s="3"/>
      <c r="JTM105" s="3"/>
      <c r="JTN105" s="3"/>
      <c r="JTO105" s="3"/>
      <c r="JTP105" s="3"/>
      <c r="JTQ105" s="3"/>
      <c r="JTR105" s="3"/>
      <c r="JTS105" s="3"/>
      <c r="JTT105" s="3"/>
      <c r="JTU105" s="3"/>
      <c r="JTV105" s="3"/>
      <c r="JTW105" s="3"/>
      <c r="JTX105" s="3"/>
      <c r="JTY105" s="3"/>
      <c r="JTZ105" s="3"/>
      <c r="JUA105" s="3"/>
      <c r="JUB105" s="3"/>
      <c r="JUC105" s="3"/>
      <c r="JUD105" s="3"/>
      <c r="JUE105" s="3"/>
      <c r="JUF105" s="3"/>
      <c r="JUG105" s="3"/>
      <c r="JUH105" s="3"/>
      <c r="JUI105" s="3"/>
      <c r="JUJ105" s="3"/>
      <c r="JUK105" s="3"/>
      <c r="JUL105" s="3"/>
      <c r="JUM105" s="3"/>
      <c r="JUN105" s="3"/>
      <c r="JUO105" s="3"/>
      <c r="JUP105" s="3"/>
      <c r="JUQ105" s="3"/>
      <c r="JUR105" s="3"/>
      <c r="JUS105" s="3"/>
      <c r="JUT105" s="3"/>
      <c r="JUU105" s="3"/>
      <c r="JUV105" s="3"/>
      <c r="JUW105" s="3"/>
      <c r="JUX105" s="3"/>
      <c r="JUY105" s="3"/>
      <c r="JUZ105" s="3"/>
      <c r="JVA105" s="3"/>
      <c r="JVB105" s="3"/>
      <c r="JVC105" s="3"/>
      <c r="JVD105" s="3"/>
      <c r="JVE105" s="3"/>
      <c r="JVF105" s="3"/>
      <c r="JVG105" s="3"/>
      <c r="JVH105" s="3"/>
      <c r="JVI105" s="3"/>
      <c r="JVJ105" s="3"/>
      <c r="JVK105" s="3"/>
      <c r="JVL105" s="3"/>
      <c r="JVM105" s="3"/>
      <c r="JVN105" s="3"/>
      <c r="JVO105" s="3"/>
      <c r="JVP105" s="3"/>
      <c r="JVQ105" s="3"/>
      <c r="JVR105" s="3"/>
      <c r="JVS105" s="3"/>
      <c r="JVT105" s="3"/>
      <c r="JVU105" s="3"/>
      <c r="JVV105" s="3"/>
      <c r="JVW105" s="3"/>
      <c r="JVX105" s="3"/>
      <c r="JVY105" s="3"/>
      <c r="JVZ105" s="3"/>
      <c r="JWA105" s="3"/>
      <c r="JWB105" s="3"/>
      <c r="JWC105" s="3"/>
      <c r="JWD105" s="3"/>
      <c r="JWE105" s="3"/>
      <c r="JWF105" s="3"/>
      <c r="JWG105" s="3"/>
      <c r="JWH105" s="3"/>
      <c r="JWI105" s="3"/>
      <c r="JWJ105" s="3"/>
      <c r="JWK105" s="3"/>
      <c r="JWL105" s="3"/>
      <c r="JWM105" s="3"/>
      <c r="JWN105" s="3"/>
      <c r="JWO105" s="3"/>
      <c r="JWP105" s="3"/>
      <c r="JWQ105" s="3"/>
      <c r="JWR105" s="3"/>
      <c r="JWS105" s="3"/>
      <c r="JWT105" s="3"/>
      <c r="JWU105" s="3"/>
      <c r="JWV105" s="3"/>
      <c r="JWW105" s="3"/>
      <c r="JWX105" s="3"/>
      <c r="JWY105" s="3"/>
      <c r="JWZ105" s="3"/>
      <c r="JXA105" s="3"/>
      <c r="JXB105" s="3"/>
      <c r="JXC105" s="3"/>
      <c r="JXD105" s="3"/>
      <c r="JXE105" s="3"/>
      <c r="JXF105" s="3"/>
      <c r="JXG105" s="3"/>
      <c r="JXH105" s="3"/>
      <c r="JXI105" s="3"/>
      <c r="JXJ105" s="3"/>
      <c r="JXK105" s="3"/>
      <c r="JXL105" s="3"/>
      <c r="JXM105" s="3"/>
      <c r="JXN105" s="3"/>
      <c r="JXO105" s="3"/>
      <c r="JXP105" s="3"/>
      <c r="JXQ105" s="3"/>
      <c r="JXR105" s="3"/>
      <c r="JXS105" s="3"/>
      <c r="JXT105" s="3"/>
      <c r="JXU105" s="3"/>
      <c r="JXV105" s="3"/>
      <c r="JXW105" s="3"/>
      <c r="JXX105" s="3"/>
      <c r="JXY105" s="3"/>
      <c r="JXZ105" s="3"/>
      <c r="JYA105" s="3"/>
      <c r="JYB105" s="3"/>
      <c r="JYC105" s="3"/>
      <c r="JYD105" s="3"/>
      <c r="JYE105" s="3"/>
      <c r="JYF105" s="3"/>
      <c r="JYG105" s="3"/>
      <c r="JYH105" s="3"/>
      <c r="JYI105" s="3"/>
      <c r="JYJ105" s="3"/>
      <c r="JYK105" s="3"/>
      <c r="JYL105" s="3"/>
      <c r="JYM105" s="3"/>
      <c r="JYN105" s="3"/>
      <c r="JYO105" s="3"/>
      <c r="JYP105" s="3"/>
      <c r="JYQ105" s="3"/>
      <c r="JYR105" s="3"/>
      <c r="JYS105" s="3"/>
      <c r="JYT105" s="3"/>
      <c r="JYU105" s="3"/>
      <c r="JYV105" s="3"/>
      <c r="JYW105" s="3"/>
      <c r="JYX105" s="3"/>
      <c r="JYY105" s="3"/>
      <c r="JYZ105" s="3"/>
      <c r="JZA105" s="3"/>
      <c r="JZB105" s="3"/>
      <c r="JZC105" s="3"/>
      <c r="JZD105" s="3"/>
      <c r="JZE105" s="3"/>
      <c r="JZF105" s="3"/>
      <c r="JZG105" s="3"/>
      <c r="JZH105" s="3"/>
      <c r="JZI105" s="3"/>
      <c r="JZJ105" s="3"/>
      <c r="JZK105" s="3"/>
      <c r="JZL105" s="3"/>
      <c r="JZM105" s="3"/>
      <c r="JZN105" s="3"/>
      <c r="JZO105" s="3"/>
      <c r="JZP105" s="3"/>
      <c r="JZQ105" s="3"/>
      <c r="JZR105" s="3"/>
      <c r="JZS105" s="3"/>
      <c r="JZT105" s="3"/>
      <c r="JZU105" s="3"/>
      <c r="JZV105" s="3"/>
      <c r="JZW105" s="3"/>
      <c r="JZX105" s="3"/>
      <c r="JZY105" s="3"/>
      <c r="JZZ105" s="3"/>
      <c r="KAA105" s="3"/>
      <c r="KAB105" s="3"/>
      <c r="KAC105" s="3"/>
      <c r="KAD105" s="3"/>
      <c r="KAE105" s="3"/>
      <c r="KAF105" s="3"/>
      <c r="KAG105" s="3"/>
      <c r="KAH105" s="3"/>
      <c r="KAI105" s="3"/>
      <c r="KAJ105" s="3"/>
      <c r="KAK105" s="3"/>
      <c r="KAL105" s="3"/>
      <c r="KAM105" s="3"/>
      <c r="KAN105" s="3"/>
      <c r="KAO105" s="3"/>
      <c r="KAP105" s="3"/>
      <c r="KAQ105" s="3"/>
      <c r="KAR105" s="3"/>
      <c r="KAS105" s="3"/>
      <c r="KAT105" s="3"/>
      <c r="KAU105" s="3"/>
      <c r="KAV105" s="3"/>
      <c r="KAW105" s="3"/>
      <c r="KAX105" s="3"/>
      <c r="KAY105" s="3"/>
      <c r="KAZ105" s="3"/>
      <c r="KBA105" s="3"/>
      <c r="KBB105" s="3"/>
      <c r="KBC105" s="3"/>
      <c r="KBD105" s="3"/>
      <c r="KBE105" s="3"/>
      <c r="KBF105" s="3"/>
      <c r="KBG105" s="3"/>
      <c r="KBH105" s="3"/>
      <c r="KBI105" s="3"/>
      <c r="KBJ105" s="3"/>
      <c r="KBK105" s="3"/>
      <c r="KBL105" s="3"/>
      <c r="KBM105" s="3"/>
      <c r="KBN105" s="3"/>
      <c r="KBO105" s="3"/>
      <c r="KBP105" s="3"/>
      <c r="KBQ105" s="3"/>
      <c r="KBR105" s="3"/>
      <c r="KBS105" s="3"/>
      <c r="KBT105" s="3"/>
      <c r="KBU105" s="3"/>
      <c r="KBV105" s="3"/>
      <c r="KBW105" s="3"/>
      <c r="KBX105" s="3"/>
      <c r="KBY105" s="3"/>
      <c r="KBZ105" s="3"/>
      <c r="KCA105" s="3"/>
      <c r="KCB105" s="3"/>
      <c r="KCC105" s="3"/>
      <c r="KCD105" s="3"/>
      <c r="KCE105" s="3"/>
      <c r="KCF105" s="3"/>
      <c r="KCG105" s="3"/>
      <c r="KCH105" s="3"/>
      <c r="KCI105" s="3"/>
      <c r="KCJ105" s="3"/>
      <c r="KCK105" s="3"/>
      <c r="KCL105" s="3"/>
      <c r="KCM105" s="3"/>
      <c r="KCN105" s="3"/>
      <c r="KCO105" s="3"/>
      <c r="KCP105" s="3"/>
      <c r="KCQ105" s="3"/>
      <c r="KCR105" s="3"/>
      <c r="KCS105" s="3"/>
      <c r="KCT105" s="3"/>
      <c r="KCU105" s="3"/>
      <c r="KCV105" s="3"/>
      <c r="KCW105" s="3"/>
      <c r="KCX105" s="3"/>
      <c r="KCY105" s="3"/>
      <c r="KCZ105" s="3"/>
      <c r="KDA105" s="3"/>
      <c r="KDB105" s="3"/>
      <c r="KDC105" s="3"/>
      <c r="KDD105" s="3"/>
      <c r="KDE105" s="3"/>
      <c r="KDF105" s="3"/>
      <c r="KDG105" s="3"/>
      <c r="KDH105" s="3"/>
      <c r="KDI105" s="3"/>
      <c r="KDJ105" s="3"/>
      <c r="KDK105" s="3"/>
      <c r="KDL105" s="3"/>
      <c r="KDM105" s="3"/>
      <c r="KDN105" s="3"/>
      <c r="KDO105" s="3"/>
      <c r="KDP105" s="3"/>
      <c r="KDQ105" s="3"/>
      <c r="KDR105" s="3"/>
      <c r="KDS105" s="3"/>
      <c r="KDT105" s="3"/>
      <c r="KDU105" s="3"/>
      <c r="KDV105" s="3"/>
      <c r="KDW105" s="3"/>
      <c r="KDX105" s="3"/>
      <c r="KDY105" s="3"/>
      <c r="KDZ105" s="3"/>
      <c r="KEA105" s="3"/>
      <c r="KEB105" s="3"/>
      <c r="KEC105" s="3"/>
      <c r="KED105" s="3"/>
      <c r="KEE105" s="3"/>
      <c r="KEF105" s="3"/>
      <c r="KEG105" s="3"/>
      <c r="KEH105" s="3"/>
      <c r="KEI105" s="3"/>
      <c r="KEJ105" s="3"/>
      <c r="KEK105" s="3"/>
      <c r="KEL105" s="3"/>
      <c r="KEM105" s="3"/>
      <c r="KEN105" s="3"/>
      <c r="KEO105" s="3"/>
      <c r="KEP105" s="3"/>
      <c r="KEQ105" s="3"/>
      <c r="KER105" s="3"/>
      <c r="KES105" s="3"/>
      <c r="KET105" s="3"/>
      <c r="KEU105" s="3"/>
      <c r="KEV105" s="3"/>
      <c r="KEW105" s="3"/>
      <c r="KEX105" s="3"/>
      <c r="KEY105" s="3"/>
      <c r="KEZ105" s="3"/>
      <c r="KFA105" s="3"/>
      <c r="KFB105" s="3"/>
      <c r="KFC105" s="3"/>
      <c r="KFD105" s="3"/>
      <c r="KFE105" s="3"/>
      <c r="KFF105" s="3"/>
      <c r="KFG105" s="3"/>
      <c r="KFH105" s="3"/>
      <c r="KFI105" s="3"/>
      <c r="KFJ105" s="3"/>
      <c r="KFK105" s="3"/>
      <c r="KFL105" s="3"/>
      <c r="KFM105" s="3"/>
      <c r="KFN105" s="3"/>
      <c r="KFO105" s="3"/>
      <c r="KFP105" s="3"/>
      <c r="KFQ105" s="3"/>
      <c r="KFR105" s="3"/>
      <c r="KFS105" s="3"/>
      <c r="KFT105" s="3"/>
      <c r="KFU105" s="3"/>
      <c r="KFV105" s="3"/>
      <c r="KFW105" s="3"/>
      <c r="KFX105" s="3"/>
      <c r="KFY105" s="3"/>
      <c r="KFZ105" s="3"/>
      <c r="KGA105" s="3"/>
      <c r="KGB105" s="3"/>
      <c r="KGC105" s="3"/>
      <c r="KGD105" s="3"/>
      <c r="KGE105" s="3"/>
      <c r="KGF105" s="3"/>
      <c r="KGG105" s="3"/>
      <c r="KGH105" s="3"/>
      <c r="KGI105" s="3"/>
      <c r="KGJ105" s="3"/>
      <c r="KGK105" s="3"/>
      <c r="KGL105" s="3"/>
      <c r="KGM105" s="3"/>
      <c r="KGN105" s="3"/>
      <c r="KGO105" s="3"/>
      <c r="KGP105" s="3"/>
      <c r="KGQ105" s="3"/>
      <c r="KGR105" s="3"/>
      <c r="KGS105" s="3"/>
      <c r="KGT105" s="3"/>
      <c r="KGU105" s="3"/>
      <c r="KGV105" s="3"/>
      <c r="KGW105" s="3"/>
      <c r="KGX105" s="3"/>
      <c r="KGY105" s="3"/>
      <c r="KGZ105" s="3"/>
      <c r="KHA105" s="3"/>
      <c r="KHB105" s="3"/>
      <c r="KHC105" s="3"/>
      <c r="KHD105" s="3"/>
      <c r="KHE105" s="3"/>
      <c r="KHF105" s="3"/>
      <c r="KHG105" s="3"/>
      <c r="KHH105" s="3"/>
      <c r="KHI105" s="3"/>
      <c r="KHJ105" s="3"/>
      <c r="KHK105" s="3"/>
      <c r="KHL105" s="3"/>
      <c r="KHM105" s="3"/>
      <c r="KHN105" s="3"/>
      <c r="KHO105" s="3"/>
      <c r="KHP105" s="3"/>
      <c r="KHQ105" s="3"/>
      <c r="KHR105" s="3"/>
      <c r="KHS105" s="3"/>
      <c r="KHT105" s="3"/>
      <c r="KHU105" s="3"/>
      <c r="KHV105" s="3"/>
      <c r="KHW105" s="3"/>
      <c r="KHX105" s="3"/>
      <c r="KHY105" s="3"/>
      <c r="KHZ105" s="3"/>
      <c r="KIA105" s="3"/>
      <c r="KIB105" s="3"/>
      <c r="KIC105" s="3"/>
      <c r="KID105" s="3"/>
      <c r="KIE105" s="3"/>
      <c r="KIF105" s="3"/>
      <c r="KIG105" s="3"/>
      <c r="KIH105" s="3"/>
      <c r="KII105" s="3"/>
      <c r="KIJ105" s="3"/>
      <c r="KIK105" s="3"/>
      <c r="KIL105" s="3"/>
      <c r="KIM105" s="3"/>
      <c r="KIN105" s="3"/>
      <c r="KIO105" s="3"/>
      <c r="KIP105" s="3"/>
      <c r="KIQ105" s="3"/>
      <c r="KIR105" s="3"/>
      <c r="KIS105" s="3"/>
      <c r="KIT105" s="3"/>
      <c r="KIU105" s="3"/>
      <c r="KIV105" s="3"/>
      <c r="KIW105" s="3"/>
      <c r="KIX105" s="3"/>
      <c r="KIY105" s="3"/>
      <c r="KIZ105" s="3"/>
      <c r="KJA105" s="3"/>
      <c r="KJB105" s="3"/>
      <c r="KJC105" s="3"/>
      <c r="KJD105" s="3"/>
      <c r="KJE105" s="3"/>
      <c r="KJF105" s="3"/>
      <c r="KJG105" s="3"/>
      <c r="KJH105" s="3"/>
      <c r="KJI105" s="3"/>
      <c r="KJJ105" s="3"/>
      <c r="KJK105" s="3"/>
      <c r="KJL105" s="3"/>
      <c r="KJM105" s="3"/>
      <c r="KJN105" s="3"/>
      <c r="KJO105" s="3"/>
      <c r="KJP105" s="3"/>
      <c r="KJQ105" s="3"/>
      <c r="KJR105" s="3"/>
      <c r="KJS105" s="3"/>
      <c r="KJT105" s="3"/>
      <c r="KJU105" s="3"/>
      <c r="KJV105" s="3"/>
      <c r="KJW105" s="3"/>
      <c r="KJX105" s="3"/>
      <c r="KJY105" s="3"/>
      <c r="KJZ105" s="3"/>
      <c r="KKA105" s="3"/>
      <c r="KKB105" s="3"/>
      <c r="KKC105" s="3"/>
      <c r="KKD105" s="3"/>
      <c r="KKE105" s="3"/>
      <c r="KKF105" s="3"/>
      <c r="KKG105" s="3"/>
      <c r="KKH105" s="3"/>
      <c r="KKI105" s="3"/>
      <c r="KKJ105" s="3"/>
      <c r="KKK105" s="3"/>
      <c r="KKL105" s="3"/>
      <c r="KKM105" s="3"/>
      <c r="KKN105" s="3"/>
      <c r="KKO105" s="3"/>
      <c r="KKP105" s="3"/>
      <c r="KKQ105" s="3"/>
      <c r="KKR105" s="3"/>
      <c r="KKS105" s="3"/>
      <c r="KKT105" s="3"/>
      <c r="KKU105" s="3"/>
      <c r="KKV105" s="3"/>
      <c r="KKW105" s="3"/>
      <c r="KKX105" s="3"/>
      <c r="KKY105" s="3"/>
      <c r="KKZ105" s="3"/>
      <c r="KLA105" s="3"/>
      <c r="KLB105" s="3"/>
      <c r="KLC105" s="3"/>
      <c r="KLD105" s="3"/>
      <c r="KLE105" s="3"/>
      <c r="KLF105" s="3"/>
      <c r="KLG105" s="3"/>
      <c r="KLH105" s="3"/>
      <c r="KLI105" s="3"/>
      <c r="KLJ105" s="3"/>
      <c r="KLK105" s="3"/>
      <c r="KLL105" s="3"/>
      <c r="KLM105" s="3"/>
      <c r="KLN105" s="3"/>
      <c r="KLO105" s="3"/>
      <c r="KLP105" s="3"/>
      <c r="KLQ105" s="3"/>
      <c r="KLR105" s="3"/>
      <c r="KLS105" s="3"/>
      <c r="KLT105" s="3"/>
      <c r="KLU105" s="3"/>
      <c r="KLV105" s="3"/>
      <c r="KLW105" s="3"/>
      <c r="KLX105" s="3"/>
      <c r="KLY105" s="3"/>
      <c r="KLZ105" s="3"/>
      <c r="KMA105" s="3"/>
      <c r="KMB105" s="3"/>
      <c r="KMC105" s="3"/>
      <c r="KMD105" s="3"/>
      <c r="KME105" s="3"/>
      <c r="KMF105" s="3"/>
      <c r="KMG105" s="3"/>
      <c r="KMH105" s="3"/>
      <c r="KMI105" s="3"/>
      <c r="KMJ105" s="3"/>
      <c r="KMK105" s="3"/>
      <c r="KML105" s="3"/>
      <c r="KMM105" s="3"/>
      <c r="KMN105" s="3"/>
      <c r="KMO105" s="3"/>
      <c r="KMP105" s="3"/>
      <c r="KMQ105" s="3"/>
      <c r="KMR105" s="3"/>
      <c r="KMS105" s="3"/>
      <c r="KMT105" s="3"/>
      <c r="KMU105" s="3"/>
      <c r="KMV105" s="3"/>
      <c r="KMW105" s="3"/>
      <c r="KMX105" s="3"/>
      <c r="KMY105" s="3"/>
      <c r="KMZ105" s="3"/>
      <c r="KNA105" s="3"/>
      <c r="KNB105" s="3"/>
      <c r="KNC105" s="3"/>
      <c r="KND105" s="3"/>
      <c r="KNE105" s="3"/>
      <c r="KNF105" s="3"/>
      <c r="KNG105" s="3"/>
      <c r="KNH105" s="3"/>
      <c r="KNI105" s="3"/>
      <c r="KNJ105" s="3"/>
      <c r="KNK105" s="3"/>
      <c r="KNL105" s="3"/>
      <c r="KNM105" s="3"/>
      <c r="KNN105" s="3"/>
      <c r="KNO105" s="3"/>
      <c r="KNP105" s="3"/>
      <c r="KNQ105" s="3"/>
      <c r="KNR105" s="3"/>
      <c r="KNS105" s="3"/>
      <c r="KNT105" s="3"/>
      <c r="KNU105" s="3"/>
      <c r="KNV105" s="3"/>
      <c r="KNW105" s="3"/>
      <c r="KNX105" s="3"/>
      <c r="KNY105" s="3"/>
      <c r="KNZ105" s="3"/>
      <c r="KOA105" s="3"/>
      <c r="KOB105" s="3"/>
      <c r="KOC105" s="3"/>
      <c r="KOD105" s="3"/>
      <c r="KOE105" s="3"/>
      <c r="KOF105" s="3"/>
      <c r="KOG105" s="3"/>
      <c r="KOH105" s="3"/>
      <c r="KOI105" s="3"/>
      <c r="KOJ105" s="3"/>
      <c r="KOK105" s="3"/>
      <c r="KOL105" s="3"/>
      <c r="KOM105" s="3"/>
      <c r="KON105" s="3"/>
      <c r="KOO105" s="3"/>
      <c r="KOP105" s="3"/>
      <c r="KOQ105" s="3"/>
      <c r="KOR105" s="3"/>
      <c r="KOS105" s="3"/>
      <c r="KOT105" s="3"/>
      <c r="KOU105" s="3"/>
      <c r="KOV105" s="3"/>
      <c r="KOW105" s="3"/>
      <c r="KOX105" s="3"/>
      <c r="KOY105" s="3"/>
      <c r="KOZ105" s="3"/>
      <c r="KPA105" s="3"/>
      <c r="KPB105" s="3"/>
      <c r="KPC105" s="3"/>
      <c r="KPD105" s="3"/>
      <c r="KPE105" s="3"/>
      <c r="KPF105" s="3"/>
      <c r="KPG105" s="3"/>
      <c r="KPH105" s="3"/>
      <c r="KPI105" s="3"/>
      <c r="KPJ105" s="3"/>
      <c r="KPK105" s="3"/>
      <c r="KPL105" s="3"/>
      <c r="KPM105" s="3"/>
      <c r="KPN105" s="3"/>
      <c r="KPO105" s="3"/>
      <c r="KPP105" s="3"/>
      <c r="KPQ105" s="3"/>
      <c r="KPR105" s="3"/>
      <c r="KPS105" s="3"/>
      <c r="KPT105" s="3"/>
      <c r="KPU105" s="3"/>
      <c r="KPV105" s="3"/>
      <c r="KPW105" s="3"/>
      <c r="KPX105" s="3"/>
      <c r="KPY105" s="3"/>
      <c r="KPZ105" s="3"/>
      <c r="KQA105" s="3"/>
      <c r="KQB105" s="3"/>
      <c r="KQC105" s="3"/>
      <c r="KQD105" s="3"/>
      <c r="KQE105" s="3"/>
      <c r="KQF105" s="3"/>
      <c r="KQG105" s="3"/>
      <c r="KQH105" s="3"/>
      <c r="KQI105" s="3"/>
      <c r="KQJ105" s="3"/>
      <c r="KQK105" s="3"/>
      <c r="KQL105" s="3"/>
      <c r="KQM105" s="3"/>
      <c r="KQN105" s="3"/>
      <c r="KQO105" s="3"/>
      <c r="KQP105" s="3"/>
      <c r="KQQ105" s="3"/>
      <c r="KQR105" s="3"/>
      <c r="KQS105" s="3"/>
      <c r="KQT105" s="3"/>
      <c r="KQU105" s="3"/>
      <c r="KQV105" s="3"/>
      <c r="KQW105" s="3"/>
      <c r="KQX105" s="3"/>
      <c r="KQY105" s="3"/>
      <c r="KQZ105" s="3"/>
      <c r="KRA105" s="3"/>
      <c r="KRB105" s="3"/>
      <c r="KRC105" s="3"/>
      <c r="KRD105" s="3"/>
      <c r="KRE105" s="3"/>
      <c r="KRF105" s="3"/>
      <c r="KRG105" s="3"/>
      <c r="KRH105" s="3"/>
      <c r="KRI105" s="3"/>
      <c r="KRJ105" s="3"/>
      <c r="KRK105" s="3"/>
      <c r="KRL105" s="3"/>
      <c r="KRM105" s="3"/>
      <c r="KRN105" s="3"/>
      <c r="KRO105" s="3"/>
      <c r="KRP105" s="3"/>
      <c r="KRQ105" s="3"/>
      <c r="KRR105" s="3"/>
      <c r="KRS105" s="3"/>
      <c r="KRT105" s="3"/>
      <c r="KRU105" s="3"/>
      <c r="KRV105" s="3"/>
      <c r="KRW105" s="3"/>
      <c r="KRX105" s="3"/>
      <c r="KRY105" s="3"/>
      <c r="KRZ105" s="3"/>
      <c r="KSA105" s="3"/>
      <c r="KSB105" s="3"/>
      <c r="KSC105" s="3"/>
      <c r="KSD105" s="3"/>
      <c r="KSE105" s="3"/>
      <c r="KSF105" s="3"/>
      <c r="KSG105" s="3"/>
      <c r="KSH105" s="3"/>
      <c r="KSI105" s="3"/>
      <c r="KSJ105" s="3"/>
      <c r="KSK105" s="3"/>
      <c r="KSL105" s="3"/>
      <c r="KSM105" s="3"/>
      <c r="KSN105" s="3"/>
      <c r="KSO105" s="3"/>
      <c r="KSP105" s="3"/>
      <c r="KSQ105" s="3"/>
      <c r="KSR105" s="3"/>
      <c r="KSS105" s="3"/>
      <c r="KST105" s="3"/>
      <c r="KSU105" s="3"/>
      <c r="KSV105" s="3"/>
      <c r="KSW105" s="3"/>
      <c r="KSX105" s="3"/>
      <c r="KSY105" s="3"/>
      <c r="KSZ105" s="3"/>
      <c r="KTA105" s="3"/>
      <c r="KTB105" s="3"/>
      <c r="KTC105" s="3"/>
      <c r="KTD105" s="3"/>
      <c r="KTE105" s="3"/>
      <c r="KTF105" s="3"/>
      <c r="KTG105" s="3"/>
      <c r="KTH105" s="3"/>
      <c r="KTI105" s="3"/>
      <c r="KTJ105" s="3"/>
      <c r="KTK105" s="3"/>
      <c r="KTL105" s="3"/>
      <c r="KTM105" s="3"/>
      <c r="KTN105" s="3"/>
      <c r="KTO105" s="3"/>
      <c r="KTP105" s="3"/>
      <c r="KTQ105" s="3"/>
      <c r="KTR105" s="3"/>
      <c r="KTS105" s="3"/>
      <c r="KTT105" s="3"/>
      <c r="KTU105" s="3"/>
      <c r="KTV105" s="3"/>
      <c r="KTW105" s="3"/>
      <c r="KTX105" s="3"/>
      <c r="KTY105" s="3"/>
      <c r="KTZ105" s="3"/>
      <c r="KUA105" s="3"/>
      <c r="KUB105" s="3"/>
      <c r="KUC105" s="3"/>
      <c r="KUD105" s="3"/>
      <c r="KUE105" s="3"/>
      <c r="KUF105" s="3"/>
      <c r="KUG105" s="3"/>
      <c r="KUH105" s="3"/>
      <c r="KUI105" s="3"/>
      <c r="KUJ105" s="3"/>
      <c r="KUK105" s="3"/>
      <c r="KUL105" s="3"/>
      <c r="KUM105" s="3"/>
      <c r="KUN105" s="3"/>
      <c r="KUO105" s="3"/>
      <c r="KUP105" s="3"/>
      <c r="KUQ105" s="3"/>
      <c r="KUR105" s="3"/>
      <c r="KUS105" s="3"/>
      <c r="KUT105" s="3"/>
      <c r="KUU105" s="3"/>
      <c r="KUV105" s="3"/>
      <c r="KUW105" s="3"/>
      <c r="KUX105" s="3"/>
      <c r="KUY105" s="3"/>
      <c r="KUZ105" s="3"/>
      <c r="KVA105" s="3"/>
      <c r="KVB105" s="3"/>
      <c r="KVC105" s="3"/>
      <c r="KVD105" s="3"/>
      <c r="KVE105" s="3"/>
      <c r="KVF105" s="3"/>
      <c r="KVG105" s="3"/>
      <c r="KVH105" s="3"/>
      <c r="KVI105" s="3"/>
      <c r="KVJ105" s="3"/>
      <c r="KVK105" s="3"/>
      <c r="KVL105" s="3"/>
      <c r="KVM105" s="3"/>
      <c r="KVN105" s="3"/>
      <c r="KVO105" s="3"/>
      <c r="KVP105" s="3"/>
      <c r="KVQ105" s="3"/>
      <c r="KVR105" s="3"/>
      <c r="KVS105" s="3"/>
      <c r="KVT105" s="3"/>
      <c r="KVU105" s="3"/>
      <c r="KVV105" s="3"/>
      <c r="KVW105" s="3"/>
      <c r="KVX105" s="3"/>
      <c r="KVY105" s="3"/>
      <c r="KVZ105" s="3"/>
      <c r="KWA105" s="3"/>
      <c r="KWB105" s="3"/>
      <c r="KWC105" s="3"/>
      <c r="KWD105" s="3"/>
      <c r="KWE105" s="3"/>
      <c r="KWF105" s="3"/>
      <c r="KWG105" s="3"/>
      <c r="KWH105" s="3"/>
      <c r="KWI105" s="3"/>
      <c r="KWJ105" s="3"/>
      <c r="KWK105" s="3"/>
      <c r="KWL105" s="3"/>
      <c r="KWM105" s="3"/>
      <c r="KWN105" s="3"/>
      <c r="KWO105" s="3"/>
      <c r="KWP105" s="3"/>
      <c r="KWQ105" s="3"/>
      <c r="KWR105" s="3"/>
      <c r="KWS105" s="3"/>
      <c r="KWT105" s="3"/>
      <c r="KWU105" s="3"/>
      <c r="KWV105" s="3"/>
      <c r="KWW105" s="3"/>
      <c r="KWX105" s="3"/>
      <c r="KWY105" s="3"/>
      <c r="KWZ105" s="3"/>
      <c r="KXA105" s="3"/>
      <c r="KXB105" s="3"/>
      <c r="KXC105" s="3"/>
      <c r="KXD105" s="3"/>
      <c r="KXE105" s="3"/>
      <c r="KXF105" s="3"/>
      <c r="KXG105" s="3"/>
      <c r="KXH105" s="3"/>
      <c r="KXI105" s="3"/>
      <c r="KXJ105" s="3"/>
      <c r="KXK105" s="3"/>
      <c r="KXL105" s="3"/>
      <c r="KXM105" s="3"/>
      <c r="KXN105" s="3"/>
      <c r="KXO105" s="3"/>
      <c r="KXP105" s="3"/>
      <c r="KXQ105" s="3"/>
      <c r="KXR105" s="3"/>
      <c r="KXS105" s="3"/>
      <c r="KXT105" s="3"/>
      <c r="KXU105" s="3"/>
      <c r="KXV105" s="3"/>
      <c r="KXW105" s="3"/>
      <c r="KXX105" s="3"/>
      <c r="KXY105" s="3"/>
      <c r="KXZ105" s="3"/>
      <c r="KYA105" s="3"/>
      <c r="KYB105" s="3"/>
      <c r="KYC105" s="3"/>
      <c r="KYD105" s="3"/>
      <c r="KYE105" s="3"/>
      <c r="KYF105" s="3"/>
      <c r="KYG105" s="3"/>
      <c r="KYH105" s="3"/>
      <c r="KYI105" s="3"/>
      <c r="KYJ105" s="3"/>
      <c r="KYK105" s="3"/>
      <c r="KYL105" s="3"/>
      <c r="KYM105" s="3"/>
      <c r="KYN105" s="3"/>
      <c r="KYO105" s="3"/>
      <c r="KYP105" s="3"/>
      <c r="KYQ105" s="3"/>
      <c r="KYR105" s="3"/>
      <c r="KYS105" s="3"/>
      <c r="KYT105" s="3"/>
      <c r="KYU105" s="3"/>
      <c r="KYV105" s="3"/>
      <c r="KYW105" s="3"/>
      <c r="KYX105" s="3"/>
      <c r="KYY105" s="3"/>
      <c r="KYZ105" s="3"/>
      <c r="KZA105" s="3"/>
      <c r="KZB105" s="3"/>
      <c r="KZC105" s="3"/>
      <c r="KZD105" s="3"/>
      <c r="KZE105" s="3"/>
      <c r="KZF105" s="3"/>
      <c r="KZG105" s="3"/>
      <c r="KZH105" s="3"/>
      <c r="KZI105" s="3"/>
      <c r="KZJ105" s="3"/>
      <c r="KZK105" s="3"/>
      <c r="KZL105" s="3"/>
      <c r="KZM105" s="3"/>
      <c r="KZN105" s="3"/>
      <c r="KZO105" s="3"/>
      <c r="KZP105" s="3"/>
      <c r="KZQ105" s="3"/>
      <c r="KZR105" s="3"/>
      <c r="KZS105" s="3"/>
      <c r="KZT105" s="3"/>
      <c r="KZU105" s="3"/>
      <c r="KZV105" s="3"/>
      <c r="KZW105" s="3"/>
      <c r="KZX105" s="3"/>
      <c r="KZY105" s="3"/>
      <c r="KZZ105" s="3"/>
      <c r="LAA105" s="3"/>
      <c r="LAB105" s="3"/>
      <c r="LAC105" s="3"/>
      <c r="LAD105" s="3"/>
      <c r="LAE105" s="3"/>
      <c r="LAF105" s="3"/>
      <c r="LAG105" s="3"/>
      <c r="LAH105" s="3"/>
      <c r="LAI105" s="3"/>
      <c r="LAJ105" s="3"/>
      <c r="LAK105" s="3"/>
      <c r="LAL105" s="3"/>
      <c r="LAM105" s="3"/>
      <c r="LAN105" s="3"/>
      <c r="LAO105" s="3"/>
      <c r="LAP105" s="3"/>
      <c r="LAQ105" s="3"/>
      <c r="LAR105" s="3"/>
      <c r="LAS105" s="3"/>
      <c r="LAT105" s="3"/>
      <c r="LAU105" s="3"/>
      <c r="LAV105" s="3"/>
      <c r="LAW105" s="3"/>
      <c r="LAX105" s="3"/>
      <c r="LAY105" s="3"/>
      <c r="LAZ105" s="3"/>
      <c r="LBA105" s="3"/>
      <c r="LBB105" s="3"/>
      <c r="LBC105" s="3"/>
      <c r="LBD105" s="3"/>
      <c r="LBE105" s="3"/>
      <c r="LBF105" s="3"/>
      <c r="LBG105" s="3"/>
      <c r="LBH105" s="3"/>
      <c r="LBI105" s="3"/>
      <c r="LBJ105" s="3"/>
      <c r="LBK105" s="3"/>
      <c r="LBL105" s="3"/>
      <c r="LBM105" s="3"/>
      <c r="LBN105" s="3"/>
      <c r="LBO105" s="3"/>
      <c r="LBP105" s="3"/>
      <c r="LBQ105" s="3"/>
      <c r="LBR105" s="3"/>
      <c r="LBS105" s="3"/>
      <c r="LBT105" s="3"/>
      <c r="LBU105" s="3"/>
      <c r="LBV105" s="3"/>
      <c r="LBW105" s="3"/>
      <c r="LBX105" s="3"/>
      <c r="LBY105" s="3"/>
      <c r="LBZ105" s="3"/>
      <c r="LCA105" s="3"/>
      <c r="LCB105" s="3"/>
      <c r="LCC105" s="3"/>
      <c r="LCD105" s="3"/>
      <c r="LCE105" s="3"/>
      <c r="LCF105" s="3"/>
      <c r="LCG105" s="3"/>
      <c r="LCH105" s="3"/>
      <c r="LCI105" s="3"/>
      <c r="LCJ105" s="3"/>
      <c r="LCK105" s="3"/>
      <c r="LCL105" s="3"/>
      <c r="LCM105" s="3"/>
      <c r="LCN105" s="3"/>
      <c r="LCO105" s="3"/>
      <c r="LCP105" s="3"/>
      <c r="LCQ105" s="3"/>
      <c r="LCR105" s="3"/>
      <c r="LCS105" s="3"/>
      <c r="LCT105" s="3"/>
      <c r="LCU105" s="3"/>
      <c r="LCV105" s="3"/>
      <c r="LCW105" s="3"/>
      <c r="LCX105" s="3"/>
      <c r="LCY105" s="3"/>
      <c r="LCZ105" s="3"/>
      <c r="LDA105" s="3"/>
      <c r="LDB105" s="3"/>
      <c r="LDC105" s="3"/>
      <c r="LDD105" s="3"/>
      <c r="LDE105" s="3"/>
      <c r="LDF105" s="3"/>
      <c r="LDG105" s="3"/>
      <c r="LDH105" s="3"/>
      <c r="LDI105" s="3"/>
      <c r="LDJ105" s="3"/>
      <c r="LDK105" s="3"/>
      <c r="LDL105" s="3"/>
      <c r="LDM105" s="3"/>
      <c r="LDN105" s="3"/>
      <c r="LDO105" s="3"/>
      <c r="LDP105" s="3"/>
      <c r="LDQ105" s="3"/>
      <c r="LDR105" s="3"/>
      <c r="LDS105" s="3"/>
      <c r="LDT105" s="3"/>
      <c r="LDU105" s="3"/>
      <c r="LDV105" s="3"/>
      <c r="LDW105" s="3"/>
      <c r="LDX105" s="3"/>
      <c r="LDY105" s="3"/>
      <c r="LDZ105" s="3"/>
      <c r="LEA105" s="3"/>
      <c r="LEB105" s="3"/>
      <c r="LEC105" s="3"/>
      <c r="LED105" s="3"/>
      <c r="LEE105" s="3"/>
      <c r="LEF105" s="3"/>
      <c r="LEG105" s="3"/>
      <c r="LEH105" s="3"/>
      <c r="LEI105" s="3"/>
      <c r="LEJ105" s="3"/>
      <c r="LEK105" s="3"/>
      <c r="LEL105" s="3"/>
      <c r="LEM105" s="3"/>
      <c r="LEN105" s="3"/>
      <c r="LEO105" s="3"/>
      <c r="LEP105" s="3"/>
      <c r="LEQ105" s="3"/>
      <c r="LER105" s="3"/>
      <c r="LES105" s="3"/>
      <c r="LET105" s="3"/>
      <c r="LEU105" s="3"/>
      <c r="LEV105" s="3"/>
      <c r="LEW105" s="3"/>
      <c r="LEX105" s="3"/>
      <c r="LEY105" s="3"/>
      <c r="LEZ105" s="3"/>
      <c r="LFA105" s="3"/>
      <c r="LFB105" s="3"/>
      <c r="LFC105" s="3"/>
      <c r="LFD105" s="3"/>
      <c r="LFE105" s="3"/>
      <c r="LFF105" s="3"/>
      <c r="LFG105" s="3"/>
      <c r="LFH105" s="3"/>
      <c r="LFI105" s="3"/>
      <c r="LFJ105" s="3"/>
      <c r="LFK105" s="3"/>
      <c r="LFL105" s="3"/>
      <c r="LFM105" s="3"/>
      <c r="LFN105" s="3"/>
      <c r="LFO105" s="3"/>
      <c r="LFP105" s="3"/>
      <c r="LFQ105" s="3"/>
      <c r="LFR105" s="3"/>
      <c r="LFS105" s="3"/>
      <c r="LFT105" s="3"/>
      <c r="LFU105" s="3"/>
      <c r="LFV105" s="3"/>
      <c r="LFW105" s="3"/>
      <c r="LFX105" s="3"/>
      <c r="LFY105" s="3"/>
      <c r="LFZ105" s="3"/>
      <c r="LGA105" s="3"/>
      <c r="LGB105" s="3"/>
      <c r="LGC105" s="3"/>
      <c r="LGD105" s="3"/>
      <c r="LGE105" s="3"/>
      <c r="LGF105" s="3"/>
      <c r="LGG105" s="3"/>
      <c r="LGH105" s="3"/>
      <c r="LGI105" s="3"/>
      <c r="LGJ105" s="3"/>
      <c r="LGK105" s="3"/>
      <c r="LGL105" s="3"/>
      <c r="LGM105" s="3"/>
      <c r="LGN105" s="3"/>
      <c r="LGO105" s="3"/>
      <c r="LGP105" s="3"/>
      <c r="LGQ105" s="3"/>
      <c r="LGR105" s="3"/>
      <c r="LGS105" s="3"/>
      <c r="LGT105" s="3"/>
      <c r="LGU105" s="3"/>
      <c r="LGV105" s="3"/>
      <c r="LGW105" s="3"/>
      <c r="LGX105" s="3"/>
      <c r="LGY105" s="3"/>
      <c r="LGZ105" s="3"/>
      <c r="LHA105" s="3"/>
      <c r="LHB105" s="3"/>
      <c r="LHC105" s="3"/>
      <c r="LHD105" s="3"/>
      <c r="LHE105" s="3"/>
      <c r="LHF105" s="3"/>
      <c r="LHG105" s="3"/>
      <c r="LHH105" s="3"/>
      <c r="LHI105" s="3"/>
      <c r="LHJ105" s="3"/>
      <c r="LHK105" s="3"/>
      <c r="LHL105" s="3"/>
      <c r="LHM105" s="3"/>
      <c r="LHN105" s="3"/>
      <c r="LHO105" s="3"/>
      <c r="LHP105" s="3"/>
      <c r="LHQ105" s="3"/>
      <c r="LHR105" s="3"/>
      <c r="LHS105" s="3"/>
      <c r="LHT105" s="3"/>
      <c r="LHU105" s="3"/>
      <c r="LHV105" s="3"/>
      <c r="LHW105" s="3"/>
      <c r="LHX105" s="3"/>
      <c r="LHY105" s="3"/>
      <c r="LHZ105" s="3"/>
      <c r="LIA105" s="3"/>
      <c r="LIB105" s="3"/>
      <c r="LIC105" s="3"/>
      <c r="LID105" s="3"/>
      <c r="LIE105" s="3"/>
      <c r="LIF105" s="3"/>
      <c r="LIG105" s="3"/>
      <c r="LIH105" s="3"/>
      <c r="LII105" s="3"/>
      <c r="LIJ105" s="3"/>
      <c r="LIK105" s="3"/>
      <c r="LIL105" s="3"/>
      <c r="LIM105" s="3"/>
      <c r="LIN105" s="3"/>
      <c r="LIO105" s="3"/>
      <c r="LIP105" s="3"/>
      <c r="LIQ105" s="3"/>
      <c r="LIR105" s="3"/>
      <c r="LIS105" s="3"/>
      <c r="LIT105" s="3"/>
      <c r="LIU105" s="3"/>
      <c r="LIV105" s="3"/>
      <c r="LIW105" s="3"/>
      <c r="LIX105" s="3"/>
      <c r="LIY105" s="3"/>
      <c r="LIZ105" s="3"/>
      <c r="LJA105" s="3"/>
      <c r="LJB105" s="3"/>
      <c r="LJC105" s="3"/>
      <c r="LJD105" s="3"/>
      <c r="LJE105" s="3"/>
      <c r="LJF105" s="3"/>
      <c r="LJG105" s="3"/>
      <c r="LJH105" s="3"/>
      <c r="LJI105" s="3"/>
      <c r="LJJ105" s="3"/>
      <c r="LJK105" s="3"/>
      <c r="LJL105" s="3"/>
      <c r="LJM105" s="3"/>
      <c r="LJN105" s="3"/>
      <c r="LJO105" s="3"/>
      <c r="LJP105" s="3"/>
      <c r="LJQ105" s="3"/>
      <c r="LJR105" s="3"/>
      <c r="LJS105" s="3"/>
      <c r="LJT105" s="3"/>
      <c r="LJU105" s="3"/>
      <c r="LJV105" s="3"/>
      <c r="LJW105" s="3"/>
      <c r="LJX105" s="3"/>
      <c r="LJY105" s="3"/>
      <c r="LJZ105" s="3"/>
      <c r="LKA105" s="3"/>
      <c r="LKB105" s="3"/>
      <c r="LKC105" s="3"/>
      <c r="LKD105" s="3"/>
      <c r="LKE105" s="3"/>
      <c r="LKF105" s="3"/>
      <c r="LKG105" s="3"/>
      <c r="LKH105" s="3"/>
      <c r="LKI105" s="3"/>
      <c r="LKJ105" s="3"/>
      <c r="LKK105" s="3"/>
      <c r="LKL105" s="3"/>
      <c r="LKM105" s="3"/>
      <c r="LKN105" s="3"/>
      <c r="LKO105" s="3"/>
      <c r="LKP105" s="3"/>
      <c r="LKQ105" s="3"/>
      <c r="LKR105" s="3"/>
      <c r="LKS105" s="3"/>
      <c r="LKT105" s="3"/>
      <c r="LKU105" s="3"/>
      <c r="LKV105" s="3"/>
      <c r="LKW105" s="3"/>
      <c r="LKX105" s="3"/>
      <c r="LKY105" s="3"/>
      <c r="LKZ105" s="3"/>
      <c r="LLA105" s="3"/>
      <c r="LLB105" s="3"/>
      <c r="LLC105" s="3"/>
      <c r="LLD105" s="3"/>
      <c r="LLE105" s="3"/>
      <c r="LLF105" s="3"/>
      <c r="LLG105" s="3"/>
      <c r="LLH105" s="3"/>
      <c r="LLI105" s="3"/>
      <c r="LLJ105" s="3"/>
      <c r="LLK105" s="3"/>
      <c r="LLL105" s="3"/>
      <c r="LLM105" s="3"/>
      <c r="LLN105" s="3"/>
      <c r="LLO105" s="3"/>
      <c r="LLP105" s="3"/>
      <c r="LLQ105" s="3"/>
      <c r="LLR105" s="3"/>
      <c r="LLS105" s="3"/>
      <c r="LLT105" s="3"/>
      <c r="LLU105" s="3"/>
      <c r="LLV105" s="3"/>
      <c r="LLW105" s="3"/>
      <c r="LLX105" s="3"/>
      <c r="LLY105" s="3"/>
      <c r="LLZ105" s="3"/>
      <c r="LMA105" s="3"/>
      <c r="LMB105" s="3"/>
      <c r="LMC105" s="3"/>
      <c r="LMD105" s="3"/>
      <c r="LME105" s="3"/>
      <c r="LMF105" s="3"/>
      <c r="LMG105" s="3"/>
      <c r="LMH105" s="3"/>
      <c r="LMI105" s="3"/>
      <c r="LMJ105" s="3"/>
      <c r="LMK105" s="3"/>
      <c r="LML105" s="3"/>
      <c r="LMM105" s="3"/>
      <c r="LMN105" s="3"/>
      <c r="LMO105" s="3"/>
      <c r="LMP105" s="3"/>
      <c r="LMQ105" s="3"/>
      <c r="LMR105" s="3"/>
      <c r="LMS105" s="3"/>
      <c r="LMT105" s="3"/>
      <c r="LMU105" s="3"/>
      <c r="LMV105" s="3"/>
      <c r="LMW105" s="3"/>
      <c r="LMX105" s="3"/>
      <c r="LMY105" s="3"/>
      <c r="LMZ105" s="3"/>
      <c r="LNA105" s="3"/>
      <c r="LNB105" s="3"/>
      <c r="LNC105" s="3"/>
      <c r="LND105" s="3"/>
      <c r="LNE105" s="3"/>
      <c r="LNF105" s="3"/>
      <c r="LNG105" s="3"/>
      <c r="LNH105" s="3"/>
      <c r="LNI105" s="3"/>
      <c r="LNJ105" s="3"/>
      <c r="LNK105" s="3"/>
      <c r="LNL105" s="3"/>
      <c r="LNM105" s="3"/>
      <c r="LNN105" s="3"/>
      <c r="LNO105" s="3"/>
      <c r="LNP105" s="3"/>
      <c r="LNQ105" s="3"/>
      <c r="LNR105" s="3"/>
      <c r="LNS105" s="3"/>
      <c r="LNT105" s="3"/>
      <c r="LNU105" s="3"/>
      <c r="LNV105" s="3"/>
      <c r="LNW105" s="3"/>
      <c r="LNX105" s="3"/>
      <c r="LNY105" s="3"/>
      <c r="LNZ105" s="3"/>
      <c r="LOA105" s="3"/>
      <c r="LOB105" s="3"/>
      <c r="LOC105" s="3"/>
      <c r="LOD105" s="3"/>
      <c r="LOE105" s="3"/>
      <c r="LOF105" s="3"/>
      <c r="LOG105" s="3"/>
      <c r="LOH105" s="3"/>
      <c r="LOI105" s="3"/>
      <c r="LOJ105" s="3"/>
      <c r="LOK105" s="3"/>
      <c r="LOL105" s="3"/>
      <c r="LOM105" s="3"/>
      <c r="LON105" s="3"/>
      <c r="LOO105" s="3"/>
      <c r="LOP105" s="3"/>
      <c r="LOQ105" s="3"/>
      <c r="LOR105" s="3"/>
      <c r="LOS105" s="3"/>
      <c r="LOT105" s="3"/>
      <c r="LOU105" s="3"/>
      <c r="LOV105" s="3"/>
      <c r="LOW105" s="3"/>
      <c r="LOX105" s="3"/>
      <c r="LOY105" s="3"/>
      <c r="LOZ105" s="3"/>
      <c r="LPA105" s="3"/>
      <c r="LPB105" s="3"/>
      <c r="LPC105" s="3"/>
      <c r="LPD105" s="3"/>
      <c r="LPE105" s="3"/>
      <c r="LPF105" s="3"/>
      <c r="LPG105" s="3"/>
      <c r="LPH105" s="3"/>
      <c r="LPI105" s="3"/>
      <c r="LPJ105" s="3"/>
      <c r="LPK105" s="3"/>
      <c r="LPL105" s="3"/>
      <c r="LPM105" s="3"/>
      <c r="LPN105" s="3"/>
      <c r="LPO105" s="3"/>
      <c r="LPP105" s="3"/>
      <c r="LPQ105" s="3"/>
      <c r="LPR105" s="3"/>
      <c r="LPS105" s="3"/>
      <c r="LPT105" s="3"/>
      <c r="LPU105" s="3"/>
      <c r="LPV105" s="3"/>
      <c r="LPW105" s="3"/>
      <c r="LPX105" s="3"/>
      <c r="LPY105" s="3"/>
      <c r="LPZ105" s="3"/>
      <c r="LQA105" s="3"/>
      <c r="LQB105" s="3"/>
      <c r="LQC105" s="3"/>
      <c r="LQD105" s="3"/>
      <c r="LQE105" s="3"/>
      <c r="LQF105" s="3"/>
      <c r="LQG105" s="3"/>
      <c r="LQH105" s="3"/>
      <c r="LQI105" s="3"/>
      <c r="LQJ105" s="3"/>
      <c r="LQK105" s="3"/>
      <c r="LQL105" s="3"/>
      <c r="LQM105" s="3"/>
      <c r="LQN105" s="3"/>
      <c r="LQO105" s="3"/>
      <c r="LQP105" s="3"/>
      <c r="LQQ105" s="3"/>
      <c r="LQR105" s="3"/>
      <c r="LQS105" s="3"/>
      <c r="LQT105" s="3"/>
      <c r="LQU105" s="3"/>
      <c r="LQV105" s="3"/>
      <c r="LQW105" s="3"/>
      <c r="LQX105" s="3"/>
      <c r="LQY105" s="3"/>
      <c r="LQZ105" s="3"/>
      <c r="LRA105" s="3"/>
      <c r="LRB105" s="3"/>
      <c r="LRC105" s="3"/>
      <c r="LRD105" s="3"/>
      <c r="LRE105" s="3"/>
      <c r="LRF105" s="3"/>
      <c r="LRG105" s="3"/>
      <c r="LRH105" s="3"/>
      <c r="LRI105" s="3"/>
      <c r="LRJ105" s="3"/>
      <c r="LRK105" s="3"/>
      <c r="LRL105" s="3"/>
      <c r="LRM105" s="3"/>
      <c r="LRN105" s="3"/>
      <c r="LRO105" s="3"/>
      <c r="LRP105" s="3"/>
      <c r="LRQ105" s="3"/>
      <c r="LRR105" s="3"/>
      <c r="LRS105" s="3"/>
      <c r="LRT105" s="3"/>
      <c r="LRU105" s="3"/>
      <c r="LRV105" s="3"/>
      <c r="LRW105" s="3"/>
      <c r="LRX105" s="3"/>
      <c r="LRY105" s="3"/>
      <c r="LRZ105" s="3"/>
      <c r="LSA105" s="3"/>
      <c r="LSB105" s="3"/>
      <c r="LSC105" s="3"/>
      <c r="LSD105" s="3"/>
      <c r="LSE105" s="3"/>
      <c r="LSF105" s="3"/>
      <c r="LSG105" s="3"/>
      <c r="LSH105" s="3"/>
      <c r="LSI105" s="3"/>
      <c r="LSJ105" s="3"/>
      <c r="LSK105" s="3"/>
      <c r="LSL105" s="3"/>
      <c r="LSM105" s="3"/>
      <c r="LSN105" s="3"/>
      <c r="LSO105" s="3"/>
      <c r="LSP105" s="3"/>
      <c r="LSQ105" s="3"/>
      <c r="LSR105" s="3"/>
      <c r="LSS105" s="3"/>
      <c r="LST105" s="3"/>
      <c r="LSU105" s="3"/>
      <c r="LSV105" s="3"/>
      <c r="LSW105" s="3"/>
      <c r="LSX105" s="3"/>
      <c r="LSY105" s="3"/>
      <c r="LSZ105" s="3"/>
      <c r="LTA105" s="3"/>
      <c r="LTB105" s="3"/>
      <c r="LTC105" s="3"/>
      <c r="LTD105" s="3"/>
      <c r="LTE105" s="3"/>
      <c r="LTF105" s="3"/>
      <c r="LTG105" s="3"/>
      <c r="LTH105" s="3"/>
      <c r="LTI105" s="3"/>
      <c r="LTJ105" s="3"/>
      <c r="LTK105" s="3"/>
      <c r="LTL105" s="3"/>
      <c r="LTM105" s="3"/>
      <c r="LTN105" s="3"/>
      <c r="LTO105" s="3"/>
      <c r="LTP105" s="3"/>
      <c r="LTQ105" s="3"/>
      <c r="LTR105" s="3"/>
      <c r="LTS105" s="3"/>
      <c r="LTT105" s="3"/>
      <c r="LTU105" s="3"/>
      <c r="LTV105" s="3"/>
      <c r="LTW105" s="3"/>
      <c r="LTX105" s="3"/>
      <c r="LTY105" s="3"/>
      <c r="LTZ105" s="3"/>
      <c r="LUA105" s="3"/>
      <c r="LUB105" s="3"/>
      <c r="LUC105" s="3"/>
      <c r="LUD105" s="3"/>
      <c r="LUE105" s="3"/>
      <c r="LUF105" s="3"/>
      <c r="LUG105" s="3"/>
      <c r="LUH105" s="3"/>
      <c r="LUI105" s="3"/>
      <c r="LUJ105" s="3"/>
      <c r="LUK105" s="3"/>
      <c r="LUL105" s="3"/>
      <c r="LUM105" s="3"/>
      <c r="LUN105" s="3"/>
      <c r="LUO105" s="3"/>
      <c r="LUP105" s="3"/>
      <c r="LUQ105" s="3"/>
      <c r="LUR105" s="3"/>
      <c r="LUS105" s="3"/>
      <c r="LUT105" s="3"/>
      <c r="LUU105" s="3"/>
      <c r="LUV105" s="3"/>
      <c r="LUW105" s="3"/>
      <c r="LUX105" s="3"/>
      <c r="LUY105" s="3"/>
      <c r="LUZ105" s="3"/>
      <c r="LVA105" s="3"/>
      <c r="LVB105" s="3"/>
      <c r="LVC105" s="3"/>
      <c r="LVD105" s="3"/>
      <c r="LVE105" s="3"/>
      <c r="LVF105" s="3"/>
      <c r="LVG105" s="3"/>
      <c r="LVH105" s="3"/>
      <c r="LVI105" s="3"/>
      <c r="LVJ105" s="3"/>
      <c r="LVK105" s="3"/>
      <c r="LVL105" s="3"/>
      <c r="LVM105" s="3"/>
      <c r="LVN105" s="3"/>
      <c r="LVO105" s="3"/>
      <c r="LVP105" s="3"/>
      <c r="LVQ105" s="3"/>
      <c r="LVR105" s="3"/>
      <c r="LVS105" s="3"/>
      <c r="LVT105" s="3"/>
      <c r="LVU105" s="3"/>
      <c r="LVV105" s="3"/>
      <c r="LVW105" s="3"/>
      <c r="LVX105" s="3"/>
      <c r="LVY105" s="3"/>
      <c r="LVZ105" s="3"/>
      <c r="LWA105" s="3"/>
      <c r="LWB105" s="3"/>
      <c r="LWC105" s="3"/>
      <c r="LWD105" s="3"/>
      <c r="LWE105" s="3"/>
      <c r="LWF105" s="3"/>
      <c r="LWG105" s="3"/>
      <c r="LWH105" s="3"/>
      <c r="LWI105" s="3"/>
      <c r="LWJ105" s="3"/>
      <c r="LWK105" s="3"/>
      <c r="LWL105" s="3"/>
      <c r="LWM105" s="3"/>
      <c r="LWN105" s="3"/>
      <c r="LWO105" s="3"/>
      <c r="LWP105" s="3"/>
      <c r="LWQ105" s="3"/>
      <c r="LWR105" s="3"/>
      <c r="LWS105" s="3"/>
      <c r="LWT105" s="3"/>
      <c r="LWU105" s="3"/>
      <c r="LWV105" s="3"/>
      <c r="LWW105" s="3"/>
      <c r="LWX105" s="3"/>
      <c r="LWY105" s="3"/>
      <c r="LWZ105" s="3"/>
      <c r="LXA105" s="3"/>
      <c r="LXB105" s="3"/>
      <c r="LXC105" s="3"/>
      <c r="LXD105" s="3"/>
      <c r="LXE105" s="3"/>
      <c r="LXF105" s="3"/>
      <c r="LXG105" s="3"/>
      <c r="LXH105" s="3"/>
      <c r="LXI105" s="3"/>
      <c r="LXJ105" s="3"/>
      <c r="LXK105" s="3"/>
      <c r="LXL105" s="3"/>
      <c r="LXM105" s="3"/>
      <c r="LXN105" s="3"/>
      <c r="LXO105" s="3"/>
      <c r="LXP105" s="3"/>
      <c r="LXQ105" s="3"/>
      <c r="LXR105" s="3"/>
      <c r="LXS105" s="3"/>
      <c r="LXT105" s="3"/>
      <c r="LXU105" s="3"/>
      <c r="LXV105" s="3"/>
      <c r="LXW105" s="3"/>
      <c r="LXX105" s="3"/>
      <c r="LXY105" s="3"/>
      <c r="LXZ105" s="3"/>
      <c r="LYA105" s="3"/>
      <c r="LYB105" s="3"/>
      <c r="LYC105" s="3"/>
      <c r="LYD105" s="3"/>
      <c r="LYE105" s="3"/>
      <c r="LYF105" s="3"/>
      <c r="LYG105" s="3"/>
      <c r="LYH105" s="3"/>
      <c r="LYI105" s="3"/>
      <c r="LYJ105" s="3"/>
      <c r="LYK105" s="3"/>
      <c r="LYL105" s="3"/>
      <c r="LYM105" s="3"/>
      <c r="LYN105" s="3"/>
      <c r="LYO105" s="3"/>
      <c r="LYP105" s="3"/>
      <c r="LYQ105" s="3"/>
      <c r="LYR105" s="3"/>
      <c r="LYS105" s="3"/>
      <c r="LYT105" s="3"/>
      <c r="LYU105" s="3"/>
      <c r="LYV105" s="3"/>
      <c r="LYW105" s="3"/>
      <c r="LYX105" s="3"/>
      <c r="LYY105" s="3"/>
      <c r="LYZ105" s="3"/>
      <c r="LZA105" s="3"/>
      <c r="LZB105" s="3"/>
      <c r="LZC105" s="3"/>
      <c r="LZD105" s="3"/>
      <c r="LZE105" s="3"/>
      <c r="LZF105" s="3"/>
      <c r="LZG105" s="3"/>
      <c r="LZH105" s="3"/>
      <c r="LZI105" s="3"/>
      <c r="LZJ105" s="3"/>
      <c r="LZK105" s="3"/>
      <c r="LZL105" s="3"/>
      <c r="LZM105" s="3"/>
      <c r="LZN105" s="3"/>
      <c r="LZO105" s="3"/>
      <c r="LZP105" s="3"/>
      <c r="LZQ105" s="3"/>
      <c r="LZR105" s="3"/>
      <c r="LZS105" s="3"/>
      <c r="LZT105" s="3"/>
      <c r="LZU105" s="3"/>
      <c r="LZV105" s="3"/>
      <c r="LZW105" s="3"/>
      <c r="LZX105" s="3"/>
      <c r="LZY105" s="3"/>
      <c r="LZZ105" s="3"/>
      <c r="MAA105" s="3"/>
      <c r="MAB105" s="3"/>
      <c r="MAC105" s="3"/>
      <c r="MAD105" s="3"/>
      <c r="MAE105" s="3"/>
      <c r="MAF105" s="3"/>
      <c r="MAG105" s="3"/>
      <c r="MAH105" s="3"/>
      <c r="MAI105" s="3"/>
      <c r="MAJ105" s="3"/>
      <c r="MAK105" s="3"/>
      <c r="MAL105" s="3"/>
      <c r="MAM105" s="3"/>
      <c r="MAN105" s="3"/>
      <c r="MAO105" s="3"/>
      <c r="MAP105" s="3"/>
      <c r="MAQ105" s="3"/>
      <c r="MAR105" s="3"/>
      <c r="MAS105" s="3"/>
      <c r="MAT105" s="3"/>
      <c r="MAU105" s="3"/>
      <c r="MAV105" s="3"/>
      <c r="MAW105" s="3"/>
      <c r="MAX105" s="3"/>
      <c r="MAY105" s="3"/>
      <c r="MAZ105" s="3"/>
      <c r="MBA105" s="3"/>
      <c r="MBB105" s="3"/>
      <c r="MBC105" s="3"/>
      <c r="MBD105" s="3"/>
      <c r="MBE105" s="3"/>
      <c r="MBF105" s="3"/>
      <c r="MBG105" s="3"/>
      <c r="MBH105" s="3"/>
      <c r="MBI105" s="3"/>
      <c r="MBJ105" s="3"/>
      <c r="MBK105" s="3"/>
      <c r="MBL105" s="3"/>
      <c r="MBM105" s="3"/>
      <c r="MBN105" s="3"/>
      <c r="MBO105" s="3"/>
      <c r="MBP105" s="3"/>
      <c r="MBQ105" s="3"/>
      <c r="MBR105" s="3"/>
      <c r="MBS105" s="3"/>
      <c r="MBT105" s="3"/>
      <c r="MBU105" s="3"/>
      <c r="MBV105" s="3"/>
      <c r="MBW105" s="3"/>
      <c r="MBX105" s="3"/>
      <c r="MBY105" s="3"/>
      <c r="MBZ105" s="3"/>
      <c r="MCA105" s="3"/>
      <c r="MCB105" s="3"/>
      <c r="MCC105" s="3"/>
      <c r="MCD105" s="3"/>
      <c r="MCE105" s="3"/>
      <c r="MCF105" s="3"/>
      <c r="MCG105" s="3"/>
      <c r="MCH105" s="3"/>
      <c r="MCI105" s="3"/>
      <c r="MCJ105" s="3"/>
      <c r="MCK105" s="3"/>
      <c r="MCL105" s="3"/>
      <c r="MCM105" s="3"/>
      <c r="MCN105" s="3"/>
      <c r="MCO105" s="3"/>
      <c r="MCP105" s="3"/>
      <c r="MCQ105" s="3"/>
      <c r="MCR105" s="3"/>
      <c r="MCS105" s="3"/>
      <c r="MCT105" s="3"/>
      <c r="MCU105" s="3"/>
      <c r="MCV105" s="3"/>
      <c r="MCW105" s="3"/>
      <c r="MCX105" s="3"/>
      <c r="MCY105" s="3"/>
      <c r="MCZ105" s="3"/>
      <c r="MDA105" s="3"/>
      <c r="MDB105" s="3"/>
      <c r="MDC105" s="3"/>
      <c r="MDD105" s="3"/>
      <c r="MDE105" s="3"/>
      <c r="MDF105" s="3"/>
      <c r="MDG105" s="3"/>
      <c r="MDH105" s="3"/>
      <c r="MDI105" s="3"/>
      <c r="MDJ105" s="3"/>
      <c r="MDK105" s="3"/>
      <c r="MDL105" s="3"/>
      <c r="MDM105" s="3"/>
      <c r="MDN105" s="3"/>
      <c r="MDO105" s="3"/>
      <c r="MDP105" s="3"/>
      <c r="MDQ105" s="3"/>
      <c r="MDR105" s="3"/>
      <c r="MDS105" s="3"/>
      <c r="MDT105" s="3"/>
      <c r="MDU105" s="3"/>
      <c r="MDV105" s="3"/>
      <c r="MDW105" s="3"/>
      <c r="MDX105" s="3"/>
      <c r="MDY105" s="3"/>
      <c r="MDZ105" s="3"/>
      <c r="MEA105" s="3"/>
      <c r="MEB105" s="3"/>
      <c r="MEC105" s="3"/>
      <c r="MED105" s="3"/>
      <c r="MEE105" s="3"/>
      <c r="MEF105" s="3"/>
      <c r="MEG105" s="3"/>
      <c r="MEH105" s="3"/>
      <c r="MEI105" s="3"/>
      <c r="MEJ105" s="3"/>
      <c r="MEK105" s="3"/>
      <c r="MEL105" s="3"/>
      <c r="MEM105" s="3"/>
      <c r="MEN105" s="3"/>
      <c r="MEO105" s="3"/>
      <c r="MEP105" s="3"/>
      <c r="MEQ105" s="3"/>
      <c r="MER105" s="3"/>
      <c r="MES105" s="3"/>
      <c r="MET105" s="3"/>
      <c r="MEU105" s="3"/>
      <c r="MEV105" s="3"/>
      <c r="MEW105" s="3"/>
      <c r="MEX105" s="3"/>
      <c r="MEY105" s="3"/>
      <c r="MEZ105" s="3"/>
      <c r="MFA105" s="3"/>
      <c r="MFB105" s="3"/>
      <c r="MFC105" s="3"/>
      <c r="MFD105" s="3"/>
      <c r="MFE105" s="3"/>
      <c r="MFF105" s="3"/>
      <c r="MFG105" s="3"/>
      <c r="MFH105" s="3"/>
      <c r="MFI105" s="3"/>
      <c r="MFJ105" s="3"/>
      <c r="MFK105" s="3"/>
      <c r="MFL105" s="3"/>
      <c r="MFM105" s="3"/>
      <c r="MFN105" s="3"/>
      <c r="MFO105" s="3"/>
      <c r="MFP105" s="3"/>
      <c r="MFQ105" s="3"/>
      <c r="MFR105" s="3"/>
      <c r="MFS105" s="3"/>
      <c r="MFT105" s="3"/>
      <c r="MFU105" s="3"/>
      <c r="MFV105" s="3"/>
      <c r="MFW105" s="3"/>
      <c r="MFX105" s="3"/>
      <c r="MFY105" s="3"/>
      <c r="MFZ105" s="3"/>
      <c r="MGA105" s="3"/>
      <c r="MGB105" s="3"/>
      <c r="MGC105" s="3"/>
      <c r="MGD105" s="3"/>
      <c r="MGE105" s="3"/>
      <c r="MGF105" s="3"/>
      <c r="MGG105" s="3"/>
      <c r="MGH105" s="3"/>
      <c r="MGI105" s="3"/>
      <c r="MGJ105" s="3"/>
      <c r="MGK105" s="3"/>
      <c r="MGL105" s="3"/>
      <c r="MGM105" s="3"/>
      <c r="MGN105" s="3"/>
      <c r="MGO105" s="3"/>
      <c r="MGP105" s="3"/>
      <c r="MGQ105" s="3"/>
      <c r="MGR105" s="3"/>
      <c r="MGS105" s="3"/>
      <c r="MGT105" s="3"/>
      <c r="MGU105" s="3"/>
      <c r="MGV105" s="3"/>
      <c r="MGW105" s="3"/>
      <c r="MGX105" s="3"/>
      <c r="MGY105" s="3"/>
      <c r="MGZ105" s="3"/>
      <c r="MHA105" s="3"/>
      <c r="MHB105" s="3"/>
      <c r="MHC105" s="3"/>
      <c r="MHD105" s="3"/>
      <c r="MHE105" s="3"/>
      <c r="MHF105" s="3"/>
      <c r="MHG105" s="3"/>
      <c r="MHH105" s="3"/>
      <c r="MHI105" s="3"/>
      <c r="MHJ105" s="3"/>
      <c r="MHK105" s="3"/>
      <c r="MHL105" s="3"/>
      <c r="MHM105" s="3"/>
      <c r="MHN105" s="3"/>
      <c r="MHO105" s="3"/>
      <c r="MHP105" s="3"/>
      <c r="MHQ105" s="3"/>
      <c r="MHR105" s="3"/>
      <c r="MHS105" s="3"/>
      <c r="MHT105" s="3"/>
      <c r="MHU105" s="3"/>
      <c r="MHV105" s="3"/>
      <c r="MHW105" s="3"/>
      <c r="MHX105" s="3"/>
      <c r="MHY105" s="3"/>
      <c r="MHZ105" s="3"/>
      <c r="MIA105" s="3"/>
      <c r="MIB105" s="3"/>
      <c r="MIC105" s="3"/>
      <c r="MID105" s="3"/>
      <c r="MIE105" s="3"/>
      <c r="MIF105" s="3"/>
      <c r="MIG105" s="3"/>
      <c r="MIH105" s="3"/>
      <c r="MII105" s="3"/>
      <c r="MIJ105" s="3"/>
      <c r="MIK105" s="3"/>
      <c r="MIL105" s="3"/>
      <c r="MIM105" s="3"/>
      <c r="MIN105" s="3"/>
      <c r="MIO105" s="3"/>
      <c r="MIP105" s="3"/>
      <c r="MIQ105" s="3"/>
      <c r="MIR105" s="3"/>
      <c r="MIS105" s="3"/>
      <c r="MIT105" s="3"/>
      <c r="MIU105" s="3"/>
      <c r="MIV105" s="3"/>
      <c r="MIW105" s="3"/>
      <c r="MIX105" s="3"/>
      <c r="MIY105" s="3"/>
      <c r="MIZ105" s="3"/>
      <c r="MJA105" s="3"/>
      <c r="MJB105" s="3"/>
      <c r="MJC105" s="3"/>
      <c r="MJD105" s="3"/>
      <c r="MJE105" s="3"/>
      <c r="MJF105" s="3"/>
      <c r="MJG105" s="3"/>
      <c r="MJH105" s="3"/>
      <c r="MJI105" s="3"/>
      <c r="MJJ105" s="3"/>
      <c r="MJK105" s="3"/>
      <c r="MJL105" s="3"/>
      <c r="MJM105" s="3"/>
      <c r="MJN105" s="3"/>
      <c r="MJO105" s="3"/>
      <c r="MJP105" s="3"/>
      <c r="MJQ105" s="3"/>
      <c r="MJR105" s="3"/>
      <c r="MJS105" s="3"/>
      <c r="MJT105" s="3"/>
      <c r="MJU105" s="3"/>
      <c r="MJV105" s="3"/>
      <c r="MJW105" s="3"/>
      <c r="MJX105" s="3"/>
      <c r="MJY105" s="3"/>
      <c r="MJZ105" s="3"/>
      <c r="MKA105" s="3"/>
      <c r="MKB105" s="3"/>
      <c r="MKC105" s="3"/>
      <c r="MKD105" s="3"/>
      <c r="MKE105" s="3"/>
      <c r="MKF105" s="3"/>
      <c r="MKG105" s="3"/>
      <c r="MKH105" s="3"/>
      <c r="MKI105" s="3"/>
      <c r="MKJ105" s="3"/>
      <c r="MKK105" s="3"/>
      <c r="MKL105" s="3"/>
      <c r="MKM105" s="3"/>
      <c r="MKN105" s="3"/>
      <c r="MKO105" s="3"/>
      <c r="MKP105" s="3"/>
      <c r="MKQ105" s="3"/>
      <c r="MKR105" s="3"/>
      <c r="MKS105" s="3"/>
      <c r="MKT105" s="3"/>
      <c r="MKU105" s="3"/>
      <c r="MKV105" s="3"/>
      <c r="MKW105" s="3"/>
      <c r="MKX105" s="3"/>
      <c r="MKY105" s="3"/>
      <c r="MKZ105" s="3"/>
      <c r="MLA105" s="3"/>
      <c r="MLB105" s="3"/>
      <c r="MLC105" s="3"/>
      <c r="MLD105" s="3"/>
      <c r="MLE105" s="3"/>
      <c r="MLF105" s="3"/>
      <c r="MLG105" s="3"/>
      <c r="MLH105" s="3"/>
      <c r="MLI105" s="3"/>
      <c r="MLJ105" s="3"/>
      <c r="MLK105" s="3"/>
      <c r="MLL105" s="3"/>
      <c r="MLM105" s="3"/>
      <c r="MLN105" s="3"/>
      <c r="MLO105" s="3"/>
      <c r="MLP105" s="3"/>
      <c r="MLQ105" s="3"/>
      <c r="MLR105" s="3"/>
      <c r="MLS105" s="3"/>
      <c r="MLT105" s="3"/>
      <c r="MLU105" s="3"/>
      <c r="MLV105" s="3"/>
      <c r="MLW105" s="3"/>
      <c r="MLX105" s="3"/>
      <c r="MLY105" s="3"/>
      <c r="MLZ105" s="3"/>
      <c r="MMA105" s="3"/>
      <c r="MMB105" s="3"/>
      <c r="MMC105" s="3"/>
      <c r="MMD105" s="3"/>
      <c r="MME105" s="3"/>
      <c r="MMF105" s="3"/>
      <c r="MMG105" s="3"/>
      <c r="MMH105" s="3"/>
      <c r="MMI105" s="3"/>
      <c r="MMJ105" s="3"/>
      <c r="MMK105" s="3"/>
      <c r="MML105" s="3"/>
      <c r="MMM105" s="3"/>
      <c r="MMN105" s="3"/>
      <c r="MMO105" s="3"/>
      <c r="MMP105" s="3"/>
      <c r="MMQ105" s="3"/>
      <c r="MMR105" s="3"/>
      <c r="MMS105" s="3"/>
      <c r="MMT105" s="3"/>
      <c r="MMU105" s="3"/>
      <c r="MMV105" s="3"/>
      <c r="MMW105" s="3"/>
      <c r="MMX105" s="3"/>
      <c r="MMY105" s="3"/>
      <c r="MMZ105" s="3"/>
      <c r="MNA105" s="3"/>
      <c r="MNB105" s="3"/>
      <c r="MNC105" s="3"/>
      <c r="MND105" s="3"/>
      <c r="MNE105" s="3"/>
      <c r="MNF105" s="3"/>
      <c r="MNG105" s="3"/>
      <c r="MNH105" s="3"/>
      <c r="MNI105" s="3"/>
      <c r="MNJ105" s="3"/>
      <c r="MNK105" s="3"/>
      <c r="MNL105" s="3"/>
      <c r="MNM105" s="3"/>
      <c r="MNN105" s="3"/>
      <c r="MNO105" s="3"/>
      <c r="MNP105" s="3"/>
      <c r="MNQ105" s="3"/>
      <c r="MNR105" s="3"/>
      <c r="MNS105" s="3"/>
      <c r="MNT105" s="3"/>
      <c r="MNU105" s="3"/>
      <c r="MNV105" s="3"/>
      <c r="MNW105" s="3"/>
      <c r="MNX105" s="3"/>
      <c r="MNY105" s="3"/>
      <c r="MNZ105" s="3"/>
      <c r="MOA105" s="3"/>
      <c r="MOB105" s="3"/>
      <c r="MOC105" s="3"/>
      <c r="MOD105" s="3"/>
      <c r="MOE105" s="3"/>
      <c r="MOF105" s="3"/>
      <c r="MOG105" s="3"/>
      <c r="MOH105" s="3"/>
      <c r="MOI105" s="3"/>
      <c r="MOJ105" s="3"/>
      <c r="MOK105" s="3"/>
      <c r="MOL105" s="3"/>
      <c r="MOM105" s="3"/>
      <c r="MON105" s="3"/>
      <c r="MOO105" s="3"/>
      <c r="MOP105" s="3"/>
      <c r="MOQ105" s="3"/>
      <c r="MOR105" s="3"/>
      <c r="MOS105" s="3"/>
      <c r="MOT105" s="3"/>
      <c r="MOU105" s="3"/>
      <c r="MOV105" s="3"/>
      <c r="MOW105" s="3"/>
      <c r="MOX105" s="3"/>
      <c r="MOY105" s="3"/>
      <c r="MOZ105" s="3"/>
      <c r="MPA105" s="3"/>
      <c r="MPB105" s="3"/>
      <c r="MPC105" s="3"/>
      <c r="MPD105" s="3"/>
      <c r="MPE105" s="3"/>
      <c r="MPF105" s="3"/>
      <c r="MPG105" s="3"/>
      <c r="MPH105" s="3"/>
      <c r="MPI105" s="3"/>
      <c r="MPJ105" s="3"/>
      <c r="MPK105" s="3"/>
      <c r="MPL105" s="3"/>
      <c r="MPM105" s="3"/>
      <c r="MPN105" s="3"/>
      <c r="MPO105" s="3"/>
      <c r="MPP105" s="3"/>
      <c r="MPQ105" s="3"/>
      <c r="MPR105" s="3"/>
      <c r="MPS105" s="3"/>
      <c r="MPT105" s="3"/>
      <c r="MPU105" s="3"/>
      <c r="MPV105" s="3"/>
      <c r="MPW105" s="3"/>
      <c r="MPX105" s="3"/>
      <c r="MPY105" s="3"/>
      <c r="MPZ105" s="3"/>
      <c r="MQA105" s="3"/>
      <c r="MQB105" s="3"/>
      <c r="MQC105" s="3"/>
      <c r="MQD105" s="3"/>
      <c r="MQE105" s="3"/>
      <c r="MQF105" s="3"/>
      <c r="MQG105" s="3"/>
      <c r="MQH105" s="3"/>
      <c r="MQI105" s="3"/>
      <c r="MQJ105" s="3"/>
      <c r="MQK105" s="3"/>
      <c r="MQL105" s="3"/>
      <c r="MQM105" s="3"/>
      <c r="MQN105" s="3"/>
      <c r="MQO105" s="3"/>
      <c r="MQP105" s="3"/>
      <c r="MQQ105" s="3"/>
      <c r="MQR105" s="3"/>
      <c r="MQS105" s="3"/>
      <c r="MQT105" s="3"/>
      <c r="MQU105" s="3"/>
      <c r="MQV105" s="3"/>
      <c r="MQW105" s="3"/>
      <c r="MQX105" s="3"/>
      <c r="MQY105" s="3"/>
      <c r="MQZ105" s="3"/>
      <c r="MRA105" s="3"/>
      <c r="MRB105" s="3"/>
      <c r="MRC105" s="3"/>
      <c r="MRD105" s="3"/>
      <c r="MRE105" s="3"/>
      <c r="MRF105" s="3"/>
      <c r="MRG105" s="3"/>
      <c r="MRH105" s="3"/>
      <c r="MRI105" s="3"/>
      <c r="MRJ105" s="3"/>
      <c r="MRK105" s="3"/>
      <c r="MRL105" s="3"/>
      <c r="MRM105" s="3"/>
      <c r="MRN105" s="3"/>
      <c r="MRO105" s="3"/>
      <c r="MRP105" s="3"/>
      <c r="MRQ105" s="3"/>
      <c r="MRR105" s="3"/>
      <c r="MRS105" s="3"/>
      <c r="MRT105" s="3"/>
      <c r="MRU105" s="3"/>
      <c r="MRV105" s="3"/>
      <c r="MRW105" s="3"/>
      <c r="MRX105" s="3"/>
      <c r="MRY105" s="3"/>
      <c r="MRZ105" s="3"/>
      <c r="MSA105" s="3"/>
      <c r="MSB105" s="3"/>
      <c r="MSC105" s="3"/>
      <c r="MSD105" s="3"/>
      <c r="MSE105" s="3"/>
      <c r="MSF105" s="3"/>
      <c r="MSG105" s="3"/>
      <c r="MSH105" s="3"/>
      <c r="MSI105" s="3"/>
      <c r="MSJ105" s="3"/>
      <c r="MSK105" s="3"/>
      <c r="MSL105" s="3"/>
      <c r="MSM105" s="3"/>
      <c r="MSN105" s="3"/>
      <c r="MSO105" s="3"/>
      <c r="MSP105" s="3"/>
      <c r="MSQ105" s="3"/>
      <c r="MSR105" s="3"/>
      <c r="MSS105" s="3"/>
      <c r="MST105" s="3"/>
      <c r="MSU105" s="3"/>
      <c r="MSV105" s="3"/>
      <c r="MSW105" s="3"/>
      <c r="MSX105" s="3"/>
      <c r="MSY105" s="3"/>
      <c r="MSZ105" s="3"/>
      <c r="MTA105" s="3"/>
      <c r="MTB105" s="3"/>
      <c r="MTC105" s="3"/>
      <c r="MTD105" s="3"/>
      <c r="MTE105" s="3"/>
      <c r="MTF105" s="3"/>
      <c r="MTG105" s="3"/>
      <c r="MTH105" s="3"/>
      <c r="MTI105" s="3"/>
      <c r="MTJ105" s="3"/>
      <c r="MTK105" s="3"/>
      <c r="MTL105" s="3"/>
      <c r="MTM105" s="3"/>
      <c r="MTN105" s="3"/>
      <c r="MTO105" s="3"/>
      <c r="MTP105" s="3"/>
      <c r="MTQ105" s="3"/>
      <c r="MTR105" s="3"/>
      <c r="MTS105" s="3"/>
      <c r="MTT105" s="3"/>
      <c r="MTU105" s="3"/>
      <c r="MTV105" s="3"/>
      <c r="MTW105" s="3"/>
      <c r="MTX105" s="3"/>
      <c r="MTY105" s="3"/>
      <c r="MTZ105" s="3"/>
      <c r="MUA105" s="3"/>
      <c r="MUB105" s="3"/>
      <c r="MUC105" s="3"/>
      <c r="MUD105" s="3"/>
      <c r="MUE105" s="3"/>
      <c r="MUF105" s="3"/>
      <c r="MUG105" s="3"/>
      <c r="MUH105" s="3"/>
      <c r="MUI105" s="3"/>
      <c r="MUJ105" s="3"/>
      <c r="MUK105" s="3"/>
      <c r="MUL105" s="3"/>
      <c r="MUM105" s="3"/>
      <c r="MUN105" s="3"/>
      <c r="MUO105" s="3"/>
      <c r="MUP105" s="3"/>
      <c r="MUQ105" s="3"/>
      <c r="MUR105" s="3"/>
      <c r="MUS105" s="3"/>
      <c r="MUT105" s="3"/>
      <c r="MUU105" s="3"/>
      <c r="MUV105" s="3"/>
      <c r="MUW105" s="3"/>
      <c r="MUX105" s="3"/>
      <c r="MUY105" s="3"/>
      <c r="MUZ105" s="3"/>
      <c r="MVA105" s="3"/>
      <c r="MVB105" s="3"/>
      <c r="MVC105" s="3"/>
      <c r="MVD105" s="3"/>
      <c r="MVE105" s="3"/>
      <c r="MVF105" s="3"/>
      <c r="MVG105" s="3"/>
      <c r="MVH105" s="3"/>
      <c r="MVI105" s="3"/>
      <c r="MVJ105" s="3"/>
      <c r="MVK105" s="3"/>
      <c r="MVL105" s="3"/>
      <c r="MVM105" s="3"/>
      <c r="MVN105" s="3"/>
      <c r="MVO105" s="3"/>
      <c r="MVP105" s="3"/>
      <c r="MVQ105" s="3"/>
      <c r="MVR105" s="3"/>
      <c r="MVS105" s="3"/>
      <c r="MVT105" s="3"/>
      <c r="MVU105" s="3"/>
      <c r="MVV105" s="3"/>
      <c r="MVW105" s="3"/>
      <c r="MVX105" s="3"/>
      <c r="MVY105" s="3"/>
      <c r="MVZ105" s="3"/>
      <c r="MWA105" s="3"/>
      <c r="MWB105" s="3"/>
      <c r="MWC105" s="3"/>
      <c r="MWD105" s="3"/>
      <c r="MWE105" s="3"/>
      <c r="MWF105" s="3"/>
      <c r="MWG105" s="3"/>
      <c r="MWH105" s="3"/>
      <c r="MWI105" s="3"/>
      <c r="MWJ105" s="3"/>
      <c r="MWK105" s="3"/>
      <c r="MWL105" s="3"/>
      <c r="MWM105" s="3"/>
      <c r="MWN105" s="3"/>
      <c r="MWO105" s="3"/>
      <c r="MWP105" s="3"/>
      <c r="MWQ105" s="3"/>
      <c r="MWR105" s="3"/>
      <c r="MWS105" s="3"/>
      <c r="MWT105" s="3"/>
      <c r="MWU105" s="3"/>
      <c r="MWV105" s="3"/>
      <c r="MWW105" s="3"/>
      <c r="MWX105" s="3"/>
      <c r="MWY105" s="3"/>
      <c r="MWZ105" s="3"/>
      <c r="MXA105" s="3"/>
      <c r="MXB105" s="3"/>
      <c r="MXC105" s="3"/>
      <c r="MXD105" s="3"/>
      <c r="MXE105" s="3"/>
      <c r="MXF105" s="3"/>
      <c r="MXG105" s="3"/>
      <c r="MXH105" s="3"/>
      <c r="MXI105" s="3"/>
      <c r="MXJ105" s="3"/>
      <c r="MXK105" s="3"/>
      <c r="MXL105" s="3"/>
      <c r="MXM105" s="3"/>
      <c r="MXN105" s="3"/>
      <c r="MXO105" s="3"/>
      <c r="MXP105" s="3"/>
      <c r="MXQ105" s="3"/>
      <c r="MXR105" s="3"/>
      <c r="MXS105" s="3"/>
      <c r="MXT105" s="3"/>
      <c r="MXU105" s="3"/>
      <c r="MXV105" s="3"/>
      <c r="MXW105" s="3"/>
      <c r="MXX105" s="3"/>
      <c r="MXY105" s="3"/>
      <c r="MXZ105" s="3"/>
      <c r="MYA105" s="3"/>
      <c r="MYB105" s="3"/>
      <c r="MYC105" s="3"/>
      <c r="MYD105" s="3"/>
      <c r="MYE105" s="3"/>
      <c r="MYF105" s="3"/>
      <c r="MYG105" s="3"/>
      <c r="MYH105" s="3"/>
      <c r="MYI105" s="3"/>
      <c r="MYJ105" s="3"/>
      <c r="MYK105" s="3"/>
      <c r="MYL105" s="3"/>
      <c r="MYM105" s="3"/>
      <c r="MYN105" s="3"/>
      <c r="MYO105" s="3"/>
      <c r="MYP105" s="3"/>
      <c r="MYQ105" s="3"/>
      <c r="MYR105" s="3"/>
      <c r="MYS105" s="3"/>
      <c r="MYT105" s="3"/>
      <c r="MYU105" s="3"/>
      <c r="MYV105" s="3"/>
      <c r="MYW105" s="3"/>
      <c r="MYX105" s="3"/>
      <c r="MYY105" s="3"/>
      <c r="MYZ105" s="3"/>
      <c r="MZA105" s="3"/>
      <c r="MZB105" s="3"/>
      <c r="MZC105" s="3"/>
      <c r="MZD105" s="3"/>
      <c r="MZE105" s="3"/>
      <c r="MZF105" s="3"/>
      <c r="MZG105" s="3"/>
      <c r="MZH105" s="3"/>
      <c r="MZI105" s="3"/>
      <c r="MZJ105" s="3"/>
      <c r="MZK105" s="3"/>
      <c r="MZL105" s="3"/>
      <c r="MZM105" s="3"/>
      <c r="MZN105" s="3"/>
      <c r="MZO105" s="3"/>
      <c r="MZP105" s="3"/>
      <c r="MZQ105" s="3"/>
      <c r="MZR105" s="3"/>
      <c r="MZS105" s="3"/>
      <c r="MZT105" s="3"/>
      <c r="MZU105" s="3"/>
      <c r="MZV105" s="3"/>
      <c r="MZW105" s="3"/>
      <c r="MZX105" s="3"/>
      <c r="MZY105" s="3"/>
      <c r="MZZ105" s="3"/>
      <c r="NAA105" s="3"/>
      <c r="NAB105" s="3"/>
      <c r="NAC105" s="3"/>
      <c r="NAD105" s="3"/>
      <c r="NAE105" s="3"/>
      <c r="NAF105" s="3"/>
      <c r="NAG105" s="3"/>
      <c r="NAH105" s="3"/>
      <c r="NAI105" s="3"/>
      <c r="NAJ105" s="3"/>
      <c r="NAK105" s="3"/>
      <c r="NAL105" s="3"/>
      <c r="NAM105" s="3"/>
      <c r="NAN105" s="3"/>
      <c r="NAO105" s="3"/>
      <c r="NAP105" s="3"/>
      <c r="NAQ105" s="3"/>
      <c r="NAR105" s="3"/>
      <c r="NAS105" s="3"/>
      <c r="NAT105" s="3"/>
      <c r="NAU105" s="3"/>
      <c r="NAV105" s="3"/>
      <c r="NAW105" s="3"/>
      <c r="NAX105" s="3"/>
      <c r="NAY105" s="3"/>
      <c r="NAZ105" s="3"/>
      <c r="NBA105" s="3"/>
      <c r="NBB105" s="3"/>
      <c r="NBC105" s="3"/>
      <c r="NBD105" s="3"/>
      <c r="NBE105" s="3"/>
      <c r="NBF105" s="3"/>
      <c r="NBG105" s="3"/>
      <c r="NBH105" s="3"/>
      <c r="NBI105" s="3"/>
      <c r="NBJ105" s="3"/>
      <c r="NBK105" s="3"/>
      <c r="NBL105" s="3"/>
      <c r="NBM105" s="3"/>
      <c r="NBN105" s="3"/>
      <c r="NBO105" s="3"/>
      <c r="NBP105" s="3"/>
      <c r="NBQ105" s="3"/>
      <c r="NBR105" s="3"/>
      <c r="NBS105" s="3"/>
      <c r="NBT105" s="3"/>
      <c r="NBU105" s="3"/>
      <c r="NBV105" s="3"/>
      <c r="NBW105" s="3"/>
      <c r="NBX105" s="3"/>
      <c r="NBY105" s="3"/>
      <c r="NBZ105" s="3"/>
      <c r="NCA105" s="3"/>
      <c r="NCB105" s="3"/>
      <c r="NCC105" s="3"/>
      <c r="NCD105" s="3"/>
      <c r="NCE105" s="3"/>
      <c r="NCF105" s="3"/>
      <c r="NCG105" s="3"/>
      <c r="NCH105" s="3"/>
      <c r="NCI105" s="3"/>
      <c r="NCJ105" s="3"/>
      <c r="NCK105" s="3"/>
      <c r="NCL105" s="3"/>
      <c r="NCM105" s="3"/>
      <c r="NCN105" s="3"/>
      <c r="NCO105" s="3"/>
      <c r="NCP105" s="3"/>
      <c r="NCQ105" s="3"/>
      <c r="NCR105" s="3"/>
      <c r="NCS105" s="3"/>
      <c r="NCT105" s="3"/>
      <c r="NCU105" s="3"/>
      <c r="NCV105" s="3"/>
      <c r="NCW105" s="3"/>
      <c r="NCX105" s="3"/>
      <c r="NCY105" s="3"/>
      <c r="NCZ105" s="3"/>
      <c r="NDA105" s="3"/>
      <c r="NDB105" s="3"/>
      <c r="NDC105" s="3"/>
      <c r="NDD105" s="3"/>
      <c r="NDE105" s="3"/>
      <c r="NDF105" s="3"/>
      <c r="NDG105" s="3"/>
      <c r="NDH105" s="3"/>
      <c r="NDI105" s="3"/>
      <c r="NDJ105" s="3"/>
      <c r="NDK105" s="3"/>
      <c r="NDL105" s="3"/>
      <c r="NDM105" s="3"/>
      <c r="NDN105" s="3"/>
      <c r="NDO105" s="3"/>
      <c r="NDP105" s="3"/>
      <c r="NDQ105" s="3"/>
      <c r="NDR105" s="3"/>
      <c r="NDS105" s="3"/>
      <c r="NDT105" s="3"/>
      <c r="NDU105" s="3"/>
      <c r="NDV105" s="3"/>
      <c r="NDW105" s="3"/>
      <c r="NDX105" s="3"/>
      <c r="NDY105" s="3"/>
      <c r="NDZ105" s="3"/>
      <c r="NEA105" s="3"/>
      <c r="NEB105" s="3"/>
      <c r="NEC105" s="3"/>
      <c r="NED105" s="3"/>
      <c r="NEE105" s="3"/>
      <c r="NEF105" s="3"/>
      <c r="NEG105" s="3"/>
      <c r="NEH105" s="3"/>
      <c r="NEI105" s="3"/>
      <c r="NEJ105" s="3"/>
      <c r="NEK105" s="3"/>
      <c r="NEL105" s="3"/>
      <c r="NEM105" s="3"/>
      <c r="NEN105" s="3"/>
      <c r="NEO105" s="3"/>
      <c r="NEP105" s="3"/>
      <c r="NEQ105" s="3"/>
      <c r="NER105" s="3"/>
      <c r="NES105" s="3"/>
      <c r="NET105" s="3"/>
      <c r="NEU105" s="3"/>
      <c r="NEV105" s="3"/>
      <c r="NEW105" s="3"/>
      <c r="NEX105" s="3"/>
      <c r="NEY105" s="3"/>
      <c r="NEZ105" s="3"/>
      <c r="NFA105" s="3"/>
      <c r="NFB105" s="3"/>
      <c r="NFC105" s="3"/>
      <c r="NFD105" s="3"/>
      <c r="NFE105" s="3"/>
      <c r="NFF105" s="3"/>
      <c r="NFG105" s="3"/>
      <c r="NFH105" s="3"/>
      <c r="NFI105" s="3"/>
      <c r="NFJ105" s="3"/>
      <c r="NFK105" s="3"/>
      <c r="NFL105" s="3"/>
      <c r="NFM105" s="3"/>
      <c r="NFN105" s="3"/>
      <c r="NFO105" s="3"/>
      <c r="NFP105" s="3"/>
      <c r="NFQ105" s="3"/>
      <c r="NFR105" s="3"/>
      <c r="NFS105" s="3"/>
      <c r="NFT105" s="3"/>
      <c r="NFU105" s="3"/>
      <c r="NFV105" s="3"/>
      <c r="NFW105" s="3"/>
      <c r="NFX105" s="3"/>
      <c r="NFY105" s="3"/>
      <c r="NFZ105" s="3"/>
      <c r="NGA105" s="3"/>
      <c r="NGB105" s="3"/>
      <c r="NGC105" s="3"/>
      <c r="NGD105" s="3"/>
      <c r="NGE105" s="3"/>
      <c r="NGF105" s="3"/>
      <c r="NGG105" s="3"/>
      <c r="NGH105" s="3"/>
      <c r="NGI105" s="3"/>
      <c r="NGJ105" s="3"/>
      <c r="NGK105" s="3"/>
      <c r="NGL105" s="3"/>
      <c r="NGM105" s="3"/>
      <c r="NGN105" s="3"/>
      <c r="NGO105" s="3"/>
      <c r="NGP105" s="3"/>
      <c r="NGQ105" s="3"/>
      <c r="NGR105" s="3"/>
      <c r="NGS105" s="3"/>
      <c r="NGT105" s="3"/>
      <c r="NGU105" s="3"/>
      <c r="NGV105" s="3"/>
      <c r="NGW105" s="3"/>
      <c r="NGX105" s="3"/>
      <c r="NGY105" s="3"/>
      <c r="NGZ105" s="3"/>
      <c r="NHA105" s="3"/>
      <c r="NHB105" s="3"/>
      <c r="NHC105" s="3"/>
      <c r="NHD105" s="3"/>
      <c r="NHE105" s="3"/>
      <c r="NHF105" s="3"/>
      <c r="NHG105" s="3"/>
      <c r="NHH105" s="3"/>
      <c r="NHI105" s="3"/>
      <c r="NHJ105" s="3"/>
      <c r="NHK105" s="3"/>
      <c r="NHL105" s="3"/>
      <c r="NHM105" s="3"/>
      <c r="NHN105" s="3"/>
      <c r="NHO105" s="3"/>
      <c r="NHP105" s="3"/>
      <c r="NHQ105" s="3"/>
      <c r="NHR105" s="3"/>
      <c r="NHS105" s="3"/>
      <c r="NHT105" s="3"/>
      <c r="NHU105" s="3"/>
      <c r="NHV105" s="3"/>
      <c r="NHW105" s="3"/>
      <c r="NHX105" s="3"/>
      <c r="NHY105" s="3"/>
      <c r="NHZ105" s="3"/>
      <c r="NIA105" s="3"/>
      <c r="NIB105" s="3"/>
      <c r="NIC105" s="3"/>
      <c r="NID105" s="3"/>
      <c r="NIE105" s="3"/>
      <c r="NIF105" s="3"/>
      <c r="NIG105" s="3"/>
      <c r="NIH105" s="3"/>
      <c r="NII105" s="3"/>
      <c r="NIJ105" s="3"/>
      <c r="NIK105" s="3"/>
      <c r="NIL105" s="3"/>
      <c r="NIM105" s="3"/>
      <c r="NIN105" s="3"/>
      <c r="NIO105" s="3"/>
      <c r="NIP105" s="3"/>
      <c r="NIQ105" s="3"/>
      <c r="NIR105" s="3"/>
      <c r="NIS105" s="3"/>
      <c r="NIT105" s="3"/>
      <c r="NIU105" s="3"/>
      <c r="NIV105" s="3"/>
      <c r="NIW105" s="3"/>
      <c r="NIX105" s="3"/>
      <c r="NIY105" s="3"/>
      <c r="NIZ105" s="3"/>
      <c r="NJA105" s="3"/>
      <c r="NJB105" s="3"/>
      <c r="NJC105" s="3"/>
      <c r="NJD105" s="3"/>
      <c r="NJE105" s="3"/>
      <c r="NJF105" s="3"/>
      <c r="NJG105" s="3"/>
      <c r="NJH105" s="3"/>
      <c r="NJI105" s="3"/>
      <c r="NJJ105" s="3"/>
      <c r="NJK105" s="3"/>
      <c r="NJL105" s="3"/>
      <c r="NJM105" s="3"/>
      <c r="NJN105" s="3"/>
      <c r="NJO105" s="3"/>
      <c r="NJP105" s="3"/>
      <c r="NJQ105" s="3"/>
      <c r="NJR105" s="3"/>
      <c r="NJS105" s="3"/>
      <c r="NJT105" s="3"/>
      <c r="NJU105" s="3"/>
      <c r="NJV105" s="3"/>
      <c r="NJW105" s="3"/>
      <c r="NJX105" s="3"/>
      <c r="NJY105" s="3"/>
      <c r="NJZ105" s="3"/>
      <c r="NKA105" s="3"/>
      <c r="NKB105" s="3"/>
      <c r="NKC105" s="3"/>
      <c r="NKD105" s="3"/>
      <c r="NKE105" s="3"/>
      <c r="NKF105" s="3"/>
      <c r="NKG105" s="3"/>
      <c r="NKH105" s="3"/>
      <c r="NKI105" s="3"/>
      <c r="NKJ105" s="3"/>
      <c r="NKK105" s="3"/>
      <c r="NKL105" s="3"/>
      <c r="NKM105" s="3"/>
      <c r="NKN105" s="3"/>
      <c r="NKO105" s="3"/>
      <c r="NKP105" s="3"/>
      <c r="NKQ105" s="3"/>
      <c r="NKR105" s="3"/>
      <c r="NKS105" s="3"/>
      <c r="NKT105" s="3"/>
      <c r="NKU105" s="3"/>
      <c r="NKV105" s="3"/>
      <c r="NKW105" s="3"/>
      <c r="NKX105" s="3"/>
      <c r="NKY105" s="3"/>
      <c r="NKZ105" s="3"/>
      <c r="NLA105" s="3"/>
      <c r="NLB105" s="3"/>
      <c r="NLC105" s="3"/>
      <c r="NLD105" s="3"/>
      <c r="NLE105" s="3"/>
      <c r="NLF105" s="3"/>
      <c r="NLG105" s="3"/>
      <c r="NLH105" s="3"/>
      <c r="NLI105" s="3"/>
      <c r="NLJ105" s="3"/>
      <c r="NLK105" s="3"/>
      <c r="NLL105" s="3"/>
      <c r="NLM105" s="3"/>
      <c r="NLN105" s="3"/>
      <c r="NLO105" s="3"/>
      <c r="NLP105" s="3"/>
      <c r="NLQ105" s="3"/>
      <c r="NLR105" s="3"/>
      <c r="NLS105" s="3"/>
      <c r="NLT105" s="3"/>
      <c r="NLU105" s="3"/>
      <c r="NLV105" s="3"/>
      <c r="NLW105" s="3"/>
      <c r="NLX105" s="3"/>
      <c r="NLY105" s="3"/>
      <c r="NLZ105" s="3"/>
      <c r="NMA105" s="3"/>
      <c r="NMB105" s="3"/>
      <c r="NMC105" s="3"/>
      <c r="NMD105" s="3"/>
      <c r="NME105" s="3"/>
      <c r="NMF105" s="3"/>
      <c r="NMG105" s="3"/>
      <c r="NMH105" s="3"/>
      <c r="NMI105" s="3"/>
      <c r="NMJ105" s="3"/>
      <c r="NMK105" s="3"/>
      <c r="NML105" s="3"/>
      <c r="NMM105" s="3"/>
      <c r="NMN105" s="3"/>
      <c r="NMO105" s="3"/>
      <c r="NMP105" s="3"/>
      <c r="NMQ105" s="3"/>
      <c r="NMR105" s="3"/>
      <c r="NMS105" s="3"/>
      <c r="NMT105" s="3"/>
      <c r="NMU105" s="3"/>
      <c r="NMV105" s="3"/>
      <c r="NMW105" s="3"/>
      <c r="NMX105" s="3"/>
      <c r="NMY105" s="3"/>
      <c r="NMZ105" s="3"/>
      <c r="NNA105" s="3"/>
      <c r="NNB105" s="3"/>
      <c r="NNC105" s="3"/>
      <c r="NND105" s="3"/>
      <c r="NNE105" s="3"/>
      <c r="NNF105" s="3"/>
      <c r="NNG105" s="3"/>
      <c r="NNH105" s="3"/>
      <c r="NNI105" s="3"/>
      <c r="NNJ105" s="3"/>
      <c r="NNK105" s="3"/>
      <c r="NNL105" s="3"/>
      <c r="NNM105" s="3"/>
      <c r="NNN105" s="3"/>
      <c r="NNO105" s="3"/>
      <c r="NNP105" s="3"/>
      <c r="NNQ105" s="3"/>
      <c r="NNR105" s="3"/>
      <c r="NNS105" s="3"/>
      <c r="NNT105" s="3"/>
      <c r="NNU105" s="3"/>
      <c r="NNV105" s="3"/>
      <c r="NNW105" s="3"/>
      <c r="NNX105" s="3"/>
      <c r="NNY105" s="3"/>
      <c r="NNZ105" s="3"/>
      <c r="NOA105" s="3"/>
      <c r="NOB105" s="3"/>
      <c r="NOC105" s="3"/>
      <c r="NOD105" s="3"/>
      <c r="NOE105" s="3"/>
      <c r="NOF105" s="3"/>
      <c r="NOG105" s="3"/>
      <c r="NOH105" s="3"/>
      <c r="NOI105" s="3"/>
      <c r="NOJ105" s="3"/>
      <c r="NOK105" s="3"/>
      <c r="NOL105" s="3"/>
      <c r="NOM105" s="3"/>
      <c r="NON105" s="3"/>
      <c r="NOO105" s="3"/>
      <c r="NOP105" s="3"/>
      <c r="NOQ105" s="3"/>
      <c r="NOR105" s="3"/>
      <c r="NOS105" s="3"/>
      <c r="NOT105" s="3"/>
      <c r="NOU105" s="3"/>
      <c r="NOV105" s="3"/>
      <c r="NOW105" s="3"/>
      <c r="NOX105" s="3"/>
      <c r="NOY105" s="3"/>
      <c r="NOZ105" s="3"/>
      <c r="NPA105" s="3"/>
      <c r="NPB105" s="3"/>
      <c r="NPC105" s="3"/>
      <c r="NPD105" s="3"/>
      <c r="NPE105" s="3"/>
      <c r="NPF105" s="3"/>
      <c r="NPG105" s="3"/>
      <c r="NPH105" s="3"/>
      <c r="NPI105" s="3"/>
      <c r="NPJ105" s="3"/>
      <c r="NPK105" s="3"/>
      <c r="NPL105" s="3"/>
      <c r="NPM105" s="3"/>
      <c r="NPN105" s="3"/>
      <c r="NPO105" s="3"/>
      <c r="NPP105" s="3"/>
      <c r="NPQ105" s="3"/>
      <c r="NPR105" s="3"/>
      <c r="NPS105" s="3"/>
      <c r="NPT105" s="3"/>
      <c r="NPU105" s="3"/>
      <c r="NPV105" s="3"/>
      <c r="NPW105" s="3"/>
      <c r="NPX105" s="3"/>
      <c r="NPY105" s="3"/>
      <c r="NPZ105" s="3"/>
      <c r="NQA105" s="3"/>
      <c r="NQB105" s="3"/>
      <c r="NQC105" s="3"/>
      <c r="NQD105" s="3"/>
      <c r="NQE105" s="3"/>
      <c r="NQF105" s="3"/>
      <c r="NQG105" s="3"/>
      <c r="NQH105" s="3"/>
      <c r="NQI105" s="3"/>
      <c r="NQJ105" s="3"/>
      <c r="NQK105" s="3"/>
      <c r="NQL105" s="3"/>
      <c r="NQM105" s="3"/>
      <c r="NQN105" s="3"/>
      <c r="NQO105" s="3"/>
      <c r="NQP105" s="3"/>
      <c r="NQQ105" s="3"/>
      <c r="NQR105" s="3"/>
      <c r="NQS105" s="3"/>
      <c r="NQT105" s="3"/>
      <c r="NQU105" s="3"/>
      <c r="NQV105" s="3"/>
      <c r="NQW105" s="3"/>
      <c r="NQX105" s="3"/>
      <c r="NQY105" s="3"/>
      <c r="NQZ105" s="3"/>
      <c r="NRA105" s="3"/>
      <c r="NRB105" s="3"/>
      <c r="NRC105" s="3"/>
      <c r="NRD105" s="3"/>
      <c r="NRE105" s="3"/>
      <c r="NRF105" s="3"/>
      <c r="NRG105" s="3"/>
      <c r="NRH105" s="3"/>
      <c r="NRI105" s="3"/>
      <c r="NRJ105" s="3"/>
      <c r="NRK105" s="3"/>
      <c r="NRL105" s="3"/>
      <c r="NRM105" s="3"/>
      <c r="NRN105" s="3"/>
      <c r="NRO105" s="3"/>
      <c r="NRP105" s="3"/>
      <c r="NRQ105" s="3"/>
      <c r="NRR105" s="3"/>
      <c r="NRS105" s="3"/>
      <c r="NRT105" s="3"/>
      <c r="NRU105" s="3"/>
      <c r="NRV105" s="3"/>
      <c r="NRW105" s="3"/>
      <c r="NRX105" s="3"/>
      <c r="NRY105" s="3"/>
      <c r="NRZ105" s="3"/>
      <c r="NSA105" s="3"/>
      <c r="NSB105" s="3"/>
      <c r="NSC105" s="3"/>
      <c r="NSD105" s="3"/>
      <c r="NSE105" s="3"/>
      <c r="NSF105" s="3"/>
      <c r="NSG105" s="3"/>
      <c r="NSH105" s="3"/>
      <c r="NSI105" s="3"/>
      <c r="NSJ105" s="3"/>
      <c r="NSK105" s="3"/>
      <c r="NSL105" s="3"/>
      <c r="NSM105" s="3"/>
      <c r="NSN105" s="3"/>
      <c r="NSO105" s="3"/>
      <c r="NSP105" s="3"/>
      <c r="NSQ105" s="3"/>
      <c r="NSR105" s="3"/>
      <c r="NSS105" s="3"/>
      <c r="NST105" s="3"/>
      <c r="NSU105" s="3"/>
      <c r="NSV105" s="3"/>
      <c r="NSW105" s="3"/>
      <c r="NSX105" s="3"/>
      <c r="NSY105" s="3"/>
      <c r="NSZ105" s="3"/>
      <c r="NTA105" s="3"/>
      <c r="NTB105" s="3"/>
      <c r="NTC105" s="3"/>
      <c r="NTD105" s="3"/>
      <c r="NTE105" s="3"/>
      <c r="NTF105" s="3"/>
      <c r="NTG105" s="3"/>
      <c r="NTH105" s="3"/>
      <c r="NTI105" s="3"/>
      <c r="NTJ105" s="3"/>
      <c r="NTK105" s="3"/>
      <c r="NTL105" s="3"/>
      <c r="NTM105" s="3"/>
      <c r="NTN105" s="3"/>
      <c r="NTO105" s="3"/>
      <c r="NTP105" s="3"/>
      <c r="NTQ105" s="3"/>
      <c r="NTR105" s="3"/>
      <c r="NTS105" s="3"/>
      <c r="NTT105" s="3"/>
      <c r="NTU105" s="3"/>
      <c r="NTV105" s="3"/>
      <c r="NTW105" s="3"/>
      <c r="NTX105" s="3"/>
      <c r="NTY105" s="3"/>
      <c r="NTZ105" s="3"/>
      <c r="NUA105" s="3"/>
      <c r="NUB105" s="3"/>
      <c r="NUC105" s="3"/>
      <c r="NUD105" s="3"/>
      <c r="NUE105" s="3"/>
      <c r="NUF105" s="3"/>
      <c r="NUG105" s="3"/>
      <c r="NUH105" s="3"/>
      <c r="NUI105" s="3"/>
      <c r="NUJ105" s="3"/>
      <c r="NUK105" s="3"/>
      <c r="NUL105" s="3"/>
      <c r="NUM105" s="3"/>
      <c r="NUN105" s="3"/>
      <c r="NUO105" s="3"/>
      <c r="NUP105" s="3"/>
      <c r="NUQ105" s="3"/>
      <c r="NUR105" s="3"/>
      <c r="NUS105" s="3"/>
      <c r="NUT105" s="3"/>
      <c r="NUU105" s="3"/>
      <c r="NUV105" s="3"/>
      <c r="NUW105" s="3"/>
      <c r="NUX105" s="3"/>
      <c r="NUY105" s="3"/>
      <c r="NUZ105" s="3"/>
      <c r="NVA105" s="3"/>
      <c r="NVB105" s="3"/>
      <c r="NVC105" s="3"/>
      <c r="NVD105" s="3"/>
      <c r="NVE105" s="3"/>
      <c r="NVF105" s="3"/>
      <c r="NVG105" s="3"/>
      <c r="NVH105" s="3"/>
      <c r="NVI105" s="3"/>
      <c r="NVJ105" s="3"/>
      <c r="NVK105" s="3"/>
      <c r="NVL105" s="3"/>
      <c r="NVM105" s="3"/>
      <c r="NVN105" s="3"/>
      <c r="NVO105" s="3"/>
      <c r="NVP105" s="3"/>
      <c r="NVQ105" s="3"/>
      <c r="NVR105" s="3"/>
      <c r="NVS105" s="3"/>
      <c r="NVT105" s="3"/>
      <c r="NVU105" s="3"/>
      <c r="NVV105" s="3"/>
      <c r="NVW105" s="3"/>
      <c r="NVX105" s="3"/>
      <c r="NVY105" s="3"/>
      <c r="NVZ105" s="3"/>
      <c r="NWA105" s="3"/>
      <c r="NWB105" s="3"/>
      <c r="NWC105" s="3"/>
      <c r="NWD105" s="3"/>
      <c r="NWE105" s="3"/>
      <c r="NWF105" s="3"/>
      <c r="NWG105" s="3"/>
      <c r="NWH105" s="3"/>
      <c r="NWI105" s="3"/>
      <c r="NWJ105" s="3"/>
      <c r="NWK105" s="3"/>
      <c r="NWL105" s="3"/>
      <c r="NWM105" s="3"/>
      <c r="NWN105" s="3"/>
      <c r="NWO105" s="3"/>
      <c r="NWP105" s="3"/>
      <c r="NWQ105" s="3"/>
      <c r="NWR105" s="3"/>
      <c r="NWS105" s="3"/>
      <c r="NWT105" s="3"/>
      <c r="NWU105" s="3"/>
      <c r="NWV105" s="3"/>
      <c r="NWW105" s="3"/>
      <c r="NWX105" s="3"/>
      <c r="NWY105" s="3"/>
      <c r="NWZ105" s="3"/>
      <c r="NXA105" s="3"/>
      <c r="NXB105" s="3"/>
      <c r="NXC105" s="3"/>
      <c r="NXD105" s="3"/>
      <c r="NXE105" s="3"/>
      <c r="NXF105" s="3"/>
      <c r="NXG105" s="3"/>
      <c r="NXH105" s="3"/>
      <c r="NXI105" s="3"/>
      <c r="NXJ105" s="3"/>
      <c r="NXK105" s="3"/>
      <c r="NXL105" s="3"/>
      <c r="NXM105" s="3"/>
      <c r="NXN105" s="3"/>
      <c r="NXO105" s="3"/>
      <c r="NXP105" s="3"/>
      <c r="NXQ105" s="3"/>
      <c r="NXR105" s="3"/>
      <c r="NXS105" s="3"/>
      <c r="NXT105" s="3"/>
      <c r="NXU105" s="3"/>
      <c r="NXV105" s="3"/>
      <c r="NXW105" s="3"/>
      <c r="NXX105" s="3"/>
      <c r="NXY105" s="3"/>
      <c r="NXZ105" s="3"/>
      <c r="NYA105" s="3"/>
      <c r="NYB105" s="3"/>
      <c r="NYC105" s="3"/>
      <c r="NYD105" s="3"/>
      <c r="NYE105" s="3"/>
      <c r="NYF105" s="3"/>
      <c r="NYG105" s="3"/>
      <c r="NYH105" s="3"/>
      <c r="NYI105" s="3"/>
      <c r="NYJ105" s="3"/>
      <c r="NYK105" s="3"/>
      <c r="NYL105" s="3"/>
      <c r="NYM105" s="3"/>
      <c r="NYN105" s="3"/>
      <c r="NYO105" s="3"/>
      <c r="NYP105" s="3"/>
      <c r="NYQ105" s="3"/>
      <c r="NYR105" s="3"/>
      <c r="NYS105" s="3"/>
      <c r="NYT105" s="3"/>
      <c r="NYU105" s="3"/>
      <c r="NYV105" s="3"/>
      <c r="NYW105" s="3"/>
      <c r="NYX105" s="3"/>
      <c r="NYY105" s="3"/>
      <c r="NYZ105" s="3"/>
      <c r="NZA105" s="3"/>
      <c r="NZB105" s="3"/>
      <c r="NZC105" s="3"/>
      <c r="NZD105" s="3"/>
      <c r="NZE105" s="3"/>
      <c r="NZF105" s="3"/>
      <c r="NZG105" s="3"/>
      <c r="NZH105" s="3"/>
      <c r="NZI105" s="3"/>
      <c r="NZJ105" s="3"/>
      <c r="NZK105" s="3"/>
      <c r="NZL105" s="3"/>
      <c r="NZM105" s="3"/>
      <c r="NZN105" s="3"/>
      <c r="NZO105" s="3"/>
      <c r="NZP105" s="3"/>
      <c r="NZQ105" s="3"/>
      <c r="NZR105" s="3"/>
      <c r="NZS105" s="3"/>
      <c r="NZT105" s="3"/>
      <c r="NZU105" s="3"/>
      <c r="NZV105" s="3"/>
      <c r="NZW105" s="3"/>
      <c r="NZX105" s="3"/>
      <c r="NZY105" s="3"/>
      <c r="NZZ105" s="3"/>
      <c r="OAA105" s="3"/>
      <c r="OAB105" s="3"/>
      <c r="OAC105" s="3"/>
      <c r="OAD105" s="3"/>
      <c r="OAE105" s="3"/>
      <c r="OAF105" s="3"/>
      <c r="OAG105" s="3"/>
      <c r="OAH105" s="3"/>
      <c r="OAI105" s="3"/>
      <c r="OAJ105" s="3"/>
      <c r="OAK105" s="3"/>
      <c r="OAL105" s="3"/>
      <c r="OAM105" s="3"/>
      <c r="OAN105" s="3"/>
      <c r="OAO105" s="3"/>
      <c r="OAP105" s="3"/>
      <c r="OAQ105" s="3"/>
      <c r="OAR105" s="3"/>
      <c r="OAS105" s="3"/>
      <c r="OAT105" s="3"/>
      <c r="OAU105" s="3"/>
      <c r="OAV105" s="3"/>
      <c r="OAW105" s="3"/>
      <c r="OAX105" s="3"/>
      <c r="OAY105" s="3"/>
      <c r="OAZ105" s="3"/>
      <c r="OBA105" s="3"/>
      <c r="OBB105" s="3"/>
      <c r="OBC105" s="3"/>
      <c r="OBD105" s="3"/>
      <c r="OBE105" s="3"/>
      <c r="OBF105" s="3"/>
      <c r="OBG105" s="3"/>
      <c r="OBH105" s="3"/>
      <c r="OBI105" s="3"/>
      <c r="OBJ105" s="3"/>
      <c r="OBK105" s="3"/>
      <c r="OBL105" s="3"/>
      <c r="OBM105" s="3"/>
      <c r="OBN105" s="3"/>
      <c r="OBO105" s="3"/>
      <c r="OBP105" s="3"/>
      <c r="OBQ105" s="3"/>
      <c r="OBR105" s="3"/>
      <c r="OBS105" s="3"/>
      <c r="OBT105" s="3"/>
      <c r="OBU105" s="3"/>
      <c r="OBV105" s="3"/>
      <c r="OBW105" s="3"/>
      <c r="OBX105" s="3"/>
      <c r="OBY105" s="3"/>
      <c r="OBZ105" s="3"/>
      <c r="OCA105" s="3"/>
      <c r="OCB105" s="3"/>
      <c r="OCC105" s="3"/>
      <c r="OCD105" s="3"/>
      <c r="OCE105" s="3"/>
      <c r="OCF105" s="3"/>
      <c r="OCG105" s="3"/>
      <c r="OCH105" s="3"/>
      <c r="OCI105" s="3"/>
      <c r="OCJ105" s="3"/>
      <c r="OCK105" s="3"/>
      <c r="OCL105" s="3"/>
      <c r="OCM105" s="3"/>
      <c r="OCN105" s="3"/>
      <c r="OCO105" s="3"/>
      <c r="OCP105" s="3"/>
      <c r="OCQ105" s="3"/>
      <c r="OCR105" s="3"/>
      <c r="OCS105" s="3"/>
      <c r="OCT105" s="3"/>
      <c r="OCU105" s="3"/>
      <c r="OCV105" s="3"/>
      <c r="OCW105" s="3"/>
      <c r="OCX105" s="3"/>
      <c r="OCY105" s="3"/>
      <c r="OCZ105" s="3"/>
      <c r="ODA105" s="3"/>
      <c r="ODB105" s="3"/>
      <c r="ODC105" s="3"/>
      <c r="ODD105" s="3"/>
      <c r="ODE105" s="3"/>
      <c r="ODF105" s="3"/>
      <c r="ODG105" s="3"/>
      <c r="ODH105" s="3"/>
      <c r="ODI105" s="3"/>
      <c r="ODJ105" s="3"/>
      <c r="ODK105" s="3"/>
      <c r="ODL105" s="3"/>
      <c r="ODM105" s="3"/>
      <c r="ODN105" s="3"/>
      <c r="ODO105" s="3"/>
      <c r="ODP105" s="3"/>
      <c r="ODQ105" s="3"/>
      <c r="ODR105" s="3"/>
      <c r="ODS105" s="3"/>
      <c r="ODT105" s="3"/>
      <c r="ODU105" s="3"/>
      <c r="ODV105" s="3"/>
      <c r="ODW105" s="3"/>
      <c r="ODX105" s="3"/>
      <c r="ODY105" s="3"/>
      <c r="ODZ105" s="3"/>
      <c r="OEA105" s="3"/>
      <c r="OEB105" s="3"/>
      <c r="OEC105" s="3"/>
      <c r="OED105" s="3"/>
      <c r="OEE105" s="3"/>
      <c r="OEF105" s="3"/>
      <c r="OEG105" s="3"/>
      <c r="OEH105" s="3"/>
      <c r="OEI105" s="3"/>
      <c r="OEJ105" s="3"/>
      <c r="OEK105" s="3"/>
      <c r="OEL105" s="3"/>
      <c r="OEM105" s="3"/>
      <c r="OEN105" s="3"/>
      <c r="OEO105" s="3"/>
      <c r="OEP105" s="3"/>
      <c r="OEQ105" s="3"/>
      <c r="OER105" s="3"/>
      <c r="OES105" s="3"/>
      <c r="OET105" s="3"/>
      <c r="OEU105" s="3"/>
      <c r="OEV105" s="3"/>
      <c r="OEW105" s="3"/>
      <c r="OEX105" s="3"/>
      <c r="OEY105" s="3"/>
      <c r="OEZ105" s="3"/>
      <c r="OFA105" s="3"/>
      <c r="OFB105" s="3"/>
      <c r="OFC105" s="3"/>
      <c r="OFD105" s="3"/>
      <c r="OFE105" s="3"/>
      <c r="OFF105" s="3"/>
      <c r="OFG105" s="3"/>
      <c r="OFH105" s="3"/>
      <c r="OFI105" s="3"/>
      <c r="OFJ105" s="3"/>
      <c r="OFK105" s="3"/>
      <c r="OFL105" s="3"/>
      <c r="OFM105" s="3"/>
      <c r="OFN105" s="3"/>
      <c r="OFO105" s="3"/>
      <c r="OFP105" s="3"/>
      <c r="OFQ105" s="3"/>
      <c r="OFR105" s="3"/>
      <c r="OFS105" s="3"/>
      <c r="OFT105" s="3"/>
      <c r="OFU105" s="3"/>
      <c r="OFV105" s="3"/>
      <c r="OFW105" s="3"/>
      <c r="OFX105" s="3"/>
      <c r="OFY105" s="3"/>
      <c r="OFZ105" s="3"/>
      <c r="OGA105" s="3"/>
      <c r="OGB105" s="3"/>
      <c r="OGC105" s="3"/>
      <c r="OGD105" s="3"/>
      <c r="OGE105" s="3"/>
      <c r="OGF105" s="3"/>
      <c r="OGG105" s="3"/>
      <c r="OGH105" s="3"/>
      <c r="OGI105" s="3"/>
      <c r="OGJ105" s="3"/>
      <c r="OGK105" s="3"/>
      <c r="OGL105" s="3"/>
      <c r="OGM105" s="3"/>
      <c r="OGN105" s="3"/>
      <c r="OGO105" s="3"/>
      <c r="OGP105" s="3"/>
      <c r="OGQ105" s="3"/>
      <c r="OGR105" s="3"/>
      <c r="OGS105" s="3"/>
      <c r="OGT105" s="3"/>
      <c r="OGU105" s="3"/>
      <c r="OGV105" s="3"/>
      <c r="OGW105" s="3"/>
      <c r="OGX105" s="3"/>
      <c r="OGY105" s="3"/>
      <c r="OGZ105" s="3"/>
      <c r="OHA105" s="3"/>
      <c r="OHB105" s="3"/>
      <c r="OHC105" s="3"/>
      <c r="OHD105" s="3"/>
      <c r="OHE105" s="3"/>
      <c r="OHF105" s="3"/>
      <c r="OHG105" s="3"/>
      <c r="OHH105" s="3"/>
      <c r="OHI105" s="3"/>
      <c r="OHJ105" s="3"/>
      <c r="OHK105" s="3"/>
      <c r="OHL105" s="3"/>
      <c r="OHM105" s="3"/>
      <c r="OHN105" s="3"/>
      <c r="OHO105" s="3"/>
      <c r="OHP105" s="3"/>
      <c r="OHQ105" s="3"/>
      <c r="OHR105" s="3"/>
      <c r="OHS105" s="3"/>
      <c r="OHT105" s="3"/>
      <c r="OHU105" s="3"/>
      <c r="OHV105" s="3"/>
      <c r="OHW105" s="3"/>
      <c r="OHX105" s="3"/>
      <c r="OHY105" s="3"/>
      <c r="OHZ105" s="3"/>
      <c r="OIA105" s="3"/>
      <c r="OIB105" s="3"/>
      <c r="OIC105" s="3"/>
      <c r="OID105" s="3"/>
      <c r="OIE105" s="3"/>
      <c r="OIF105" s="3"/>
      <c r="OIG105" s="3"/>
      <c r="OIH105" s="3"/>
      <c r="OII105" s="3"/>
      <c r="OIJ105" s="3"/>
      <c r="OIK105" s="3"/>
      <c r="OIL105" s="3"/>
      <c r="OIM105" s="3"/>
      <c r="OIN105" s="3"/>
      <c r="OIO105" s="3"/>
      <c r="OIP105" s="3"/>
      <c r="OIQ105" s="3"/>
      <c r="OIR105" s="3"/>
      <c r="OIS105" s="3"/>
      <c r="OIT105" s="3"/>
      <c r="OIU105" s="3"/>
      <c r="OIV105" s="3"/>
      <c r="OIW105" s="3"/>
      <c r="OIX105" s="3"/>
      <c r="OIY105" s="3"/>
      <c r="OIZ105" s="3"/>
      <c r="OJA105" s="3"/>
      <c r="OJB105" s="3"/>
      <c r="OJC105" s="3"/>
      <c r="OJD105" s="3"/>
      <c r="OJE105" s="3"/>
      <c r="OJF105" s="3"/>
      <c r="OJG105" s="3"/>
      <c r="OJH105" s="3"/>
      <c r="OJI105" s="3"/>
      <c r="OJJ105" s="3"/>
      <c r="OJK105" s="3"/>
      <c r="OJL105" s="3"/>
      <c r="OJM105" s="3"/>
      <c r="OJN105" s="3"/>
      <c r="OJO105" s="3"/>
      <c r="OJP105" s="3"/>
      <c r="OJQ105" s="3"/>
      <c r="OJR105" s="3"/>
      <c r="OJS105" s="3"/>
      <c r="OJT105" s="3"/>
      <c r="OJU105" s="3"/>
      <c r="OJV105" s="3"/>
      <c r="OJW105" s="3"/>
      <c r="OJX105" s="3"/>
      <c r="OJY105" s="3"/>
      <c r="OJZ105" s="3"/>
      <c r="OKA105" s="3"/>
      <c r="OKB105" s="3"/>
      <c r="OKC105" s="3"/>
      <c r="OKD105" s="3"/>
      <c r="OKE105" s="3"/>
      <c r="OKF105" s="3"/>
      <c r="OKG105" s="3"/>
      <c r="OKH105" s="3"/>
      <c r="OKI105" s="3"/>
      <c r="OKJ105" s="3"/>
      <c r="OKK105" s="3"/>
      <c r="OKL105" s="3"/>
      <c r="OKM105" s="3"/>
      <c r="OKN105" s="3"/>
      <c r="OKO105" s="3"/>
      <c r="OKP105" s="3"/>
      <c r="OKQ105" s="3"/>
      <c r="OKR105" s="3"/>
      <c r="OKS105" s="3"/>
      <c r="OKT105" s="3"/>
      <c r="OKU105" s="3"/>
      <c r="OKV105" s="3"/>
      <c r="OKW105" s="3"/>
      <c r="OKX105" s="3"/>
      <c r="OKY105" s="3"/>
      <c r="OKZ105" s="3"/>
      <c r="OLA105" s="3"/>
      <c r="OLB105" s="3"/>
      <c r="OLC105" s="3"/>
      <c r="OLD105" s="3"/>
      <c r="OLE105" s="3"/>
      <c r="OLF105" s="3"/>
      <c r="OLG105" s="3"/>
      <c r="OLH105" s="3"/>
      <c r="OLI105" s="3"/>
      <c r="OLJ105" s="3"/>
      <c r="OLK105" s="3"/>
      <c r="OLL105" s="3"/>
      <c r="OLM105" s="3"/>
      <c r="OLN105" s="3"/>
      <c r="OLO105" s="3"/>
      <c r="OLP105" s="3"/>
      <c r="OLQ105" s="3"/>
      <c r="OLR105" s="3"/>
      <c r="OLS105" s="3"/>
      <c r="OLT105" s="3"/>
      <c r="OLU105" s="3"/>
      <c r="OLV105" s="3"/>
      <c r="OLW105" s="3"/>
      <c r="OLX105" s="3"/>
      <c r="OLY105" s="3"/>
      <c r="OLZ105" s="3"/>
      <c r="OMA105" s="3"/>
      <c r="OMB105" s="3"/>
      <c r="OMC105" s="3"/>
      <c r="OMD105" s="3"/>
      <c r="OME105" s="3"/>
      <c r="OMF105" s="3"/>
      <c r="OMG105" s="3"/>
      <c r="OMH105" s="3"/>
      <c r="OMI105" s="3"/>
      <c r="OMJ105" s="3"/>
      <c r="OMK105" s="3"/>
      <c r="OML105" s="3"/>
      <c r="OMM105" s="3"/>
      <c r="OMN105" s="3"/>
      <c r="OMO105" s="3"/>
      <c r="OMP105" s="3"/>
      <c r="OMQ105" s="3"/>
      <c r="OMR105" s="3"/>
      <c r="OMS105" s="3"/>
      <c r="OMT105" s="3"/>
      <c r="OMU105" s="3"/>
      <c r="OMV105" s="3"/>
      <c r="OMW105" s="3"/>
      <c r="OMX105" s="3"/>
      <c r="OMY105" s="3"/>
      <c r="OMZ105" s="3"/>
      <c r="ONA105" s="3"/>
      <c r="ONB105" s="3"/>
      <c r="ONC105" s="3"/>
      <c r="OND105" s="3"/>
      <c r="ONE105" s="3"/>
      <c r="ONF105" s="3"/>
      <c r="ONG105" s="3"/>
      <c r="ONH105" s="3"/>
      <c r="ONI105" s="3"/>
      <c r="ONJ105" s="3"/>
      <c r="ONK105" s="3"/>
      <c r="ONL105" s="3"/>
      <c r="ONM105" s="3"/>
      <c r="ONN105" s="3"/>
      <c r="ONO105" s="3"/>
      <c r="ONP105" s="3"/>
      <c r="ONQ105" s="3"/>
      <c r="ONR105" s="3"/>
      <c r="ONS105" s="3"/>
      <c r="ONT105" s="3"/>
      <c r="ONU105" s="3"/>
      <c r="ONV105" s="3"/>
      <c r="ONW105" s="3"/>
      <c r="ONX105" s="3"/>
      <c r="ONY105" s="3"/>
      <c r="ONZ105" s="3"/>
      <c r="OOA105" s="3"/>
      <c r="OOB105" s="3"/>
      <c r="OOC105" s="3"/>
      <c r="OOD105" s="3"/>
      <c r="OOE105" s="3"/>
      <c r="OOF105" s="3"/>
      <c r="OOG105" s="3"/>
      <c r="OOH105" s="3"/>
      <c r="OOI105" s="3"/>
      <c r="OOJ105" s="3"/>
      <c r="OOK105" s="3"/>
      <c r="OOL105" s="3"/>
      <c r="OOM105" s="3"/>
      <c r="OON105" s="3"/>
      <c r="OOO105" s="3"/>
      <c r="OOP105" s="3"/>
      <c r="OOQ105" s="3"/>
      <c r="OOR105" s="3"/>
      <c r="OOS105" s="3"/>
      <c r="OOT105" s="3"/>
      <c r="OOU105" s="3"/>
      <c r="OOV105" s="3"/>
      <c r="OOW105" s="3"/>
      <c r="OOX105" s="3"/>
      <c r="OOY105" s="3"/>
      <c r="OOZ105" s="3"/>
      <c r="OPA105" s="3"/>
      <c r="OPB105" s="3"/>
      <c r="OPC105" s="3"/>
      <c r="OPD105" s="3"/>
      <c r="OPE105" s="3"/>
      <c r="OPF105" s="3"/>
      <c r="OPG105" s="3"/>
      <c r="OPH105" s="3"/>
      <c r="OPI105" s="3"/>
      <c r="OPJ105" s="3"/>
      <c r="OPK105" s="3"/>
      <c r="OPL105" s="3"/>
      <c r="OPM105" s="3"/>
      <c r="OPN105" s="3"/>
      <c r="OPO105" s="3"/>
      <c r="OPP105" s="3"/>
      <c r="OPQ105" s="3"/>
      <c r="OPR105" s="3"/>
      <c r="OPS105" s="3"/>
      <c r="OPT105" s="3"/>
      <c r="OPU105" s="3"/>
      <c r="OPV105" s="3"/>
      <c r="OPW105" s="3"/>
      <c r="OPX105" s="3"/>
      <c r="OPY105" s="3"/>
      <c r="OPZ105" s="3"/>
      <c r="OQA105" s="3"/>
      <c r="OQB105" s="3"/>
      <c r="OQC105" s="3"/>
      <c r="OQD105" s="3"/>
      <c r="OQE105" s="3"/>
      <c r="OQF105" s="3"/>
      <c r="OQG105" s="3"/>
      <c r="OQH105" s="3"/>
      <c r="OQI105" s="3"/>
      <c r="OQJ105" s="3"/>
      <c r="OQK105" s="3"/>
      <c r="OQL105" s="3"/>
      <c r="OQM105" s="3"/>
      <c r="OQN105" s="3"/>
      <c r="OQO105" s="3"/>
      <c r="OQP105" s="3"/>
      <c r="OQQ105" s="3"/>
      <c r="OQR105" s="3"/>
      <c r="OQS105" s="3"/>
      <c r="OQT105" s="3"/>
      <c r="OQU105" s="3"/>
      <c r="OQV105" s="3"/>
      <c r="OQW105" s="3"/>
      <c r="OQX105" s="3"/>
      <c r="OQY105" s="3"/>
      <c r="OQZ105" s="3"/>
      <c r="ORA105" s="3"/>
      <c r="ORB105" s="3"/>
      <c r="ORC105" s="3"/>
      <c r="ORD105" s="3"/>
      <c r="ORE105" s="3"/>
      <c r="ORF105" s="3"/>
      <c r="ORG105" s="3"/>
      <c r="ORH105" s="3"/>
      <c r="ORI105" s="3"/>
      <c r="ORJ105" s="3"/>
      <c r="ORK105" s="3"/>
      <c r="ORL105" s="3"/>
      <c r="ORM105" s="3"/>
      <c r="ORN105" s="3"/>
      <c r="ORO105" s="3"/>
      <c r="ORP105" s="3"/>
      <c r="ORQ105" s="3"/>
      <c r="ORR105" s="3"/>
      <c r="ORS105" s="3"/>
      <c r="ORT105" s="3"/>
      <c r="ORU105" s="3"/>
      <c r="ORV105" s="3"/>
      <c r="ORW105" s="3"/>
      <c r="ORX105" s="3"/>
      <c r="ORY105" s="3"/>
      <c r="ORZ105" s="3"/>
      <c r="OSA105" s="3"/>
      <c r="OSB105" s="3"/>
      <c r="OSC105" s="3"/>
      <c r="OSD105" s="3"/>
      <c r="OSE105" s="3"/>
      <c r="OSF105" s="3"/>
      <c r="OSG105" s="3"/>
      <c r="OSH105" s="3"/>
      <c r="OSI105" s="3"/>
      <c r="OSJ105" s="3"/>
      <c r="OSK105" s="3"/>
      <c r="OSL105" s="3"/>
      <c r="OSM105" s="3"/>
      <c r="OSN105" s="3"/>
      <c r="OSO105" s="3"/>
      <c r="OSP105" s="3"/>
      <c r="OSQ105" s="3"/>
      <c r="OSR105" s="3"/>
      <c r="OSS105" s="3"/>
      <c r="OST105" s="3"/>
      <c r="OSU105" s="3"/>
      <c r="OSV105" s="3"/>
      <c r="OSW105" s="3"/>
      <c r="OSX105" s="3"/>
      <c r="OSY105" s="3"/>
      <c r="OSZ105" s="3"/>
      <c r="OTA105" s="3"/>
      <c r="OTB105" s="3"/>
      <c r="OTC105" s="3"/>
      <c r="OTD105" s="3"/>
      <c r="OTE105" s="3"/>
      <c r="OTF105" s="3"/>
      <c r="OTG105" s="3"/>
      <c r="OTH105" s="3"/>
      <c r="OTI105" s="3"/>
      <c r="OTJ105" s="3"/>
      <c r="OTK105" s="3"/>
      <c r="OTL105" s="3"/>
      <c r="OTM105" s="3"/>
      <c r="OTN105" s="3"/>
      <c r="OTO105" s="3"/>
      <c r="OTP105" s="3"/>
      <c r="OTQ105" s="3"/>
      <c r="OTR105" s="3"/>
      <c r="OTS105" s="3"/>
      <c r="OTT105" s="3"/>
      <c r="OTU105" s="3"/>
      <c r="OTV105" s="3"/>
      <c r="OTW105" s="3"/>
      <c r="OTX105" s="3"/>
      <c r="OTY105" s="3"/>
      <c r="OTZ105" s="3"/>
      <c r="OUA105" s="3"/>
      <c r="OUB105" s="3"/>
      <c r="OUC105" s="3"/>
      <c r="OUD105" s="3"/>
      <c r="OUE105" s="3"/>
      <c r="OUF105" s="3"/>
      <c r="OUG105" s="3"/>
      <c r="OUH105" s="3"/>
      <c r="OUI105" s="3"/>
      <c r="OUJ105" s="3"/>
      <c r="OUK105" s="3"/>
      <c r="OUL105" s="3"/>
      <c r="OUM105" s="3"/>
      <c r="OUN105" s="3"/>
      <c r="OUO105" s="3"/>
      <c r="OUP105" s="3"/>
      <c r="OUQ105" s="3"/>
      <c r="OUR105" s="3"/>
      <c r="OUS105" s="3"/>
      <c r="OUT105" s="3"/>
      <c r="OUU105" s="3"/>
      <c r="OUV105" s="3"/>
      <c r="OUW105" s="3"/>
      <c r="OUX105" s="3"/>
      <c r="OUY105" s="3"/>
      <c r="OUZ105" s="3"/>
      <c r="OVA105" s="3"/>
      <c r="OVB105" s="3"/>
      <c r="OVC105" s="3"/>
      <c r="OVD105" s="3"/>
      <c r="OVE105" s="3"/>
      <c r="OVF105" s="3"/>
      <c r="OVG105" s="3"/>
      <c r="OVH105" s="3"/>
      <c r="OVI105" s="3"/>
      <c r="OVJ105" s="3"/>
      <c r="OVK105" s="3"/>
      <c r="OVL105" s="3"/>
      <c r="OVM105" s="3"/>
      <c r="OVN105" s="3"/>
      <c r="OVO105" s="3"/>
      <c r="OVP105" s="3"/>
      <c r="OVQ105" s="3"/>
      <c r="OVR105" s="3"/>
      <c r="OVS105" s="3"/>
      <c r="OVT105" s="3"/>
      <c r="OVU105" s="3"/>
      <c r="OVV105" s="3"/>
      <c r="OVW105" s="3"/>
      <c r="OVX105" s="3"/>
      <c r="OVY105" s="3"/>
      <c r="OVZ105" s="3"/>
      <c r="OWA105" s="3"/>
      <c r="OWB105" s="3"/>
      <c r="OWC105" s="3"/>
      <c r="OWD105" s="3"/>
      <c r="OWE105" s="3"/>
      <c r="OWF105" s="3"/>
      <c r="OWG105" s="3"/>
      <c r="OWH105" s="3"/>
      <c r="OWI105" s="3"/>
      <c r="OWJ105" s="3"/>
      <c r="OWK105" s="3"/>
      <c r="OWL105" s="3"/>
      <c r="OWM105" s="3"/>
      <c r="OWN105" s="3"/>
      <c r="OWO105" s="3"/>
      <c r="OWP105" s="3"/>
      <c r="OWQ105" s="3"/>
      <c r="OWR105" s="3"/>
      <c r="OWS105" s="3"/>
      <c r="OWT105" s="3"/>
      <c r="OWU105" s="3"/>
      <c r="OWV105" s="3"/>
      <c r="OWW105" s="3"/>
      <c r="OWX105" s="3"/>
      <c r="OWY105" s="3"/>
      <c r="OWZ105" s="3"/>
      <c r="OXA105" s="3"/>
      <c r="OXB105" s="3"/>
      <c r="OXC105" s="3"/>
      <c r="OXD105" s="3"/>
      <c r="OXE105" s="3"/>
      <c r="OXF105" s="3"/>
      <c r="OXG105" s="3"/>
      <c r="OXH105" s="3"/>
      <c r="OXI105" s="3"/>
      <c r="OXJ105" s="3"/>
      <c r="OXK105" s="3"/>
      <c r="OXL105" s="3"/>
      <c r="OXM105" s="3"/>
      <c r="OXN105" s="3"/>
      <c r="OXO105" s="3"/>
      <c r="OXP105" s="3"/>
      <c r="OXQ105" s="3"/>
      <c r="OXR105" s="3"/>
      <c r="OXS105" s="3"/>
      <c r="OXT105" s="3"/>
      <c r="OXU105" s="3"/>
      <c r="OXV105" s="3"/>
      <c r="OXW105" s="3"/>
      <c r="OXX105" s="3"/>
      <c r="OXY105" s="3"/>
      <c r="OXZ105" s="3"/>
      <c r="OYA105" s="3"/>
      <c r="OYB105" s="3"/>
      <c r="OYC105" s="3"/>
      <c r="OYD105" s="3"/>
      <c r="OYE105" s="3"/>
      <c r="OYF105" s="3"/>
      <c r="OYG105" s="3"/>
      <c r="OYH105" s="3"/>
      <c r="OYI105" s="3"/>
      <c r="OYJ105" s="3"/>
      <c r="OYK105" s="3"/>
      <c r="OYL105" s="3"/>
      <c r="OYM105" s="3"/>
      <c r="OYN105" s="3"/>
      <c r="OYO105" s="3"/>
      <c r="OYP105" s="3"/>
      <c r="OYQ105" s="3"/>
      <c r="OYR105" s="3"/>
      <c r="OYS105" s="3"/>
      <c r="OYT105" s="3"/>
      <c r="OYU105" s="3"/>
      <c r="OYV105" s="3"/>
      <c r="OYW105" s="3"/>
      <c r="OYX105" s="3"/>
      <c r="OYY105" s="3"/>
      <c r="OYZ105" s="3"/>
      <c r="OZA105" s="3"/>
      <c r="OZB105" s="3"/>
      <c r="OZC105" s="3"/>
      <c r="OZD105" s="3"/>
      <c r="OZE105" s="3"/>
      <c r="OZF105" s="3"/>
      <c r="OZG105" s="3"/>
      <c r="OZH105" s="3"/>
      <c r="OZI105" s="3"/>
      <c r="OZJ105" s="3"/>
      <c r="OZK105" s="3"/>
      <c r="OZL105" s="3"/>
      <c r="OZM105" s="3"/>
      <c r="OZN105" s="3"/>
      <c r="OZO105" s="3"/>
      <c r="OZP105" s="3"/>
      <c r="OZQ105" s="3"/>
      <c r="OZR105" s="3"/>
      <c r="OZS105" s="3"/>
      <c r="OZT105" s="3"/>
      <c r="OZU105" s="3"/>
      <c r="OZV105" s="3"/>
      <c r="OZW105" s="3"/>
      <c r="OZX105" s="3"/>
      <c r="OZY105" s="3"/>
      <c r="OZZ105" s="3"/>
      <c r="PAA105" s="3"/>
      <c r="PAB105" s="3"/>
      <c r="PAC105" s="3"/>
      <c r="PAD105" s="3"/>
      <c r="PAE105" s="3"/>
      <c r="PAF105" s="3"/>
      <c r="PAG105" s="3"/>
      <c r="PAH105" s="3"/>
      <c r="PAI105" s="3"/>
      <c r="PAJ105" s="3"/>
      <c r="PAK105" s="3"/>
      <c r="PAL105" s="3"/>
      <c r="PAM105" s="3"/>
      <c r="PAN105" s="3"/>
      <c r="PAO105" s="3"/>
      <c r="PAP105" s="3"/>
      <c r="PAQ105" s="3"/>
      <c r="PAR105" s="3"/>
      <c r="PAS105" s="3"/>
      <c r="PAT105" s="3"/>
      <c r="PAU105" s="3"/>
      <c r="PAV105" s="3"/>
      <c r="PAW105" s="3"/>
      <c r="PAX105" s="3"/>
      <c r="PAY105" s="3"/>
      <c r="PAZ105" s="3"/>
      <c r="PBA105" s="3"/>
      <c r="PBB105" s="3"/>
      <c r="PBC105" s="3"/>
      <c r="PBD105" s="3"/>
      <c r="PBE105" s="3"/>
      <c r="PBF105" s="3"/>
      <c r="PBG105" s="3"/>
      <c r="PBH105" s="3"/>
      <c r="PBI105" s="3"/>
      <c r="PBJ105" s="3"/>
      <c r="PBK105" s="3"/>
      <c r="PBL105" s="3"/>
      <c r="PBM105" s="3"/>
      <c r="PBN105" s="3"/>
      <c r="PBO105" s="3"/>
      <c r="PBP105" s="3"/>
      <c r="PBQ105" s="3"/>
      <c r="PBR105" s="3"/>
      <c r="PBS105" s="3"/>
      <c r="PBT105" s="3"/>
      <c r="PBU105" s="3"/>
      <c r="PBV105" s="3"/>
      <c r="PBW105" s="3"/>
      <c r="PBX105" s="3"/>
      <c r="PBY105" s="3"/>
      <c r="PBZ105" s="3"/>
      <c r="PCA105" s="3"/>
      <c r="PCB105" s="3"/>
      <c r="PCC105" s="3"/>
      <c r="PCD105" s="3"/>
      <c r="PCE105" s="3"/>
      <c r="PCF105" s="3"/>
      <c r="PCG105" s="3"/>
      <c r="PCH105" s="3"/>
      <c r="PCI105" s="3"/>
      <c r="PCJ105" s="3"/>
      <c r="PCK105" s="3"/>
      <c r="PCL105" s="3"/>
      <c r="PCM105" s="3"/>
      <c r="PCN105" s="3"/>
      <c r="PCO105" s="3"/>
      <c r="PCP105" s="3"/>
      <c r="PCQ105" s="3"/>
      <c r="PCR105" s="3"/>
      <c r="PCS105" s="3"/>
      <c r="PCT105" s="3"/>
      <c r="PCU105" s="3"/>
      <c r="PCV105" s="3"/>
      <c r="PCW105" s="3"/>
      <c r="PCX105" s="3"/>
      <c r="PCY105" s="3"/>
      <c r="PCZ105" s="3"/>
      <c r="PDA105" s="3"/>
      <c r="PDB105" s="3"/>
      <c r="PDC105" s="3"/>
      <c r="PDD105" s="3"/>
      <c r="PDE105" s="3"/>
      <c r="PDF105" s="3"/>
      <c r="PDG105" s="3"/>
      <c r="PDH105" s="3"/>
      <c r="PDI105" s="3"/>
      <c r="PDJ105" s="3"/>
      <c r="PDK105" s="3"/>
      <c r="PDL105" s="3"/>
      <c r="PDM105" s="3"/>
      <c r="PDN105" s="3"/>
      <c r="PDO105" s="3"/>
      <c r="PDP105" s="3"/>
      <c r="PDQ105" s="3"/>
      <c r="PDR105" s="3"/>
      <c r="PDS105" s="3"/>
      <c r="PDT105" s="3"/>
      <c r="PDU105" s="3"/>
      <c r="PDV105" s="3"/>
      <c r="PDW105" s="3"/>
      <c r="PDX105" s="3"/>
      <c r="PDY105" s="3"/>
      <c r="PDZ105" s="3"/>
      <c r="PEA105" s="3"/>
      <c r="PEB105" s="3"/>
      <c r="PEC105" s="3"/>
      <c r="PED105" s="3"/>
      <c r="PEE105" s="3"/>
      <c r="PEF105" s="3"/>
      <c r="PEG105" s="3"/>
      <c r="PEH105" s="3"/>
      <c r="PEI105" s="3"/>
      <c r="PEJ105" s="3"/>
      <c r="PEK105" s="3"/>
      <c r="PEL105" s="3"/>
      <c r="PEM105" s="3"/>
      <c r="PEN105" s="3"/>
      <c r="PEO105" s="3"/>
      <c r="PEP105" s="3"/>
      <c r="PEQ105" s="3"/>
      <c r="PER105" s="3"/>
      <c r="PES105" s="3"/>
      <c r="PET105" s="3"/>
      <c r="PEU105" s="3"/>
      <c r="PEV105" s="3"/>
      <c r="PEW105" s="3"/>
      <c r="PEX105" s="3"/>
      <c r="PEY105" s="3"/>
      <c r="PEZ105" s="3"/>
      <c r="PFA105" s="3"/>
      <c r="PFB105" s="3"/>
      <c r="PFC105" s="3"/>
      <c r="PFD105" s="3"/>
      <c r="PFE105" s="3"/>
      <c r="PFF105" s="3"/>
      <c r="PFG105" s="3"/>
      <c r="PFH105" s="3"/>
      <c r="PFI105" s="3"/>
      <c r="PFJ105" s="3"/>
      <c r="PFK105" s="3"/>
      <c r="PFL105" s="3"/>
      <c r="PFM105" s="3"/>
      <c r="PFN105" s="3"/>
      <c r="PFO105" s="3"/>
      <c r="PFP105" s="3"/>
      <c r="PFQ105" s="3"/>
      <c r="PFR105" s="3"/>
      <c r="PFS105" s="3"/>
      <c r="PFT105" s="3"/>
      <c r="PFU105" s="3"/>
      <c r="PFV105" s="3"/>
      <c r="PFW105" s="3"/>
      <c r="PFX105" s="3"/>
      <c r="PFY105" s="3"/>
      <c r="PFZ105" s="3"/>
      <c r="PGA105" s="3"/>
      <c r="PGB105" s="3"/>
      <c r="PGC105" s="3"/>
      <c r="PGD105" s="3"/>
      <c r="PGE105" s="3"/>
      <c r="PGF105" s="3"/>
      <c r="PGG105" s="3"/>
      <c r="PGH105" s="3"/>
      <c r="PGI105" s="3"/>
      <c r="PGJ105" s="3"/>
      <c r="PGK105" s="3"/>
      <c r="PGL105" s="3"/>
      <c r="PGM105" s="3"/>
      <c r="PGN105" s="3"/>
      <c r="PGO105" s="3"/>
      <c r="PGP105" s="3"/>
      <c r="PGQ105" s="3"/>
      <c r="PGR105" s="3"/>
      <c r="PGS105" s="3"/>
      <c r="PGT105" s="3"/>
      <c r="PGU105" s="3"/>
      <c r="PGV105" s="3"/>
      <c r="PGW105" s="3"/>
      <c r="PGX105" s="3"/>
      <c r="PGY105" s="3"/>
      <c r="PGZ105" s="3"/>
      <c r="PHA105" s="3"/>
      <c r="PHB105" s="3"/>
      <c r="PHC105" s="3"/>
      <c r="PHD105" s="3"/>
      <c r="PHE105" s="3"/>
      <c r="PHF105" s="3"/>
      <c r="PHG105" s="3"/>
      <c r="PHH105" s="3"/>
      <c r="PHI105" s="3"/>
      <c r="PHJ105" s="3"/>
      <c r="PHK105" s="3"/>
      <c r="PHL105" s="3"/>
      <c r="PHM105" s="3"/>
      <c r="PHN105" s="3"/>
      <c r="PHO105" s="3"/>
      <c r="PHP105" s="3"/>
      <c r="PHQ105" s="3"/>
      <c r="PHR105" s="3"/>
      <c r="PHS105" s="3"/>
      <c r="PHT105" s="3"/>
      <c r="PHU105" s="3"/>
      <c r="PHV105" s="3"/>
      <c r="PHW105" s="3"/>
      <c r="PHX105" s="3"/>
      <c r="PHY105" s="3"/>
      <c r="PHZ105" s="3"/>
      <c r="PIA105" s="3"/>
      <c r="PIB105" s="3"/>
      <c r="PIC105" s="3"/>
      <c r="PID105" s="3"/>
      <c r="PIE105" s="3"/>
      <c r="PIF105" s="3"/>
      <c r="PIG105" s="3"/>
      <c r="PIH105" s="3"/>
      <c r="PII105" s="3"/>
      <c r="PIJ105" s="3"/>
      <c r="PIK105" s="3"/>
      <c r="PIL105" s="3"/>
      <c r="PIM105" s="3"/>
      <c r="PIN105" s="3"/>
      <c r="PIO105" s="3"/>
      <c r="PIP105" s="3"/>
      <c r="PIQ105" s="3"/>
      <c r="PIR105" s="3"/>
      <c r="PIS105" s="3"/>
      <c r="PIT105" s="3"/>
      <c r="PIU105" s="3"/>
      <c r="PIV105" s="3"/>
      <c r="PIW105" s="3"/>
      <c r="PIX105" s="3"/>
      <c r="PIY105" s="3"/>
      <c r="PIZ105" s="3"/>
      <c r="PJA105" s="3"/>
      <c r="PJB105" s="3"/>
      <c r="PJC105" s="3"/>
      <c r="PJD105" s="3"/>
      <c r="PJE105" s="3"/>
      <c r="PJF105" s="3"/>
      <c r="PJG105" s="3"/>
      <c r="PJH105" s="3"/>
      <c r="PJI105" s="3"/>
      <c r="PJJ105" s="3"/>
      <c r="PJK105" s="3"/>
      <c r="PJL105" s="3"/>
      <c r="PJM105" s="3"/>
      <c r="PJN105" s="3"/>
      <c r="PJO105" s="3"/>
      <c r="PJP105" s="3"/>
      <c r="PJQ105" s="3"/>
      <c r="PJR105" s="3"/>
      <c r="PJS105" s="3"/>
      <c r="PJT105" s="3"/>
      <c r="PJU105" s="3"/>
      <c r="PJV105" s="3"/>
      <c r="PJW105" s="3"/>
      <c r="PJX105" s="3"/>
      <c r="PJY105" s="3"/>
      <c r="PJZ105" s="3"/>
      <c r="PKA105" s="3"/>
      <c r="PKB105" s="3"/>
      <c r="PKC105" s="3"/>
      <c r="PKD105" s="3"/>
      <c r="PKE105" s="3"/>
      <c r="PKF105" s="3"/>
      <c r="PKG105" s="3"/>
      <c r="PKH105" s="3"/>
      <c r="PKI105" s="3"/>
      <c r="PKJ105" s="3"/>
      <c r="PKK105" s="3"/>
      <c r="PKL105" s="3"/>
      <c r="PKM105" s="3"/>
      <c r="PKN105" s="3"/>
      <c r="PKO105" s="3"/>
      <c r="PKP105" s="3"/>
      <c r="PKQ105" s="3"/>
      <c r="PKR105" s="3"/>
      <c r="PKS105" s="3"/>
      <c r="PKT105" s="3"/>
      <c r="PKU105" s="3"/>
      <c r="PKV105" s="3"/>
      <c r="PKW105" s="3"/>
      <c r="PKX105" s="3"/>
      <c r="PKY105" s="3"/>
      <c r="PKZ105" s="3"/>
      <c r="PLA105" s="3"/>
      <c r="PLB105" s="3"/>
      <c r="PLC105" s="3"/>
      <c r="PLD105" s="3"/>
      <c r="PLE105" s="3"/>
      <c r="PLF105" s="3"/>
      <c r="PLG105" s="3"/>
      <c r="PLH105" s="3"/>
      <c r="PLI105" s="3"/>
      <c r="PLJ105" s="3"/>
      <c r="PLK105" s="3"/>
      <c r="PLL105" s="3"/>
      <c r="PLM105" s="3"/>
      <c r="PLN105" s="3"/>
      <c r="PLO105" s="3"/>
      <c r="PLP105" s="3"/>
      <c r="PLQ105" s="3"/>
      <c r="PLR105" s="3"/>
      <c r="PLS105" s="3"/>
      <c r="PLT105" s="3"/>
      <c r="PLU105" s="3"/>
      <c r="PLV105" s="3"/>
      <c r="PLW105" s="3"/>
      <c r="PLX105" s="3"/>
      <c r="PLY105" s="3"/>
      <c r="PLZ105" s="3"/>
      <c r="PMA105" s="3"/>
      <c r="PMB105" s="3"/>
      <c r="PMC105" s="3"/>
      <c r="PMD105" s="3"/>
      <c r="PME105" s="3"/>
      <c r="PMF105" s="3"/>
      <c r="PMG105" s="3"/>
      <c r="PMH105" s="3"/>
      <c r="PMI105" s="3"/>
      <c r="PMJ105" s="3"/>
      <c r="PMK105" s="3"/>
      <c r="PML105" s="3"/>
      <c r="PMM105" s="3"/>
      <c r="PMN105" s="3"/>
      <c r="PMO105" s="3"/>
      <c r="PMP105" s="3"/>
      <c r="PMQ105" s="3"/>
      <c r="PMR105" s="3"/>
      <c r="PMS105" s="3"/>
      <c r="PMT105" s="3"/>
      <c r="PMU105" s="3"/>
      <c r="PMV105" s="3"/>
      <c r="PMW105" s="3"/>
      <c r="PMX105" s="3"/>
      <c r="PMY105" s="3"/>
      <c r="PMZ105" s="3"/>
      <c r="PNA105" s="3"/>
      <c r="PNB105" s="3"/>
      <c r="PNC105" s="3"/>
      <c r="PND105" s="3"/>
      <c r="PNE105" s="3"/>
      <c r="PNF105" s="3"/>
      <c r="PNG105" s="3"/>
      <c r="PNH105" s="3"/>
      <c r="PNI105" s="3"/>
      <c r="PNJ105" s="3"/>
      <c r="PNK105" s="3"/>
      <c r="PNL105" s="3"/>
      <c r="PNM105" s="3"/>
      <c r="PNN105" s="3"/>
      <c r="PNO105" s="3"/>
      <c r="PNP105" s="3"/>
      <c r="PNQ105" s="3"/>
      <c r="PNR105" s="3"/>
      <c r="PNS105" s="3"/>
      <c r="PNT105" s="3"/>
      <c r="PNU105" s="3"/>
      <c r="PNV105" s="3"/>
      <c r="PNW105" s="3"/>
      <c r="PNX105" s="3"/>
      <c r="PNY105" s="3"/>
      <c r="PNZ105" s="3"/>
      <c r="POA105" s="3"/>
      <c r="POB105" s="3"/>
      <c r="POC105" s="3"/>
      <c r="POD105" s="3"/>
      <c r="POE105" s="3"/>
      <c r="POF105" s="3"/>
      <c r="POG105" s="3"/>
      <c r="POH105" s="3"/>
      <c r="POI105" s="3"/>
      <c r="POJ105" s="3"/>
      <c r="POK105" s="3"/>
      <c r="POL105" s="3"/>
      <c r="POM105" s="3"/>
      <c r="PON105" s="3"/>
      <c r="POO105" s="3"/>
      <c r="POP105" s="3"/>
      <c r="POQ105" s="3"/>
      <c r="POR105" s="3"/>
      <c r="POS105" s="3"/>
      <c r="POT105" s="3"/>
      <c r="POU105" s="3"/>
      <c r="POV105" s="3"/>
      <c r="POW105" s="3"/>
      <c r="POX105" s="3"/>
      <c r="POY105" s="3"/>
      <c r="POZ105" s="3"/>
      <c r="PPA105" s="3"/>
      <c r="PPB105" s="3"/>
      <c r="PPC105" s="3"/>
      <c r="PPD105" s="3"/>
      <c r="PPE105" s="3"/>
      <c r="PPF105" s="3"/>
      <c r="PPG105" s="3"/>
      <c r="PPH105" s="3"/>
      <c r="PPI105" s="3"/>
      <c r="PPJ105" s="3"/>
      <c r="PPK105" s="3"/>
      <c r="PPL105" s="3"/>
      <c r="PPM105" s="3"/>
      <c r="PPN105" s="3"/>
      <c r="PPO105" s="3"/>
      <c r="PPP105" s="3"/>
      <c r="PPQ105" s="3"/>
      <c r="PPR105" s="3"/>
      <c r="PPS105" s="3"/>
      <c r="PPT105" s="3"/>
      <c r="PPU105" s="3"/>
      <c r="PPV105" s="3"/>
      <c r="PPW105" s="3"/>
      <c r="PPX105" s="3"/>
      <c r="PPY105" s="3"/>
      <c r="PPZ105" s="3"/>
      <c r="PQA105" s="3"/>
      <c r="PQB105" s="3"/>
      <c r="PQC105" s="3"/>
      <c r="PQD105" s="3"/>
      <c r="PQE105" s="3"/>
      <c r="PQF105" s="3"/>
      <c r="PQG105" s="3"/>
      <c r="PQH105" s="3"/>
      <c r="PQI105" s="3"/>
      <c r="PQJ105" s="3"/>
      <c r="PQK105" s="3"/>
      <c r="PQL105" s="3"/>
      <c r="PQM105" s="3"/>
      <c r="PQN105" s="3"/>
      <c r="PQO105" s="3"/>
      <c r="PQP105" s="3"/>
      <c r="PQQ105" s="3"/>
      <c r="PQR105" s="3"/>
      <c r="PQS105" s="3"/>
      <c r="PQT105" s="3"/>
      <c r="PQU105" s="3"/>
      <c r="PQV105" s="3"/>
      <c r="PQW105" s="3"/>
      <c r="PQX105" s="3"/>
      <c r="PQY105" s="3"/>
      <c r="PQZ105" s="3"/>
      <c r="PRA105" s="3"/>
      <c r="PRB105" s="3"/>
      <c r="PRC105" s="3"/>
      <c r="PRD105" s="3"/>
      <c r="PRE105" s="3"/>
      <c r="PRF105" s="3"/>
      <c r="PRG105" s="3"/>
      <c r="PRH105" s="3"/>
      <c r="PRI105" s="3"/>
      <c r="PRJ105" s="3"/>
      <c r="PRK105" s="3"/>
      <c r="PRL105" s="3"/>
      <c r="PRM105" s="3"/>
      <c r="PRN105" s="3"/>
      <c r="PRO105" s="3"/>
      <c r="PRP105" s="3"/>
      <c r="PRQ105" s="3"/>
      <c r="PRR105" s="3"/>
      <c r="PRS105" s="3"/>
      <c r="PRT105" s="3"/>
      <c r="PRU105" s="3"/>
      <c r="PRV105" s="3"/>
      <c r="PRW105" s="3"/>
      <c r="PRX105" s="3"/>
      <c r="PRY105" s="3"/>
      <c r="PRZ105" s="3"/>
      <c r="PSA105" s="3"/>
      <c r="PSB105" s="3"/>
      <c r="PSC105" s="3"/>
      <c r="PSD105" s="3"/>
      <c r="PSE105" s="3"/>
      <c r="PSF105" s="3"/>
      <c r="PSG105" s="3"/>
      <c r="PSH105" s="3"/>
      <c r="PSI105" s="3"/>
      <c r="PSJ105" s="3"/>
      <c r="PSK105" s="3"/>
      <c r="PSL105" s="3"/>
      <c r="PSM105" s="3"/>
      <c r="PSN105" s="3"/>
      <c r="PSO105" s="3"/>
      <c r="PSP105" s="3"/>
      <c r="PSQ105" s="3"/>
      <c r="PSR105" s="3"/>
      <c r="PSS105" s="3"/>
      <c r="PST105" s="3"/>
      <c r="PSU105" s="3"/>
      <c r="PSV105" s="3"/>
      <c r="PSW105" s="3"/>
      <c r="PSX105" s="3"/>
      <c r="PSY105" s="3"/>
      <c r="PSZ105" s="3"/>
      <c r="PTA105" s="3"/>
      <c r="PTB105" s="3"/>
      <c r="PTC105" s="3"/>
      <c r="PTD105" s="3"/>
      <c r="PTE105" s="3"/>
      <c r="PTF105" s="3"/>
      <c r="PTG105" s="3"/>
      <c r="PTH105" s="3"/>
      <c r="PTI105" s="3"/>
      <c r="PTJ105" s="3"/>
      <c r="PTK105" s="3"/>
      <c r="PTL105" s="3"/>
      <c r="PTM105" s="3"/>
      <c r="PTN105" s="3"/>
      <c r="PTO105" s="3"/>
      <c r="PTP105" s="3"/>
      <c r="PTQ105" s="3"/>
      <c r="PTR105" s="3"/>
      <c r="PTS105" s="3"/>
      <c r="PTT105" s="3"/>
      <c r="PTU105" s="3"/>
      <c r="PTV105" s="3"/>
      <c r="PTW105" s="3"/>
      <c r="PTX105" s="3"/>
      <c r="PTY105" s="3"/>
      <c r="PTZ105" s="3"/>
      <c r="PUA105" s="3"/>
      <c r="PUB105" s="3"/>
      <c r="PUC105" s="3"/>
      <c r="PUD105" s="3"/>
      <c r="PUE105" s="3"/>
      <c r="PUF105" s="3"/>
      <c r="PUG105" s="3"/>
      <c r="PUH105" s="3"/>
      <c r="PUI105" s="3"/>
      <c r="PUJ105" s="3"/>
      <c r="PUK105" s="3"/>
      <c r="PUL105" s="3"/>
      <c r="PUM105" s="3"/>
      <c r="PUN105" s="3"/>
      <c r="PUO105" s="3"/>
      <c r="PUP105" s="3"/>
      <c r="PUQ105" s="3"/>
      <c r="PUR105" s="3"/>
      <c r="PUS105" s="3"/>
      <c r="PUT105" s="3"/>
      <c r="PUU105" s="3"/>
      <c r="PUV105" s="3"/>
      <c r="PUW105" s="3"/>
      <c r="PUX105" s="3"/>
      <c r="PUY105" s="3"/>
      <c r="PUZ105" s="3"/>
      <c r="PVA105" s="3"/>
      <c r="PVB105" s="3"/>
      <c r="PVC105" s="3"/>
      <c r="PVD105" s="3"/>
      <c r="PVE105" s="3"/>
      <c r="PVF105" s="3"/>
      <c r="PVG105" s="3"/>
      <c r="PVH105" s="3"/>
      <c r="PVI105" s="3"/>
      <c r="PVJ105" s="3"/>
      <c r="PVK105" s="3"/>
      <c r="PVL105" s="3"/>
      <c r="PVM105" s="3"/>
      <c r="PVN105" s="3"/>
      <c r="PVO105" s="3"/>
      <c r="PVP105" s="3"/>
      <c r="PVQ105" s="3"/>
      <c r="PVR105" s="3"/>
      <c r="PVS105" s="3"/>
      <c r="PVT105" s="3"/>
      <c r="PVU105" s="3"/>
      <c r="PVV105" s="3"/>
      <c r="PVW105" s="3"/>
      <c r="PVX105" s="3"/>
      <c r="PVY105" s="3"/>
      <c r="PVZ105" s="3"/>
      <c r="PWA105" s="3"/>
      <c r="PWB105" s="3"/>
      <c r="PWC105" s="3"/>
      <c r="PWD105" s="3"/>
      <c r="PWE105" s="3"/>
      <c r="PWF105" s="3"/>
      <c r="PWG105" s="3"/>
      <c r="PWH105" s="3"/>
      <c r="PWI105" s="3"/>
      <c r="PWJ105" s="3"/>
      <c r="PWK105" s="3"/>
      <c r="PWL105" s="3"/>
      <c r="PWM105" s="3"/>
      <c r="PWN105" s="3"/>
      <c r="PWO105" s="3"/>
      <c r="PWP105" s="3"/>
      <c r="PWQ105" s="3"/>
      <c r="PWR105" s="3"/>
      <c r="PWS105" s="3"/>
      <c r="PWT105" s="3"/>
      <c r="PWU105" s="3"/>
      <c r="PWV105" s="3"/>
      <c r="PWW105" s="3"/>
      <c r="PWX105" s="3"/>
      <c r="PWY105" s="3"/>
      <c r="PWZ105" s="3"/>
      <c r="PXA105" s="3"/>
      <c r="PXB105" s="3"/>
      <c r="PXC105" s="3"/>
      <c r="PXD105" s="3"/>
      <c r="PXE105" s="3"/>
      <c r="PXF105" s="3"/>
      <c r="PXG105" s="3"/>
      <c r="PXH105" s="3"/>
      <c r="PXI105" s="3"/>
      <c r="PXJ105" s="3"/>
      <c r="PXK105" s="3"/>
      <c r="PXL105" s="3"/>
      <c r="PXM105" s="3"/>
      <c r="PXN105" s="3"/>
      <c r="PXO105" s="3"/>
      <c r="PXP105" s="3"/>
      <c r="PXQ105" s="3"/>
      <c r="PXR105" s="3"/>
      <c r="PXS105" s="3"/>
      <c r="PXT105" s="3"/>
      <c r="PXU105" s="3"/>
      <c r="PXV105" s="3"/>
      <c r="PXW105" s="3"/>
      <c r="PXX105" s="3"/>
      <c r="PXY105" s="3"/>
      <c r="PXZ105" s="3"/>
      <c r="PYA105" s="3"/>
      <c r="PYB105" s="3"/>
      <c r="PYC105" s="3"/>
      <c r="PYD105" s="3"/>
      <c r="PYE105" s="3"/>
      <c r="PYF105" s="3"/>
      <c r="PYG105" s="3"/>
      <c r="PYH105" s="3"/>
      <c r="PYI105" s="3"/>
      <c r="PYJ105" s="3"/>
      <c r="PYK105" s="3"/>
      <c r="PYL105" s="3"/>
      <c r="PYM105" s="3"/>
      <c r="PYN105" s="3"/>
      <c r="PYO105" s="3"/>
      <c r="PYP105" s="3"/>
      <c r="PYQ105" s="3"/>
      <c r="PYR105" s="3"/>
      <c r="PYS105" s="3"/>
      <c r="PYT105" s="3"/>
      <c r="PYU105" s="3"/>
      <c r="PYV105" s="3"/>
      <c r="PYW105" s="3"/>
      <c r="PYX105" s="3"/>
      <c r="PYY105" s="3"/>
      <c r="PYZ105" s="3"/>
      <c r="PZA105" s="3"/>
      <c r="PZB105" s="3"/>
      <c r="PZC105" s="3"/>
      <c r="PZD105" s="3"/>
      <c r="PZE105" s="3"/>
      <c r="PZF105" s="3"/>
      <c r="PZG105" s="3"/>
      <c r="PZH105" s="3"/>
      <c r="PZI105" s="3"/>
      <c r="PZJ105" s="3"/>
      <c r="PZK105" s="3"/>
      <c r="PZL105" s="3"/>
      <c r="PZM105" s="3"/>
      <c r="PZN105" s="3"/>
      <c r="PZO105" s="3"/>
      <c r="PZP105" s="3"/>
      <c r="PZQ105" s="3"/>
      <c r="PZR105" s="3"/>
      <c r="PZS105" s="3"/>
      <c r="PZT105" s="3"/>
      <c r="PZU105" s="3"/>
      <c r="PZV105" s="3"/>
      <c r="PZW105" s="3"/>
      <c r="PZX105" s="3"/>
      <c r="PZY105" s="3"/>
      <c r="PZZ105" s="3"/>
      <c r="QAA105" s="3"/>
      <c r="QAB105" s="3"/>
      <c r="QAC105" s="3"/>
      <c r="QAD105" s="3"/>
      <c r="QAE105" s="3"/>
      <c r="QAF105" s="3"/>
      <c r="QAG105" s="3"/>
      <c r="QAH105" s="3"/>
      <c r="QAI105" s="3"/>
      <c r="QAJ105" s="3"/>
      <c r="QAK105" s="3"/>
      <c r="QAL105" s="3"/>
      <c r="QAM105" s="3"/>
      <c r="QAN105" s="3"/>
      <c r="QAO105" s="3"/>
      <c r="QAP105" s="3"/>
      <c r="QAQ105" s="3"/>
      <c r="QAR105" s="3"/>
      <c r="QAS105" s="3"/>
      <c r="QAT105" s="3"/>
      <c r="QAU105" s="3"/>
      <c r="QAV105" s="3"/>
      <c r="QAW105" s="3"/>
      <c r="QAX105" s="3"/>
      <c r="QAY105" s="3"/>
      <c r="QAZ105" s="3"/>
      <c r="QBA105" s="3"/>
      <c r="QBB105" s="3"/>
      <c r="QBC105" s="3"/>
      <c r="QBD105" s="3"/>
      <c r="QBE105" s="3"/>
      <c r="QBF105" s="3"/>
      <c r="QBG105" s="3"/>
      <c r="QBH105" s="3"/>
      <c r="QBI105" s="3"/>
      <c r="QBJ105" s="3"/>
      <c r="QBK105" s="3"/>
      <c r="QBL105" s="3"/>
      <c r="QBM105" s="3"/>
      <c r="QBN105" s="3"/>
      <c r="QBO105" s="3"/>
      <c r="QBP105" s="3"/>
      <c r="QBQ105" s="3"/>
      <c r="QBR105" s="3"/>
      <c r="QBS105" s="3"/>
      <c r="QBT105" s="3"/>
      <c r="QBU105" s="3"/>
      <c r="QBV105" s="3"/>
      <c r="QBW105" s="3"/>
      <c r="QBX105" s="3"/>
      <c r="QBY105" s="3"/>
      <c r="QBZ105" s="3"/>
      <c r="QCA105" s="3"/>
      <c r="QCB105" s="3"/>
      <c r="QCC105" s="3"/>
      <c r="QCD105" s="3"/>
      <c r="QCE105" s="3"/>
      <c r="QCF105" s="3"/>
      <c r="QCG105" s="3"/>
      <c r="QCH105" s="3"/>
      <c r="QCI105" s="3"/>
      <c r="QCJ105" s="3"/>
      <c r="QCK105" s="3"/>
      <c r="QCL105" s="3"/>
      <c r="QCM105" s="3"/>
      <c r="QCN105" s="3"/>
      <c r="QCO105" s="3"/>
      <c r="QCP105" s="3"/>
      <c r="QCQ105" s="3"/>
      <c r="QCR105" s="3"/>
      <c r="QCS105" s="3"/>
      <c r="QCT105" s="3"/>
      <c r="QCU105" s="3"/>
      <c r="QCV105" s="3"/>
      <c r="QCW105" s="3"/>
      <c r="QCX105" s="3"/>
      <c r="QCY105" s="3"/>
      <c r="QCZ105" s="3"/>
      <c r="QDA105" s="3"/>
      <c r="QDB105" s="3"/>
      <c r="QDC105" s="3"/>
      <c r="QDD105" s="3"/>
      <c r="QDE105" s="3"/>
      <c r="QDF105" s="3"/>
      <c r="QDG105" s="3"/>
      <c r="QDH105" s="3"/>
      <c r="QDI105" s="3"/>
      <c r="QDJ105" s="3"/>
      <c r="QDK105" s="3"/>
      <c r="QDL105" s="3"/>
      <c r="QDM105" s="3"/>
      <c r="QDN105" s="3"/>
      <c r="QDO105" s="3"/>
      <c r="QDP105" s="3"/>
      <c r="QDQ105" s="3"/>
      <c r="QDR105" s="3"/>
      <c r="QDS105" s="3"/>
      <c r="QDT105" s="3"/>
      <c r="QDU105" s="3"/>
      <c r="QDV105" s="3"/>
      <c r="QDW105" s="3"/>
      <c r="QDX105" s="3"/>
      <c r="QDY105" s="3"/>
      <c r="QDZ105" s="3"/>
      <c r="QEA105" s="3"/>
      <c r="QEB105" s="3"/>
      <c r="QEC105" s="3"/>
      <c r="QED105" s="3"/>
      <c r="QEE105" s="3"/>
      <c r="QEF105" s="3"/>
      <c r="QEG105" s="3"/>
      <c r="QEH105" s="3"/>
      <c r="QEI105" s="3"/>
      <c r="QEJ105" s="3"/>
      <c r="QEK105" s="3"/>
      <c r="QEL105" s="3"/>
      <c r="QEM105" s="3"/>
      <c r="QEN105" s="3"/>
      <c r="QEO105" s="3"/>
      <c r="QEP105" s="3"/>
      <c r="QEQ105" s="3"/>
      <c r="QER105" s="3"/>
      <c r="QES105" s="3"/>
      <c r="QET105" s="3"/>
      <c r="QEU105" s="3"/>
      <c r="QEV105" s="3"/>
      <c r="QEW105" s="3"/>
      <c r="QEX105" s="3"/>
      <c r="QEY105" s="3"/>
      <c r="QEZ105" s="3"/>
      <c r="QFA105" s="3"/>
      <c r="QFB105" s="3"/>
      <c r="QFC105" s="3"/>
      <c r="QFD105" s="3"/>
      <c r="QFE105" s="3"/>
      <c r="QFF105" s="3"/>
      <c r="QFG105" s="3"/>
      <c r="QFH105" s="3"/>
      <c r="QFI105" s="3"/>
      <c r="QFJ105" s="3"/>
      <c r="QFK105" s="3"/>
      <c r="QFL105" s="3"/>
      <c r="QFM105" s="3"/>
      <c r="QFN105" s="3"/>
      <c r="QFO105" s="3"/>
      <c r="QFP105" s="3"/>
      <c r="QFQ105" s="3"/>
      <c r="QFR105" s="3"/>
      <c r="QFS105" s="3"/>
      <c r="QFT105" s="3"/>
      <c r="QFU105" s="3"/>
      <c r="QFV105" s="3"/>
      <c r="QFW105" s="3"/>
      <c r="QFX105" s="3"/>
      <c r="QFY105" s="3"/>
      <c r="QFZ105" s="3"/>
      <c r="QGA105" s="3"/>
      <c r="QGB105" s="3"/>
      <c r="QGC105" s="3"/>
      <c r="QGD105" s="3"/>
      <c r="QGE105" s="3"/>
      <c r="QGF105" s="3"/>
      <c r="QGG105" s="3"/>
      <c r="QGH105" s="3"/>
      <c r="QGI105" s="3"/>
      <c r="QGJ105" s="3"/>
      <c r="QGK105" s="3"/>
      <c r="QGL105" s="3"/>
      <c r="QGM105" s="3"/>
      <c r="QGN105" s="3"/>
      <c r="QGO105" s="3"/>
      <c r="QGP105" s="3"/>
      <c r="QGQ105" s="3"/>
      <c r="QGR105" s="3"/>
      <c r="QGS105" s="3"/>
      <c r="QGT105" s="3"/>
      <c r="QGU105" s="3"/>
      <c r="QGV105" s="3"/>
      <c r="QGW105" s="3"/>
      <c r="QGX105" s="3"/>
      <c r="QGY105" s="3"/>
      <c r="QGZ105" s="3"/>
      <c r="QHA105" s="3"/>
      <c r="QHB105" s="3"/>
      <c r="QHC105" s="3"/>
      <c r="QHD105" s="3"/>
      <c r="QHE105" s="3"/>
      <c r="QHF105" s="3"/>
      <c r="QHG105" s="3"/>
      <c r="QHH105" s="3"/>
      <c r="QHI105" s="3"/>
      <c r="QHJ105" s="3"/>
      <c r="QHK105" s="3"/>
      <c r="QHL105" s="3"/>
      <c r="QHM105" s="3"/>
      <c r="QHN105" s="3"/>
      <c r="QHO105" s="3"/>
      <c r="QHP105" s="3"/>
      <c r="QHQ105" s="3"/>
      <c r="QHR105" s="3"/>
      <c r="QHS105" s="3"/>
      <c r="QHT105" s="3"/>
      <c r="QHU105" s="3"/>
      <c r="QHV105" s="3"/>
      <c r="QHW105" s="3"/>
      <c r="QHX105" s="3"/>
      <c r="QHY105" s="3"/>
      <c r="QHZ105" s="3"/>
      <c r="QIA105" s="3"/>
      <c r="QIB105" s="3"/>
      <c r="QIC105" s="3"/>
      <c r="QID105" s="3"/>
      <c r="QIE105" s="3"/>
      <c r="QIF105" s="3"/>
      <c r="QIG105" s="3"/>
      <c r="QIH105" s="3"/>
      <c r="QII105" s="3"/>
      <c r="QIJ105" s="3"/>
      <c r="QIK105" s="3"/>
      <c r="QIL105" s="3"/>
      <c r="QIM105" s="3"/>
      <c r="QIN105" s="3"/>
      <c r="QIO105" s="3"/>
      <c r="QIP105" s="3"/>
      <c r="QIQ105" s="3"/>
      <c r="QIR105" s="3"/>
      <c r="QIS105" s="3"/>
      <c r="QIT105" s="3"/>
      <c r="QIU105" s="3"/>
      <c r="QIV105" s="3"/>
      <c r="QIW105" s="3"/>
      <c r="QIX105" s="3"/>
      <c r="QIY105" s="3"/>
      <c r="QIZ105" s="3"/>
      <c r="QJA105" s="3"/>
      <c r="QJB105" s="3"/>
      <c r="QJC105" s="3"/>
      <c r="QJD105" s="3"/>
      <c r="QJE105" s="3"/>
      <c r="QJF105" s="3"/>
      <c r="QJG105" s="3"/>
      <c r="QJH105" s="3"/>
      <c r="QJI105" s="3"/>
      <c r="QJJ105" s="3"/>
      <c r="QJK105" s="3"/>
      <c r="QJL105" s="3"/>
      <c r="QJM105" s="3"/>
      <c r="QJN105" s="3"/>
      <c r="QJO105" s="3"/>
      <c r="QJP105" s="3"/>
      <c r="QJQ105" s="3"/>
      <c r="QJR105" s="3"/>
      <c r="QJS105" s="3"/>
      <c r="QJT105" s="3"/>
      <c r="QJU105" s="3"/>
      <c r="QJV105" s="3"/>
      <c r="QJW105" s="3"/>
      <c r="QJX105" s="3"/>
      <c r="QJY105" s="3"/>
      <c r="QJZ105" s="3"/>
      <c r="QKA105" s="3"/>
      <c r="QKB105" s="3"/>
      <c r="QKC105" s="3"/>
      <c r="QKD105" s="3"/>
      <c r="QKE105" s="3"/>
      <c r="QKF105" s="3"/>
      <c r="QKG105" s="3"/>
      <c r="QKH105" s="3"/>
      <c r="QKI105" s="3"/>
      <c r="QKJ105" s="3"/>
      <c r="QKK105" s="3"/>
      <c r="QKL105" s="3"/>
      <c r="QKM105" s="3"/>
      <c r="QKN105" s="3"/>
      <c r="QKO105" s="3"/>
      <c r="QKP105" s="3"/>
      <c r="QKQ105" s="3"/>
      <c r="QKR105" s="3"/>
      <c r="QKS105" s="3"/>
      <c r="QKT105" s="3"/>
      <c r="QKU105" s="3"/>
      <c r="QKV105" s="3"/>
      <c r="QKW105" s="3"/>
      <c r="QKX105" s="3"/>
      <c r="QKY105" s="3"/>
      <c r="QKZ105" s="3"/>
      <c r="QLA105" s="3"/>
      <c r="QLB105" s="3"/>
      <c r="QLC105" s="3"/>
      <c r="QLD105" s="3"/>
      <c r="QLE105" s="3"/>
      <c r="QLF105" s="3"/>
      <c r="QLG105" s="3"/>
      <c r="QLH105" s="3"/>
      <c r="QLI105" s="3"/>
      <c r="QLJ105" s="3"/>
      <c r="QLK105" s="3"/>
      <c r="QLL105" s="3"/>
      <c r="QLM105" s="3"/>
      <c r="QLN105" s="3"/>
      <c r="QLO105" s="3"/>
      <c r="QLP105" s="3"/>
      <c r="QLQ105" s="3"/>
      <c r="QLR105" s="3"/>
      <c r="QLS105" s="3"/>
      <c r="QLT105" s="3"/>
      <c r="QLU105" s="3"/>
      <c r="QLV105" s="3"/>
      <c r="QLW105" s="3"/>
      <c r="QLX105" s="3"/>
      <c r="QLY105" s="3"/>
      <c r="QLZ105" s="3"/>
      <c r="QMA105" s="3"/>
      <c r="QMB105" s="3"/>
      <c r="QMC105" s="3"/>
      <c r="QMD105" s="3"/>
      <c r="QME105" s="3"/>
      <c r="QMF105" s="3"/>
      <c r="QMG105" s="3"/>
      <c r="QMH105" s="3"/>
      <c r="QMI105" s="3"/>
      <c r="QMJ105" s="3"/>
      <c r="QMK105" s="3"/>
      <c r="QML105" s="3"/>
      <c r="QMM105" s="3"/>
      <c r="QMN105" s="3"/>
      <c r="QMO105" s="3"/>
      <c r="QMP105" s="3"/>
      <c r="QMQ105" s="3"/>
      <c r="QMR105" s="3"/>
      <c r="QMS105" s="3"/>
      <c r="QMT105" s="3"/>
      <c r="QMU105" s="3"/>
      <c r="QMV105" s="3"/>
      <c r="QMW105" s="3"/>
      <c r="QMX105" s="3"/>
      <c r="QMY105" s="3"/>
      <c r="QMZ105" s="3"/>
      <c r="QNA105" s="3"/>
      <c r="QNB105" s="3"/>
      <c r="QNC105" s="3"/>
      <c r="QND105" s="3"/>
      <c r="QNE105" s="3"/>
      <c r="QNF105" s="3"/>
      <c r="QNG105" s="3"/>
      <c r="QNH105" s="3"/>
      <c r="QNI105" s="3"/>
      <c r="QNJ105" s="3"/>
      <c r="QNK105" s="3"/>
      <c r="QNL105" s="3"/>
      <c r="QNM105" s="3"/>
      <c r="QNN105" s="3"/>
      <c r="QNO105" s="3"/>
      <c r="QNP105" s="3"/>
      <c r="QNQ105" s="3"/>
      <c r="QNR105" s="3"/>
      <c r="QNS105" s="3"/>
      <c r="QNT105" s="3"/>
      <c r="QNU105" s="3"/>
      <c r="QNV105" s="3"/>
      <c r="QNW105" s="3"/>
      <c r="QNX105" s="3"/>
      <c r="QNY105" s="3"/>
      <c r="QNZ105" s="3"/>
      <c r="QOA105" s="3"/>
      <c r="QOB105" s="3"/>
      <c r="QOC105" s="3"/>
      <c r="QOD105" s="3"/>
      <c r="QOE105" s="3"/>
      <c r="QOF105" s="3"/>
      <c r="QOG105" s="3"/>
      <c r="QOH105" s="3"/>
      <c r="QOI105" s="3"/>
      <c r="QOJ105" s="3"/>
      <c r="QOK105" s="3"/>
      <c r="QOL105" s="3"/>
      <c r="QOM105" s="3"/>
      <c r="QON105" s="3"/>
      <c r="QOO105" s="3"/>
      <c r="QOP105" s="3"/>
      <c r="QOQ105" s="3"/>
      <c r="QOR105" s="3"/>
      <c r="QOS105" s="3"/>
      <c r="QOT105" s="3"/>
      <c r="QOU105" s="3"/>
      <c r="QOV105" s="3"/>
      <c r="QOW105" s="3"/>
      <c r="QOX105" s="3"/>
      <c r="QOY105" s="3"/>
      <c r="QOZ105" s="3"/>
      <c r="QPA105" s="3"/>
      <c r="QPB105" s="3"/>
      <c r="QPC105" s="3"/>
      <c r="QPD105" s="3"/>
      <c r="QPE105" s="3"/>
      <c r="QPF105" s="3"/>
      <c r="QPG105" s="3"/>
      <c r="QPH105" s="3"/>
      <c r="QPI105" s="3"/>
      <c r="QPJ105" s="3"/>
      <c r="QPK105" s="3"/>
      <c r="QPL105" s="3"/>
      <c r="QPM105" s="3"/>
      <c r="QPN105" s="3"/>
      <c r="QPO105" s="3"/>
      <c r="QPP105" s="3"/>
      <c r="QPQ105" s="3"/>
      <c r="QPR105" s="3"/>
      <c r="QPS105" s="3"/>
      <c r="QPT105" s="3"/>
      <c r="QPU105" s="3"/>
      <c r="QPV105" s="3"/>
      <c r="QPW105" s="3"/>
      <c r="QPX105" s="3"/>
      <c r="QPY105" s="3"/>
      <c r="QPZ105" s="3"/>
      <c r="QQA105" s="3"/>
      <c r="QQB105" s="3"/>
      <c r="QQC105" s="3"/>
      <c r="QQD105" s="3"/>
      <c r="QQE105" s="3"/>
      <c r="QQF105" s="3"/>
      <c r="QQG105" s="3"/>
      <c r="QQH105" s="3"/>
      <c r="QQI105" s="3"/>
      <c r="QQJ105" s="3"/>
      <c r="QQK105" s="3"/>
      <c r="QQL105" s="3"/>
      <c r="QQM105" s="3"/>
      <c r="QQN105" s="3"/>
      <c r="QQO105" s="3"/>
      <c r="QQP105" s="3"/>
      <c r="QQQ105" s="3"/>
      <c r="QQR105" s="3"/>
      <c r="QQS105" s="3"/>
      <c r="QQT105" s="3"/>
      <c r="QQU105" s="3"/>
      <c r="QQV105" s="3"/>
      <c r="QQW105" s="3"/>
      <c r="QQX105" s="3"/>
      <c r="QQY105" s="3"/>
      <c r="QQZ105" s="3"/>
      <c r="QRA105" s="3"/>
      <c r="QRB105" s="3"/>
      <c r="QRC105" s="3"/>
      <c r="QRD105" s="3"/>
      <c r="QRE105" s="3"/>
      <c r="QRF105" s="3"/>
      <c r="QRG105" s="3"/>
      <c r="QRH105" s="3"/>
      <c r="QRI105" s="3"/>
      <c r="QRJ105" s="3"/>
      <c r="QRK105" s="3"/>
      <c r="QRL105" s="3"/>
      <c r="QRM105" s="3"/>
      <c r="QRN105" s="3"/>
      <c r="QRO105" s="3"/>
      <c r="QRP105" s="3"/>
      <c r="QRQ105" s="3"/>
      <c r="QRR105" s="3"/>
      <c r="QRS105" s="3"/>
      <c r="QRT105" s="3"/>
      <c r="QRU105" s="3"/>
      <c r="QRV105" s="3"/>
      <c r="QRW105" s="3"/>
      <c r="QRX105" s="3"/>
      <c r="QRY105" s="3"/>
      <c r="QRZ105" s="3"/>
      <c r="QSA105" s="3"/>
      <c r="QSB105" s="3"/>
      <c r="QSC105" s="3"/>
      <c r="QSD105" s="3"/>
      <c r="QSE105" s="3"/>
      <c r="QSF105" s="3"/>
      <c r="QSG105" s="3"/>
      <c r="QSH105" s="3"/>
      <c r="QSI105" s="3"/>
      <c r="QSJ105" s="3"/>
      <c r="QSK105" s="3"/>
      <c r="QSL105" s="3"/>
      <c r="QSM105" s="3"/>
      <c r="QSN105" s="3"/>
      <c r="QSO105" s="3"/>
      <c r="QSP105" s="3"/>
      <c r="QSQ105" s="3"/>
      <c r="QSR105" s="3"/>
      <c r="QSS105" s="3"/>
      <c r="QST105" s="3"/>
      <c r="QSU105" s="3"/>
      <c r="QSV105" s="3"/>
      <c r="QSW105" s="3"/>
      <c r="QSX105" s="3"/>
      <c r="QSY105" s="3"/>
      <c r="QSZ105" s="3"/>
      <c r="QTA105" s="3"/>
      <c r="QTB105" s="3"/>
      <c r="QTC105" s="3"/>
      <c r="QTD105" s="3"/>
      <c r="QTE105" s="3"/>
      <c r="QTF105" s="3"/>
      <c r="QTG105" s="3"/>
      <c r="QTH105" s="3"/>
      <c r="QTI105" s="3"/>
      <c r="QTJ105" s="3"/>
      <c r="QTK105" s="3"/>
      <c r="QTL105" s="3"/>
      <c r="QTM105" s="3"/>
      <c r="QTN105" s="3"/>
      <c r="QTO105" s="3"/>
      <c r="QTP105" s="3"/>
      <c r="QTQ105" s="3"/>
      <c r="QTR105" s="3"/>
      <c r="QTS105" s="3"/>
      <c r="QTT105" s="3"/>
      <c r="QTU105" s="3"/>
      <c r="QTV105" s="3"/>
      <c r="QTW105" s="3"/>
      <c r="QTX105" s="3"/>
      <c r="QTY105" s="3"/>
      <c r="QTZ105" s="3"/>
      <c r="QUA105" s="3"/>
      <c r="QUB105" s="3"/>
      <c r="QUC105" s="3"/>
      <c r="QUD105" s="3"/>
      <c r="QUE105" s="3"/>
      <c r="QUF105" s="3"/>
      <c r="QUG105" s="3"/>
      <c r="QUH105" s="3"/>
      <c r="QUI105" s="3"/>
      <c r="QUJ105" s="3"/>
      <c r="QUK105" s="3"/>
      <c r="QUL105" s="3"/>
      <c r="QUM105" s="3"/>
      <c r="QUN105" s="3"/>
      <c r="QUO105" s="3"/>
      <c r="QUP105" s="3"/>
      <c r="QUQ105" s="3"/>
      <c r="QUR105" s="3"/>
      <c r="QUS105" s="3"/>
      <c r="QUT105" s="3"/>
      <c r="QUU105" s="3"/>
      <c r="QUV105" s="3"/>
      <c r="QUW105" s="3"/>
      <c r="QUX105" s="3"/>
      <c r="QUY105" s="3"/>
      <c r="QUZ105" s="3"/>
      <c r="QVA105" s="3"/>
      <c r="QVB105" s="3"/>
      <c r="QVC105" s="3"/>
      <c r="QVD105" s="3"/>
      <c r="QVE105" s="3"/>
      <c r="QVF105" s="3"/>
      <c r="QVG105" s="3"/>
      <c r="QVH105" s="3"/>
      <c r="QVI105" s="3"/>
      <c r="QVJ105" s="3"/>
      <c r="QVK105" s="3"/>
      <c r="QVL105" s="3"/>
      <c r="QVM105" s="3"/>
      <c r="QVN105" s="3"/>
      <c r="QVO105" s="3"/>
      <c r="QVP105" s="3"/>
      <c r="QVQ105" s="3"/>
      <c r="QVR105" s="3"/>
      <c r="QVS105" s="3"/>
      <c r="QVT105" s="3"/>
      <c r="QVU105" s="3"/>
      <c r="QVV105" s="3"/>
      <c r="QVW105" s="3"/>
      <c r="QVX105" s="3"/>
      <c r="QVY105" s="3"/>
      <c r="QVZ105" s="3"/>
      <c r="QWA105" s="3"/>
      <c r="QWB105" s="3"/>
      <c r="QWC105" s="3"/>
      <c r="QWD105" s="3"/>
      <c r="QWE105" s="3"/>
      <c r="QWF105" s="3"/>
      <c r="QWG105" s="3"/>
      <c r="QWH105" s="3"/>
      <c r="QWI105" s="3"/>
      <c r="QWJ105" s="3"/>
      <c r="QWK105" s="3"/>
      <c r="QWL105" s="3"/>
      <c r="QWM105" s="3"/>
      <c r="QWN105" s="3"/>
      <c r="QWO105" s="3"/>
      <c r="QWP105" s="3"/>
      <c r="QWQ105" s="3"/>
      <c r="QWR105" s="3"/>
      <c r="QWS105" s="3"/>
      <c r="QWT105" s="3"/>
      <c r="QWU105" s="3"/>
      <c r="QWV105" s="3"/>
      <c r="QWW105" s="3"/>
      <c r="QWX105" s="3"/>
      <c r="QWY105" s="3"/>
      <c r="QWZ105" s="3"/>
      <c r="QXA105" s="3"/>
      <c r="QXB105" s="3"/>
      <c r="QXC105" s="3"/>
      <c r="QXD105" s="3"/>
      <c r="QXE105" s="3"/>
      <c r="QXF105" s="3"/>
      <c r="QXG105" s="3"/>
      <c r="QXH105" s="3"/>
      <c r="QXI105" s="3"/>
      <c r="QXJ105" s="3"/>
      <c r="QXK105" s="3"/>
      <c r="QXL105" s="3"/>
      <c r="QXM105" s="3"/>
      <c r="QXN105" s="3"/>
      <c r="QXO105" s="3"/>
      <c r="QXP105" s="3"/>
      <c r="QXQ105" s="3"/>
      <c r="QXR105" s="3"/>
      <c r="QXS105" s="3"/>
      <c r="QXT105" s="3"/>
      <c r="QXU105" s="3"/>
      <c r="QXV105" s="3"/>
      <c r="QXW105" s="3"/>
      <c r="QXX105" s="3"/>
      <c r="QXY105" s="3"/>
      <c r="QXZ105" s="3"/>
      <c r="QYA105" s="3"/>
      <c r="QYB105" s="3"/>
      <c r="QYC105" s="3"/>
      <c r="QYD105" s="3"/>
      <c r="QYE105" s="3"/>
      <c r="QYF105" s="3"/>
      <c r="QYG105" s="3"/>
      <c r="QYH105" s="3"/>
      <c r="QYI105" s="3"/>
      <c r="QYJ105" s="3"/>
      <c r="QYK105" s="3"/>
      <c r="QYL105" s="3"/>
      <c r="QYM105" s="3"/>
      <c r="QYN105" s="3"/>
      <c r="QYO105" s="3"/>
      <c r="QYP105" s="3"/>
      <c r="QYQ105" s="3"/>
      <c r="QYR105" s="3"/>
      <c r="QYS105" s="3"/>
      <c r="QYT105" s="3"/>
      <c r="QYU105" s="3"/>
      <c r="QYV105" s="3"/>
      <c r="QYW105" s="3"/>
      <c r="QYX105" s="3"/>
      <c r="QYY105" s="3"/>
      <c r="QYZ105" s="3"/>
      <c r="QZA105" s="3"/>
      <c r="QZB105" s="3"/>
      <c r="QZC105" s="3"/>
      <c r="QZD105" s="3"/>
      <c r="QZE105" s="3"/>
      <c r="QZF105" s="3"/>
      <c r="QZG105" s="3"/>
      <c r="QZH105" s="3"/>
      <c r="QZI105" s="3"/>
      <c r="QZJ105" s="3"/>
      <c r="QZK105" s="3"/>
      <c r="QZL105" s="3"/>
      <c r="QZM105" s="3"/>
      <c r="QZN105" s="3"/>
      <c r="QZO105" s="3"/>
      <c r="QZP105" s="3"/>
      <c r="QZQ105" s="3"/>
      <c r="QZR105" s="3"/>
      <c r="QZS105" s="3"/>
      <c r="QZT105" s="3"/>
      <c r="QZU105" s="3"/>
      <c r="QZV105" s="3"/>
      <c r="QZW105" s="3"/>
      <c r="QZX105" s="3"/>
      <c r="QZY105" s="3"/>
      <c r="QZZ105" s="3"/>
      <c r="RAA105" s="3"/>
      <c r="RAB105" s="3"/>
      <c r="RAC105" s="3"/>
      <c r="RAD105" s="3"/>
      <c r="RAE105" s="3"/>
      <c r="RAF105" s="3"/>
      <c r="RAG105" s="3"/>
      <c r="RAH105" s="3"/>
      <c r="RAI105" s="3"/>
      <c r="RAJ105" s="3"/>
      <c r="RAK105" s="3"/>
      <c r="RAL105" s="3"/>
      <c r="RAM105" s="3"/>
      <c r="RAN105" s="3"/>
      <c r="RAO105" s="3"/>
      <c r="RAP105" s="3"/>
      <c r="RAQ105" s="3"/>
      <c r="RAR105" s="3"/>
      <c r="RAS105" s="3"/>
      <c r="RAT105" s="3"/>
      <c r="RAU105" s="3"/>
      <c r="RAV105" s="3"/>
      <c r="RAW105" s="3"/>
      <c r="RAX105" s="3"/>
      <c r="RAY105" s="3"/>
      <c r="RAZ105" s="3"/>
      <c r="RBA105" s="3"/>
      <c r="RBB105" s="3"/>
      <c r="RBC105" s="3"/>
      <c r="RBD105" s="3"/>
      <c r="RBE105" s="3"/>
      <c r="RBF105" s="3"/>
      <c r="RBG105" s="3"/>
      <c r="RBH105" s="3"/>
      <c r="RBI105" s="3"/>
      <c r="RBJ105" s="3"/>
      <c r="RBK105" s="3"/>
      <c r="RBL105" s="3"/>
      <c r="RBM105" s="3"/>
      <c r="RBN105" s="3"/>
      <c r="RBO105" s="3"/>
      <c r="RBP105" s="3"/>
      <c r="RBQ105" s="3"/>
      <c r="RBR105" s="3"/>
      <c r="RBS105" s="3"/>
      <c r="RBT105" s="3"/>
      <c r="RBU105" s="3"/>
      <c r="RBV105" s="3"/>
      <c r="RBW105" s="3"/>
      <c r="RBX105" s="3"/>
      <c r="RBY105" s="3"/>
      <c r="RBZ105" s="3"/>
      <c r="RCA105" s="3"/>
      <c r="RCB105" s="3"/>
      <c r="RCC105" s="3"/>
      <c r="RCD105" s="3"/>
      <c r="RCE105" s="3"/>
      <c r="RCF105" s="3"/>
      <c r="RCG105" s="3"/>
      <c r="RCH105" s="3"/>
      <c r="RCI105" s="3"/>
      <c r="RCJ105" s="3"/>
      <c r="RCK105" s="3"/>
      <c r="RCL105" s="3"/>
      <c r="RCM105" s="3"/>
      <c r="RCN105" s="3"/>
      <c r="RCO105" s="3"/>
      <c r="RCP105" s="3"/>
      <c r="RCQ105" s="3"/>
      <c r="RCR105" s="3"/>
      <c r="RCS105" s="3"/>
      <c r="RCT105" s="3"/>
      <c r="RCU105" s="3"/>
      <c r="RCV105" s="3"/>
      <c r="RCW105" s="3"/>
      <c r="RCX105" s="3"/>
      <c r="RCY105" s="3"/>
      <c r="RCZ105" s="3"/>
      <c r="RDA105" s="3"/>
      <c r="RDB105" s="3"/>
      <c r="RDC105" s="3"/>
      <c r="RDD105" s="3"/>
      <c r="RDE105" s="3"/>
      <c r="RDF105" s="3"/>
      <c r="RDG105" s="3"/>
      <c r="RDH105" s="3"/>
      <c r="RDI105" s="3"/>
      <c r="RDJ105" s="3"/>
      <c r="RDK105" s="3"/>
      <c r="RDL105" s="3"/>
      <c r="RDM105" s="3"/>
      <c r="RDN105" s="3"/>
      <c r="RDO105" s="3"/>
      <c r="RDP105" s="3"/>
      <c r="RDQ105" s="3"/>
      <c r="RDR105" s="3"/>
      <c r="RDS105" s="3"/>
      <c r="RDT105" s="3"/>
      <c r="RDU105" s="3"/>
      <c r="RDV105" s="3"/>
      <c r="RDW105" s="3"/>
      <c r="RDX105" s="3"/>
      <c r="RDY105" s="3"/>
      <c r="RDZ105" s="3"/>
      <c r="REA105" s="3"/>
      <c r="REB105" s="3"/>
      <c r="REC105" s="3"/>
      <c r="RED105" s="3"/>
      <c r="REE105" s="3"/>
      <c r="REF105" s="3"/>
      <c r="REG105" s="3"/>
      <c r="REH105" s="3"/>
      <c r="REI105" s="3"/>
      <c r="REJ105" s="3"/>
      <c r="REK105" s="3"/>
      <c r="REL105" s="3"/>
      <c r="REM105" s="3"/>
      <c r="REN105" s="3"/>
      <c r="REO105" s="3"/>
      <c r="REP105" s="3"/>
      <c r="REQ105" s="3"/>
      <c r="RER105" s="3"/>
      <c r="RES105" s="3"/>
      <c r="RET105" s="3"/>
      <c r="REU105" s="3"/>
      <c r="REV105" s="3"/>
      <c r="REW105" s="3"/>
      <c r="REX105" s="3"/>
      <c r="REY105" s="3"/>
      <c r="REZ105" s="3"/>
      <c r="RFA105" s="3"/>
      <c r="RFB105" s="3"/>
      <c r="RFC105" s="3"/>
      <c r="RFD105" s="3"/>
      <c r="RFE105" s="3"/>
      <c r="RFF105" s="3"/>
      <c r="RFG105" s="3"/>
      <c r="RFH105" s="3"/>
      <c r="RFI105" s="3"/>
      <c r="RFJ105" s="3"/>
      <c r="RFK105" s="3"/>
      <c r="RFL105" s="3"/>
      <c r="RFM105" s="3"/>
      <c r="RFN105" s="3"/>
      <c r="RFO105" s="3"/>
      <c r="RFP105" s="3"/>
      <c r="RFQ105" s="3"/>
      <c r="RFR105" s="3"/>
      <c r="RFS105" s="3"/>
      <c r="RFT105" s="3"/>
      <c r="RFU105" s="3"/>
      <c r="RFV105" s="3"/>
      <c r="RFW105" s="3"/>
      <c r="RFX105" s="3"/>
      <c r="RFY105" s="3"/>
      <c r="RFZ105" s="3"/>
      <c r="RGA105" s="3"/>
      <c r="RGB105" s="3"/>
      <c r="RGC105" s="3"/>
      <c r="RGD105" s="3"/>
      <c r="RGE105" s="3"/>
      <c r="RGF105" s="3"/>
      <c r="RGG105" s="3"/>
      <c r="RGH105" s="3"/>
      <c r="RGI105" s="3"/>
      <c r="RGJ105" s="3"/>
      <c r="RGK105" s="3"/>
      <c r="RGL105" s="3"/>
      <c r="RGM105" s="3"/>
      <c r="RGN105" s="3"/>
      <c r="RGO105" s="3"/>
      <c r="RGP105" s="3"/>
      <c r="RGQ105" s="3"/>
      <c r="RGR105" s="3"/>
      <c r="RGS105" s="3"/>
      <c r="RGT105" s="3"/>
      <c r="RGU105" s="3"/>
      <c r="RGV105" s="3"/>
      <c r="RGW105" s="3"/>
      <c r="RGX105" s="3"/>
      <c r="RGY105" s="3"/>
      <c r="RGZ105" s="3"/>
      <c r="RHA105" s="3"/>
      <c r="RHB105" s="3"/>
      <c r="RHC105" s="3"/>
      <c r="RHD105" s="3"/>
      <c r="RHE105" s="3"/>
      <c r="RHF105" s="3"/>
      <c r="RHG105" s="3"/>
      <c r="RHH105" s="3"/>
      <c r="RHI105" s="3"/>
      <c r="RHJ105" s="3"/>
      <c r="RHK105" s="3"/>
      <c r="RHL105" s="3"/>
      <c r="RHM105" s="3"/>
      <c r="RHN105" s="3"/>
      <c r="RHO105" s="3"/>
      <c r="RHP105" s="3"/>
      <c r="RHQ105" s="3"/>
      <c r="RHR105" s="3"/>
      <c r="RHS105" s="3"/>
      <c r="RHT105" s="3"/>
      <c r="RHU105" s="3"/>
      <c r="RHV105" s="3"/>
      <c r="RHW105" s="3"/>
      <c r="RHX105" s="3"/>
      <c r="RHY105" s="3"/>
      <c r="RHZ105" s="3"/>
      <c r="RIA105" s="3"/>
      <c r="RIB105" s="3"/>
      <c r="RIC105" s="3"/>
      <c r="RID105" s="3"/>
      <c r="RIE105" s="3"/>
      <c r="RIF105" s="3"/>
      <c r="RIG105" s="3"/>
      <c r="RIH105" s="3"/>
      <c r="RII105" s="3"/>
      <c r="RIJ105" s="3"/>
      <c r="RIK105" s="3"/>
      <c r="RIL105" s="3"/>
      <c r="RIM105" s="3"/>
      <c r="RIN105" s="3"/>
      <c r="RIO105" s="3"/>
      <c r="RIP105" s="3"/>
      <c r="RIQ105" s="3"/>
      <c r="RIR105" s="3"/>
      <c r="RIS105" s="3"/>
      <c r="RIT105" s="3"/>
      <c r="RIU105" s="3"/>
      <c r="RIV105" s="3"/>
      <c r="RIW105" s="3"/>
      <c r="RIX105" s="3"/>
      <c r="RIY105" s="3"/>
      <c r="RIZ105" s="3"/>
      <c r="RJA105" s="3"/>
      <c r="RJB105" s="3"/>
      <c r="RJC105" s="3"/>
      <c r="RJD105" s="3"/>
      <c r="RJE105" s="3"/>
      <c r="RJF105" s="3"/>
      <c r="RJG105" s="3"/>
      <c r="RJH105" s="3"/>
      <c r="RJI105" s="3"/>
      <c r="RJJ105" s="3"/>
      <c r="RJK105" s="3"/>
      <c r="RJL105" s="3"/>
      <c r="RJM105" s="3"/>
      <c r="RJN105" s="3"/>
      <c r="RJO105" s="3"/>
      <c r="RJP105" s="3"/>
      <c r="RJQ105" s="3"/>
      <c r="RJR105" s="3"/>
      <c r="RJS105" s="3"/>
      <c r="RJT105" s="3"/>
      <c r="RJU105" s="3"/>
      <c r="RJV105" s="3"/>
      <c r="RJW105" s="3"/>
      <c r="RJX105" s="3"/>
      <c r="RJY105" s="3"/>
      <c r="RJZ105" s="3"/>
      <c r="RKA105" s="3"/>
      <c r="RKB105" s="3"/>
      <c r="RKC105" s="3"/>
      <c r="RKD105" s="3"/>
      <c r="RKE105" s="3"/>
      <c r="RKF105" s="3"/>
      <c r="RKG105" s="3"/>
      <c r="RKH105" s="3"/>
      <c r="RKI105" s="3"/>
      <c r="RKJ105" s="3"/>
      <c r="RKK105" s="3"/>
      <c r="RKL105" s="3"/>
      <c r="RKM105" s="3"/>
      <c r="RKN105" s="3"/>
      <c r="RKO105" s="3"/>
      <c r="RKP105" s="3"/>
      <c r="RKQ105" s="3"/>
      <c r="RKR105" s="3"/>
      <c r="RKS105" s="3"/>
      <c r="RKT105" s="3"/>
      <c r="RKU105" s="3"/>
      <c r="RKV105" s="3"/>
      <c r="RKW105" s="3"/>
      <c r="RKX105" s="3"/>
      <c r="RKY105" s="3"/>
      <c r="RKZ105" s="3"/>
      <c r="RLA105" s="3"/>
      <c r="RLB105" s="3"/>
      <c r="RLC105" s="3"/>
      <c r="RLD105" s="3"/>
      <c r="RLE105" s="3"/>
      <c r="RLF105" s="3"/>
      <c r="RLG105" s="3"/>
      <c r="RLH105" s="3"/>
      <c r="RLI105" s="3"/>
      <c r="RLJ105" s="3"/>
      <c r="RLK105" s="3"/>
      <c r="RLL105" s="3"/>
      <c r="RLM105" s="3"/>
      <c r="RLN105" s="3"/>
      <c r="RLO105" s="3"/>
      <c r="RLP105" s="3"/>
      <c r="RLQ105" s="3"/>
      <c r="RLR105" s="3"/>
      <c r="RLS105" s="3"/>
      <c r="RLT105" s="3"/>
      <c r="RLU105" s="3"/>
      <c r="RLV105" s="3"/>
      <c r="RLW105" s="3"/>
      <c r="RLX105" s="3"/>
      <c r="RLY105" s="3"/>
      <c r="RLZ105" s="3"/>
      <c r="RMA105" s="3"/>
      <c r="RMB105" s="3"/>
      <c r="RMC105" s="3"/>
      <c r="RMD105" s="3"/>
      <c r="RME105" s="3"/>
      <c r="RMF105" s="3"/>
      <c r="RMG105" s="3"/>
      <c r="RMH105" s="3"/>
      <c r="RMI105" s="3"/>
      <c r="RMJ105" s="3"/>
      <c r="RMK105" s="3"/>
      <c r="RML105" s="3"/>
      <c r="RMM105" s="3"/>
      <c r="RMN105" s="3"/>
      <c r="RMO105" s="3"/>
      <c r="RMP105" s="3"/>
      <c r="RMQ105" s="3"/>
      <c r="RMR105" s="3"/>
      <c r="RMS105" s="3"/>
      <c r="RMT105" s="3"/>
      <c r="RMU105" s="3"/>
      <c r="RMV105" s="3"/>
      <c r="RMW105" s="3"/>
      <c r="RMX105" s="3"/>
      <c r="RMY105" s="3"/>
      <c r="RMZ105" s="3"/>
      <c r="RNA105" s="3"/>
      <c r="RNB105" s="3"/>
      <c r="RNC105" s="3"/>
      <c r="RND105" s="3"/>
      <c r="RNE105" s="3"/>
      <c r="RNF105" s="3"/>
      <c r="RNG105" s="3"/>
      <c r="RNH105" s="3"/>
      <c r="RNI105" s="3"/>
      <c r="RNJ105" s="3"/>
      <c r="RNK105" s="3"/>
      <c r="RNL105" s="3"/>
      <c r="RNM105" s="3"/>
      <c r="RNN105" s="3"/>
      <c r="RNO105" s="3"/>
      <c r="RNP105" s="3"/>
      <c r="RNQ105" s="3"/>
      <c r="RNR105" s="3"/>
      <c r="RNS105" s="3"/>
      <c r="RNT105" s="3"/>
      <c r="RNU105" s="3"/>
      <c r="RNV105" s="3"/>
      <c r="RNW105" s="3"/>
      <c r="RNX105" s="3"/>
      <c r="RNY105" s="3"/>
      <c r="RNZ105" s="3"/>
      <c r="ROA105" s="3"/>
      <c r="ROB105" s="3"/>
      <c r="ROC105" s="3"/>
      <c r="ROD105" s="3"/>
      <c r="ROE105" s="3"/>
      <c r="ROF105" s="3"/>
      <c r="ROG105" s="3"/>
      <c r="ROH105" s="3"/>
      <c r="ROI105" s="3"/>
      <c r="ROJ105" s="3"/>
      <c r="ROK105" s="3"/>
      <c r="ROL105" s="3"/>
      <c r="ROM105" s="3"/>
      <c r="RON105" s="3"/>
      <c r="ROO105" s="3"/>
      <c r="ROP105" s="3"/>
      <c r="ROQ105" s="3"/>
      <c r="ROR105" s="3"/>
      <c r="ROS105" s="3"/>
      <c r="ROT105" s="3"/>
      <c r="ROU105" s="3"/>
      <c r="ROV105" s="3"/>
      <c r="ROW105" s="3"/>
      <c r="ROX105" s="3"/>
      <c r="ROY105" s="3"/>
      <c r="ROZ105" s="3"/>
      <c r="RPA105" s="3"/>
      <c r="RPB105" s="3"/>
      <c r="RPC105" s="3"/>
      <c r="RPD105" s="3"/>
      <c r="RPE105" s="3"/>
      <c r="RPF105" s="3"/>
      <c r="RPG105" s="3"/>
      <c r="RPH105" s="3"/>
      <c r="RPI105" s="3"/>
      <c r="RPJ105" s="3"/>
      <c r="RPK105" s="3"/>
      <c r="RPL105" s="3"/>
      <c r="RPM105" s="3"/>
      <c r="RPN105" s="3"/>
      <c r="RPO105" s="3"/>
      <c r="RPP105" s="3"/>
      <c r="RPQ105" s="3"/>
      <c r="RPR105" s="3"/>
      <c r="RPS105" s="3"/>
      <c r="RPT105" s="3"/>
      <c r="RPU105" s="3"/>
      <c r="RPV105" s="3"/>
      <c r="RPW105" s="3"/>
      <c r="RPX105" s="3"/>
      <c r="RPY105" s="3"/>
      <c r="RPZ105" s="3"/>
      <c r="RQA105" s="3"/>
      <c r="RQB105" s="3"/>
      <c r="RQC105" s="3"/>
      <c r="RQD105" s="3"/>
      <c r="RQE105" s="3"/>
      <c r="RQF105" s="3"/>
      <c r="RQG105" s="3"/>
      <c r="RQH105" s="3"/>
      <c r="RQI105" s="3"/>
      <c r="RQJ105" s="3"/>
      <c r="RQK105" s="3"/>
      <c r="RQL105" s="3"/>
      <c r="RQM105" s="3"/>
      <c r="RQN105" s="3"/>
      <c r="RQO105" s="3"/>
      <c r="RQP105" s="3"/>
      <c r="RQQ105" s="3"/>
      <c r="RQR105" s="3"/>
      <c r="RQS105" s="3"/>
      <c r="RQT105" s="3"/>
      <c r="RQU105" s="3"/>
      <c r="RQV105" s="3"/>
      <c r="RQW105" s="3"/>
      <c r="RQX105" s="3"/>
      <c r="RQY105" s="3"/>
      <c r="RQZ105" s="3"/>
      <c r="RRA105" s="3"/>
      <c r="RRB105" s="3"/>
      <c r="RRC105" s="3"/>
      <c r="RRD105" s="3"/>
      <c r="RRE105" s="3"/>
      <c r="RRF105" s="3"/>
      <c r="RRG105" s="3"/>
      <c r="RRH105" s="3"/>
      <c r="RRI105" s="3"/>
      <c r="RRJ105" s="3"/>
      <c r="RRK105" s="3"/>
      <c r="RRL105" s="3"/>
      <c r="RRM105" s="3"/>
      <c r="RRN105" s="3"/>
      <c r="RRO105" s="3"/>
      <c r="RRP105" s="3"/>
      <c r="RRQ105" s="3"/>
      <c r="RRR105" s="3"/>
      <c r="RRS105" s="3"/>
      <c r="RRT105" s="3"/>
      <c r="RRU105" s="3"/>
      <c r="RRV105" s="3"/>
      <c r="RRW105" s="3"/>
      <c r="RRX105" s="3"/>
      <c r="RRY105" s="3"/>
      <c r="RRZ105" s="3"/>
      <c r="RSA105" s="3"/>
      <c r="RSB105" s="3"/>
      <c r="RSC105" s="3"/>
      <c r="RSD105" s="3"/>
      <c r="RSE105" s="3"/>
      <c r="RSF105" s="3"/>
      <c r="RSG105" s="3"/>
      <c r="RSH105" s="3"/>
      <c r="RSI105" s="3"/>
      <c r="RSJ105" s="3"/>
      <c r="RSK105" s="3"/>
      <c r="RSL105" s="3"/>
      <c r="RSM105" s="3"/>
      <c r="RSN105" s="3"/>
      <c r="RSO105" s="3"/>
      <c r="RSP105" s="3"/>
      <c r="RSQ105" s="3"/>
      <c r="RSR105" s="3"/>
      <c r="RSS105" s="3"/>
      <c r="RST105" s="3"/>
      <c r="RSU105" s="3"/>
      <c r="RSV105" s="3"/>
      <c r="RSW105" s="3"/>
      <c r="RSX105" s="3"/>
      <c r="RSY105" s="3"/>
      <c r="RSZ105" s="3"/>
      <c r="RTA105" s="3"/>
      <c r="RTB105" s="3"/>
      <c r="RTC105" s="3"/>
      <c r="RTD105" s="3"/>
      <c r="RTE105" s="3"/>
      <c r="RTF105" s="3"/>
      <c r="RTG105" s="3"/>
      <c r="RTH105" s="3"/>
      <c r="RTI105" s="3"/>
      <c r="RTJ105" s="3"/>
      <c r="RTK105" s="3"/>
      <c r="RTL105" s="3"/>
      <c r="RTM105" s="3"/>
      <c r="RTN105" s="3"/>
      <c r="RTO105" s="3"/>
      <c r="RTP105" s="3"/>
      <c r="RTQ105" s="3"/>
      <c r="RTR105" s="3"/>
      <c r="RTS105" s="3"/>
      <c r="RTT105" s="3"/>
      <c r="RTU105" s="3"/>
      <c r="RTV105" s="3"/>
      <c r="RTW105" s="3"/>
      <c r="RTX105" s="3"/>
      <c r="RTY105" s="3"/>
      <c r="RTZ105" s="3"/>
      <c r="RUA105" s="3"/>
      <c r="RUB105" s="3"/>
      <c r="RUC105" s="3"/>
      <c r="RUD105" s="3"/>
      <c r="RUE105" s="3"/>
      <c r="RUF105" s="3"/>
      <c r="RUG105" s="3"/>
      <c r="RUH105" s="3"/>
      <c r="RUI105" s="3"/>
      <c r="RUJ105" s="3"/>
      <c r="RUK105" s="3"/>
      <c r="RUL105" s="3"/>
      <c r="RUM105" s="3"/>
      <c r="RUN105" s="3"/>
      <c r="RUO105" s="3"/>
      <c r="RUP105" s="3"/>
      <c r="RUQ105" s="3"/>
      <c r="RUR105" s="3"/>
      <c r="RUS105" s="3"/>
      <c r="RUT105" s="3"/>
      <c r="RUU105" s="3"/>
      <c r="RUV105" s="3"/>
      <c r="RUW105" s="3"/>
      <c r="RUX105" s="3"/>
      <c r="RUY105" s="3"/>
      <c r="RUZ105" s="3"/>
      <c r="RVA105" s="3"/>
      <c r="RVB105" s="3"/>
      <c r="RVC105" s="3"/>
      <c r="RVD105" s="3"/>
      <c r="RVE105" s="3"/>
      <c r="RVF105" s="3"/>
      <c r="RVG105" s="3"/>
      <c r="RVH105" s="3"/>
      <c r="RVI105" s="3"/>
      <c r="RVJ105" s="3"/>
      <c r="RVK105" s="3"/>
      <c r="RVL105" s="3"/>
      <c r="RVM105" s="3"/>
      <c r="RVN105" s="3"/>
      <c r="RVO105" s="3"/>
      <c r="RVP105" s="3"/>
      <c r="RVQ105" s="3"/>
      <c r="RVR105" s="3"/>
      <c r="RVS105" s="3"/>
      <c r="RVT105" s="3"/>
      <c r="RVU105" s="3"/>
      <c r="RVV105" s="3"/>
      <c r="RVW105" s="3"/>
      <c r="RVX105" s="3"/>
      <c r="RVY105" s="3"/>
      <c r="RVZ105" s="3"/>
      <c r="RWA105" s="3"/>
      <c r="RWB105" s="3"/>
      <c r="RWC105" s="3"/>
      <c r="RWD105" s="3"/>
      <c r="RWE105" s="3"/>
      <c r="RWF105" s="3"/>
      <c r="RWG105" s="3"/>
      <c r="RWH105" s="3"/>
      <c r="RWI105" s="3"/>
      <c r="RWJ105" s="3"/>
      <c r="RWK105" s="3"/>
      <c r="RWL105" s="3"/>
      <c r="RWM105" s="3"/>
      <c r="RWN105" s="3"/>
      <c r="RWO105" s="3"/>
      <c r="RWP105" s="3"/>
      <c r="RWQ105" s="3"/>
      <c r="RWR105" s="3"/>
      <c r="RWS105" s="3"/>
      <c r="RWT105" s="3"/>
      <c r="RWU105" s="3"/>
      <c r="RWV105" s="3"/>
      <c r="RWW105" s="3"/>
      <c r="RWX105" s="3"/>
      <c r="RWY105" s="3"/>
      <c r="RWZ105" s="3"/>
      <c r="RXA105" s="3"/>
      <c r="RXB105" s="3"/>
      <c r="RXC105" s="3"/>
      <c r="RXD105" s="3"/>
      <c r="RXE105" s="3"/>
      <c r="RXF105" s="3"/>
      <c r="RXG105" s="3"/>
      <c r="RXH105" s="3"/>
      <c r="RXI105" s="3"/>
      <c r="RXJ105" s="3"/>
      <c r="RXK105" s="3"/>
      <c r="RXL105" s="3"/>
      <c r="RXM105" s="3"/>
      <c r="RXN105" s="3"/>
      <c r="RXO105" s="3"/>
      <c r="RXP105" s="3"/>
      <c r="RXQ105" s="3"/>
      <c r="RXR105" s="3"/>
      <c r="RXS105" s="3"/>
      <c r="RXT105" s="3"/>
      <c r="RXU105" s="3"/>
      <c r="RXV105" s="3"/>
      <c r="RXW105" s="3"/>
      <c r="RXX105" s="3"/>
      <c r="RXY105" s="3"/>
      <c r="RXZ105" s="3"/>
      <c r="RYA105" s="3"/>
      <c r="RYB105" s="3"/>
      <c r="RYC105" s="3"/>
      <c r="RYD105" s="3"/>
      <c r="RYE105" s="3"/>
      <c r="RYF105" s="3"/>
      <c r="RYG105" s="3"/>
      <c r="RYH105" s="3"/>
      <c r="RYI105" s="3"/>
      <c r="RYJ105" s="3"/>
      <c r="RYK105" s="3"/>
      <c r="RYL105" s="3"/>
      <c r="RYM105" s="3"/>
      <c r="RYN105" s="3"/>
      <c r="RYO105" s="3"/>
      <c r="RYP105" s="3"/>
      <c r="RYQ105" s="3"/>
      <c r="RYR105" s="3"/>
      <c r="RYS105" s="3"/>
      <c r="RYT105" s="3"/>
      <c r="RYU105" s="3"/>
      <c r="RYV105" s="3"/>
      <c r="RYW105" s="3"/>
      <c r="RYX105" s="3"/>
      <c r="RYY105" s="3"/>
      <c r="RYZ105" s="3"/>
      <c r="RZA105" s="3"/>
      <c r="RZB105" s="3"/>
      <c r="RZC105" s="3"/>
      <c r="RZD105" s="3"/>
      <c r="RZE105" s="3"/>
      <c r="RZF105" s="3"/>
      <c r="RZG105" s="3"/>
      <c r="RZH105" s="3"/>
      <c r="RZI105" s="3"/>
      <c r="RZJ105" s="3"/>
      <c r="RZK105" s="3"/>
      <c r="RZL105" s="3"/>
      <c r="RZM105" s="3"/>
      <c r="RZN105" s="3"/>
      <c r="RZO105" s="3"/>
      <c r="RZP105" s="3"/>
      <c r="RZQ105" s="3"/>
      <c r="RZR105" s="3"/>
      <c r="RZS105" s="3"/>
      <c r="RZT105" s="3"/>
      <c r="RZU105" s="3"/>
      <c r="RZV105" s="3"/>
      <c r="RZW105" s="3"/>
      <c r="RZX105" s="3"/>
      <c r="RZY105" s="3"/>
      <c r="RZZ105" s="3"/>
      <c r="SAA105" s="3"/>
      <c r="SAB105" s="3"/>
      <c r="SAC105" s="3"/>
      <c r="SAD105" s="3"/>
      <c r="SAE105" s="3"/>
      <c r="SAF105" s="3"/>
      <c r="SAG105" s="3"/>
      <c r="SAH105" s="3"/>
      <c r="SAI105" s="3"/>
      <c r="SAJ105" s="3"/>
      <c r="SAK105" s="3"/>
      <c r="SAL105" s="3"/>
      <c r="SAM105" s="3"/>
      <c r="SAN105" s="3"/>
      <c r="SAO105" s="3"/>
      <c r="SAP105" s="3"/>
      <c r="SAQ105" s="3"/>
      <c r="SAR105" s="3"/>
      <c r="SAS105" s="3"/>
      <c r="SAT105" s="3"/>
      <c r="SAU105" s="3"/>
      <c r="SAV105" s="3"/>
      <c r="SAW105" s="3"/>
      <c r="SAX105" s="3"/>
      <c r="SAY105" s="3"/>
      <c r="SAZ105" s="3"/>
      <c r="SBA105" s="3"/>
      <c r="SBB105" s="3"/>
      <c r="SBC105" s="3"/>
      <c r="SBD105" s="3"/>
      <c r="SBE105" s="3"/>
      <c r="SBF105" s="3"/>
      <c r="SBG105" s="3"/>
      <c r="SBH105" s="3"/>
      <c r="SBI105" s="3"/>
      <c r="SBJ105" s="3"/>
      <c r="SBK105" s="3"/>
      <c r="SBL105" s="3"/>
      <c r="SBM105" s="3"/>
      <c r="SBN105" s="3"/>
      <c r="SBO105" s="3"/>
      <c r="SBP105" s="3"/>
      <c r="SBQ105" s="3"/>
      <c r="SBR105" s="3"/>
      <c r="SBS105" s="3"/>
      <c r="SBT105" s="3"/>
      <c r="SBU105" s="3"/>
      <c r="SBV105" s="3"/>
      <c r="SBW105" s="3"/>
      <c r="SBX105" s="3"/>
      <c r="SBY105" s="3"/>
      <c r="SBZ105" s="3"/>
      <c r="SCA105" s="3"/>
      <c r="SCB105" s="3"/>
      <c r="SCC105" s="3"/>
      <c r="SCD105" s="3"/>
      <c r="SCE105" s="3"/>
      <c r="SCF105" s="3"/>
      <c r="SCG105" s="3"/>
      <c r="SCH105" s="3"/>
      <c r="SCI105" s="3"/>
      <c r="SCJ105" s="3"/>
      <c r="SCK105" s="3"/>
      <c r="SCL105" s="3"/>
      <c r="SCM105" s="3"/>
      <c r="SCN105" s="3"/>
      <c r="SCO105" s="3"/>
      <c r="SCP105" s="3"/>
      <c r="SCQ105" s="3"/>
      <c r="SCR105" s="3"/>
      <c r="SCS105" s="3"/>
      <c r="SCT105" s="3"/>
      <c r="SCU105" s="3"/>
      <c r="SCV105" s="3"/>
      <c r="SCW105" s="3"/>
      <c r="SCX105" s="3"/>
      <c r="SCY105" s="3"/>
      <c r="SCZ105" s="3"/>
      <c r="SDA105" s="3"/>
      <c r="SDB105" s="3"/>
      <c r="SDC105" s="3"/>
      <c r="SDD105" s="3"/>
      <c r="SDE105" s="3"/>
      <c r="SDF105" s="3"/>
      <c r="SDG105" s="3"/>
      <c r="SDH105" s="3"/>
      <c r="SDI105" s="3"/>
      <c r="SDJ105" s="3"/>
      <c r="SDK105" s="3"/>
      <c r="SDL105" s="3"/>
      <c r="SDM105" s="3"/>
      <c r="SDN105" s="3"/>
      <c r="SDO105" s="3"/>
      <c r="SDP105" s="3"/>
      <c r="SDQ105" s="3"/>
      <c r="SDR105" s="3"/>
      <c r="SDS105" s="3"/>
      <c r="SDT105" s="3"/>
      <c r="SDU105" s="3"/>
      <c r="SDV105" s="3"/>
      <c r="SDW105" s="3"/>
      <c r="SDX105" s="3"/>
      <c r="SDY105" s="3"/>
      <c r="SDZ105" s="3"/>
      <c r="SEA105" s="3"/>
      <c r="SEB105" s="3"/>
      <c r="SEC105" s="3"/>
      <c r="SED105" s="3"/>
      <c r="SEE105" s="3"/>
      <c r="SEF105" s="3"/>
      <c r="SEG105" s="3"/>
      <c r="SEH105" s="3"/>
      <c r="SEI105" s="3"/>
      <c r="SEJ105" s="3"/>
      <c r="SEK105" s="3"/>
      <c r="SEL105" s="3"/>
      <c r="SEM105" s="3"/>
      <c r="SEN105" s="3"/>
      <c r="SEO105" s="3"/>
      <c r="SEP105" s="3"/>
      <c r="SEQ105" s="3"/>
      <c r="SER105" s="3"/>
      <c r="SES105" s="3"/>
      <c r="SET105" s="3"/>
      <c r="SEU105" s="3"/>
      <c r="SEV105" s="3"/>
      <c r="SEW105" s="3"/>
      <c r="SEX105" s="3"/>
      <c r="SEY105" s="3"/>
      <c r="SEZ105" s="3"/>
      <c r="SFA105" s="3"/>
      <c r="SFB105" s="3"/>
      <c r="SFC105" s="3"/>
      <c r="SFD105" s="3"/>
      <c r="SFE105" s="3"/>
      <c r="SFF105" s="3"/>
      <c r="SFG105" s="3"/>
      <c r="SFH105" s="3"/>
      <c r="SFI105" s="3"/>
      <c r="SFJ105" s="3"/>
      <c r="SFK105" s="3"/>
      <c r="SFL105" s="3"/>
      <c r="SFM105" s="3"/>
      <c r="SFN105" s="3"/>
      <c r="SFO105" s="3"/>
      <c r="SFP105" s="3"/>
      <c r="SFQ105" s="3"/>
      <c r="SFR105" s="3"/>
      <c r="SFS105" s="3"/>
      <c r="SFT105" s="3"/>
      <c r="SFU105" s="3"/>
      <c r="SFV105" s="3"/>
      <c r="SFW105" s="3"/>
      <c r="SFX105" s="3"/>
      <c r="SFY105" s="3"/>
      <c r="SFZ105" s="3"/>
      <c r="SGA105" s="3"/>
      <c r="SGB105" s="3"/>
      <c r="SGC105" s="3"/>
      <c r="SGD105" s="3"/>
      <c r="SGE105" s="3"/>
      <c r="SGF105" s="3"/>
      <c r="SGG105" s="3"/>
      <c r="SGH105" s="3"/>
      <c r="SGI105" s="3"/>
      <c r="SGJ105" s="3"/>
      <c r="SGK105" s="3"/>
      <c r="SGL105" s="3"/>
      <c r="SGM105" s="3"/>
      <c r="SGN105" s="3"/>
      <c r="SGO105" s="3"/>
      <c r="SGP105" s="3"/>
      <c r="SGQ105" s="3"/>
      <c r="SGR105" s="3"/>
      <c r="SGS105" s="3"/>
      <c r="SGT105" s="3"/>
      <c r="SGU105" s="3"/>
      <c r="SGV105" s="3"/>
      <c r="SGW105" s="3"/>
      <c r="SGX105" s="3"/>
      <c r="SGY105" s="3"/>
      <c r="SGZ105" s="3"/>
      <c r="SHA105" s="3"/>
      <c r="SHB105" s="3"/>
      <c r="SHC105" s="3"/>
      <c r="SHD105" s="3"/>
      <c r="SHE105" s="3"/>
      <c r="SHF105" s="3"/>
      <c r="SHG105" s="3"/>
      <c r="SHH105" s="3"/>
      <c r="SHI105" s="3"/>
      <c r="SHJ105" s="3"/>
      <c r="SHK105" s="3"/>
      <c r="SHL105" s="3"/>
      <c r="SHM105" s="3"/>
      <c r="SHN105" s="3"/>
      <c r="SHO105" s="3"/>
      <c r="SHP105" s="3"/>
      <c r="SHQ105" s="3"/>
      <c r="SHR105" s="3"/>
      <c r="SHS105" s="3"/>
      <c r="SHT105" s="3"/>
      <c r="SHU105" s="3"/>
      <c r="SHV105" s="3"/>
      <c r="SHW105" s="3"/>
      <c r="SHX105" s="3"/>
      <c r="SHY105" s="3"/>
      <c r="SHZ105" s="3"/>
      <c r="SIA105" s="3"/>
      <c r="SIB105" s="3"/>
      <c r="SIC105" s="3"/>
      <c r="SID105" s="3"/>
      <c r="SIE105" s="3"/>
      <c r="SIF105" s="3"/>
      <c r="SIG105" s="3"/>
      <c r="SIH105" s="3"/>
      <c r="SII105" s="3"/>
      <c r="SIJ105" s="3"/>
      <c r="SIK105" s="3"/>
      <c r="SIL105" s="3"/>
      <c r="SIM105" s="3"/>
      <c r="SIN105" s="3"/>
      <c r="SIO105" s="3"/>
      <c r="SIP105" s="3"/>
      <c r="SIQ105" s="3"/>
      <c r="SIR105" s="3"/>
      <c r="SIS105" s="3"/>
      <c r="SIT105" s="3"/>
      <c r="SIU105" s="3"/>
      <c r="SIV105" s="3"/>
      <c r="SIW105" s="3"/>
      <c r="SIX105" s="3"/>
      <c r="SIY105" s="3"/>
      <c r="SIZ105" s="3"/>
      <c r="SJA105" s="3"/>
      <c r="SJB105" s="3"/>
      <c r="SJC105" s="3"/>
      <c r="SJD105" s="3"/>
      <c r="SJE105" s="3"/>
      <c r="SJF105" s="3"/>
      <c r="SJG105" s="3"/>
      <c r="SJH105" s="3"/>
      <c r="SJI105" s="3"/>
      <c r="SJJ105" s="3"/>
      <c r="SJK105" s="3"/>
      <c r="SJL105" s="3"/>
      <c r="SJM105" s="3"/>
      <c r="SJN105" s="3"/>
      <c r="SJO105" s="3"/>
      <c r="SJP105" s="3"/>
      <c r="SJQ105" s="3"/>
      <c r="SJR105" s="3"/>
      <c r="SJS105" s="3"/>
      <c r="SJT105" s="3"/>
      <c r="SJU105" s="3"/>
      <c r="SJV105" s="3"/>
      <c r="SJW105" s="3"/>
      <c r="SJX105" s="3"/>
      <c r="SJY105" s="3"/>
      <c r="SJZ105" s="3"/>
      <c r="SKA105" s="3"/>
      <c r="SKB105" s="3"/>
      <c r="SKC105" s="3"/>
      <c r="SKD105" s="3"/>
      <c r="SKE105" s="3"/>
      <c r="SKF105" s="3"/>
      <c r="SKG105" s="3"/>
      <c r="SKH105" s="3"/>
      <c r="SKI105" s="3"/>
      <c r="SKJ105" s="3"/>
      <c r="SKK105" s="3"/>
      <c r="SKL105" s="3"/>
      <c r="SKM105" s="3"/>
      <c r="SKN105" s="3"/>
      <c r="SKO105" s="3"/>
      <c r="SKP105" s="3"/>
      <c r="SKQ105" s="3"/>
      <c r="SKR105" s="3"/>
      <c r="SKS105" s="3"/>
      <c r="SKT105" s="3"/>
      <c r="SKU105" s="3"/>
      <c r="SKV105" s="3"/>
      <c r="SKW105" s="3"/>
      <c r="SKX105" s="3"/>
      <c r="SKY105" s="3"/>
      <c r="SKZ105" s="3"/>
      <c r="SLA105" s="3"/>
      <c r="SLB105" s="3"/>
      <c r="SLC105" s="3"/>
      <c r="SLD105" s="3"/>
      <c r="SLE105" s="3"/>
      <c r="SLF105" s="3"/>
      <c r="SLG105" s="3"/>
      <c r="SLH105" s="3"/>
      <c r="SLI105" s="3"/>
      <c r="SLJ105" s="3"/>
      <c r="SLK105" s="3"/>
      <c r="SLL105" s="3"/>
      <c r="SLM105" s="3"/>
      <c r="SLN105" s="3"/>
      <c r="SLO105" s="3"/>
      <c r="SLP105" s="3"/>
      <c r="SLQ105" s="3"/>
      <c r="SLR105" s="3"/>
      <c r="SLS105" s="3"/>
      <c r="SLT105" s="3"/>
      <c r="SLU105" s="3"/>
      <c r="SLV105" s="3"/>
      <c r="SLW105" s="3"/>
      <c r="SLX105" s="3"/>
      <c r="SLY105" s="3"/>
      <c r="SLZ105" s="3"/>
      <c r="SMA105" s="3"/>
      <c r="SMB105" s="3"/>
      <c r="SMC105" s="3"/>
      <c r="SMD105" s="3"/>
      <c r="SME105" s="3"/>
      <c r="SMF105" s="3"/>
      <c r="SMG105" s="3"/>
      <c r="SMH105" s="3"/>
      <c r="SMI105" s="3"/>
      <c r="SMJ105" s="3"/>
      <c r="SMK105" s="3"/>
      <c r="SML105" s="3"/>
      <c r="SMM105" s="3"/>
      <c r="SMN105" s="3"/>
      <c r="SMO105" s="3"/>
      <c r="SMP105" s="3"/>
      <c r="SMQ105" s="3"/>
      <c r="SMR105" s="3"/>
      <c r="SMS105" s="3"/>
      <c r="SMT105" s="3"/>
      <c r="SMU105" s="3"/>
      <c r="SMV105" s="3"/>
      <c r="SMW105" s="3"/>
      <c r="SMX105" s="3"/>
      <c r="SMY105" s="3"/>
      <c r="SMZ105" s="3"/>
      <c r="SNA105" s="3"/>
      <c r="SNB105" s="3"/>
      <c r="SNC105" s="3"/>
      <c r="SND105" s="3"/>
      <c r="SNE105" s="3"/>
      <c r="SNF105" s="3"/>
      <c r="SNG105" s="3"/>
      <c r="SNH105" s="3"/>
      <c r="SNI105" s="3"/>
      <c r="SNJ105" s="3"/>
      <c r="SNK105" s="3"/>
      <c r="SNL105" s="3"/>
      <c r="SNM105" s="3"/>
      <c r="SNN105" s="3"/>
      <c r="SNO105" s="3"/>
      <c r="SNP105" s="3"/>
      <c r="SNQ105" s="3"/>
      <c r="SNR105" s="3"/>
      <c r="SNS105" s="3"/>
      <c r="SNT105" s="3"/>
      <c r="SNU105" s="3"/>
      <c r="SNV105" s="3"/>
      <c r="SNW105" s="3"/>
      <c r="SNX105" s="3"/>
      <c r="SNY105" s="3"/>
      <c r="SNZ105" s="3"/>
      <c r="SOA105" s="3"/>
      <c r="SOB105" s="3"/>
      <c r="SOC105" s="3"/>
      <c r="SOD105" s="3"/>
      <c r="SOE105" s="3"/>
      <c r="SOF105" s="3"/>
      <c r="SOG105" s="3"/>
      <c r="SOH105" s="3"/>
      <c r="SOI105" s="3"/>
      <c r="SOJ105" s="3"/>
      <c r="SOK105" s="3"/>
      <c r="SOL105" s="3"/>
      <c r="SOM105" s="3"/>
      <c r="SON105" s="3"/>
      <c r="SOO105" s="3"/>
      <c r="SOP105" s="3"/>
      <c r="SOQ105" s="3"/>
      <c r="SOR105" s="3"/>
      <c r="SOS105" s="3"/>
      <c r="SOT105" s="3"/>
      <c r="SOU105" s="3"/>
      <c r="SOV105" s="3"/>
      <c r="SOW105" s="3"/>
      <c r="SOX105" s="3"/>
      <c r="SOY105" s="3"/>
      <c r="SOZ105" s="3"/>
      <c r="SPA105" s="3"/>
      <c r="SPB105" s="3"/>
      <c r="SPC105" s="3"/>
      <c r="SPD105" s="3"/>
      <c r="SPE105" s="3"/>
      <c r="SPF105" s="3"/>
      <c r="SPG105" s="3"/>
      <c r="SPH105" s="3"/>
      <c r="SPI105" s="3"/>
      <c r="SPJ105" s="3"/>
      <c r="SPK105" s="3"/>
      <c r="SPL105" s="3"/>
      <c r="SPM105" s="3"/>
      <c r="SPN105" s="3"/>
      <c r="SPO105" s="3"/>
      <c r="SPP105" s="3"/>
      <c r="SPQ105" s="3"/>
      <c r="SPR105" s="3"/>
      <c r="SPS105" s="3"/>
      <c r="SPT105" s="3"/>
      <c r="SPU105" s="3"/>
      <c r="SPV105" s="3"/>
      <c r="SPW105" s="3"/>
      <c r="SPX105" s="3"/>
      <c r="SPY105" s="3"/>
      <c r="SPZ105" s="3"/>
      <c r="SQA105" s="3"/>
      <c r="SQB105" s="3"/>
      <c r="SQC105" s="3"/>
      <c r="SQD105" s="3"/>
      <c r="SQE105" s="3"/>
      <c r="SQF105" s="3"/>
      <c r="SQG105" s="3"/>
      <c r="SQH105" s="3"/>
      <c r="SQI105" s="3"/>
      <c r="SQJ105" s="3"/>
      <c r="SQK105" s="3"/>
      <c r="SQL105" s="3"/>
      <c r="SQM105" s="3"/>
      <c r="SQN105" s="3"/>
      <c r="SQO105" s="3"/>
      <c r="SQP105" s="3"/>
      <c r="SQQ105" s="3"/>
      <c r="SQR105" s="3"/>
      <c r="SQS105" s="3"/>
      <c r="SQT105" s="3"/>
      <c r="SQU105" s="3"/>
      <c r="SQV105" s="3"/>
      <c r="SQW105" s="3"/>
      <c r="SQX105" s="3"/>
      <c r="SQY105" s="3"/>
      <c r="SQZ105" s="3"/>
      <c r="SRA105" s="3"/>
      <c r="SRB105" s="3"/>
      <c r="SRC105" s="3"/>
      <c r="SRD105" s="3"/>
      <c r="SRE105" s="3"/>
      <c r="SRF105" s="3"/>
      <c r="SRG105" s="3"/>
      <c r="SRH105" s="3"/>
      <c r="SRI105" s="3"/>
      <c r="SRJ105" s="3"/>
      <c r="SRK105" s="3"/>
      <c r="SRL105" s="3"/>
      <c r="SRM105" s="3"/>
      <c r="SRN105" s="3"/>
      <c r="SRO105" s="3"/>
      <c r="SRP105" s="3"/>
      <c r="SRQ105" s="3"/>
      <c r="SRR105" s="3"/>
      <c r="SRS105" s="3"/>
      <c r="SRT105" s="3"/>
      <c r="SRU105" s="3"/>
      <c r="SRV105" s="3"/>
      <c r="SRW105" s="3"/>
      <c r="SRX105" s="3"/>
      <c r="SRY105" s="3"/>
      <c r="SRZ105" s="3"/>
      <c r="SSA105" s="3"/>
      <c r="SSB105" s="3"/>
      <c r="SSC105" s="3"/>
      <c r="SSD105" s="3"/>
      <c r="SSE105" s="3"/>
      <c r="SSF105" s="3"/>
      <c r="SSG105" s="3"/>
      <c r="SSH105" s="3"/>
      <c r="SSI105" s="3"/>
      <c r="SSJ105" s="3"/>
      <c r="SSK105" s="3"/>
      <c r="SSL105" s="3"/>
      <c r="SSM105" s="3"/>
      <c r="SSN105" s="3"/>
      <c r="SSO105" s="3"/>
      <c r="SSP105" s="3"/>
      <c r="SSQ105" s="3"/>
      <c r="SSR105" s="3"/>
      <c r="SSS105" s="3"/>
      <c r="SST105" s="3"/>
      <c r="SSU105" s="3"/>
      <c r="SSV105" s="3"/>
      <c r="SSW105" s="3"/>
      <c r="SSX105" s="3"/>
      <c r="SSY105" s="3"/>
      <c r="SSZ105" s="3"/>
      <c r="STA105" s="3"/>
      <c r="STB105" s="3"/>
      <c r="STC105" s="3"/>
      <c r="STD105" s="3"/>
      <c r="STE105" s="3"/>
      <c r="STF105" s="3"/>
      <c r="STG105" s="3"/>
      <c r="STH105" s="3"/>
      <c r="STI105" s="3"/>
      <c r="STJ105" s="3"/>
      <c r="STK105" s="3"/>
      <c r="STL105" s="3"/>
      <c r="STM105" s="3"/>
      <c r="STN105" s="3"/>
      <c r="STO105" s="3"/>
      <c r="STP105" s="3"/>
      <c r="STQ105" s="3"/>
      <c r="STR105" s="3"/>
      <c r="STS105" s="3"/>
      <c r="STT105" s="3"/>
      <c r="STU105" s="3"/>
      <c r="STV105" s="3"/>
      <c r="STW105" s="3"/>
      <c r="STX105" s="3"/>
      <c r="STY105" s="3"/>
      <c r="STZ105" s="3"/>
      <c r="SUA105" s="3"/>
      <c r="SUB105" s="3"/>
      <c r="SUC105" s="3"/>
      <c r="SUD105" s="3"/>
      <c r="SUE105" s="3"/>
      <c r="SUF105" s="3"/>
      <c r="SUG105" s="3"/>
      <c r="SUH105" s="3"/>
      <c r="SUI105" s="3"/>
      <c r="SUJ105" s="3"/>
      <c r="SUK105" s="3"/>
      <c r="SUL105" s="3"/>
      <c r="SUM105" s="3"/>
      <c r="SUN105" s="3"/>
      <c r="SUO105" s="3"/>
      <c r="SUP105" s="3"/>
      <c r="SUQ105" s="3"/>
      <c r="SUR105" s="3"/>
      <c r="SUS105" s="3"/>
      <c r="SUT105" s="3"/>
      <c r="SUU105" s="3"/>
      <c r="SUV105" s="3"/>
      <c r="SUW105" s="3"/>
      <c r="SUX105" s="3"/>
      <c r="SUY105" s="3"/>
      <c r="SUZ105" s="3"/>
      <c r="SVA105" s="3"/>
      <c r="SVB105" s="3"/>
      <c r="SVC105" s="3"/>
      <c r="SVD105" s="3"/>
      <c r="SVE105" s="3"/>
      <c r="SVF105" s="3"/>
      <c r="SVG105" s="3"/>
      <c r="SVH105" s="3"/>
      <c r="SVI105" s="3"/>
      <c r="SVJ105" s="3"/>
      <c r="SVK105" s="3"/>
      <c r="SVL105" s="3"/>
      <c r="SVM105" s="3"/>
      <c r="SVN105" s="3"/>
      <c r="SVO105" s="3"/>
      <c r="SVP105" s="3"/>
      <c r="SVQ105" s="3"/>
      <c r="SVR105" s="3"/>
      <c r="SVS105" s="3"/>
      <c r="SVT105" s="3"/>
      <c r="SVU105" s="3"/>
      <c r="SVV105" s="3"/>
      <c r="SVW105" s="3"/>
      <c r="SVX105" s="3"/>
      <c r="SVY105" s="3"/>
      <c r="SVZ105" s="3"/>
      <c r="SWA105" s="3"/>
      <c r="SWB105" s="3"/>
      <c r="SWC105" s="3"/>
      <c r="SWD105" s="3"/>
      <c r="SWE105" s="3"/>
      <c r="SWF105" s="3"/>
      <c r="SWG105" s="3"/>
      <c r="SWH105" s="3"/>
      <c r="SWI105" s="3"/>
      <c r="SWJ105" s="3"/>
      <c r="SWK105" s="3"/>
      <c r="SWL105" s="3"/>
      <c r="SWM105" s="3"/>
      <c r="SWN105" s="3"/>
      <c r="SWO105" s="3"/>
      <c r="SWP105" s="3"/>
      <c r="SWQ105" s="3"/>
      <c r="SWR105" s="3"/>
      <c r="SWS105" s="3"/>
      <c r="SWT105" s="3"/>
      <c r="SWU105" s="3"/>
      <c r="SWV105" s="3"/>
      <c r="SWW105" s="3"/>
      <c r="SWX105" s="3"/>
      <c r="SWY105" s="3"/>
      <c r="SWZ105" s="3"/>
      <c r="SXA105" s="3"/>
      <c r="SXB105" s="3"/>
      <c r="SXC105" s="3"/>
      <c r="SXD105" s="3"/>
      <c r="SXE105" s="3"/>
      <c r="SXF105" s="3"/>
      <c r="SXG105" s="3"/>
      <c r="SXH105" s="3"/>
      <c r="SXI105" s="3"/>
      <c r="SXJ105" s="3"/>
      <c r="SXK105" s="3"/>
      <c r="SXL105" s="3"/>
      <c r="SXM105" s="3"/>
      <c r="SXN105" s="3"/>
      <c r="SXO105" s="3"/>
      <c r="SXP105" s="3"/>
      <c r="SXQ105" s="3"/>
      <c r="SXR105" s="3"/>
      <c r="SXS105" s="3"/>
      <c r="SXT105" s="3"/>
      <c r="SXU105" s="3"/>
      <c r="SXV105" s="3"/>
      <c r="SXW105" s="3"/>
      <c r="SXX105" s="3"/>
      <c r="SXY105" s="3"/>
      <c r="SXZ105" s="3"/>
      <c r="SYA105" s="3"/>
      <c r="SYB105" s="3"/>
      <c r="SYC105" s="3"/>
      <c r="SYD105" s="3"/>
      <c r="SYE105" s="3"/>
      <c r="SYF105" s="3"/>
      <c r="SYG105" s="3"/>
      <c r="SYH105" s="3"/>
      <c r="SYI105" s="3"/>
      <c r="SYJ105" s="3"/>
      <c r="SYK105" s="3"/>
      <c r="SYL105" s="3"/>
      <c r="SYM105" s="3"/>
      <c r="SYN105" s="3"/>
      <c r="SYO105" s="3"/>
      <c r="SYP105" s="3"/>
      <c r="SYQ105" s="3"/>
      <c r="SYR105" s="3"/>
      <c r="SYS105" s="3"/>
      <c r="SYT105" s="3"/>
      <c r="SYU105" s="3"/>
      <c r="SYV105" s="3"/>
      <c r="SYW105" s="3"/>
      <c r="SYX105" s="3"/>
      <c r="SYY105" s="3"/>
      <c r="SYZ105" s="3"/>
      <c r="SZA105" s="3"/>
      <c r="SZB105" s="3"/>
      <c r="SZC105" s="3"/>
      <c r="SZD105" s="3"/>
      <c r="SZE105" s="3"/>
      <c r="SZF105" s="3"/>
      <c r="SZG105" s="3"/>
      <c r="SZH105" s="3"/>
      <c r="SZI105" s="3"/>
      <c r="SZJ105" s="3"/>
      <c r="SZK105" s="3"/>
      <c r="SZL105" s="3"/>
      <c r="SZM105" s="3"/>
      <c r="SZN105" s="3"/>
      <c r="SZO105" s="3"/>
      <c r="SZP105" s="3"/>
      <c r="SZQ105" s="3"/>
      <c r="SZR105" s="3"/>
      <c r="SZS105" s="3"/>
      <c r="SZT105" s="3"/>
      <c r="SZU105" s="3"/>
      <c r="SZV105" s="3"/>
      <c r="SZW105" s="3"/>
      <c r="SZX105" s="3"/>
      <c r="SZY105" s="3"/>
      <c r="SZZ105" s="3"/>
      <c r="TAA105" s="3"/>
      <c r="TAB105" s="3"/>
      <c r="TAC105" s="3"/>
      <c r="TAD105" s="3"/>
      <c r="TAE105" s="3"/>
      <c r="TAF105" s="3"/>
      <c r="TAG105" s="3"/>
      <c r="TAH105" s="3"/>
      <c r="TAI105" s="3"/>
      <c r="TAJ105" s="3"/>
      <c r="TAK105" s="3"/>
      <c r="TAL105" s="3"/>
      <c r="TAM105" s="3"/>
      <c r="TAN105" s="3"/>
      <c r="TAO105" s="3"/>
      <c r="TAP105" s="3"/>
      <c r="TAQ105" s="3"/>
      <c r="TAR105" s="3"/>
      <c r="TAS105" s="3"/>
      <c r="TAT105" s="3"/>
      <c r="TAU105" s="3"/>
      <c r="TAV105" s="3"/>
      <c r="TAW105" s="3"/>
      <c r="TAX105" s="3"/>
      <c r="TAY105" s="3"/>
      <c r="TAZ105" s="3"/>
      <c r="TBA105" s="3"/>
      <c r="TBB105" s="3"/>
      <c r="TBC105" s="3"/>
      <c r="TBD105" s="3"/>
      <c r="TBE105" s="3"/>
      <c r="TBF105" s="3"/>
      <c r="TBG105" s="3"/>
      <c r="TBH105" s="3"/>
      <c r="TBI105" s="3"/>
      <c r="TBJ105" s="3"/>
      <c r="TBK105" s="3"/>
      <c r="TBL105" s="3"/>
      <c r="TBM105" s="3"/>
      <c r="TBN105" s="3"/>
      <c r="TBO105" s="3"/>
      <c r="TBP105" s="3"/>
      <c r="TBQ105" s="3"/>
      <c r="TBR105" s="3"/>
      <c r="TBS105" s="3"/>
      <c r="TBT105" s="3"/>
      <c r="TBU105" s="3"/>
      <c r="TBV105" s="3"/>
      <c r="TBW105" s="3"/>
      <c r="TBX105" s="3"/>
      <c r="TBY105" s="3"/>
      <c r="TBZ105" s="3"/>
      <c r="TCA105" s="3"/>
      <c r="TCB105" s="3"/>
      <c r="TCC105" s="3"/>
      <c r="TCD105" s="3"/>
      <c r="TCE105" s="3"/>
      <c r="TCF105" s="3"/>
      <c r="TCG105" s="3"/>
      <c r="TCH105" s="3"/>
      <c r="TCI105" s="3"/>
      <c r="TCJ105" s="3"/>
      <c r="TCK105" s="3"/>
      <c r="TCL105" s="3"/>
      <c r="TCM105" s="3"/>
      <c r="TCN105" s="3"/>
      <c r="TCO105" s="3"/>
      <c r="TCP105" s="3"/>
      <c r="TCQ105" s="3"/>
      <c r="TCR105" s="3"/>
      <c r="TCS105" s="3"/>
      <c r="TCT105" s="3"/>
      <c r="TCU105" s="3"/>
      <c r="TCV105" s="3"/>
      <c r="TCW105" s="3"/>
      <c r="TCX105" s="3"/>
      <c r="TCY105" s="3"/>
      <c r="TCZ105" s="3"/>
      <c r="TDA105" s="3"/>
      <c r="TDB105" s="3"/>
      <c r="TDC105" s="3"/>
      <c r="TDD105" s="3"/>
      <c r="TDE105" s="3"/>
      <c r="TDF105" s="3"/>
      <c r="TDG105" s="3"/>
      <c r="TDH105" s="3"/>
      <c r="TDI105" s="3"/>
      <c r="TDJ105" s="3"/>
      <c r="TDK105" s="3"/>
      <c r="TDL105" s="3"/>
      <c r="TDM105" s="3"/>
      <c r="TDN105" s="3"/>
      <c r="TDO105" s="3"/>
      <c r="TDP105" s="3"/>
      <c r="TDQ105" s="3"/>
      <c r="TDR105" s="3"/>
      <c r="TDS105" s="3"/>
      <c r="TDT105" s="3"/>
      <c r="TDU105" s="3"/>
      <c r="TDV105" s="3"/>
      <c r="TDW105" s="3"/>
      <c r="TDX105" s="3"/>
      <c r="TDY105" s="3"/>
      <c r="TDZ105" s="3"/>
      <c r="TEA105" s="3"/>
      <c r="TEB105" s="3"/>
      <c r="TEC105" s="3"/>
      <c r="TED105" s="3"/>
      <c r="TEE105" s="3"/>
      <c r="TEF105" s="3"/>
      <c r="TEG105" s="3"/>
      <c r="TEH105" s="3"/>
      <c r="TEI105" s="3"/>
      <c r="TEJ105" s="3"/>
      <c r="TEK105" s="3"/>
      <c r="TEL105" s="3"/>
      <c r="TEM105" s="3"/>
      <c r="TEN105" s="3"/>
      <c r="TEO105" s="3"/>
      <c r="TEP105" s="3"/>
      <c r="TEQ105" s="3"/>
      <c r="TER105" s="3"/>
      <c r="TES105" s="3"/>
      <c r="TET105" s="3"/>
      <c r="TEU105" s="3"/>
      <c r="TEV105" s="3"/>
      <c r="TEW105" s="3"/>
      <c r="TEX105" s="3"/>
      <c r="TEY105" s="3"/>
      <c r="TEZ105" s="3"/>
      <c r="TFA105" s="3"/>
      <c r="TFB105" s="3"/>
      <c r="TFC105" s="3"/>
      <c r="TFD105" s="3"/>
      <c r="TFE105" s="3"/>
      <c r="TFF105" s="3"/>
      <c r="TFG105" s="3"/>
      <c r="TFH105" s="3"/>
      <c r="TFI105" s="3"/>
      <c r="TFJ105" s="3"/>
      <c r="TFK105" s="3"/>
      <c r="TFL105" s="3"/>
      <c r="TFM105" s="3"/>
      <c r="TFN105" s="3"/>
      <c r="TFO105" s="3"/>
      <c r="TFP105" s="3"/>
      <c r="TFQ105" s="3"/>
      <c r="TFR105" s="3"/>
      <c r="TFS105" s="3"/>
      <c r="TFT105" s="3"/>
      <c r="TFU105" s="3"/>
      <c r="TFV105" s="3"/>
      <c r="TFW105" s="3"/>
      <c r="TFX105" s="3"/>
      <c r="TFY105" s="3"/>
      <c r="TFZ105" s="3"/>
      <c r="TGA105" s="3"/>
      <c r="TGB105" s="3"/>
      <c r="TGC105" s="3"/>
      <c r="TGD105" s="3"/>
      <c r="TGE105" s="3"/>
      <c r="TGF105" s="3"/>
      <c r="TGG105" s="3"/>
      <c r="TGH105" s="3"/>
      <c r="TGI105" s="3"/>
      <c r="TGJ105" s="3"/>
      <c r="TGK105" s="3"/>
      <c r="TGL105" s="3"/>
      <c r="TGM105" s="3"/>
      <c r="TGN105" s="3"/>
      <c r="TGO105" s="3"/>
      <c r="TGP105" s="3"/>
      <c r="TGQ105" s="3"/>
      <c r="TGR105" s="3"/>
      <c r="TGS105" s="3"/>
      <c r="TGT105" s="3"/>
      <c r="TGU105" s="3"/>
      <c r="TGV105" s="3"/>
      <c r="TGW105" s="3"/>
      <c r="TGX105" s="3"/>
      <c r="TGY105" s="3"/>
      <c r="TGZ105" s="3"/>
      <c r="THA105" s="3"/>
      <c r="THB105" s="3"/>
      <c r="THC105" s="3"/>
      <c r="THD105" s="3"/>
      <c r="THE105" s="3"/>
      <c r="THF105" s="3"/>
      <c r="THG105" s="3"/>
      <c r="THH105" s="3"/>
      <c r="THI105" s="3"/>
      <c r="THJ105" s="3"/>
      <c r="THK105" s="3"/>
      <c r="THL105" s="3"/>
      <c r="THM105" s="3"/>
      <c r="THN105" s="3"/>
      <c r="THO105" s="3"/>
      <c r="THP105" s="3"/>
      <c r="THQ105" s="3"/>
      <c r="THR105" s="3"/>
      <c r="THS105" s="3"/>
      <c r="THT105" s="3"/>
      <c r="THU105" s="3"/>
      <c r="THV105" s="3"/>
      <c r="THW105" s="3"/>
      <c r="THX105" s="3"/>
      <c r="THY105" s="3"/>
      <c r="THZ105" s="3"/>
      <c r="TIA105" s="3"/>
      <c r="TIB105" s="3"/>
      <c r="TIC105" s="3"/>
      <c r="TID105" s="3"/>
      <c r="TIE105" s="3"/>
      <c r="TIF105" s="3"/>
      <c r="TIG105" s="3"/>
      <c r="TIH105" s="3"/>
      <c r="TII105" s="3"/>
      <c r="TIJ105" s="3"/>
      <c r="TIK105" s="3"/>
      <c r="TIL105" s="3"/>
      <c r="TIM105" s="3"/>
      <c r="TIN105" s="3"/>
      <c r="TIO105" s="3"/>
      <c r="TIP105" s="3"/>
      <c r="TIQ105" s="3"/>
      <c r="TIR105" s="3"/>
      <c r="TIS105" s="3"/>
      <c r="TIT105" s="3"/>
      <c r="TIU105" s="3"/>
      <c r="TIV105" s="3"/>
      <c r="TIW105" s="3"/>
      <c r="TIX105" s="3"/>
      <c r="TIY105" s="3"/>
      <c r="TIZ105" s="3"/>
      <c r="TJA105" s="3"/>
      <c r="TJB105" s="3"/>
      <c r="TJC105" s="3"/>
      <c r="TJD105" s="3"/>
      <c r="TJE105" s="3"/>
      <c r="TJF105" s="3"/>
      <c r="TJG105" s="3"/>
      <c r="TJH105" s="3"/>
      <c r="TJI105" s="3"/>
      <c r="TJJ105" s="3"/>
      <c r="TJK105" s="3"/>
      <c r="TJL105" s="3"/>
      <c r="TJM105" s="3"/>
      <c r="TJN105" s="3"/>
      <c r="TJO105" s="3"/>
      <c r="TJP105" s="3"/>
      <c r="TJQ105" s="3"/>
      <c r="TJR105" s="3"/>
      <c r="TJS105" s="3"/>
      <c r="TJT105" s="3"/>
      <c r="TJU105" s="3"/>
      <c r="TJV105" s="3"/>
      <c r="TJW105" s="3"/>
      <c r="TJX105" s="3"/>
      <c r="TJY105" s="3"/>
      <c r="TJZ105" s="3"/>
      <c r="TKA105" s="3"/>
      <c r="TKB105" s="3"/>
      <c r="TKC105" s="3"/>
      <c r="TKD105" s="3"/>
      <c r="TKE105" s="3"/>
      <c r="TKF105" s="3"/>
      <c r="TKG105" s="3"/>
      <c r="TKH105" s="3"/>
      <c r="TKI105" s="3"/>
      <c r="TKJ105" s="3"/>
      <c r="TKK105" s="3"/>
      <c r="TKL105" s="3"/>
      <c r="TKM105" s="3"/>
      <c r="TKN105" s="3"/>
      <c r="TKO105" s="3"/>
      <c r="TKP105" s="3"/>
      <c r="TKQ105" s="3"/>
      <c r="TKR105" s="3"/>
      <c r="TKS105" s="3"/>
      <c r="TKT105" s="3"/>
      <c r="TKU105" s="3"/>
      <c r="TKV105" s="3"/>
      <c r="TKW105" s="3"/>
      <c r="TKX105" s="3"/>
      <c r="TKY105" s="3"/>
      <c r="TKZ105" s="3"/>
      <c r="TLA105" s="3"/>
      <c r="TLB105" s="3"/>
      <c r="TLC105" s="3"/>
      <c r="TLD105" s="3"/>
      <c r="TLE105" s="3"/>
      <c r="TLF105" s="3"/>
      <c r="TLG105" s="3"/>
      <c r="TLH105" s="3"/>
      <c r="TLI105" s="3"/>
      <c r="TLJ105" s="3"/>
      <c r="TLK105" s="3"/>
      <c r="TLL105" s="3"/>
      <c r="TLM105" s="3"/>
      <c r="TLN105" s="3"/>
      <c r="TLO105" s="3"/>
      <c r="TLP105" s="3"/>
      <c r="TLQ105" s="3"/>
      <c r="TLR105" s="3"/>
      <c r="TLS105" s="3"/>
      <c r="TLT105" s="3"/>
      <c r="TLU105" s="3"/>
      <c r="TLV105" s="3"/>
      <c r="TLW105" s="3"/>
      <c r="TLX105" s="3"/>
      <c r="TLY105" s="3"/>
      <c r="TLZ105" s="3"/>
      <c r="TMA105" s="3"/>
      <c r="TMB105" s="3"/>
      <c r="TMC105" s="3"/>
      <c r="TMD105" s="3"/>
      <c r="TME105" s="3"/>
      <c r="TMF105" s="3"/>
      <c r="TMG105" s="3"/>
      <c r="TMH105" s="3"/>
      <c r="TMI105" s="3"/>
      <c r="TMJ105" s="3"/>
      <c r="TMK105" s="3"/>
      <c r="TML105" s="3"/>
      <c r="TMM105" s="3"/>
      <c r="TMN105" s="3"/>
      <c r="TMO105" s="3"/>
      <c r="TMP105" s="3"/>
      <c r="TMQ105" s="3"/>
      <c r="TMR105" s="3"/>
      <c r="TMS105" s="3"/>
      <c r="TMT105" s="3"/>
      <c r="TMU105" s="3"/>
      <c r="TMV105" s="3"/>
      <c r="TMW105" s="3"/>
      <c r="TMX105" s="3"/>
      <c r="TMY105" s="3"/>
      <c r="TMZ105" s="3"/>
      <c r="TNA105" s="3"/>
      <c r="TNB105" s="3"/>
      <c r="TNC105" s="3"/>
      <c r="TND105" s="3"/>
      <c r="TNE105" s="3"/>
      <c r="TNF105" s="3"/>
      <c r="TNG105" s="3"/>
      <c r="TNH105" s="3"/>
      <c r="TNI105" s="3"/>
      <c r="TNJ105" s="3"/>
      <c r="TNK105" s="3"/>
      <c r="TNL105" s="3"/>
      <c r="TNM105" s="3"/>
      <c r="TNN105" s="3"/>
      <c r="TNO105" s="3"/>
      <c r="TNP105" s="3"/>
      <c r="TNQ105" s="3"/>
      <c r="TNR105" s="3"/>
      <c r="TNS105" s="3"/>
      <c r="TNT105" s="3"/>
      <c r="TNU105" s="3"/>
      <c r="TNV105" s="3"/>
      <c r="TNW105" s="3"/>
      <c r="TNX105" s="3"/>
      <c r="TNY105" s="3"/>
      <c r="TNZ105" s="3"/>
      <c r="TOA105" s="3"/>
      <c r="TOB105" s="3"/>
      <c r="TOC105" s="3"/>
      <c r="TOD105" s="3"/>
      <c r="TOE105" s="3"/>
      <c r="TOF105" s="3"/>
      <c r="TOG105" s="3"/>
      <c r="TOH105" s="3"/>
      <c r="TOI105" s="3"/>
      <c r="TOJ105" s="3"/>
      <c r="TOK105" s="3"/>
      <c r="TOL105" s="3"/>
      <c r="TOM105" s="3"/>
      <c r="TON105" s="3"/>
      <c r="TOO105" s="3"/>
      <c r="TOP105" s="3"/>
      <c r="TOQ105" s="3"/>
      <c r="TOR105" s="3"/>
      <c r="TOS105" s="3"/>
      <c r="TOT105" s="3"/>
      <c r="TOU105" s="3"/>
      <c r="TOV105" s="3"/>
      <c r="TOW105" s="3"/>
      <c r="TOX105" s="3"/>
      <c r="TOY105" s="3"/>
      <c r="TOZ105" s="3"/>
      <c r="TPA105" s="3"/>
      <c r="TPB105" s="3"/>
      <c r="TPC105" s="3"/>
      <c r="TPD105" s="3"/>
      <c r="TPE105" s="3"/>
      <c r="TPF105" s="3"/>
      <c r="TPG105" s="3"/>
      <c r="TPH105" s="3"/>
      <c r="TPI105" s="3"/>
      <c r="TPJ105" s="3"/>
      <c r="TPK105" s="3"/>
      <c r="TPL105" s="3"/>
      <c r="TPM105" s="3"/>
      <c r="TPN105" s="3"/>
      <c r="TPO105" s="3"/>
      <c r="TPP105" s="3"/>
      <c r="TPQ105" s="3"/>
      <c r="TPR105" s="3"/>
      <c r="TPS105" s="3"/>
      <c r="TPT105" s="3"/>
      <c r="TPU105" s="3"/>
      <c r="TPV105" s="3"/>
      <c r="TPW105" s="3"/>
      <c r="TPX105" s="3"/>
      <c r="TPY105" s="3"/>
      <c r="TPZ105" s="3"/>
      <c r="TQA105" s="3"/>
      <c r="TQB105" s="3"/>
      <c r="TQC105" s="3"/>
      <c r="TQD105" s="3"/>
      <c r="TQE105" s="3"/>
      <c r="TQF105" s="3"/>
      <c r="TQG105" s="3"/>
      <c r="TQH105" s="3"/>
      <c r="TQI105" s="3"/>
      <c r="TQJ105" s="3"/>
      <c r="TQK105" s="3"/>
      <c r="TQL105" s="3"/>
      <c r="TQM105" s="3"/>
      <c r="TQN105" s="3"/>
      <c r="TQO105" s="3"/>
      <c r="TQP105" s="3"/>
      <c r="TQQ105" s="3"/>
      <c r="TQR105" s="3"/>
      <c r="TQS105" s="3"/>
      <c r="TQT105" s="3"/>
      <c r="TQU105" s="3"/>
      <c r="TQV105" s="3"/>
      <c r="TQW105" s="3"/>
      <c r="TQX105" s="3"/>
      <c r="TQY105" s="3"/>
      <c r="TQZ105" s="3"/>
      <c r="TRA105" s="3"/>
      <c r="TRB105" s="3"/>
      <c r="TRC105" s="3"/>
      <c r="TRD105" s="3"/>
      <c r="TRE105" s="3"/>
      <c r="TRF105" s="3"/>
      <c r="TRG105" s="3"/>
      <c r="TRH105" s="3"/>
      <c r="TRI105" s="3"/>
      <c r="TRJ105" s="3"/>
      <c r="TRK105" s="3"/>
      <c r="TRL105" s="3"/>
      <c r="TRM105" s="3"/>
      <c r="TRN105" s="3"/>
      <c r="TRO105" s="3"/>
      <c r="TRP105" s="3"/>
      <c r="TRQ105" s="3"/>
      <c r="TRR105" s="3"/>
      <c r="TRS105" s="3"/>
      <c r="TRT105" s="3"/>
      <c r="TRU105" s="3"/>
      <c r="TRV105" s="3"/>
      <c r="TRW105" s="3"/>
      <c r="TRX105" s="3"/>
      <c r="TRY105" s="3"/>
      <c r="TRZ105" s="3"/>
      <c r="TSA105" s="3"/>
      <c r="TSB105" s="3"/>
      <c r="TSC105" s="3"/>
      <c r="TSD105" s="3"/>
      <c r="TSE105" s="3"/>
      <c r="TSF105" s="3"/>
      <c r="TSG105" s="3"/>
      <c r="TSH105" s="3"/>
      <c r="TSI105" s="3"/>
      <c r="TSJ105" s="3"/>
      <c r="TSK105" s="3"/>
      <c r="TSL105" s="3"/>
      <c r="TSM105" s="3"/>
      <c r="TSN105" s="3"/>
      <c r="TSO105" s="3"/>
      <c r="TSP105" s="3"/>
      <c r="TSQ105" s="3"/>
      <c r="TSR105" s="3"/>
      <c r="TSS105" s="3"/>
      <c r="TST105" s="3"/>
      <c r="TSU105" s="3"/>
      <c r="TSV105" s="3"/>
      <c r="TSW105" s="3"/>
      <c r="TSX105" s="3"/>
      <c r="TSY105" s="3"/>
      <c r="TSZ105" s="3"/>
      <c r="TTA105" s="3"/>
      <c r="TTB105" s="3"/>
      <c r="TTC105" s="3"/>
      <c r="TTD105" s="3"/>
      <c r="TTE105" s="3"/>
      <c r="TTF105" s="3"/>
      <c r="TTG105" s="3"/>
      <c r="TTH105" s="3"/>
      <c r="TTI105" s="3"/>
      <c r="TTJ105" s="3"/>
      <c r="TTK105" s="3"/>
      <c r="TTL105" s="3"/>
      <c r="TTM105" s="3"/>
      <c r="TTN105" s="3"/>
      <c r="TTO105" s="3"/>
      <c r="TTP105" s="3"/>
      <c r="TTQ105" s="3"/>
      <c r="TTR105" s="3"/>
      <c r="TTS105" s="3"/>
      <c r="TTT105" s="3"/>
      <c r="TTU105" s="3"/>
      <c r="TTV105" s="3"/>
      <c r="TTW105" s="3"/>
      <c r="TTX105" s="3"/>
      <c r="TTY105" s="3"/>
      <c r="TTZ105" s="3"/>
      <c r="TUA105" s="3"/>
      <c r="TUB105" s="3"/>
      <c r="TUC105" s="3"/>
      <c r="TUD105" s="3"/>
      <c r="TUE105" s="3"/>
      <c r="TUF105" s="3"/>
      <c r="TUG105" s="3"/>
      <c r="TUH105" s="3"/>
      <c r="TUI105" s="3"/>
      <c r="TUJ105" s="3"/>
      <c r="TUK105" s="3"/>
      <c r="TUL105" s="3"/>
      <c r="TUM105" s="3"/>
      <c r="TUN105" s="3"/>
      <c r="TUO105" s="3"/>
      <c r="TUP105" s="3"/>
      <c r="TUQ105" s="3"/>
      <c r="TUR105" s="3"/>
      <c r="TUS105" s="3"/>
      <c r="TUT105" s="3"/>
      <c r="TUU105" s="3"/>
      <c r="TUV105" s="3"/>
      <c r="TUW105" s="3"/>
      <c r="TUX105" s="3"/>
      <c r="TUY105" s="3"/>
      <c r="TUZ105" s="3"/>
      <c r="TVA105" s="3"/>
      <c r="TVB105" s="3"/>
      <c r="TVC105" s="3"/>
      <c r="TVD105" s="3"/>
      <c r="TVE105" s="3"/>
      <c r="TVF105" s="3"/>
      <c r="TVG105" s="3"/>
      <c r="TVH105" s="3"/>
      <c r="TVI105" s="3"/>
      <c r="TVJ105" s="3"/>
      <c r="TVK105" s="3"/>
      <c r="TVL105" s="3"/>
      <c r="TVM105" s="3"/>
      <c r="TVN105" s="3"/>
      <c r="TVO105" s="3"/>
      <c r="TVP105" s="3"/>
      <c r="TVQ105" s="3"/>
      <c r="TVR105" s="3"/>
      <c r="TVS105" s="3"/>
      <c r="TVT105" s="3"/>
      <c r="TVU105" s="3"/>
      <c r="TVV105" s="3"/>
      <c r="TVW105" s="3"/>
      <c r="TVX105" s="3"/>
      <c r="TVY105" s="3"/>
      <c r="TVZ105" s="3"/>
      <c r="TWA105" s="3"/>
      <c r="TWB105" s="3"/>
      <c r="TWC105" s="3"/>
      <c r="TWD105" s="3"/>
      <c r="TWE105" s="3"/>
      <c r="TWF105" s="3"/>
      <c r="TWG105" s="3"/>
      <c r="TWH105" s="3"/>
      <c r="TWI105" s="3"/>
      <c r="TWJ105" s="3"/>
      <c r="TWK105" s="3"/>
      <c r="TWL105" s="3"/>
      <c r="TWM105" s="3"/>
      <c r="TWN105" s="3"/>
      <c r="TWO105" s="3"/>
      <c r="TWP105" s="3"/>
      <c r="TWQ105" s="3"/>
      <c r="TWR105" s="3"/>
      <c r="TWS105" s="3"/>
      <c r="TWT105" s="3"/>
      <c r="TWU105" s="3"/>
      <c r="TWV105" s="3"/>
      <c r="TWW105" s="3"/>
      <c r="TWX105" s="3"/>
      <c r="TWY105" s="3"/>
      <c r="TWZ105" s="3"/>
      <c r="TXA105" s="3"/>
      <c r="TXB105" s="3"/>
      <c r="TXC105" s="3"/>
      <c r="TXD105" s="3"/>
      <c r="TXE105" s="3"/>
      <c r="TXF105" s="3"/>
      <c r="TXG105" s="3"/>
      <c r="TXH105" s="3"/>
      <c r="TXI105" s="3"/>
      <c r="TXJ105" s="3"/>
      <c r="TXK105" s="3"/>
      <c r="TXL105" s="3"/>
      <c r="TXM105" s="3"/>
      <c r="TXN105" s="3"/>
      <c r="TXO105" s="3"/>
      <c r="TXP105" s="3"/>
      <c r="TXQ105" s="3"/>
      <c r="TXR105" s="3"/>
      <c r="TXS105" s="3"/>
      <c r="TXT105" s="3"/>
      <c r="TXU105" s="3"/>
      <c r="TXV105" s="3"/>
      <c r="TXW105" s="3"/>
      <c r="TXX105" s="3"/>
      <c r="TXY105" s="3"/>
      <c r="TXZ105" s="3"/>
      <c r="TYA105" s="3"/>
      <c r="TYB105" s="3"/>
      <c r="TYC105" s="3"/>
      <c r="TYD105" s="3"/>
      <c r="TYE105" s="3"/>
      <c r="TYF105" s="3"/>
      <c r="TYG105" s="3"/>
      <c r="TYH105" s="3"/>
      <c r="TYI105" s="3"/>
      <c r="TYJ105" s="3"/>
      <c r="TYK105" s="3"/>
      <c r="TYL105" s="3"/>
      <c r="TYM105" s="3"/>
      <c r="TYN105" s="3"/>
      <c r="TYO105" s="3"/>
      <c r="TYP105" s="3"/>
      <c r="TYQ105" s="3"/>
      <c r="TYR105" s="3"/>
      <c r="TYS105" s="3"/>
      <c r="TYT105" s="3"/>
      <c r="TYU105" s="3"/>
      <c r="TYV105" s="3"/>
      <c r="TYW105" s="3"/>
      <c r="TYX105" s="3"/>
      <c r="TYY105" s="3"/>
      <c r="TYZ105" s="3"/>
      <c r="TZA105" s="3"/>
      <c r="TZB105" s="3"/>
      <c r="TZC105" s="3"/>
      <c r="TZD105" s="3"/>
      <c r="TZE105" s="3"/>
      <c r="TZF105" s="3"/>
      <c r="TZG105" s="3"/>
      <c r="TZH105" s="3"/>
      <c r="TZI105" s="3"/>
      <c r="TZJ105" s="3"/>
      <c r="TZK105" s="3"/>
      <c r="TZL105" s="3"/>
      <c r="TZM105" s="3"/>
      <c r="TZN105" s="3"/>
      <c r="TZO105" s="3"/>
      <c r="TZP105" s="3"/>
      <c r="TZQ105" s="3"/>
      <c r="TZR105" s="3"/>
      <c r="TZS105" s="3"/>
      <c r="TZT105" s="3"/>
      <c r="TZU105" s="3"/>
      <c r="TZV105" s="3"/>
      <c r="TZW105" s="3"/>
      <c r="TZX105" s="3"/>
      <c r="TZY105" s="3"/>
      <c r="TZZ105" s="3"/>
      <c r="UAA105" s="3"/>
      <c r="UAB105" s="3"/>
      <c r="UAC105" s="3"/>
      <c r="UAD105" s="3"/>
      <c r="UAE105" s="3"/>
      <c r="UAF105" s="3"/>
      <c r="UAG105" s="3"/>
      <c r="UAH105" s="3"/>
      <c r="UAI105" s="3"/>
      <c r="UAJ105" s="3"/>
      <c r="UAK105" s="3"/>
      <c r="UAL105" s="3"/>
      <c r="UAM105" s="3"/>
      <c r="UAN105" s="3"/>
      <c r="UAO105" s="3"/>
      <c r="UAP105" s="3"/>
      <c r="UAQ105" s="3"/>
      <c r="UAR105" s="3"/>
      <c r="UAS105" s="3"/>
      <c r="UAT105" s="3"/>
      <c r="UAU105" s="3"/>
      <c r="UAV105" s="3"/>
      <c r="UAW105" s="3"/>
      <c r="UAX105" s="3"/>
      <c r="UAY105" s="3"/>
      <c r="UAZ105" s="3"/>
      <c r="UBA105" s="3"/>
      <c r="UBB105" s="3"/>
      <c r="UBC105" s="3"/>
      <c r="UBD105" s="3"/>
      <c r="UBE105" s="3"/>
      <c r="UBF105" s="3"/>
      <c r="UBG105" s="3"/>
      <c r="UBH105" s="3"/>
      <c r="UBI105" s="3"/>
      <c r="UBJ105" s="3"/>
      <c r="UBK105" s="3"/>
      <c r="UBL105" s="3"/>
      <c r="UBM105" s="3"/>
      <c r="UBN105" s="3"/>
      <c r="UBO105" s="3"/>
      <c r="UBP105" s="3"/>
      <c r="UBQ105" s="3"/>
      <c r="UBR105" s="3"/>
      <c r="UBS105" s="3"/>
      <c r="UBT105" s="3"/>
      <c r="UBU105" s="3"/>
      <c r="UBV105" s="3"/>
      <c r="UBW105" s="3"/>
      <c r="UBX105" s="3"/>
      <c r="UBY105" s="3"/>
      <c r="UBZ105" s="3"/>
      <c r="UCA105" s="3"/>
      <c r="UCB105" s="3"/>
      <c r="UCC105" s="3"/>
      <c r="UCD105" s="3"/>
      <c r="UCE105" s="3"/>
      <c r="UCF105" s="3"/>
      <c r="UCG105" s="3"/>
      <c r="UCH105" s="3"/>
      <c r="UCI105" s="3"/>
      <c r="UCJ105" s="3"/>
      <c r="UCK105" s="3"/>
      <c r="UCL105" s="3"/>
      <c r="UCM105" s="3"/>
      <c r="UCN105" s="3"/>
      <c r="UCO105" s="3"/>
      <c r="UCP105" s="3"/>
      <c r="UCQ105" s="3"/>
      <c r="UCR105" s="3"/>
      <c r="UCS105" s="3"/>
      <c r="UCT105" s="3"/>
      <c r="UCU105" s="3"/>
      <c r="UCV105" s="3"/>
      <c r="UCW105" s="3"/>
      <c r="UCX105" s="3"/>
      <c r="UCY105" s="3"/>
      <c r="UCZ105" s="3"/>
      <c r="UDA105" s="3"/>
      <c r="UDB105" s="3"/>
      <c r="UDC105" s="3"/>
      <c r="UDD105" s="3"/>
      <c r="UDE105" s="3"/>
      <c r="UDF105" s="3"/>
      <c r="UDG105" s="3"/>
      <c r="UDH105" s="3"/>
      <c r="UDI105" s="3"/>
      <c r="UDJ105" s="3"/>
      <c r="UDK105" s="3"/>
      <c r="UDL105" s="3"/>
      <c r="UDM105" s="3"/>
      <c r="UDN105" s="3"/>
      <c r="UDO105" s="3"/>
      <c r="UDP105" s="3"/>
      <c r="UDQ105" s="3"/>
      <c r="UDR105" s="3"/>
      <c r="UDS105" s="3"/>
      <c r="UDT105" s="3"/>
      <c r="UDU105" s="3"/>
      <c r="UDV105" s="3"/>
      <c r="UDW105" s="3"/>
      <c r="UDX105" s="3"/>
      <c r="UDY105" s="3"/>
      <c r="UDZ105" s="3"/>
      <c r="UEA105" s="3"/>
      <c r="UEB105" s="3"/>
      <c r="UEC105" s="3"/>
      <c r="UED105" s="3"/>
      <c r="UEE105" s="3"/>
      <c r="UEF105" s="3"/>
      <c r="UEG105" s="3"/>
      <c r="UEH105" s="3"/>
      <c r="UEI105" s="3"/>
      <c r="UEJ105" s="3"/>
      <c r="UEK105" s="3"/>
      <c r="UEL105" s="3"/>
      <c r="UEM105" s="3"/>
      <c r="UEN105" s="3"/>
      <c r="UEO105" s="3"/>
      <c r="UEP105" s="3"/>
      <c r="UEQ105" s="3"/>
      <c r="UER105" s="3"/>
      <c r="UES105" s="3"/>
      <c r="UET105" s="3"/>
      <c r="UEU105" s="3"/>
      <c r="UEV105" s="3"/>
      <c r="UEW105" s="3"/>
      <c r="UEX105" s="3"/>
      <c r="UEY105" s="3"/>
      <c r="UEZ105" s="3"/>
      <c r="UFA105" s="3"/>
      <c r="UFB105" s="3"/>
      <c r="UFC105" s="3"/>
      <c r="UFD105" s="3"/>
      <c r="UFE105" s="3"/>
      <c r="UFF105" s="3"/>
      <c r="UFG105" s="3"/>
      <c r="UFH105" s="3"/>
      <c r="UFI105" s="3"/>
      <c r="UFJ105" s="3"/>
      <c r="UFK105" s="3"/>
      <c r="UFL105" s="3"/>
      <c r="UFM105" s="3"/>
      <c r="UFN105" s="3"/>
      <c r="UFO105" s="3"/>
      <c r="UFP105" s="3"/>
      <c r="UFQ105" s="3"/>
      <c r="UFR105" s="3"/>
      <c r="UFS105" s="3"/>
      <c r="UFT105" s="3"/>
      <c r="UFU105" s="3"/>
      <c r="UFV105" s="3"/>
      <c r="UFW105" s="3"/>
      <c r="UFX105" s="3"/>
      <c r="UFY105" s="3"/>
      <c r="UFZ105" s="3"/>
      <c r="UGA105" s="3"/>
      <c r="UGB105" s="3"/>
      <c r="UGC105" s="3"/>
      <c r="UGD105" s="3"/>
      <c r="UGE105" s="3"/>
      <c r="UGF105" s="3"/>
      <c r="UGG105" s="3"/>
      <c r="UGH105" s="3"/>
      <c r="UGI105" s="3"/>
      <c r="UGJ105" s="3"/>
      <c r="UGK105" s="3"/>
      <c r="UGL105" s="3"/>
      <c r="UGM105" s="3"/>
      <c r="UGN105" s="3"/>
      <c r="UGO105" s="3"/>
      <c r="UGP105" s="3"/>
      <c r="UGQ105" s="3"/>
      <c r="UGR105" s="3"/>
      <c r="UGS105" s="3"/>
      <c r="UGT105" s="3"/>
      <c r="UGU105" s="3"/>
      <c r="UGV105" s="3"/>
      <c r="UGW105" s="3"/>
      <c r="UGX105" s="3"/>
      <c r="UGY105" s="3"/>
      <c r="UGZ105" s="3"/>
      <c r="UHA105" s="3"/>
      <c r="UHB105" s="3"/>
      <c r="UHC105" s="3"/>
      <c r="UHD105" s="3"/>
      <c r="UHE105" s="3"/>
      <c r="UHF105" s="3"/>
      <c r="UHG105" s="3"/>
      <c r="UHH105" s="3"/>
      <c r="UHI105" s="3"/>
      <c r="UHJ105" s="3"/>
      <c r="UHK105" s="3"/>
      <c r="UHL105" s="3"/>
      <c r="UHM105" s="3"/>
      <c r="UHN105" s="3"/>
      <c r="UHO105" s="3"/>
      <c r="UHP105" s="3"/>
      <c r="UHQ105" s="3"/>
      <c r="UHR105" s="3"/>
      <c r="UHS105" s="3"/>
      <c r="UHT105" s="3"/>
      <c r="UHU105" s="3"/>
      <c r="UHV105" s="3"/>
      <c r="UHW105" s="3"/>
      <c r="UHX105" s="3"/>
      <c r="UHY105" s="3"/>
      <c r="UHZ105" s="3"/>
      <c r="UIA105" s="3"/>
      <c r="UIB105" s="3"/>
      <c r="UIC105" s="3"/>
      <c r="UID105" s="3"/>
      <c r="UIE105" s="3"/>
      <c r="UIF105" s="3"/>
      <c r="UIG105" s="3"/>
      <c r="UIH105" s="3"/>
      <c r="UII105" s="3"/>
      <c r="UIJ105" s="3"/>
      <c r="UIK105" s="3"/>
      <c r="UIL105" s="3"/>
      <c r="UIM105" s="3"/>
      <c r="UIN105" s="3"/>
      <c r="UIO105" s="3"/>
      <c r="UIP105" s="3"/>
      <c r="UIQ105" s="3"/>
      <c r="UIR105" s="3"/>
      <c r="UIS105" s="3"/>
      <c r="UIT105" s="3"/>
      <c r="UIU105" s="3"/>
      <c r="UIV105" s="3"/>
      <c r="UIW105" s="3"/>
      <c r="UIX105" s="3"/>
      <c r="UIY105" s="3"/>
      <c r="UIZ105" s="3"/>
      <c r="UJA105" s="3"/>
      <c r="UJB105" s="3"/>
      <c r="UJC105" s="3"/>
      <c r="UJD105" s="3"/>
      <c r="UJE105" s="3"/>
      <c r="UJF105" s="3"/>
      <c r="UJG105" s="3"/>
      <c r="UJH105" s="3"/>
      <c r="UJI105" s="3"/>
      <c r="UJJ105" s="3"/>
      <c r="UJK105" s="3"/>
      <c r="UJL105" s="3"/>
      <c r="UJM105" s="3"/>
      <c r="UJN105" s="3"/>
      <c r="UJO105" s="3"/>
      <c r="UJP105" s="3"/>
      <c r="UJQ105" s="3"/>
      <c r="UJR105" s="3"/>
      <c r="UJS105" s="3"/>
      <c r="UJT105" s="3"/>
      <c r="UJU105" s="3"/>
      <c r="UJV105" s="3"/>
      <c r="UJW105" s="3"/>
      <c r="UJX105" s="3"/>
      <c r="UJY105" s="3"/>
      <c r="UJZ105" s="3"/>
      <c r="UKA105" s="3"/>
      <c r="UKB105" s="3"/>
      <c r="UKC105" s="3"/>
      <c r="UKD105" s="3"/>
      <c r="UKE105" s="3"/>
      <c r="UKF105" s="3"/>
      <c r="UKG105" s="3"/>
      <c r="UKH105" s="3"/>
      <c r="UKI105" s="3"/>
      <c r="UKJ105" s="3"/>
      <c r="UKK105" s="3"/>
      <c r="UKL105" s="3"/>
      <c r="UKM105" s="3"/>
      <c r="UKN105" s="3"/>
      <c r="UKO105" s="3"/>
      <c r="UKP105" s="3"/>
      <c r="UKQ105" s="3"/>
      <c r="UKR105" s="3"/>
      <c r="UKS105" s="3"/>
      <c r="UKT105" s="3"/>
      <c r="UKU105" s="3"/>
      <c r="UKV105" s="3"/>
      <c r="UKW105" s="3"/>
      <c r="UKX105" s="3"/>
      <c r="UKY105" s="3"/>
      <c r="UKZ105" s="3"/>
      <c r="ULA105" s="3"/>
      <c r="ULB105" s="3"/>
      <c r="ULC105" s="3"/>
      <c r="ULD105" s="3"/>
      <c r="ULE105" s="3"/>
      <c r="ULF105" s="3"/>
      <c r="ULG105" s="3"/>
      <c r="ULH105" s="3"/>
      <c r="ULI105" s="3"/>
      <c r="ULJ105" s="3"/>
      <c r="ULK105" s="3"/>
      <c r="ULL105" s="3"/>
      <c r="ULM105" s="3"/>
      <c r="ULN105" s="3"/>
      <c r="ULO105" s="3"/>
      <c r="ULP105" s="3"/>
      <c r="ULQ105" s="3"/>
      <c r="ULR105" s="3"/>
      <c r="ULS105" s="3"/>
      <c r="ULT105" s="3"/>
      <c r="ULU105" s="3"/>
      <c r="ULV105" s="3"/>
      <c r="ULW105" s="3"/>
      <c r="ULX105" s="3"/>
      <c r="ULY105" s="3"/>
      <c r="ULZ105" s="3"/>
      <c r="UMA105" s="3"/>
      <c r="UMB105" s="3"/>
      <c r="UMC105" s="3"/>
      <c r="UMD105" s="3"/>
      <c r="UME105" s="3"/>
      <c r="UMF105" s="3"/>
      <c r="UMG105" s="3"/>
      <c r="UMH105" s="3"/>
      <c r="UMI105" s="3"/>
      <c r="UMJ105" s="3"/>
      <c r="UMK105" s="3"/>
      <c r="UML105" s="3"/>
      <c r="UMM105" s="3"/>
      <c r="UMN105" s="3"/>
      <c r="UMO105" s="3"/>
      <c r="UMP105" s="3"/>
      <c r="UMQ105" s="3"/>
      <c r="UMR105" s="3"/>
      <c r="UMS105" s="3"/>
      <c r="UMT105" s="3"/>
      <c r="UMU105" s="3"/>
      <c r="UMV105" s="3"/>
      <c r="UMW105" s="3"/>
      <c r="UMX105" s="3"/>
      <c r="UMY105" s="3"/>
      <c r="UMZ105" s="3"/>
      <c r="UNA105" s="3"/>
      <c r="UNB105" s="3"/>
      <c r="UNC105" s="3"/>
      <c r="UND105" s="3"/>
      <c r="UNE105" s="3"/>
      <c r="UNF105" s="3"/>
      <c r="UNG105" s="3"/>
      <c r="UNH105" s="3"/>
      <c r="UNI105" s="3"/>
      <c r="UNJ105" s="3"/>
      <c r="UNK105" s="3"/>
      <c r="UNL105" s="3"/>
      <c r="UNM105" s="3"/>
      <c r="UNN105" s="3"/>
      <c r="UNO105" s="3"/>
      <c r="UNP105" s="3"/>
      <c r="UNQ105" s="3"/>
      <c r="UNR105" s="3"/>
      <c r="UNS105" s="3"/>
      <c r="UNT105" s="3"/>
      <c r="UNU105" s="3"/>
      <c r="UNV105" s="3"/>
      <c r="UNW105" s="3"/>
      <c r="UNX105" s="3"/>
      <c r="UNY105" s="3"/>
      <c r="UNZ105" s="3"/>
      <c r="UOA105" s="3"/>
      <c r="UOB105" s="3"/>
      <c r="UOC105" s="3"/>
      <c r="UOD105" s="3"/>
      <c r="UOE105" s="3"/>
      <c r="UOF105" s="3"/>
      <c r="UOG105" s="3"/>
      <c r="UOH105" s="3"/>
      <c r="UOI105" s="3"/>
      <c r="UOJ105" s="3"/>
      <c r="UOK105" s="3"/>
      <c r="UOL105" s="3"/>
      <c r="UOM105" s="3"/>
      <c r="UON105" s="3"/>
      <c r="UOO105" s="3"/>
      <c r="UOP105" s="3"/>
      <c r="UOQ105" s="3"/>
      <c r="UOR105" s="3"/>
      <c r="UOS105" s="3"/>
      <c r="UOT105" s="3"/>
      <c r="UOU105" s="3"/>
      <c r="UOV105" s="3"/>
      <c r="UOW105" s="3"/>
      <c r="UOX105" s="3"/>
      <c r="UOY105" s="3"/>
      <c r="UOZ105" s="3"/>
      <c r="UPA105" s="3"/>
      <c r="UPB105" s="3"/>
      <c r="UPC105" s="3"/>
      <c r="UPD105" s="3"/>
      <c r="UPE105" s="3"/>
      <c r="UPF105" s="3"/>
      <c r="UPG105" s="3"/>
      <c r="UPH105" s="3"/>
      <c r="UPI105" s="3"/>
      <c r="UPJ105" s="3"/>
      <c r="UPK105" s="3"/>
      <c r="UPL105" s="3"/>
      <c r="UPM105" s="3"/>
      <c r="UPN105" s="3"/>
      <c r="UPO105" s="3"/>
      <c r="UPP105" s="3"/>
      <c r="UPQ105" s="3"/>
      <c r="UPR105" s="3"/>
      <c r="UPS105" s="3"/>
      <c r="UPT105" s="3"/>
      <c r="UPU105" s="3"/>
      <c r="UPV105" s="3"/>
      <c r="UPW105" s="3"/>
      <c r="UPX105" s="3"/>
      <c r="UPY105" s="3"/>
      <c r="UPZ105" s="3"/>
      <c r="UQA105" s="3"/>
      <c r="UQB105" s="3"/>
      <c r="UQC105" s="3"/>
      <c r="UQD105" s="3"/>
      <c r="UQE105" s="3"/>
      <c r="UQF105" s="3"/>
      <c r="UQG105" s="3"/>
      <c r="UQH105" s="3"/>
      <c r="UQI105" s="3"/>
      <c r="UQJ105" s="3"/>
      <c r="UQK105" s="3"/>
      <c r="UQL105" s="3"/>
      <c r="UQM105" s="3"/>
      <c r="UQN105" s="3"/>
      <c r="UQO105" s="3"/>
      <c r="UQP105" s="3"/>
      <c r="UQQ105" s="3"/>
      <c r="UQR105" s="3"/>
      <c r="UQS105" s="3"/>
      <c r="UQT105" s="3"/>
      <c r="UQU105" s="3"/>
      <c r="UQV105" s="3"/>
      <c r="UQW105" s="3"/>
      <c r="UQX105" s="3"/>
      <c r="UQY105" s="3"/>
      <c r="UQZ105" s="3"/>
      <c r="URA105" s="3"/>
      <c r="URB105" s="3"/>
      <c r="URC105" s="3"/>
      <c r="URD105" s="3"/>
      <c r="URE105" s="3"/>
      <c r="URF105" s="3"/>
      <c r="URG105" s="3"/>
      <c r="URH105" s="3"/>
      <c r="URI105" s="3"/>
      <c r="URJ105" s="3"/>
      <c r="URK105" s="3"/>
      <c r="URL105" s="3"/>
      <c r="URM105" s="3"/>
      <c r="URN105" s="3"/>
      <c r="URO105" s="3"/>
      <c r="URP105" s="3"/>
      <c r="URQ105" s="3"/>
      <c r="URR105" s="3"/>
      <c r="URS105" s="3"/>
      <c r="URT105" s="3"/>
      <c r="URU105" s="3"/>
      <c r="URV105" s="3"/>
      <c r="URW105" s="3"/>
      <c r="URX105" s="3"/>
      <c r="URY105" s="3"/>
      <c r="URZ105" s="3"/>
      <c r="USA105" s="3"/>
      <c r="USB105" s="3"/>
      <c r="USC105" s="3"/>
      <c r="USD105" s="3"/>
      <c r="USE105" s="3"/>
      <c r="USF105" s="3"/>
      <c r="USG105" s="3"/>
      <c r="USH105" s="3"/>
      <c r="USI105" s="3"/>
      <c r="USJ105" s="3"/>
      <c r="USK105" s="3"/>
      <c r="USL105" s="3"/>
      <c r="USM105" s="3"/>
      <c r="USN105" s="3"/>
      <c r="USO105" s="3"/>
      <c r="USP105" s="3"/>
      <c r="USQ105" s="3"/>
      <c r="USR105" s="3"/>
      <c r="USS105" s="3"/>
      <c r="UST105" s="3"/>
      <c r="USU105" s="3"/>
      <c r="USV105" s="3"/>
      <c r="USW105" s="3"/>
      <c r="USX105" s="3"/>
      <c r="USY105" s="3"/>
      <c r="USZ105" s="3"/>
      <c r="UTA105" s="3"/>
      <c r="UTB105" s="3"/>
      <c r="UTC105" s="3"/>
      <c r="UTD105" s="3"/>
      <c r="UTE105" s="3"/>
      <c r="UTF105" s="3"/>
      <c r="UTG105" s="3"/>
      <c r="UTH105" s="3"/>
      <c r="UTI105" s="3"/>
      <c r="UTJ105" s="3"/>
      <c r="UTK105" s="3"/>
      <c r="UTL105" s="3"/>
      <c r="UTM105" s="3"/>
      <c r="UTN105" s="3"/>
      <c r="UTO105" s="3"/>
      <c r="UTP105" s="3"/>
      <c r="UTQ105" s="3"/>
      <c r="UTR105" s="3"/>
      <c r="UTS105" s="3"/>
      <c r="UTT105" s="3"/>
      <c r="UTU105" s="3"/>
      <c r="UTV105" s="3"/>
      <c r="UTW105" s="3"/>
      <c r="UTX105" s="3"/>
      <c r="UTY105" s="3"/>
      <c r="UTZ105" s="3"/>
      <c r="UUA105" s="3"/>
      <c r="UUB105" s="3"/>
      <c r="UUC105" s="3"/>
      <c r="UUD105" s="3"/>
      <c r="UUE105" s="3"/>
      <c r="UUF105" s="3"/>
      <c r="UUG105" s="3"/>
      <c r="UUH105" s="3"/>
      <c r="UUI105" s="3"/>
      <c r="UUJ105" s="3"/>
      <c r="UUK105" s="3"/>
      <c r="UUL105" s="3"/>
      <c r="UUM105" s="3"/>
      <c r="UUN105" s="3"/>
      <c r="UUO105" s="3"/>
      <c r="UUP105" s="3"/>
      <c r="UUQ105" s="3"/>
      <c r="UUR105" s="3"/>
      <c r="UUS105" s="3"/>
      <c r="UUT105" s="3"/>
      <c r="UUU105" s="3"/>
      <c r="UUV105" s="3"/>
      <c r="UUW105" s="3"/>
      <c r="UUX105" s="3"/>
      <c r="UUY105" s="3"/>
      <c r="UUZ105" s="3"/>
      <c r="UVA105" s="3"/>
      <c r="UVB105" s="3"/>
      <c r="UVC105" s="3"/>
      <c r="UVD105" s="3"/>
      <c r="UVE105" s="3"/>
      <c r="UVF105" s="3"/>
      <c r="UVG105" s="3"/>
      <c r="UVH105" s="3"/>
      <c r="UVI105" s="3"/>
      <c r="UVJ105" s="3"/>
      <c r="UVK105" s="3"/>
      <c r="UVL105" s="3"/>
      <c r="UVM105" s="3"/>
      <c r="UVN105" s="3"/>
      <c r="UVO105" s="3"/>
      <c r="UVP105" s="3"/>
      <c r="UVQ105" s="3"/>
      <c r="UVR105" s="3"/>
      <c r="UVS105" s="3"/>
      <c r="UVT105" s="3"/>
      <c r="UVU105" s="3"/>
      <c r="UVV105" s="3"/>
      <c r="UVW105" s="3"/>
      <c r="UVX105" s="3"/>
      <c r="UVY105" s="3"/>
      <c r="UVZ105" s="3"/>
      <c r="UWA105" s="3"/>
      <c r="UWB105" s="3"/>
      <c r="UWC105" s="3"/>
      <c r="UWD105" s="3"/>
      <c r="UWE105" s="3"/>
      <c r="UWF105" s="3"/>
      <c r="UWG105" s="3"/>
      <c r="UWH105" s="3"/>
      <c r="UWI105" s="3"/>
      <c r="UWJ105" s="3"/>
      <c r="UWK105" s="3"/>
      <c r="UWL105" s="3"/>
      <c r="UWM105" s="3"/>
      <c r="UWN105" s="3"/>
      <c r="UWO105" s="3"/>
      <c r="UWP105" s="3"/>
      <c r="UWQ105" s="3"/>
      <c r="UWR105" s="3"/>
      <c r="UWS105" s="3"/>
      <c r="UWT105" s="3"/>
      <c r="UWU105" s="3"/>
      <c r="UWV105" s="3"/>
      <c r="UWW105" s="3"/>
      <c r="UWX105" s="3"/>
      <c r="UWY105" s="3"/>
      <c r="UWZ105" s="3"/>
      <c r="UXA105" s="3"/>
      <c r="UXB105" s="3"/>
      <c r="UXC105" s="3"/>
      <c r="UXD105" s="3"/>
      <c r="UXE105" s="3"/>
      <c r="UXF105" s="3"/>
      <c r="UXG105" s="3"/>
      <c r="UXH105" s="3"/>
      <c r="UXI105" s="3"/>
      <c r="UXJ105" s="3"/>
      <c r="UXK105" s="3"/>
      <c r="UXL105" s="3"/>
      <c r="UXM105" s="3"/>
      <c r="UXN105" s="3"/>
      <c r="UXO105" s="3"/>
      <c r="UXP105" s="3"/>
      <c r="UXQ105" s="3"/>
      <c r="UXR105" s="3"/>
      <c r="UXS105" s="3"/>
      <c r="UXT105" s="3"/>
      <c r="UXU105" s="3"/>
      <c r="UXV105" s="3"/>
      <c r="UXW105" s="3"/>
      <c r="UXX105" s="3"/>
      <c r="UXY105" s="3"/>
      <c r="UXZ105" s="3"/>
      <c r="UYA105" s="3"/>
      <c r="UYB105" s="3"/>
      <c r="UYC105" s="3"/>
      <c r="UYD105" s="3"/>
      <c r="UYE105" s="3"/>
      <c r="UYF105" s="3"/>
      <c r="UYG105" s="3"/>
      <c r="UYH105" s="3"/>
      <c r="UYI105" s="3"/>
      <c r="UYJ105" s="3"/>
      <c r="UYK105" s="3"/>
      <c r="UYL105" s="3"/>
      <c r="UYM105" s="3"/>
      <c r="UYN105" s="3"/>
      <c r="UYO105" s="3"/>
      <c r="UYP105" s="3"/>
      <c r="UYQ105" s="3"/>
      <c r="UYR105" s="3"/>
      <c r="UYS105" s="3"/>
      <c r="UYT105" s="3"/>
      <c r="UYU105" s="3"/>
      <c r="UYV105" s="3"/>
      <c r="UYW105" s="3"/>
      <c r="UYX105" s="3"/>
      <c r="UYY105" s="3"/>
      <c r="UYZ105" s="3"/>
      <c r="UZA105" s="3"/>
      <c r="UZB105" s="3"/>
      <c r="UZC105" s="3"/>
      <c r="UZD105" s="3"/>
      <c r="UZE105" s="3"/>
      <c r="UZF105" s="3"/>
      <c r="UZG105" s="3"/>
      <c r="UZH105" s="3"/>
      <c r="UZI105" s="3"/>
      <c r="UZJ105" s="3"/>
      <c r="UZK105" s="3"/>
      <c r="UZL105" s="3"/>
      <c r="UZM105" s="3"/>
      <c r="UZN105" s="3"/>
      <c r="UZO105" s="3"/>
      <c r="UZP105" s="3"/>
      <c r="UZQ105" s="3"/>
      <c r="UZR105" s="3"/>
      <c r="UZS105" s="3"/>
      <c r="UZT105" s="3"/>
      <c r="UZU105" s="3"/>
      <c r="UZV105" s="3"/>
      <c r="UZW105" s="3"/>
      <c r="UZX105" s="3"/>
      <c r="UZY105" s="3"/>
      <c r="UZZ105" s="3"/>
      <c r="VAA105" s="3"/>
      <c r="VAB105" s="3"/>
      <c r="VAC105" s="3"/>
      <c r="VAD105" s="3"/>
      <c r="VAE105" s="3"/>
      <c r="VAF105" s="3"/>
      <c r="VAG105" s="3"/>
      <c r="VAH105" s="3"/>
      <c r="VAI105" s="3"/>
      <c r="VAJ105" s="3"/>
      <c r="VAK105" s="3"/>
      <c r="VAL105" s="3"/>
      <c r="VAM105" s="3"/>
      <c r="VAN105" s="3"/>
      <c r="VAO105" s="3"/>
      <c r="VAP105" s="3"/>
      <c r="VAQ105" s="3"/>
      <c r="VAR105" s="3"/>
      <c r="VAS105" s="3"/>
      <c r="VAT105" s="3"/>
      <c r="VAU105" s="3"/>
      <c r="VAV105" s="3"/>
      <c r="VAW105" s="3"/>
      <c r="VAX105" s="3"/>
      <c r="VAY105" s="3"/>
      <c r="VAZ105" s="3"/>
      <c r="VBA105" s="3"/>
      <c r="VBB105" s="3"/>
      <c r="VBC105" s="3"/>
      <c r="VBD105" s="3"/>
      <c r="VBE105" s="3"/>
      <c r="VBF105" s="3"/>
      <c r="VBG105" s="3"/>
      <c r="VBH105" s="3"/>
      <c r="VBI105" s="3"/>
      <c r="VBJ105" s="3"/>
      <c r="VBK105" s="3"/>
      <c r="VBL105" s="3"/>
      <c r="VBM105" s="3"/>
      <c r="VBN105" s="3"/>
      <c r="VBO105" s="3"/>
      <c r="VBP105" s="3"/>
      <c r="VBQ105" s="3"/>
      <c r="VBR105" s="3"/>
      <c r="VBS105" s="3"/>
      <c r="VBT105" s="3"/>
      <c r="VBU105" s="3"/>
      <c r="VBV105" s="3"/>
      <c r="VBW105" s="3"/>
      <c r="VBX105" s="3"/>
      <c r="VBY105" s="3"/>
      <c r="VBZ105" s="3"/>
      <c r="VCA105" s="3"/>
      <c r="VCB105" s="3"/>
      <c r="VCC105" s="3"/>
      <c r="VCD105" s="3"/>
      <c r="VCE105" s="3"/>
      <c r="VCF105" s="3"/>
      <c r="VCG105" s="3"/>
      <c r="VCH105" s="3"/>
      <c r="VCI105" s="3"/>
      <c r="VCJ105" s="3"/>
      <c r="VCK105" s="3"/>
      <c r="VCL105" s="3"/>
      <c r="VCM105" s="3"/>
      <c r="VCN105" s="3"/>
      <c r="VCO105" s="3"/>
      <c r="VCP105" s="3"/>
      <c r="VCQ105" s="3"/>
      <c r="VCR105" s="3"/>
      <c r="VCS105" s="3"/>
      <c r="VCT105" s="3"/>
      <c r="VCU105" s="3"/>
      <c r="VCV105" s="3"/>
      <c r="VCW105" s="3"/>
      <c r="VCX105" s="3"/>
      <c r="VCY105" s="3"/>
      <c r="VCZ105" s="3"/>
      <c r="VDA105" s="3"/>
      <c r="VDB105" s="3"/>
      <c r="VDC105" s="3"/>
      <c r="VDD105" s="3"/>
      <c r="VDE105" s="3"/>
      <c r="VDF105" s="3"/>
      <c r="VDG105" s="3"/>
      <c r="VDH105" s="3"/>
      <c r="VDI105" s="3"/>
      <c r="VDJ105" s="3"/>
      <c r="VDK105" s="3"/>
      <c r="VDL105" s="3"/>
      <c r="VDM105" s="3"/>
      <c r="VDN105" s="3"/>
      <c r="VDO105" s="3"/>
      <c r="VDP105" s="3"/>
      <c r="VDQ105" s="3"/>
      <c r="VDR105" s="3"/>
      <c r="VDS105" s="3"/>
      <c r="VDT105" s="3"/>
      <c r="VDU105" s="3"/>
      <c r="VDV105" s="3"/>
      <c r="VDW105" s="3"/>
      <c r="VDX105" s="3"/>
      <c r="VDY105" s="3"/>
      <c r="VDZ105" s="3"/>
      <c r="VEA105" s="3"/>
      <c r="VEB105" s="3"/>
      <c r="VEC105" s="3"/>
      <c r="VED105" s="3"/>
      <c r="VEE105" s="3"/>
      <c r="VEF105" s="3"/>
      <c r="VEG105" s="3"/>
      <c r="VEH105" s="3"/>
      <c r="VEI105" s="3"/>
      <c r="VEJ105" s="3"/>
      <c r="VEK105" s="3"/>
      <c r="VEL105" s="3"/>
      <c r="VEM105" s="3"/>
      <c r="VEN105" s="3"/>
      <c r="VEO105" s="3"/>
      <c r="VEP105" s="3"/>
      <c r="VEQ105" s="3"/>
      <c r="VER105" s="3"/>
      <c r="VES105" s="3"/>
      <c r="VET105" s="3"/>
      <c r="VEU105" s="3"/>
      <c r="VEV105" s="3"/>
      <c r="VEW105" s="3"/>
      <c r="VEX105" s="3"/>
      <c r="VEY105" s="3"/>
      <c r="VEZ105" s="3"/>
      <c r="VFA105" s="3"/>
      <c r="VFB105" s="3"/>
      <c r="VFC105" s="3"/>
      <c r="VFD105" s="3"/>
      <c r="VFE105" s="3"/>
      <c r="VFF105" s="3"/>
      <c r="VFG105" s="3"/>
      <c r="VFH105" s="3"/>
      <c r="VFI105" s="3"/>
      <c r="VFJ105" s="3"/>
      <c r="VFK105" s="3"/>
      <c r="VFL105" s="3"/>
      <c r="VFM105" s="3"/>
      <c r="VFN105" s="3"/>
      <c r="VFO105" s="3"/>
      <c r="VFP105" s="3"/>
      <c r="VFQ105" s="3"/>
      <c r="VFR105" s="3"/>
      <c r="VFS105" s="3"/>
      <c r="VFT105" s="3"/>
      <c r="VFU105" s="3"/>
      <c r="VFV105" s="3"/>
      <c r="VFW105" s="3"/>
      <c r="VFX105" s="3"/>
      <c r="VFY105" s="3"/>
      <c r="VFZ105" s="3"/>
      <c r="VGA105" s="3"/>
      <c r="VGB105" s="3"/>
      <c r="VGC105" s="3"/>
      <c r="VGD105" s="3"/>
      <c r="VGE105" s="3"/>
      <c r="VGF105" s="3"/>
      <c r="VGG105" s="3"/>
      <c r="VGH105" s="3"/>
      <c r="VGI105" s="3"/>
      <c r="VGJ105" s="3"/>
      <c r="VGK105" s="3"/>
      <c r="VGL105" s="3"/>
      <c r="VGM105" s="3"/>
      <c r="VGN105" s="3"/>
      <c r="VGO105" s="3"/>
      <c r="VGP105" s="3"/>
      <c r="VGQ105" s="3"/>
      <c r="VGR105" s="3"/>
      <c r="VGS105" s="3"/>
      <c r="VGT105" s="3"/>
      <c r="VGU105" s="3"/>
      <c r="VGV105" s="3"/>
      <c r="VGW105" s="3"/>
      <c r="VGX105" s="3"/>
      <c r="VGY105" s="3"/>
      <c r="VGZ105" s="3"/>
      <c r="VHA105" s="3"/>
      <c r="VHB105" s="3"/>
      <c r="VHC105" s="3"/>
      <c r="VHD105" s="3"/>
      <c r="VHE105" s="3"/>
      <c r="VHF105" s="3"/>
      <c r="VHG105" s="3"/>
      <c r="VHH105" s="3"/>
      <c r="VHI105" s="3"/>
      <c r="VHJ105" s="3"/>
      <c r="VHK105" s="3"/>
      <c r="VHL105" s="3"/>
      <c r="VHM105" s="3"/>
      <c r="VHN105" s="3"/>
      <c r="VHO105" s="3"/>
      <c r="VHP105" s="3"/>
      <c r="VHQ105" s="3"/>
      <c r="VHR105" s="3"/>
      <c r="VHS105" s="3"/>
      <c r="VHT105" s="3"/>
      <c r="VHU105" s="3"/>
      <c r="VHV105" s="3"/>
      <c r="VHW105" s="3"/>
      <c r="VHX105" s="3"/>
      <c r="VHY105" s="3"/>
      <c r="VHZ105" s="3"/>
      <c r="VIA105" s="3"/>
      <c r="VIB105" s="3"/>
      <c r="VIC105" s="3"/>
      <c r="VID105" s="3"/>
      <c r="VIE105" s="3"/>
      <c r="VIF105" s="3"/>
      <c r="VIG105" s="3"/>
      <c r="VIH105" s="3"/>
      <c r="VII105" s="3"/>
      <c r="VIJ105" s="3"/>
      <c r="VIK105" s="3"/>
      <c r="VIL105" s="3"/>
      <c r="VIM105" s="3"/>
      <c r="VIN105" s="3"/>
      <c r="VIO105" s="3"/>
      <c r="VIP105" s="3"/>
      <c r="VIQ105" s="3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  <c r="VWP105"/>
      <c r="VWQ105"/>
      <c r="VWR105"/>
      <c r="VWS105"/>
      <c r="VWT105"/>
      <c r="VWU105"/>
      <c r="VWV105"/>
      <c r="VWW105"/>
      <c r="VWX105"/>
      <c r="VWY105"/>
      <c r="VWZ105"/>
      <c r="VXA105"/>
      <c r="VXB105"/>
      <c r="VXC105"/>
      <c r="VXD105"/>
      <c r="VXE105"/>
      <c r="VXF105"/>
      <c r="VXG105"/>
      <c r="VXH105"/>
      <c r="VXI105"/>
      <c r="VXJ105"/>
      <c r="VXK105"/>
      <c r="VXL105"/>
      <c r="VXM105"/>
      <c r="VXN105"/>
      <c r="VXO105"/>
      <c r="VXP105"/>
      <c r="VXQ105"/>
      <c r="VXR105"/>
      <c r="VXS105"/>
      <c r="VXT105"/>
    </row>
    <row r="106" spans="1:15516" s="1" customFormat="1" ht="14.25">
      <c r="B106" s="75"/>
      <c r="C106" s="248" t="s">
        <v>69</v>
      </c>
      <c r="D106" s="79"/>
      <c r="E106" s="75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126"/>
      <c r="AK106" s="181" t="s">
        <v>69</v>
      </c>
      <c r="AM106" s="127"/>
    </row>
    <row r="107" spans="1:15516" s="1" customFormat="1" ht="14.25">
      <c r="B107" s="75"/>
      <c r="C107" s="159" t="s">
        <v>82</v>
      </c>
      <c r="D107" s="79"/>
      <c r="E107" s="249" t="s">
        <v>71</v>
      </c>
      <c r="F107" s="64">
        <v>0</v>
      </c>
      <c r="G107" s="64">
        <v>0</v>
      </c>
      <c r="H107" s="64">
        <v>0</v>
      </c>
      <c r="I107" s="64">
        <v>0</v>
      </c>
      <c r="J107" s="64">
        <v>1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6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2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1</v>
      </c>
      <c r="AF107" s="64">
        <v>0</v>
      </c>
      <c r="AG107" s="64">
        <v>0</v>
      </c>
      <c r="AH107" s="64">
        <v>0</v>
      </c>
      <c r="AI107" s="64">
        <v>0</v>
      </c>
      <c r="AJ107" s="126"/>
      <c r="AK107" s="183">
        <f t="shared" ref="AK107:AK111" si="71">SUM(F107:AI107)</f>
        <v>10</v>
      </c>
      <c r="AM107" s="127"/>
    </row>
    <row r="108" spans="1:15516" s="1" customFormat="1" ht="14.25">
      <c r="B108" s="75"/>
      <c r="C108" s="159" t="s">
        <v>83</v>
      </c>
      <c r="D108" s="79"/>
      <c r="E108" s="249" t="s">
        <v>71</v>
      </c>
      <c r="F108" s="64">
        <v>0</v>
      </c>
      <c r="G108" s="64">
        <v>0</v>
      </c>
      <c r="H108" s="64">
        <v>0</v>
      </c>
      <c r="I108" s="64">
        <v>0</v>
      </c>
      <c r="J108" s="64">
        <v>7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13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8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126"/>
      <c r="AK108" s="183">
        <f t="shared" si="71"/>
        <v>28</v>
      </c>
      <c r="AM108" s="127"/>
    </row>
    <row r="109" spans="1:15516" s="1" customFormat="1" ht="14.25">
      <c r="B109" s="75"/>
      <c r="C109" s="248" t="s">
        <v>73</v>
      </c>
      <c r="D109" s="79"/>
      <c r="E109" s="75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126"/>
      <c r="AK109" s="181" t="s">
        <v>73</v>
      </c>
      <c r="AM109" s="127"/>
    </row>
    <row r="110" spans="1:15516" s="1" customFormat="1" ht="14.25">
      <c r="B110" s="75"/>
      <c r="C110" s="159" t="s">
        <v>82</v>
      </c>
      <c r="D110" s="79"/>
      <c r="E110" s="249" t="s">
        <v>73</v>
      </c>
      <c r="F110" s="64">
        <v>0</v>
      </c>
      <c r="G110" s="64">
        <v>0</v>
      </c>
      <c r="H110" s="64">
        <v>0</v>
      </c>
      <c r="I110" s="64">
        <v>0</v>
      </c>
      <c r="J110" s="64">
        <v>1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5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4</v>
      </c>
      <c r="AF110" s="64">
        <v>0</v>
      </c>
      <c r="AG110" s="64">
        <v>0</v>
      </c>
      <c r="AH110" s="64">
        <v>0</v>
      </c>
      <c r="AI110" s="64">
        <v>0</v>
      </c>
      <c r="AJ110" s="126"/>
      <c r="AK110" s="183">
        <f t="shared" si="71"/>
        <v>10</v>
      </c>
      <c r="AM110" s="127"/>
    </row>
    <row r="111" spans="1:15516" s="1" customFormat="1" ht="14.25">
      <c r="B111" s="75"/>
      <c r="C111" s="159" t="s">
        <v>83</v>
      </c>
      <c r="D111" s="79"/>
      <c r="E111" s="249" t="s">
        <v>73</v>
      </c>
      <c r="F111" s="64">
        <v>0</v>
      </c>
      <c r="G111" s="64">
        <v>0</v>
      </c>
      <c r="H111" s="64">
        <v>0</v>
      </c>
      <c r="I111" s="64">
        <v>0</v>
      </c>
      <c r="J111" s="64">
        <v>14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43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43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126"/>
      <c r="AK111" s="183">
        <f t="shared" si="71"/>
        <v>100</v>
      </c>
      <c r="AM111" s="127"/>
    </row>
    <row r="112" spans="1:15516" s="1" customFormat="1">
      <c r="A112" s="3"/>
      <c r="B112" s="61"/>
      <c r="C112" s="40" t="s">
        <v>80</v>
      </c>
      <c r="D112" s="59"/>
      <c r="E112" s="59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112"/>
      <c r="AD112" s="60"/>
      <c r="AE112" s="60"/>
      <c r="AF112" s="60"/>
      <c r="AG112" s="60"/>
      <c r="AH112" s="112"/>
      <c r="AI112" s="112"/>
      <c r="AJ112" s="116"/>
      <c r="AK112" s="233" t="s">
        <v>79</v>
      </c>
      <c r="AL112" s="3"/>
      <c r="AM112" s="3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3"/>
      <c r="ANB112" s="3"/>
      <c r="ANC112" s="3"/>
      <c r="AND112" s="3"/>
      <c r="ANE112" s="3"/>
      <c r="ANF112" s="3"/>
      <c r="ANG112" s="3"/>
      <c r="ANH112" s="3"/>
      <c r="ANI112" s="3"/>
      <c r="ANJ112" s="3"/>
      <c r="ANK112" s="3"/>
      <c r="ANL112" s="3"/>
      <c r="ANM112" s="3"/>
      <c r="ANN112" s="3"/>
      <c r="ANO112" s="3"/>
      <c r="ANP112" s="3"/>
      <c r="ANQ112" s="3"/>
      <c r="ANR112" s="3"/>
      <c r="ANS112" s="3"/>
      <c r="ANT112" s="3"/>
      <c r="ANU112" s="3"/>
      <c r="ANV112" s="3"/>
      <c r="ANW112" s="3"/>
      <c r="ANX112" s="3"/>
      <c r="ANY112" s="3"/>
      <c r="ANZ112" s="3"/>
      <c r="AOA112" s="3"/>
      <c r="AOB112" s="3"/>
      <c r="AOC112" s="3"/>
      <c r="AOD112" s="3"/>
      <c r="AOE112" s="3"/>
      <c r="AOF112" s="3"/>
      <c r="AOG112" s="3"/>
      <c r="AOH112" s="3"/>
      <c r="AOI112" s="3"/>
      <c r="AOJ112" s="3"/>
      <c r="AOK112" s="3"/>
      <c r="AOL112" s="3"/>
      <c r="AOM112" s="3"/>
      <c r="AON112" s="3"/>
      <c r="AOO112" s="3"/>
      <c r="AOP112" s="3"/>
      <c r="AOQ112" s="3"/>
      <c r="AOR112" s="3"/>
      <c r="AOS112" s="3"/>
      <c r="AOT112" s="3"/>
      <c r="AOU112" s="3"/>
      <c r="AOV112" s="3"/>
      <c r="AOW112" s="3"/>
      <c r="AOX112" s="3"/>
      <c r="AOY112" s="3"/>
      <c r="AOZ112" s="3"/>
      <c r="APA112" s="3"/>
      <c r="APB112" s="3"/>
      <c r="APC112" s="3"/>
      <c r="APD112" s="3"/>
      <c r="APE112" s="3"/>
      <c r="APF112" s="3"/>
      <c r="APG112" s="3"/>
      <c r="APH112" s="3"/>
      <c r="API112" s="3"/>
      <c r="APJ112" s="3"/>
      <c r="APK112" s="3"/>
      <c r="APL112" s="3"/>
      <c r="APM112" s="3"/>
      <c r="APN112" s="3"/>
      <c r="APO112" s="3"/>
      <c r="APP112" s="3"/>
      <c r="APQ112" s="3"/>
      <c r="APR112" s="3"/>
      <c r="APS112" s="3"/>
      <c r="APT112" s="3"/>
      <c r="APU112" s="3"/>
      <c r="APV112" s="3"/>
      <c r="APW112" s="3"/>
      <c r="APX112" s="3"/>
      <c r="APY112" s="3"/>
      <c r="APZ112" s="3"/>
      <c r="AQA112" s="3"/>
      <c r="AQB112" s="3"/>
      <c r="AQC112" s="3"/>
      <c r="AQD112" s="3"/>
      <c r="AQE112" s="3"/>
      <c r="AQF112" s="3"/>
      <c r="AQG112" s="3"/>
      <c r="AQH112" s="3"/>
      <c r="AQI112" s="3"/>
      <c r="AQJ112" s="3"/>
      <c r="AQK112" s="3"/>
      <c r="AQL112" s="3"/>
      <c r="AQM112" s="3"/>
      <c r="AQN112" s="3"/>
      <c r="AQO112" s="3"/>
      <c r="AQP112" s="3"/>
      <c r="AQQ112" s="3"/>
      <c r="AQR112" s="3"/>
      <c r="AQS112" s="3"/>
      <c r="AQT112" s="3"/>
      <c r="AQU112" s="3"/>
      <c r="AQV112" s="3"/>
      <c r="AQW112" s="3"/>
      <c r="AQX112" s="3"/>
      <c r="AQY112" s="3"/>
      <c r="AQZ112" s="3"/>
      <c r="ARA112" s="3"/>
      <c r="ARB112" s="3"/>
      <c r="ARC112" s="3"/>
      <c r="ARD112" s="3"/>
      <c r="ARE112" s="3"/>
      <c r="ARF112" s="3"/>
      <c r="ARG112" s="3"/>
      <c r="ARH112" s="3"/>
      <c r="ARI112" s="3"/>
      <c r="ARJ112" s="3"/>
      <c r="ARK112" s="3"/>
      <c r="ARL112" s="3"/>
      <c r="ARM112" s="3"/>
      <c r="ARN112" s="3"/>
      <c r="ARO112" s="3"/>
      <c r="ARP112" s="3"/>
      <c r="ARQ112" s="3"/>
      <c r="ARR112" s="3"/>
      <c r="ARS112" s="3"/>
      <c r="ART112" s="3"/>
      <c r="ARU112" s="3"/>
      <c r="ARV112" s="3"/>
      <c r="ARW112" s="3"/>
      <c r="ARX112" s="3"/>
      <c r="ARY112" s="3"/>
      <c r="ARZ112" s="3"/>
      <c r="ASA112" s="3"/>
      <c r="ASB112" s="3"/>
      <c r="ASC112" s="3"/>
      <c r="ASD112" s="3"/>
      <c r="ASE112" s="3"/>
      <c r="ASF112" s="3"/>
      <c r="ASG112" s="3"/>
      <c r="ASH112" s="3"/>
      <c r="ASI112" s="3"/>
      <c r="ASJ112" s="3"/>
      <c r="ASK112" s="3"/>
      <c r="ASL112" s="3"/>
      <c r="ASM112" s="3"/>
      <c r="ASN112" s="3"/>
      <c r="ASO112" s="3"/>
      <c r="ASP112" s="3"/>
      <c r="ASQ112" s="3"/>
      <c r="ASR112" s="3"/>
      <c r="ASS112" s="3"/>
      <c r="AST112" s="3"/>
      <c r="ASU112" s="3"/>
      <c r="ASV112" s="3"/>
      <c r="ASW112" s="3"/>
      <c r="ASX112" s="3"/>
      <c r="ASY112" s="3"/>
      <c r="ASZ112" s="3"/>
      <c r="ATA112" s="3"/>
      <c r="ATB112" s="3"/>
      <c r="ATC112" s="3"/>
      <c r="ATD112" s="3"/>
      <c r="ATE112" s="3"/>
      <c r="ATF112" s="3"/>
      <c r="ATG112" s="3"/>
      <c r="ATH112" s="3"/>
      <c r="ATI112" s="3"/>
      <c r="ATJ112" s="3"/>
      <c r="ATK112" s="3"/>
      <c r="ATL112" s="3"/>
      <c r="ATM112" s="3"/>
      <c r="ATN112" s="3"/>
      <c r="ATO112" s="3"/>
      <c r="ATP112" s="3"/>
      <c r="ATQ112" s="3"/>
      <c r="ATR112" s="3"/>
      <c r="ATS112" s="3"/>
      <c r="ATT112" s="3"/>
      <c r="ATU112" s="3"/>
      <c r="ATV112" s="3"/>
      <c r="ATW112" s="3"/>
      <c r="ATX112" s="3"/>
      <c r="ATY112" s="3"/>
      <c r="ATZ112" s="3"/>
      <c r="AUA112" s="3"/>
      <c r="AUB112" s="3"/>
      <c r="AUC112" s="3"/>
      <c r="AUD112" s="3"/>
      <c r="AUE112" s="3"/>
      <c r="AUF112" s="3"/>
      <c r="AUG112" s="3"/>
      <c r="AUH112" s="3"/>
      <c r="AUI112" s="3"/>
      <c r="AUJ112" s="3"/>
      <c r="AUK112" s="3"/>
      <c r="AUL112" s="3"/>
      <c r="AUM112" s="3"/>
      <c r="AUN112" s="3"/>
      <c r="AUO112" s="3"/>
      <c r="AUP112" s="3"/>
      <c r="AUQ112" s="3"/>
      <c r="AUR112" s="3"/>
      <c r="AUS112" s="3"/>
      <c r="AUT112" s="3"/>
      <c r="AUU112" s="3"/>
      <c r="AUV112" s="3"/>
      <c r="AUW112" s="3"/>
      <c r="AUX112" s="3"/>
      <c r="AUY112" s="3"/>
      <c r="AUZ112" s="3"/>
      <c r="AVA112" s="3"/>
      <c r="AVB112" s="3"/>
      <c r="AVC112" s="3"/>
      <c r="AVD112" s="3"/>
      <c r="AVE112" s="3"/>
      <c r="AVF112" s="3"/>
      <c r="AVG112" s="3"/>
      <c r="AVH112" s="3"/>
      <c r="AVI112" s="3"/>
      <c r="AVJ112" s="3"/>
      <c r="AVK112" s="3"/>
      <c r="AVL112" s="3"/>
      <c r="AVM112" s="3"/>
      <c r="AVN112" s="3"/>
      <c r="AVO112" s="3"/>
      <c r="AVP112" s="3"/>
      <c r="AVQ112" s="3"/>
      <c r="AVR112" s="3"/>
      <c r="AVS112" s="3"/>
      <c r="AVT112" s="3"/>
      <c r="AVU112" s="3"/>
      <c r="AVV112" s="3"/>
      <c r="AVW112" s="3"/>
      <c r="AVX112" s="3"/>
      <c r="AVY112" s="3"/>
      <c r="AVZ112" s="3"/>
      <c r="AWA112" s="3"/>
      <c r="AWB112" s="3"/>
      <c r="AWC112" s="3"/>
      <c r="AWD112" s="3"/>
      <c r="AWE112" s="3"/>
      <c r="AWF112" s="3"/>
      <c r="AWG112" s="3"/>
      <c r="AWH112" s="3"/>
      <c r="AWI112" s="3"/>
      <c r="AWJ112" s="3"/>
      <c r="AWK112" s="3"/>
      <c r="AWL112" s="3"/>
      <c r="AWM112" s="3"/>
      <c r="AWN112" s="3"/>
      <c r="AWO112" s="3"/>
      <c r="AWP112" s="3"/>
      <c r="AWQ112" s="3"/>
      <c r="AWR112" s="3"/>
      <c r="AWS112" s="3"/>
      <c r="AWT112" s="3"/>
      <c r="AWU112" s="3"/>
      <c r="AWV112" s="3"/>
      <c r="AWW112" s="3"/>
      <c r="AWX112" s="3"/>
      <c r="AWY112" s="3"/>
      <c r="AWZ112" s="3"/>
      <c r="AXA112" s="3"/>
      <c r="AXB112" s="3"/>
      <c r="AXC112" s="3"/>
      <c r="AXD112" s="3"/>
      <c r="AXE112" s="3"/>
      <c r="AXF112" s="3"/>
      <c r="AXG112" s="3"/>
      <c r="AXH112" s="3"/>
      <c r="AXI112" s="3"/>
      <c r="AXJ112" s="3"/>
      <c r="AXK112" s="3"/>
      <c r="AXL112" s="3"/>
      <c r="AXM112" s="3"/>
      <c r="AXN112" s="3"/>
      <c r="AXO112" s="3"/>
      <c r="AXP112" s="3"/>
      <c r="AXQ112" s="3"/>
      <c r="AXR112" s="3"/>
      <c r="AXS112" s="3"/>
      <c r="AXT112" s="3"/>
      <c r="AXU112" s="3"/>
      <c r="AXV112" s="3"/>
      <c r="AXW112" s="3"/>
      <c r="AXX112" s="3"/>
      <c r="AXY112" s="3"/>
      <c r="AXZ112" s="3"/>
      <c r="AYA112" s="3"/>
      <c r="AYB112" s="3"/>
      <c r="AYC112" s="3"/>
      <c r="AYD112" s="3"/>
      <c r="AYE112" s="3"/>
      <c r="AYF112" s="3"/>
      <c r="AYG112" s="3"/>
      <c r="AYH112" s="3"/>
      <c r="AYI112" s="3"/>
      <c r="AYJ112" s="3"/>
      <c r="AYK112" s="3"/>
      <c r="AYL112" s="3"/>
      <c r="AYM112" s="3"/>
      <c r="AYN112" s="3"/>
      <c r="AYO112" s="3"/>
      <c r="AYP112" s="3"/>
      <c r="AYQ112" s="3"/>
      <c r="AYR112" s="3"/>
      <c r="AYS112" s="3"/>
      <c r="AYT112" s="3"/>
      <c r="AYU112" s="3"/>
      <c r="AYV112" s="3"/>
      <c r="AYW112" s="3"/>
      <c r="AYX112" s="3"/>
      <c r="AYY112" s="3"/>
      <c r="AYZ112" s="3"/>
      <c r="AZA112" s="3"/>
      <c r="AZB112" s="3"/>
      <c r="AZC112" s="3"/>
      <c r="AZD112" s="3"/>
      <c r="AZE112" s="3"/>
      <c r="AZF112" s="3"/>
      <c r="AZG112" s="3"/>
      <c r="AZH112" s="3"/>
      <c r="AZI112" s="3"/>
      <c r="AZJ112" s="3"/>
      <c r="AZK112" s="3"/>
      <c r="AZL112" s="3"/>
      <c r="AZM112" s="3"/>
      <c r="AZN112" s="3"/>
      <c r="AZO112" s="3"/>
      <c r="AZP112" s="3"/>
      <c r="AZQ112" s="3"/>
      <c r="AZR112" s="3"/>
      <c r="AZS112" s="3"/>
      <c r="AZT112" s="3"/>
      <c r="AZU112" s="3"/>
      <c r="AZV112" s="3"/>
      <c r="AZW112" s="3"/>
      <c r="AZX112" s="3"/>
      <c r="AZY112" s="3"/>
      <c r="AZZ112" s="3"/>
      <c r="BAA112" s="3"/>
      <c r="BAB112" s="3"/>
      <c r="BAC112" s="3"/>
      <c r="BAD112" s="3"/>
      <c r="BAE112" s="3"/>
      <c r="BAF112" s="3"/>
      <c r="BAG112" s="3"/>
      <c r="BAH112" s="3"/>
      <c r="BAI112" s="3"/>
      <c r="BAJ112" s="3"/>
      <c r="BAK112" s="3"/>
      <c r="BAL112" s="3"/>
      <c r="BAM112" s="3"/>
      <c r="BAN112" s="3"/>
      <c r="BAO112" s="3"/>
      <c r="BAP112" s="3"/>
      <c r="BAQ112" s="3"/>
      <c r="BAR112" s="3"/>
      <c r="BAS112" s="3"/>
      <c r="BAT112" s="3"/>
      <c r="BAU112" s="3"/>
      <c r="BAV112" s="3"/>
      <c r="BAW112" s="3"/>
      <c r="BAX112" s="3"/>
      <c r="BAY112" s="3"/>
      <c r="BAZ112" s="3"/>
      <c r="BBA112" s="3"/>
      <c r="BBB112" s="3"/>
      <c r="BBC112" s="3"/>
      <c r="BBD112" s="3"/>
      <c r="BBE112" s="3"/>
      <c r="BBF112" s="3"/>
      <c r="BBG112" s="3"/>
      <c r="BBH112" s="3"/>
      <c r="BBI112" s="3"/>
      <c r="BBJ112" s="3"/>
      <c r="BBK112" s="3"/>
      <c r="BBL112" s="3"/>
      <c r="BBM112" s="3"/>
      <c r="BBN112" s="3"/>
      <c r="BBO112" s="3"/>
      <c r="BBP112" s="3"/>
      <c r="BBQ112" s="3"/>
      <c r="BBR112" s="3"/>
      <c r="BBS112" s="3"/>
      <c r="BBT112" s="3"/>
      <c r="BBU112" s="3"/>
      <c r="BBV112" s="3"/>
      <c r="BBW112" s="3"/>
      <c r="BBX112" s="3"/>
      <c r="BBY112" s="3"/>
      <c r="BBZ112" s="3"/>
      <c r="BCA112" s="3"/>
      <c r="BCB112" s="3"/>
      <c r="BCC112" s="3"/>
      <c r="BCD112" s="3"/>
      <c r="BCE112" s="3"/>
      <c r="BCF112" s="3"/>
      <c r="BCG112" s="3"/>
      <c r="BCH112" s="3"/>
      <c r="BCI112" s="3"/>
      <c r="BCJ112" s="3"/>
      <c r="BCK112" s="3"/>
      <c r="BCL112" s="3"/>
      <c r="BCM112" s="3"/>
      <c r="BCN112" s="3"/>
      <c r="BCO112" s="3"/>
      <c r="BCP112" s="3"/>
      <c r="BCQ112" s="3"/>
      <c r="BCR112" s="3"/>
      <c r="BCS112" s="3"/>
      <c r="BCT112" s="3"/>
      <c r="BCU112" s="3"/>
      <c r="BCV112" s="3"/>
      <c r="BCW112" s="3"/>
      <c r="BCX112" s="3"/>
      <c r="BCY112" s="3"/>
      <c r="BCZ112" s="3"/>
      <c r="BDA112" s="3"/>
      <c r="BDB112" s="3"/>
      <c r="BDC112" s="3"/>
      <c r="BDD112" s="3"/>
      <c r="BDE112" s="3"/>
      <c r="BDF112" s="3"/>
      <c r="BDG112" s="3"/>
      <c r="BDH112" s="3"/>
      <c r="BDI112" s="3"/>
      <c r="BDJ112" s="3"/>
      <c r="BDK112" s="3"/>
      <c r="BDL112" s="3"/>
      <c r="BDM112" s="3"/>
      <c r="BDN112" s="3"/>
      <c r="BDO112" s="3"/>
      <c r="BDP112" s="3"/>
      <c r="BDQ112" s="3"/>
      <c r="BDR112" s="3"/>
      <c r="BDS112" s="3"/>
      <c r="BDT112" s="3"/>
      <c r="BDU112" s="3"/>
      <c r="BDV112" s="3"/>
      <c r="BDW112" s="3"/>
      <c r="BDX112" s="3"/>
      <c r="BDY112" s="3"/>
      <c r="BDZ112" s="3"/>
      <c r="BEA112" s="3"/>
      <c r="BEB112" s="3"/>
      <c r="BEC112" s="3"/>
      <c r="BED112" s="3"/>
      <c r="BEE112" s="3"/>
      <c r="BEF112" s="3"/>
      <c r="BEG112" s="3"/>
      <c r="BEH112" s="3"/>
      <c r="BEI112" s="3"/>
      <c r="BEJ112" s="3"/>
      <c r="BEK112" s="3"/>
      <c r="BEL112" s="3"/>
      <c r="BEM112" s="3"/>
      <c r="BEN112" s="3"/>
      <c r="BEO112" s="3"/>
      <c r="BEP112" s="3"/>
      <c r="BEQ112" s="3"/>
      <c r="BER112" s="3"/>
      <c r="BES112" s="3"/>
      <c r="BET112" s="3"/>
      <c r="BEU112" s="3"/>
      <c r="BEV112" s="3"/>
      <c r="BEW112" s="3"/>
      <c r="BEX112" s="3"/>
      <c r="BEY112" s="3"/>
      <c r="BEZ112" s="3"/>
      <c r="BFA112" s="3"/>
      <c r="BFB112" s="3"/>
      <c r="BFC112" s="3"/>
      <c r="BFD112" s="3"/>
      <c r="BFE112" s="3"/>
      <c r="BFF112" s="3"/>
      <c r="BFG112" s="3"/>
      <c r="BFH112" s="3"/>
      <c r="BFI112" s="3"/>
      <c r="BFJ112" s="3"/>
      <c r="BFK112" s="3"/>
      <c r="BFL112" s="3"/>
      <c r="BFM112" s="3"/>
      <c r="BFN112" s="3"/>
      <c r="BFO112" s="3"/>
      <c r="BFP112" s="3"/>
      <c r="BFQ112" s="3"/>
      <c r="BFR112" s="3"/>
      <c r="BFS112" s="3"/>
      <c r="BFT112" s="3"/>
      <c r="BFU112" s="3"/>
      <c r="BFV112" s="3"/>
      <c r="BFW112" s="3"/>
      <c r="BFX112" s="3"/>
      <c r="BFY112" s="3"/>
      <c r="BFZ112" s="3"/>
      <c r="BGA112" s="3"/>
      <c r="BGB112" s="3"/>
      <c r="BGC112" s="3"/>
      <c r="BGD112" s="3"/>
      <c r="BGE112" s="3"/>
      <c r="BGF112" s="3"/>
      <c r="BGG112" s="3"/>
      <c r="BGH112" s="3"/>
      <c r="BGI112" s="3"/>
      <c r="BGJ112" s="3"/>
      <c r="BGK112" s="3"/>
      <c r="BGL112" s="3"/>
      <c r="BGM112" s="3"/>
      <c r="BGN112" s="3"/>
      <c r="BGO112" s="3"/>
      <c r="BGP112" s="3"/>
      <c r="BGQ112" s="3"/>
      <c r="BGR112" s="3"/>
      <c r="BGS112" s="3"/>
      <c r="BGT112" s="3"/>
      <c r="BGU112" s="3"/>
      <c r="BGV112" s="3"/>
      <c r="BGW112" s="3"/>
      <c r="BGX112" s="3"/>
      <c r="BGY112" s="3"/>
      <c r="BGZ112" s="3"/>
      <c r="BHA112" s="3"/>
      <c r="BHB112" s="3"/>
      <c r="BHC112" s="3"/>
      <c r="BHD112" s="3"/>
      <c r="BHE112" s="3"/>
      <c r="BHF112" s="3"/>
      <c r="BHG112" s="3"/>
      <c r="BHH112" s="3"/>
      <c r="BHI112" s="3"/>
      <c r="BHJ112" s="3"/>
      <c r="BHK112" s="3"/>
      <c r="BHL112" s="3"/>
      <c r="BHM112" s="3"/>
      <c r="BHN112" s="3"/>
      <c r="BHO112" s="3"/>
      <c r="BHP112" s="3"/>
      <c r="BHQ112" s="3"/>
      <c r="BHR112" s="3"/>
      <c r="BHS112" s="3"/>
      <c r="BHT112" s="3"/>
      <c r="BHU112" s="3"/>
      <c r="BHV112" s="3"/>
      <c r="BHW112" s="3"/>
      <c r="BHX112" s="3"/>
      <c r="BHY112" s="3"/>
      <c r="BHZ112" s="3"/>
      <c r="BIA112" s="3"/>
      <c r="BIB112" s="3"/>
      <c r="BIC112" s="3"/>
      <c r="BID112" s="3"/>
      <c r="BIE112" s="3"/>
      <c r="BIF112" s="3"/>
      <c r="BIG112" s="3"/>
      <c r="BIH112" s="3"/>
      <c r="BII112" s="3"/>
      <c r="BIJ112" s="3"/>
      <c r="BIK112" s="3"/>
      <c r="BIL112" s="3"/>
      <c r="BIM112" s="3"/>
      <c r="BIN112" s="3"/>
      <c r="BIO112" s="3"/>
      <c r="BIP112" s="3"/>
      <c r="BIQ112" s="3"/>
      <c r="BIR112" s="3"/>
      <c r="BIS112" s="3"/>
      <c r="BIT112" s="3"/>
      <c r="BIU112" s="3"/>
      <c r="BIV112" s="3"/>
      <c r="BIW112" s="3"/>
      <c r="BIX112" s="3"/>
      <c r="BIY112" s="3"/>
      <c r="BIZ112" s="3"/>
      <c r="BJA112" s="3"/>
      <c r="BJB112" s="3"/>
      <c r="BJC112" s="3"/>
      <c r="BJD112" s="3"/>
      <c r="BJE112" s="3"/>
      <c r="BJF112" s="3"/>
      <c r="BJG112" s="3"/>
      <c r="BJH112" s="3"/>
      <c r="BJI112" s="3"/>
      <c r="BJJ112" s="3"/>
      <c r="BJK112" s="3"/>
      <c r="BJL112" s="3"/>
      <c r="BJM112" s="3"/>
      <c r="BJN112" s="3"/>
      <c r="BJO112" s="3"/>
      <c r="BJP112" s="3"/>
      <c r="BJQ112" s="3"/>
      <c r="BJR112" s="3"/>
      <c r="BJS112" s="3"/>
      <c r="BJT112" s="3"/>
      <c r="BJU112" s="3"/>
      <c r="BJV112" s="3"/>
      <c r="BJW112" s="3"/>
      <c r="BJX112" s="3"/>
      <c r="BJY112" s="3"/>
      <c r="BJZ112" s="3"/>
      <c r="BKA112" s="3"/>
      <c r="BKB112" s="3"/>
      <c r="BKC112" s="3"/>
      <c r="BKD112" s="3"/>
      <c r="BKE112" s="3"/>
      <c r="BKF112" s="3"/>
      <c r="BKG112" s="3"/>
      <c r="BKH112" s="3"/>
      <c r="BKI112" s="3"/>
      <c r="BKJ112" s="3"/>
      <c r="BKK112" s="3"/>
      <c r="BKL112" s="3"/>
      <c r="BKM112" s="3"/>
      <c r="BKN112" s="3"/>
      <c r="BKO112" s="3"/>
      <c r="BKP112" s="3"/>
      <c r="BKQ112" s="3"/>
      <c r="BKR112" s="3"/>
      <c r="BKS112" s="3"/>
      <c r="BKT112" s="3"/>
      <c r="BKU112" s="3"/>
      <c r="BKV112" s="3"/>
      <c r="BKW112" s="3"/>
      <c r="BKX112" s="3"/>
      <c r="BKY112" s="3"/>
      <c r="BKZ112" s="3"/>
      <c r="BLA112" s="3"/>
      <c r="BLB112" s="3"/>
      <c r="BLC112" s="3"/>
      <c r="BLD112" s="3"/>
      <c r="BLE112" s="3"/>
      <c r="BLF112" s="3"/>
      <c r="BLG112" s="3"/>
      <c r="BLH112" s="3"/>
      <c r="BLI112" s="3"/>
      <c r="BLJ112" s="3"/>
      <c r="BLK112" s="3"/>
      <c r="BLL112" s="3"/>
      <c r="BLM112" s="3"/>
      <c r="BLN112" s="3"/>
      <c r="BLO112" s="3"/>
      <c r="BLP112" s="3"/>
      <c r="BLQ112" s="3"/>
      <c r="BLR112" s="3"/>
      <c r="BLS112" s="3"/>
      <c r="BLT112" s="3"/>
      <c r="BLU112" s="3"/>
      <c r="BLV112" s="3"/>
      <c r="BLW112" s="3"/>
      <c r="BLX112" s="3"/>
      <c r="BLY112" s="3"/>
      <c r="BLZ112" s="3"/>
      <c r="BMA112" s="3"/>
      <c r="BMB112" s="3"/>
      <c r="BMC112" s="3"/>
      <c r="BMD112" s="3"/>
      <c r="BME112" s="3"/>
      <c r="BMF112" s="3"/>
      <c r="BMG112" s="3"/>
      <c r="BMH112" s="3"/>
      <c r="BMI112" s="3"/>
      <c r="BMJ112" s="3"/>
      <c r="BMK112" s="3"/>
      <c r="BML112" s="3"/>
      <c r="BMM112" s="3"/>
      <c r="BMN112" s="3"/>
      <c r="BMO112" s="3"/>
      <c r="BMP112" s="3"/>
      <c r="BMQ112" s="3"/>
      <c r="BMR112" s="3"/>
      <c r="BMS112" s="3"/>
      <c r="BMT112" s="3"/>
      <c r="BMU112" s="3"/>
      <c r="BMV112" s="3"/>
      <c r="BMW112" s="3"/>
      <c r="BMX112" s="3"/>
      <c r="BMY112" s="3"/>
      <c r="BMZ112" s="3"/>
      <c r="BNA112" s="3"/>
      <c r="BNB112" s="3"/>
      <c r="BNC112" s="3"/>
      <c r="BND112" s="3"/>
      <c r="BNE112" s="3"/>
      <c r="BNF112" s="3"/>
      <c r="BNG112" s="3"/>
      <c r="BNH112" s="3"/>
      <c r="BNI112" s="3"/>
      <c r="BNJ112" s="3"/>
      <c r="BNK112" s="3"/>
      <c r="BNL112" s="3"/>
      <c r="BNM112" s="3"/>
      <c r="BNN112" s="3"/>
      <c r="BNO112" s="3"/>
      <c r="BNP112" s="3"/>
      <c r="BNQ112" s="3"/>
      <c r="BNR112" s="3"/>
      <c r="BNS112" s="3"/>
      <c r="BNT112" s="3"/>
      <c r="BNU112" s="3"/>
      <c r="BNV112" s="3"/>
      <c r="BNW112" s="3"/>
      <c r="BNX112" s="3"/>
      <c r="BNY112" s="3"/>
      <c r="BNZ112" s="3"/>
      <c r="BOA112" s="3"/>
      <c r="BOB112" s="3"/>
      <c r="BOC112" s="3"/>
      <c r="BOD112" s="3"/>
      <c r="BOE112" s="3"/>
      <c r="BOF112" s="3"/>
      <c r="BOG112" s="3"/>
      <c r="BOH112" s="3"/>
      <c r="BOI112" s="3"/>
      <c r="BOJ112" s="3"/>
      <c r="BOK112" s="3"/>
      <c r="BOL112" s="3"/>
      <c r="BOM112" s="3"/>
      <c r="BON112" s="3"/>
      <c r="BOO112" s="3"/>
      <c r="BOP112" s="3"/>
      <c r="BOQ112" s="3"/>
      <c r="BOR112" s="3"/>
      <c r="BOS112" s="3"/>
      <c r="BOT112" s="3"/>
      <c r="BOU112" s="3"/>
      <c r="BOV112" s="3"/>
      <c r="BOW112" s="3"/>
      <c r="BOX112" s="3"/>
      <c r="BOY112" s="3"/>
      <c r="BOZ112" s="3"/>
      <c r="BPA112" s="3"/>
      <c r="BPB112" s="3"/>
      <c r="BPC112" s="3"/>
      <c r="BPD112" s="3"/>
      <c r="BPE112" s="3"/>
      <c r="BPF112" s="3"/>
      <c r="BPG112" s="3"/>
      <c r="BPH112" s="3"/>
      <c r="BPI112" s="3"/>
      <c r="BPJ112" s="3"/>
      <c r="BPK112" s="3"/>
      <c r="BPL112" s="3"/>
      <c r="BPM112" s="3"/>
      <c r="BPN112" s="3"/>
      <c r="BPO112" s="3"/>
      <c r="BPP112" s="3"/>
      <c r="BPQ112" s="3"/>
      <c r="BPR112" s="3"/>
      <c r="BPS112" s="3"/>
      <c r="BPT112" s="3"/>
      <c r="BPU112" s="3"/>
      <c r="BPV112" s="3"/>
      <c r="BPW112" s="3"/>
      <c r="BPX112" s="3"/>
      <c r="BPY112" s="3"/>
      <c r="BPZ112" s="3"/>
      <c r="BQA112" s="3"/>
      <c r="BQB112" s="3"/>
      <c r="BQC112" s="3"/>
      <c r="BQD112" s="3"/>
      <c r="BQE112" s="3"/>
      <c r="BQF112" s="3"/>
      <c r="BQG112" s="3"/>
      <c r="BQH112" s="3"/>
      <c r="BQI112" s="3"/>
      <c r="BQJ112" s="3"/>
      <c r="BQK112" s="3"/>
      <c r="BQL112" s="3"/>
      <c r="BQM112" s="3"/>
      <c r="BQN112" s="3"/>
      <c r="BQO112" s="3"/>
      <c r="BQP112" s="3"/>
      <c r="BQQ112" s="3"/>
      <c r="BQR112" s="3"/>
      <c r="BQS112" s="3"/>
      <c r="BQT112" s="3"/>
      <c r="BQU112" s="3"/>
      <c r="BQV112" s="3"/>
      <c r="BQW112" s="3"/>
      <c r="BQX112" s="3"/>
      <c r="BQY112" s="3"/>
      <c r="BQZ112" s="3"/>
      <c r="BRA112" s="3"/>
      <c r="BRB112" s="3"/>
      <c r="BRC112" s="3"/>
      <c r="BRD112" s="3"/>
      <c r="BRE112" s="3"/>
      <c r="BRF112" s="3"/>
      <c r="BRG112" s="3"/>
      <c r="BRH112" s="3"/>
      <c r="BRI112" s="3"/>
      <c r="BRJ112" s="3"/>
      <c r="BRK112" s="3"/>
      <c r="BRL112" s="3"/>
      <c r="BRM112" s="3"/>
      <c r="BRN112" s="3"/>
      <c r="BRO112" s="3"/>
      <c r="BRP112" s="3"/>
      <c r="BRQ112" s="3"/>
      <c r="BRR112" s="3"/>
      <c r="BRS112" s="3"/>
      <c r="BRT112" s="3"/>
      <c r="BRU112" s="3"/>
      <c r="BRV112" s="3"/>
      <c r="BRW112" s="3"/>
      <c r="BRX112" s="3"/>
      <c r="BRY112" s="3"/>
      <c r="BRZ112" s="3"/>
      <c r="BSA112" s="3"/>
      <c r="BSB112" s="3"/>
      <c r="BSC112" s="3"/>
      <c r="BSD112" s="3"/>
      <c r="BSE112" s="3"/>
      <c r="BSF112" s="3"/>
      <c r="BSG112" s="3"/>
      <c r="BSH112" s="3"/>
      <c r="BSI112" s="3"/>
      <c r="BSJ112" s="3"/>
      <c r="BSK112" s="3"/>
      <c r="BSL112" s="3"/>
      <c r="BSM112" s="3"/>
      <c r="BSN112" s="3"/>
      <c r="BSO112" s="3"/>
      <c r="BSP112" s="3"/>
      <c r="BSQ112" s="3"/>
      <c r="BSR112" s="3"/>
      <c r="BSS112" s="3"/>
      <c r="BST112" s="3"/>
      <c r="BSU112" s="3"/>
      <c r="BSV112" s="3"/>
      <c r="BSW112" s="3"/>
      <c r="BSX112" s="3"/>
      <c r="BSY112" s="3"/>
      <c r="BSZ112" s="3"/>
      <c r="BTA112" s="3"/>
      <c r="BTB112" s="3"/>
      <c r="BTC112" s="3"/>
      <c r="BTD112" s="3"/>
      <c r="BTE112" s="3"/>
      <c r="BTF112" s="3"/>
      <c r="BTG112" s="3"/>
      <c r="BTH112" s="3"/>
      <c r="BTI112" s="3"/>
      <c r="BTJ112" s="3"/>
      <c r="BTK112" s="3"/>
      <c r="BTL112" s="3"/>
      <c r="BTM112" s="3"/>
      <c r="BTN112" s="3"/>
      <c r="BTO112" s="3"/>
      <c r="BTP112" s="3"/>
      <c r="BTQ112" s="3"/>
      <c r="BTR112" s="3"/>
      <c r="BTS112" s="3"/>
      <c r="BTT112" s="3"/>
      <c r="BTU112" s="3"/>
      <c r="BTV112" s="3"/>
      <c r="BTW112" s="3"/>
      <c r="BTX112" s="3"/>
      <c r="BTY112" s="3"/>
      <c r="BTZ112" s="3"/>
      <c r="BUA112" s="3"/>
      <c r="BUB112" s="3"/>
      <c r="BUC112" s="3"/>
      <c r="BUD112" s="3"/>
      <c r="BUE112" s="3"/>
      <c r="BUF112" s="3"/>
      <c r="BUG112" s="3"/>
      <c r="BUH112" s="3"/>
      <c r="BUI112" s="3"/>
      <c r="BUJ112" s="3"/>
      <c r="BUK112" s="3"/>
      <c r="BUL112" s="3"/>
      <c r="BUM112" s="3"/>
      <c r="BUN112" s="3"/>
      <c r="BUO112" s="3"/>
      <c r="BUP112" s="3"/>
      <c r="BUQ112" s="3"/>
      <c r="BUR112" s="3"/>
      <c r="BUS112" s="3"/>
      <c r="BUT112" s="3"/>
      <c r="BUU112" s="3"/>
      <c r="BUV112" s="3"/>
      <c r="BUW112" s="3"/>
      <c r="BUX112" s="3"/>
      <c r="BUY112" s="3"/>
      <c r="BUZ112" s="3"/>
      <c r="BVA112" s="3"/>
      <c r="BVB112" s="3"/>
      <c r="BVC112" s="3"/>
      <c r="BVD112" s="3"/>
      <c r="BVE112" s="3"/>
      <c r="BVF112" s="3"/>
      <c r="BVG112" s="3"/>
      <c r="BVH112" s="3"/>
      <c r="BVI112" s="3"/>
      <c r="BVJ112" s="3"/>
      <c r="BVK112" s="3"/>
      <c r="BVL112" s="3"/>
      <c r="BVM112" s="3"/>
      <c r="BVN112" s="3"/>
      <c r="BVO112" s="3"/>
      <c r="BVP112" s="3"/>
      <c r="BVQ112" s="3"/>
      <c r="BVR112" s="3"/>
      <c r="BVS112" s="3"/>
      <c r="BVT112" s="3"/>
      <c r="BVU112" s="3"/>
      <c r="BVV112" s="3"/>
      <c r="BVW112" s="3"/>
      <c r="BVX112" s="3"/>
      <c r="BVY112" s="3"/>
      <c r="BVZ112" s="3"/>
      <c r="BWA112" s="3"/>
      <c r="BWB112" s="3"/>
      <c r="BWC112" s="3"/>
      <c r="BWD112" s="3"/>
      <c r="BWE112" s="3"/>
      <c r="BWF112" s="3"/>
      <c r="BWG112" s="3"/>
      <c r="BWH112" s="3"/>
      <c r="BWI112" s="3"/>
      <c r="BWJ112" s="3"/>
      <c r="BWK112" s="3"/>
      <c r="BWL112" s="3"/>
      <c r="BWM112" s="3"/>
      <c r="BWN112" s="3"/>
      <c r="BWO112" s="3"/>
      <c r="BWP112" s="3"/>
      <c r="BWQ112" s="3"/>
      <c r="BWR112" s="3"/>
      <c r="BWS112" s="3"/>
      <c r="BWT112" s="3"/>
      <c r="BWU112" s="3"/>
      <c r="BWV112" s="3"/>
      <c r="BWW112" s="3"/>
      <c r="BWX112" s="3"/>
      <c r="BWY112" s="3"/>
      <c r="BWZ112" s="3"/>
      <c r="BXA112" s="3"/>
      <c r="BXB112" s="3"/>
      <c r="BXC112" s="3"/>
      <c r="BXD112" s="3"/>
      <c r="BXE112" s="3"/>
      <c r="BXF112" s="3"/>
      <c r="BXG112" s="3"/>
      <c r="BXH112" s="3"/>
      <c r="BXI112" s="3"/>
      <c r="BXJ112" s="3"/>
      <c r="BXK112" s="3"/>
      <c r="BXL112" s="3"/>
      <c r="BXM112" s="3"/>
      <c r="BXN112" s="3"/>
      <c r="BXO112" s="3"/>
      <c r="BXP112" s="3"/>
      <c r="BXQ112" s="3"/>
      <c r="BXR112" s="3"/>
      <c r="BXS112" s="3"/>
      <c r="BXT112" s="3"/>
      <c r="BXU112" s="3"/>
      <c r="BXV112" s="3"/>
      <c r="BXW112" s="3"/>
      <c r="BXX112" s="3"/>
      <c r="BXY112" s="3"/>
      <c r="BXZ112" s="3"/>
      <c r="BYA112" s="3"/>
      <c r="BYB112" s="3"/>
      <c r="BYC112" s="3"/>
      <c r="BYD112" s="3"/>
      <c r="BYE112" s="3"/>
      <c r="BYF112" s="3"/>
      <c r="BYG112" s="3"/>
      <c r="BYH112" s="3"/>
      <c r="BYI112" s="3"/>
      <c r="BYJ112" s="3"/>
      <c r="BYK112" s="3"/>
      <c r="BYL112" s="3"/>
      <c r="BYM112" s="3"/>
      <c r="BYN112" s="3"/>
      <c r="BYO112" s="3"/>
      <c r="BYP112" s="3"/>
      <c r="BYQ112" s="3"/>
      <c r="BYR112" s="3"/>
      <c r="BYS112" s="3"/>
      <c r="BYT112" s="3"/>
      <c r="BYU112" s="3"/>
      <c r="BYV112" s="3"/>
      <c r="BYW112" s="3"/>
      <c r="BYX112" s="3"/>
      <c r="BYY112" s="3"/>
      <c r="BYZ112" s="3"/>
      <c r="BZA112" s="3"/>
      <c r="BZB112" s="3"/>
      <c r="BZC112" s="3"/>
      <c r="BZD112" s="3"/>
      <c r="BZE112" s="3"/>
      <c r="BZF112" s="3"/>
      <c r="BZG112" s="3"/>
      <c r="BZH112" s="3"/>
      <c r="BZI112" s="3"/>
      <c r="BZJ112" s="3"/>
      <c r="BZK112" s="3"/>
      <c r="BZL112" s="3"/>
      <c r="BZM112" s="3"/>
      <c r="BZN112" s="3"/>
      <c r="BZO112" s="3"/>
      <c r="BZP112" s="3"/>
      <c r="BZQ112" s="3"/>
      <c r="BZR112" s="3"/>
      <c r="BZS112" s="3"/>
      <c r="BZT112" s="3"/>
      <c r="BZU112" s="3"/>
      <c r="BZV112" s="3"/>
      <c r="BZW112" s="3"/>
      <c r="BZX112" s="3"/>
      <c r="BZY112" s="3"/>
      <c r="BZZ112" s="3"/>
      <c r="CAA112" s="3"/>
      <c r="CAB112" s="3"/>
      <c r="CAC112" s="3"/>
      <c r="CAD112" s="3"/>
      <c r="CAE112" s="3"/>
      <c r="CAF112" s="3"/>
      <c r="CAG112" s="3"/>
      <c r="CAH112" s="3"/>
      <c r="CAI112" s="3"/>
      <c r="CAJ112" s="3"/>
      <c r="CAK112" s="3"/>
      <c r="CAL112" s="3"/>
      <c r="CAM112" s="3"/>
      <c r="CAN112" s="3"/>
      <c r="CAO112" s="3"/>
      <c r="CAP112" s="3"/>
      <c r="CAQ112" s="3"/>
      <c r="CAR112" s="3"/>
      <c r="CAS112" s="3"/>
      <c r="CAT112" s="3"/>
      <c r="CAU112" s="3"/>
      <c r="CAV112" s="3"/>
      <c r="CAW112" s="3"/>
      <c r="CAX112" s="3"/>
      <c r="CAY112" s="3"/>
      <c r="CAZ112" s="3"/>
      <c r="CBA112" s="3"/>
      <c r="CBB112" s="3"/>
      <c r="CBC112" s="3"/>
      <c r="CBD112" s="3"/>
      <c r="CBE112" s="3"/>
      <c r="CBF112" s="3"/>
      <c r="CBG112" s="3"/>
      <c r="CBH112" s="3"/>
      <c r="CBI112" s="3"/>
      <c r="CBJ112" s="3"/>
      <c r="CBK112" s="3"/>
      <c r="CBL112" s="3"/>
      <c r="CBM112" s="3"/>
      <c r="CBN112" s="3"/>
      <c r="CBO112" s="3"/>
      <c r="CBP112" s="3"/>
      <c r="CBQ112" s="3"/>
      <c r="CBR112" s="3"/>
      <c r="CBS112" s="3"/>
      <c r="CBT112" s="3"/>
      <c r="CBU112" s="3"/>
      <c r="CBV112" s="3"/>
      <c r="CBW112" s="3"/>
      <c r="CBX112" s="3"/>
      <c r="CBY112" s="3"/>
      <c r="CBZ112" s="3"/>
      <c r="CCA112" s="3"/>
      <c r="CCB112" s="3"/>
      <c r="CCC112" s="3"/>
      <c r="CCD112" s="3"/>
      <c r="CCE112" s="3"/>
      <c r="CCF112" s="3"/>
      <c r="CCG112" s="3"/>
      <c r="CCH112" s="3"/>
      <c r="CCI112" s="3"/>
      <c r="CCJ112" s="3"/>
      <c r="CCK112" s="3"/>
      <c r="CCL112" s="3"/>
      <c r="CCM112" s="3"/>
      <c r="CCN112" s="3"/>
      <c r="CCO112" s="3"/>
      <c r="CCP112" s="3"/>
      <c r="CCQ112" s="3"/>
      <c r="CCR112" s="3"/>
      <c r="CCS112" s="3"/>
      <c r="CCT112" s="3"/>
      <c r="CCU112" s="3"/>
      <c r="CCV112" s="3"/>
      <c r="CCW112" s="3"/>
      <c r="CCX112" s="3"/>
      <c r="CCY112" s="3"/>
      <c r="CCZ112" s="3"/>
      <c r="CDA112" s="3"/>
      <c r="CDB112" s="3"/>
      <c r="CDC112" s="3"/>
      <c r="CDD112" s="3"/>
      <c r="CDE112" s="3"/>
      <c r="CDF112" s="3"/>
      <c r="CDG112" s="3"/>
      <c r="CDH112" s="3"/>
      <c r="CDI112" s="3"/>
      <c r="CDJ112" s="3"/>
      <c r="CDK112" s="3"/>
      <c r="CDL112" s="3"/>
      <c r="CDM112" s="3"/>
      <c r="CDN112" s="3"/>
      <c r="CDO112" s="3"/>
      <c r="CDP112" s="3"/>
      <c r="CDQ112" s="3"/>
      <c r="CDR112" s="3"/>
      <c r="CDS112" s="3"/>
      <c r="CDT112" s="3"/>
      <c r="CDU112" s="3"/>
      <c r="CDV112" s="3"/>
      <c r="CDW112" s="3"/>
      <c r="CDX112" s="3"/>
      <c r="CDY112" s="3"/>
      <c r="CDZ112" s="3"/>
      <c r="CEA112" s="3"/>
      <c r="CEB112" s="3"/>
      <c r="CEC112" s="3"/>
      <c r="CED112" s="3"/>
      <c r="CEE112" s="3"/>
      <c r="CEF112" s="3"/>
      <c r="CEG112" s="3"/>
      <c r="CEH112" s="3"/>
      <c r="CEI112" s="3"/>
      <c r="CEJ112" s="3"/>
      <c r="CEK112" s="3"/>
      <c r="CEL112" s="3"/>
      <c r="CEM112" s="3"/>
      <c r="CEN112" s="3"/>
      <c r="CEO112" s="3"/>
      <c r="CEP112" s="3"/>
      <c r="CEQ112" s="3"/>
      <c r="CER112" s="3"/>
      <c r="CES112" s="3"/>
      <c r="CET112" s="3"/>
      <c r="CEU112" s="3"/>
      <c r="CEV112" s="3"/>
      <c r="CEW112" s="3"/>
      <c r="CEX112" s="3"/>
      <c r="CEY112" s="3"/>
      <c r="CEZ112" s="3"/>
      <c r="CFA112" s="3"/>
      <c r="CFB112" s="3"/>
      <c r="CFC112" s="3"/>
      <c r="CFD112" s="3"/>
      <c r="CFE112" s="3"/>
      <c r="CFF112" s="3"/>
      <c r="CFG112" s="3"/>
      <c r="CFH112" s="3"/>
      <c r="CFI112" s="3"/>
      <c r="CFJ112" s="3"/>
      <c r="CFK112" s="3"/>
      <c r="CFL112" s="3"/>
      <c r="CFM112" s="3"/>
      <c r="CFN112" s="3"/>
      <c r="CFO112" s="3"/>
      <c r="CFP112" s="3"/>
      <c r="CFQ112" s="3"/>
      <c r="CFR112" s="3"/>
      <c r="CFS112" s="3"/>
      <c r="CFT112" s="3"/>
      <c r="CFU112" s="3"/>
      <c r="CFV112" s="3"/>
      <c r="CFW112" s="3"/>
      <c r="CFX112" s="3"/>
      <c r="CFY112" s="3"/>
      <c r="CFZ112" s="3"/>
      <c r="CGA112" s="3"/>
      <c r="CGB112" s="3"/>
      <c r="CGC112" s="3"/>
      <c r="CGD112" s="3"/>
      <c r="CGE112" s="3"/>
      <c r="CGF112" s="3"/>
      <c r="CGG112" s="3"/>
      <c r="CGH112" s="3"/>
      <c r="CGI112" s="3"/>
      <c r="CGJ112" s="3"/>
      <c r="CGK112" s="3"/>
      <c r="CGL112" s="3"/>
      <c r="CGM112" s="3"/>
      <c r="CGN112" s="3"/>
      <c r="CGO112" s="3"/>
      <c r="CGP112" s="3"/>
      <c r="CGQ112" s="3"/>
      <c r="CGR112" s="3"/>
      <c r="CGS112" s="3"/>
      <c r="CGT112" s="3"/>
      <c r="CGU112" s="3"/>
      <c r="CGV112" s="3"/>
      <c r="CGW112" s="3"/>
      <c r="CGX112" s="3"/>
      <c r="CGY112" s="3"/>
      <c r="CGZ112" s="3"/>
      <c r="CHA112" s="3"/>
      <c r="CHB112" s="3"/>
      <c r="CHC112" s="3"/>
      <c r="CHD112" s="3"/>
      <c r="CHE112" s="3"/>
      <c r="CHF112" s="3"/>
      <c r="CHG112" s="3"/>
      <c r="CHH112" s="3"/>
      <c r="CHI112" s="3"/>
      <c r="CHJ112" s="3"/>
      <c r="CHK112" s="3"/>
      <c r="CHL112" s="3"/>
      <c r="CHM112" s="3"/>
      <c r="CHN112" s="3"/>
      <c r="CHO112" s="3"/>
      <c r="CHP112" s="3"/>
      <c r="CHQ112" s="3"/>
      <c r="CHR112" s="3"/>
      <c r="CHS112" s="3"/>
      <c r="CHT112" s="3"/>
      <c r="CHU112" s="3"/>
      <c r="CHV112" s="3"/>
      <c r="CHW112" s="3"/>
      <c r="CHX112" s="3"/>
      <c r="CHY112" s="3"/>
      <c r="CHZ112" s="3"/>
      <c r="CIA112" s="3"/>
      <c r="CIB112" s="3"/>
      <c r="CIC112" s="3"/>
      <c r="CID112" s="3"/>
      <c r="CIE112" s="3"/>
      <c r="CIF112" s="3"/>
      <c r="CIG112" s="3"/>
      <c r="CIH112" s="3"/>
      <c r="CII112" s="3"/>
      <c r="CIJ112" s="3"/>
      <c r="CIK112" s="3"/>
      <c r="CIL112" s="3"/>
      <c r="CIM112" s="3"/>
      <c r="CIN112" s="3"/>
      <c r="CIO112" s="3"/>
      <c r="CIP112" s="3"/>
      <c r="CIQ112" s="3"/>
      <c r="CIR112" s="3"/>
      <c r="CIS112" s="3"/>
      <c r="CIT112" s="3"/>
      <c r="CIU112" s="3"/>
      <c r="CIV112" s="3"/>
      <c r="CIW112" s="3"/>
      <c r="CIX112" s="3"/>
      <c r="CIY112" s="3"/>
      <c r="CIZ112" s="3"/>
      <c r="CJA112" s="3"/>
      <c r="CJB112" s="3"/>
      <c r="CJC112" s="3"/>
      <c r="CJD112" s="3"/>
      <c r="CJE112" s="3"/>
      <c r="CJF112" s="3"/>
      <c r="CJG112" s="3"/>
      <c r="CJH112" s="3"/>
      <c r="CJI112" s="3"/>
      <c r="CJJ112" s="3"/>
      <c r="CJK112" s="3"/>
      <c r="CJL112" s="3"/>
      <c r="CJM112" s="3"/>
      <c r="CJN112" s="3"/>
      <c r="CJO112" s="3"/>
      <c r="CJP112" s="3"/>
      <c r="CJQ112" s="3"/>
      <c r="CJR112" s="3"/>
      <c r="CJS112" s="3"/>
      <c r="CJT112" s="3"/>
      <c r="CJU112" s="3"/>
      <c r="CJV112" s="3"/>
      <c r="CJW112" s="3"/>
      <c r="CJX112" s="3"/>
      <c r="CJY112" s="3"/>
      <c r="CJZ112" s="3"/>
      <c r="CKA112" s="3"/>
      <c r="CKB112" s="3"/>
      <c r="CKC112" s="3"/>
      <c r="CKD112" s="3"/>
      <c r="CKE112" s="3"/>
      <c r="CKF112" s="3"/>
      <c r="CKG112" s="3"/>
      <c r="CKH112" s="3"/>
      <c r="CKI112" s="3"/>
      <c r="CKJ112" s="3"/>
      <c r="CKK112" s="3"/>
      <c r="CKL112" s="3"/>
      <c r="CKM112" s="3"/>
      <c r="CKN112" s="3"/>
      <c r="CKO112" s="3"/>
      <c r="CKP112" s="3"/>
      <c r="CKQ112" s="3"/>
      <c r="CKR112" s="3"/>
      <c r="CKS112" s="3"/>
      <c r="CKT112" s="3"/>
      <c r="CKU112" s="3"/>
      <c r="CKV112" s="3"/>
      <c r="CKW112" s="3"/>
      <c r="CKX112" s="3"/>
      <c r="CKY112" s="3"/>
      <c r="CKZ112" s="3"/>
      <c r="CLA112" s="3"/>
      <c r="CLB112" s="3"/>
      <c r="CLC112" s="3"/>
      <c r="CLD112" s="3"/>
      <c r="CLE112" s="3"/>
      <c r="CLF112" s="3"/>
      <c r="CLG112" s="3"/>
      <c r="CLH112" s="3"/>
      <c r="CLI112" s="3"/>
      <c r="CLJ112" s="3"/>
      <c r="CLK112" s="3"/>
      <c r="CLL112" s="3"/>
      <c r="CLM112" s="3"/>
      <c r="CLN112" s="3"/>
      <c r="CLO112" s="3"/>
      <c r="CLP112" s="3"/>
      <c r="CLQ112" s="3"/>
      <c r="CLR112" s="3"/>
      <c r="CLS112" s="3"/>
      <c r="CLT112" s="3"/>
      <c r="CLU112" s="3"/>
      <c r="CLV112" s="3"/>
      <c r="CLW112" s="3"/>
      <c r="CLX112" s="3"/>
      <c r="CLY112" s="3"/>
      <c r="CLZ112" s="3"/>
      <c r="CMA112" s="3"/>
      <c r="CMB112" s="3"/>
      <c r="CMC112" s="3"/>
      <c r="CMD112" s="3"/>
      <c r="CME112" s="3"/>
      <c r="CMF112" s="3"/>
      <c r="CMG112" s="3"/>
      <c r="CMH112" s="3"/>
      <c r="CMI112" s="3"/>
      <c r="CMJ112" s="3"/>
      <c r="CMK112" s="3"/>
      <c r="CML112" s="3"/>
      <c r="CMM112" s="3"/>
      <c r="CMN112" s="3"/>
      <c r="CMO112" s="3"/>
      <c r="CMP112" s="3"/>
      <c r="CMQ112" s="3"/>
      <c r="CMR112" s="3"/>
      <c r="CMS112" s="3"/>
      <c r="CMT112" s="3"/>
      <c r="CMU112" s="3"/>
      <c r="CMV112" s="3"/>
      <c r="CMW112" s="3"/>
      <c r="CMX112" s="3"/>
      <c r="CMY112" s="3"/>
      <c r="CMZ112" s="3"/>
      <c r="CNA112" s="3"/>
      <c r="CNB112" s="3"/>
      <c r="CNC112" s="3"/>
      <c r="CND112" s="3"/>
      <c r="CNE112" s="3"/>
      <c r="CNF112" s="3"/>
      <c r="CNG112" s="3"/>
      <c r="CNH112" s="3"/>
      <c r="CNI112" s="3"/>
      <c r="CNJ112" s="3"/>
      <c r="CNK112" s="3"/>
      <c r="CNL112" s="3"/>
      <c r="CNM112" s="3"/>
      <c r="CNN112" s="3"/>
      <c r="CNO112" s="3"/>
      <c r="CNP112" s="3"/>
      <c r="CNQ112" s="3"/>
      <c r="CNR112" s="3"/>
      <c r="CNS112" s="3"/>
      <c r="CNT112" s="3"/>
      <c r="CNU112" s="3"/>
      <c r="CNV112" s="3"/>
      <c r="CNW112" s="3"/>
      <c r="CNX112" s="3"/>
      <c r="CNY112" s="3"/>
      <c r="CNZ112" s="3"/>
      <c r="COA112" s="3"/>
      <c r="COB112" s="3"/>
      <c r="COC112" s="3"/>
      <c r="COD112" s="3"/>
      <c r="COE112" s="3"/>
      <c r="COF112" s="3"/>
      <c r="COG112" s="3"/>
      <c r="COH112" s="3"/>
      <c r="COI112" s="3"/>
      <c r="COJ112" s="3"/>
      <c r="COK112" s="3"/>
      <c r="COL112" s="3"/>
      <c r="COM112" s="3"/>
      <c r="CON112" s="3"/>
      <c r="COO112" s="3"/>
      <c r="COP112" s="3"/>
      <c r="COQ112" s="3"/>
      <c r="COR112" s="3"/>
      <c r="COS112" s="3"/>
      <c r="COT112" s="3"/>
      <c r="COU112" s="3"/>
      <c r="COV112" s="3"/>
      <c r="COW112" s="3"/>
      <c r="COX112" s="3"/>
      <c r="COY112" s="3"/>
      <c r="COZ112" s="3"/>
      <c r="CPA112" s="3"/>
      <c r="CPB112" s="3"/>
      <c r="CPC112" s="3"/>
      <c r="CPD112" s="3"/>
      <c r="CPE112" s="3"/>
      <c r="CPF112" s="3"/>
      <c r="CPG112" s="3"/>
      <c r="CPH112" s="3"/>
      <c r="CPI112" s="3"/>
      <c r="CPJ112" s="3"/>
      <c r="CPK112" s="3"/>
      <c r="CPL112" s="3"/>
      <c r="CPM112" s="3"/>
      <c r="CPN112" s="3"/>
      <c r="CPO112" s="3"/>
      <c r="CPP112" s="3"/>
      <c r="CPQ112" s="3"/>
      <c r="CPR112" s="3"/>
      <c r="CPS112" s="3"/>
      <c r="CPT112" s="3"/>
      <c r="CPU112" s="3"/>
      <c r="CPV112" s="3"/>
      <c r="CPW112" s="3"/>
      <c r="CPX112" s="3"/>
      <c r="CPY112" s="3"/>
      <c r="CPZ112" s="3"/>
      <c r="CQA112" s="3"/>
      <c r="CQB112" s="3"/>
      <c r="CQC112" s="3"/>
      <c r="CQD112" s="3"/>
      <c r="CQE112" s="3"/>
      <c r="CQF112" s="3"/>
      <c r="CQG112" s="3"/>
      <c r="CQH112" s="3"/>
      <c r="CQI112" s="3"/>
      <c r="CQJ112" s="3"/>
      <c r="CQK112" s="3"/>
      <c r="CQL112" s="3"/>
      <c r="CQM112" s="3"/>
      <c r="CQN112" s="3"/>
      <c r="CQO112" s="3"/>
      <c r="CQP112" s="3"/>
      <c r="CQQ112" s="3"/>
      <c r="CQR112" s="3"/>
      <c r="CQS112" s="3"/>
      <c r="CQT112" s="3"/>
      <c r="CQU112" s="3"/>
      <c r="CQV112" s="3"/>
      <c r="CQW112" s="3"/>
      <c r="CQX112" s="3"/>
      <c r="CQY112" s="3"/>
      <c r="CQZ112" s="3"/>
      <c r="CRA112" s="3"/>
      <c r="CRB112" s="3"/>
      <c r="CRC112" s="3"/>
      <c r="CRD112" s="3"/>
      <c r="CRE112" s="3"/>
      <c r="CRF112" s="3"/>
      <c r="CRG112" s="3"/>
      <c r="CRH112" s="3"/>
      <c r="CRI112" s="3"/>
      <c r="CRJ112" s="3"/>
      <c r="CRK112" s="3"/>
      <c r="CRL112" s="3"/>
      <c r="CRM112" s="3"/>
      <c r="CRN112" s="3"/>
      <c r="CRO112" s="3"/>
      <c r="CRP112" s="3"/>
      <c r="CRQ112" s="3"/>
      <c r="CRR112" s="3"/>
      <c r="CRS112" s="3"/>
      <c r="CRT112" s="3"/>
      <c r="CRU112" s="3"/>
      <c r="CRV112" s="3"/>
      <c r="CRW112" s="3"/>
      <c r="CRX112" s="3"/>
      <c r="CRY112" s="3"/>
      <c r="CRZ112" s="3"/>
      <c r="CSA112" s="3"/>
      <c r="CSB112" s="3"/>
      <c r="CSC112" s="3"/>
      <c r="CSD112" s="3"/>
      <c r="CSE112" s="3"/>
      <c r="CSF112" s="3"/>
      <c r="CSG112" s="3"/>
      <c r="CSH112" s="3"/>
      <c r="CSI112" s="3"/>
      <c r="CSJ112" s="3"/>
      <c r="CSK112" s="3"/>
      <c r="CSL112" s="3"/>
      <c r="CSM112" s="3"/>
      <c r="CSN112" s="3"/>
      <c r="CSO112" s="3"/>
      <c r="CSP112" s="3"/>
      <c r="CSQ112" s="3"/>
      <c r="CSR112" s="3"/>
      <c r="CSS112" s="3"/>
      <c r="CST112" s="3"/>
      <c r="CSU112" s="3"/>
      <c r="CSV112" s="3"/>
      <c r="CSW112" s="3"/>
      <c r="CSX112" s="3"/>
      <c r="CSY112" s="3"/>
      <c r="CSZ112" s="3"/>
      <c r="CTA112" s="3"/>
      <c r="CTB112" s="3"/>
      <c r="CTC112" s="3"/>
      <c r="CTD112" s="3"/>
      <c r="CTE112" s="3"/>
      <c r="CTF112" s="3"/>
      <c r="CTG112" s="3"/>
      <c r="CTH112" s="3"/>
      <c r="CTI112" s="3"/>
      <c r="CTJ112" s="3"/>
      <c r="CTK112" s="3"/>
      <c r="CTL112" s="3"/>
      <c r="CTM112" s="3"/>
      <c r="CTN112" s="3"/>
      <c r="CTO112" s="3"/>
      <c r="CTP112" s="3"/>
      <c r="CTQ112" s="3"/>
      <c r="CTR112" s="3"/>
      <c r="CTS112" s="3"/>
      <c r="CTT112" s="3"/>
      <c r="CTU112" s="3"/>
      <c r="CTV112" s="3"/>
      <c r="CTW112" s="3"/>
      <c r="CTX112" s="3"/>
      <c r="CTY112" s="3"/>
      <c r="CTZ112" s="3"/>
      <c r="CUA112" s="3"/>
      <c r="CUB112" s="3"/>
      <c r="CUC112" s="3"/>
      <c r="CUD112" s="3"/>
      <c r="CUE112" s="3"/>
      <c r="CUF112" s="3"/>
      <c r="CUG112" s="3"/>
      <c r="CUH112" s="3"/>
      <c r="CUI112" s="3"/>
      <c r="CUJ112" s="3"/>
      <c r="CUK112" s="3"/>
      <c r="CUL112" s="3"/>
      <c r="CUM112" s="3"/>
      <c r="CUN112" s="3"/>
      <c r="CUO112" s="3"/>
      <c r="CUP112" s="3"/>
      <c r="CUQ112" s="3"/>
      <c r="CUR112" s="3"/>
      <c r="CUS112" s="3"/>
      <c r="CUT112" s="3"/>
      <c r="CUU112" s="3"/>
      <c r="CUV112" s="3"/>
      <c r="CUW112" s="3"/>
      <c r="CUX112" s="3"/>
      <c r="CUY112" s="3"/>
      <c r="CUZ112" s="3"/>
      <c r="CVA112" s="3"/>
      <c r="CVB112" s="3"/>
      <c r="CVC112" s="3"/>
      <c r="CVD112" s="3"/>
      <c r="CVE112" s="3"/>
      <c r="CVF112" s="3"/>
      <c r="CVG112" s="3"/>
      <c r="CVH112" s="3"/>
      <c r="CVI112" s="3"/>
      <c r="CVJ112" s="3"/>
      <c r="CVK112" s="3"/>
      <c r="CVL112" s="3"/>
      <c r="CVM112" s="3"/>
      <c r="CVN112" s="3"/>
      <c r="CVO112" s="3"/>
      <c r="CVP112" s="3"/>
      <c r="CVQ112" s="3"/>
      <c r="CVR112" s="3"/>
      <c r="CVS112" s="3"/>
      <c r="CVT112" s="3"/>
      <c r="CVU112" s="3"/>
      <c r="CVV112" s="3"/>
      <c r="CVW112" s="3"/>
      <c r="CVX112" s="3"/>
      <c r="CVY112" s="3"/>
      <c r="CVZ112" s="3"/>
      <c r="CWA112" s="3"/>
      <c r="CWB112" s="3"/>
      <c r="CWC112" s="3"/>
      <c r="CWD112" s="3"/>
      <c r="CWE112" s="3"/>
      <c r="CWF112" s="3"/>
      <c r="CWG112" s="3"/>
      <c r="CWH112" s="3"/>
      <c r="CWI112" s="3"/>
      <c r="CWJ112" s="3"/>
      <c r="CWK112" s="3"/>
      <c r="CWL112" s="3"/>
      <c r="CWM112" s="3"/>
      <c r="CWN112" s="3"/>
      <c r="CWO112" s="3"/>
      <c r="CWP112" s="3"/>
      <c r="CWQ112" s="3"/>
      <c r="CWR112" s="3"/>
      <c r="CWS112" s="3"/>
      <c r="CWT112" s="3"/>
      <c r="CWU112" s="3"/>
      <c r="CWV112" s="3"/>
      <c r="CWW112" s="3"/>
      <c r="CWX112" s="3"/>
      <c r="CWY112" s="3"/>
      <c r="CWZ112" s="3"/>
      <c r="CXA112" s="3"/>
      <c r="CXB112" s="3"/>
      <c r="CXC112" s="3"/>
      <c r="CXD112" s="3"/>
      <c r="CXE112" s="3"/>
      <c r="CXF112" s="3"/>
      <c r="CXG112" s="3"/>
      <c r="CXH112" s="3"/>
      <c r="CXI112" s="3"/>
      <c r="CXJ112" s="3"/>
      <c r="CXK112" s="3"/>
      <c r="CXL112" s="3"/>
      <c r="CXM112" s="3"/>
      <c r="CXN112" s="3"/>
      <c r="CXO112" s="3"/>
      <c r="CXP112" s="3"/>
      <c r="CXQ112" s="3"/>
      <c r="CXR112" s="3"/>
      <c r="CXS112" s="3"/>
      <c r="CXT112" s="3"/>
      <c r="CXU112" s="3"/>
      <c r="CXV112" s="3"/>
      <c r="CXW112" s="3"/>
      <c r="CXX112" s="3"/>
      <c r="CXY112" s="3"/>
      <c r="CXZ112" s="3"/>
      <c r="CYA112" s="3"/>
      <c r="CYB112" s="3"/>
      <c r="CYC112" s="3"/>
      <c r="CYD112" s="3"/>
      <c r="CYE112" s="3"/>
      <c r="CYF112" s="3"/>
      <c r="CYG112" s="3"/>
      <c r="CYH112" s="3"/>
      <c r="CYI112" s="3"/>
      <c r="CYJ112" s="3"/>
      <c r="CYK112" s="3"/>
      <c r="CYL112" s="3"/>
      <c r="CYM112" s="3"/>
      <c r="CYN112" s="3"/>
      <c r="CYO112" s="3"/>
      <c r="CYP112" s="3"/>
      <c r="CYQ112" s="3"/>
      <c r="CYR112" s="3"/>
      <c r="CYS112" s="3"/>
      <c r="CYT112" s="3"/>
      <c r="CYU112" s="3"/>
      <c r="CYV112" s="3"/>
      <c r="CYW112" s="3"/>
      <c r="CYX112" s="3"/>
      <c r="CYY112" s="3"/>
      <c r="CYZ112" s="3"/>
      <c r="CZA112" s="3"/>
      <c r="CZB112" s="3"/>
      <c r="CZC112" s="3"/>
      <c r="CZD112" s="3"/>
      <c r="CZE112" s="3"/>
      <c r="CZF112" s="3"/>
      <c r="CZG112" s="3"/>
      <c r="CZH112" s="3"/>
      <c r="CZI112" s="3"/>
      <c r="CZJ112" s="3"/>
      <c r="CZK112" s="3"/>
      <c r="CZL112" s="3"/>
      <c r="CZM112" s="3"/>
      <c r="CZN112" s="3"/>
      <c r="CZO112" s="3"/>
      <c r="CZP112" s="3"/>
      <c r="CZQ112" s="3"/>
      <c r="CZR112" s="3"/>
      <c r="CZS112" s="3"/>
      <c r="CZT112" s="3"/>
      <c r="CZU112" s="3"/>
      <c r="CZV112" s="3"/>
      <c r="CZW112" s="3"/>
      <c r="CZX112" s="3"/>
      <c r="CZY112" s="3"/>
      <c r="CZZ112" s="3"/>
      <c r="DAA112" s="3"/>
      <c r="DAB112" s="3"/>
      <c r="DAC112" s="3"/>
      <c r="DAD112" s="3"/>
      <c r="DAE112" s="3"/>
      <c r="DAF112" s="3"/>
      <c r="DAG112" s="3"/>
      <c r="DAH112" s="3"/>
      <c r="DAI112" s="3"/>
      <c r="DAJ112" s="3"/>
      <c r="DAK112" s="3"/>
      <c r="DAL112" s="3"/>
      <c r="DAM112" s="3"/>
      <c r="DAN112" s="3"/>
      <c r="DAO112" s="3"/>
      <c r="DAP112" s="3"/>
      <c r="DAQ112" s="3"/>
      <c r="DAR112" s="3"/>
      <c r="DAS112" s="3"/>
      <c r="DAT112" s="3"/>
      <c r="DAU112" s="3"/>
      <c r="DAV112" s="3"/>
      <c r="DAW112" s="3"/>
      <c r="DAX112" s="3"/>
      <c r="DAY112" s="3"/>
      <c r="DAZ112" s="3"/>
      <c r="DBA112" s="3"/>
      <c r="DBB112" s="3"/>
      <c r="DBC112" s="3"/>
      <c r="DBD112" s="3"/>
      <c r="DBE112" s="3"/>
      <c r="DBF112" s="3"/>
      <c r="DBG112" s="3"/>
      <c r="DBH112" s="3"/>
      <c r="DBI112" s="3"/>
      <c r="DBJ112" s="3"/>
      <c r="DBK112" s="3"/>
      <c r="DBL112" s="3"/>
      <c r="DBM112" s="3"/>
      <c r="DBN112" s="3"/>
      <c r="DBO112" s="3"/>
      <c r="DBP112" s="3"/>
      <c r="DBQ112" s="3"/>
      <c r="DBR112" s="3"/>
      <c r="DBS112" s="3"/>
      <c r="DBT112" s="3"/>
      <c r="DBU112" s="3"/>
      <c r="DBV112" s="3"/>
      <c r="DBW112" s="3"/>
      <c r="DBX112" s="3"/>
      <c r="DBY112" s="3"/>
      <c r="DBZ112" s="3"/>
      <c r="DCA112" s="3"/>
      <c r="DCB112" s="3"/>
      <c r="DCC112" s="3"/>
      <c r="DCD112" s="3"/>
      <c r="DCE112" s="3"/>
      <c r="DCF112" s="3"/>
      <c r="DCG112" s="3"/>
      <c r="DCH112" s="3"/>
      <c r="DCI112" s="3"/>
      <c r="DCJ112" s="3"/>
      <c r="DCK112" s="3"/>
      <c r="DCL112" s="3"/>
      <c r="DCM112" s="3"/>
      <c r="DCN112" s="3"/>
      <c r="DCO112" s="3"/>
      <c r="DCP112" s="3"/>
      <c r="DCQ112" s="3"/>
      <c r="DCR112" s="3"/>
      <c r="DCS112" s="3"/>
      <c r="DCT112" s="3"/>
      <c r="DCU112" s="3"/>
      <c r="DCV112" s="3"/>
      <c r="DCW112" s="3"/>
      <c r="DCX112" s="3"/>
      <c r="DCY112" s="3"/>
      <c r="DCZ112" s="3"/>
      <c r="DDA112" s="3"/>
      <c r="DDB112" s="3"/>
      <c r="DDC112" s="3"/>
      <c r="DDD112" s="3"/>
      <c r="DDE112" s="3"/>
      <c r="DDF112" s="3"/>
      <c r="DDG112" s="3"/>
      <c r="DDH112" s="3"/>
      <c r="DDI112" s="3"/>
      <c r="DDJ112" s="3"/>
      <c r="DDK112" s="3"/>
      <c r="DDL112" s="3"/>
      <c r="DDM112" s="3"/>
      <c r="DDN112" s="3"/>
      <c r="DDO112" s="3"/>
      <c r="DDP112" s="3"/>
      <c r="DDQ112" s="3"/>
      <c r="DDR112" s="3"/>
      <c r="DDS112" s="3"/>
      <c r="DDT112" s="3"/>
      <c r="DDU112" s="3"/>
      <c r="DDV112" s="3"/>
      <c r="DDW112" s="3"/>
      <c r="DDX112" s="3"/>
      <c r="DDY112" s="3"/>
      <c r="DDZ112" s="3"/>
      <c r="DEA112" s="3"/>
      <c r="DEB112" s="3"/>
      <c r="DEC112" s="3"/>
      <c r="DED112" s="3"/>
      <c r="DEE112" s="3"/>
      <c r="DEF112" s="3"/>
      <c r="DEG112" s="3"/>
      <c r="DEH112" s="3"/>
      <c r="DEI112" s="3"/>
      <c r="DEJ112" s="3"/>
      <c r="DEK112" s="3"/>
      <c r="DEL112" s="3"/>
      <c r="DEM112" s="3"/>
      <c r="DEN112" s="3"/>
      <c r="DEO112" s="3"/>
      <c r="DEP112" s="3"/>
      <c r="DEQ112" s="3"/>
      <c r="DER112" s="3"/>
      <c r="DES112" s="3"/>
      <c r="DET112" s="3"/>
      <c r="DEU112" s="3"/>
      <c r="DEV112" s="3"/>
      <c r="DEW112" s="3"/>
      <c r="DEX112" s="3"/>
      <c r="DEY112" s="3"/>
      <c r="DEZ112" s="3"/>
      <c r="DFA112" s="3"/>
      <c r="DFB112" s="3"/>
      <c r="DFC112" s="3"/>
      <c r="DFD112" s="3"/>
      <c r="DFE112" s="3"/>
      <c r="DFF112" s="3"/>
      <c r="DFG112" s="3"/>
      <c r="DFH112" s="3"/>
      <c r="DFI112" s="3"/>
      <c r="DFJ112" s="3"/>
      <c r="DFK112" s="3"/>
      <c r="DFL112" s="3"/>
      <c r="DFM112" s="3"/>
      <c r="DFN112" s="3"/>
      <c r="DFO112" s="3"/>
      <c r="DFP112" s="3"/>
      <c r="DFQ112" s="3"/>
      <c r="DFR112" s="3"/>
      <c r="DFS112" s="3"/>
      <c r="DFT112" s="3"/>
      <c r="DFU112" s="3"/>
      <c r="DFV112" s="3"/>
      <c r="DFW112" s="3"/>
      <c r="DFX112" s="3"/>
      <c r="DFY112" s="3"/>
      <c r="DFZ112" s="3"/>
      <c r="DGA112" s="3"/>
      <c r="DGB112" s="3"/>
      <c r="DGC112" s="3"/>
      <c r="DGD112" s="3"/>
      <c r="DGE112" s="3"/>
      <c r="DGF112" s="3"/>
      <c r="DGG112" s="3"/>
      <c r="DGH112" s="3"/>
      <c r="DGI112" s="3"/>
      <c r="DGJ112" s="3"/>
      <c r="DGK112" s="3"/>
      <c r="DGL112" s="3"/>
      <c r="DGM112" s="3"/>
      <c r="DGN112" s="3"/>
      <c r="DGO112" s="3"/>
      <c r="DGP112" s="3"/>
      <c r="DGQ112" s="3"/>
      <c r="DGR112" s="3"/>
      <c r="DGS112" s="3"/>
      <c r="DGT112" s="3"/>
      <c r="DGU112" s="3"/>
      <c r="DGV112" s="3"/>
      <c r="DGW112" s="3"/>
      <c r="DGX112" s="3"/>
      <c r="DGY112" s="3"/>
      <c r="DGZ112" s="3"/>
      <c r="DHA112" s="3"/>
      <c r="DHB112" s="3"/>
      <c r="DHC112" s="3"/>
      <c r="DHD112" s="3"/>
      <c r="DHE112" s="3"/>
      <c r="DHF112" s="3"/>
      <c r="DHG112" s="3"/>
      <c r="DHH112" s="3"/>
      <c r="DHI112" s="3"/>
      <c r="DHJ112" s="3"/>
      <c r="DHK112" s="3"/>
      <c r="DHL112" s="3"/>
      <c r="DHM112" s="3"/>
      <c r="DHN112" s="3"/>
      <c r="DHO112" s="3"/>
      <c r="DHP112" s="3"/>
      <c r="DHQ112" s="3"/>
      <c r="DHR112" s="3"/>
      <c r="DHS112" s="3"/>
      <c r="DHT112" s="3"/>
      <c r="DHU112" s="3"/>
      <c r="DHV112" s="3"/>
      <c r="DHW112" s="3"/>
      <c r="DHX112" s="3"/>
      <c r="DHY112" s="3"/>
      <c r="DHZ112" s="3"/>
      <c r="DIA112" s="3"/>
      <c r="DIB112" s="3"/>
      <c r="DIC112" s="3"/>
      <c r="DID112" s="3"/>
      <c r="DIE112" s="3"/>
      <c r="DIF112" s="3"/>
      <c r="DIG112" s="3"/>
      <c r="DIH112" s="3"/>
      <c r="DII112" s="3"/>
      <c r="DIJ112" s="3"/>
      <c r="DIK112" s="3"/>
      <c r="DIL112" s="3"/>
      <c r="DIM112" s="3"/>
      <c r="DIN112" s="3"/>
      <c r="DIO112" s="3"/>
      <c r="DIP112" s="3"/>
      <c r="DIQ112" s="3"/>
      <c r="DIR112" s="3"/>
      <c r="DIS112" s="3"/>
      <c r="DIT112" s="3"/>
      <c r="DIU112" s="3"/>
      <c r="DIV112" s="3"/>
      <c r="DIW112" s="3"/>
      <c r="DIX112" s="3"/>
      <c r="DIY112" s="3"/>
      <c r="DIZ112" s="3"/>
      <c r="DJA112" s="3"/>
      <c r="DJB112" s="3"/>
      <c r="DJC112" s="3"/>
      <c r="DJD112" s="3"/>
      <c r="DJE112" s="3"/>
      <c r="DJF112" s="3"/>
      <c r="DJG112" s="3"/>
      <c r="DJH112" s="3"/>
      <c r="DJI112" s="3"/>
      <c r="DJJ112" s="3"/>
      <c r="DJK112" s="3"/>
      <c r="DJL112" s="3"/>
      <c r="DJM112" s="3"/>
      <c r="DJN112" s="3"/>
      <c r="DJO112" s="3"/>
      <c r="DJP112" s="3"/>
      <c r="DJQ112" s="3"/>
      <c r="DJR112" s="3"/>
      <c r="DJS112" s="3"/>
      <c r="DJT112" s="3"/>
      <c r="DJU112" s="3"/>
      <c r="DJV112" s="3"/>
      <c r="DJW112" s="3"/>
      <c r="DJX112" s="3"/>
      <c r="DJY112" s="3"/>
      <c r="DJZ112" s="3"/>
      <c r="DKA112" s="3"/>
      <c r="DKB112" s="3"/>
      <c r="DKC112" s="3"/>
      <c r="DKD112" s="3"/>
      <c r="DKE112" s="3"/>
      <c r="DKF112" s="3"/>
      <c r="DKG112" s="3"/>
      <c r="DKH112" s="3"/>
      <c r="DKI112" s="3"/>
      <c r="DKJ112" s="3"/>
      <c r="DKK112" s="3"/>
      <c r="DKL112" s="3"/>
      <c r="DKM112" s="3"/>
      <c r="DKN112" s="3"/>
      <c r="DKO112" s="3"/>
      <c r="DKP112" s="3"/>
      <c r="DKQ112" s="3"/>
      <c r="DKR112" s="3"/>
      <c r="DKS112" s="3"/>
      <c r="DKT112" s="3"/>
      <c r="DKU112" s="3"/>
      <c r="DKV112" s="3"/>
      <c r="DKW112" s="3"/>
      <c r="DKX112" s="3"/>
      <c r="DKY112" s="3"/>
      <c r="DKZ112" s="3"/>
      <c r="DLA112" s="3"/>
      <c r="DLB112" s="3"/>
      <c r="DLC112" s="3"/>
      <c r="DLD112" s="3"/>
      <c r="DLE112" s="3"/>
      <c r="DLF112" s="3"/>
      <c r="DLG112" s="3"/>
      <c r="DLH112" s="3"/>
      <c r="DLI112" s="3"/>
      <c r="DLJ112" s="3"/>
      <c r="DLK112" s="3"/>
      <c r="DLL112" s="3"/>
      <c r="DLM112" s="3"/>
      <c r="DLN112" s="3"/>
      <c r="DLO112" s="3"/>
      <c r="DLP112" s="3"/>
      <c r="DLQ112" s="3"/>
      <c r="DLR112" s="3"/>
      <c r="DLS112" s="3"/>
      <c r="DLT112" s="3"/>
      <c r="DLU112" s="3"/>
      <c r="DLV112" s="3"/>
      <c r="DLW112" s="3"/>
      <c r="DLX112" s="3"/>
      <c r="DLY112" s="3"/>
      <c r="DLZ112" s="3"/>
      <c r="DMA112" s="3"/>
      <c r="DMB112" s="3"/>
      <c r="DMC112" s="3"/>
      <c r="DMD112" s="3"/>
      <c r="DME112" s="3"/>
      <c r="DMF112" s="3"/>
      <c r="DMG112" s="3"/>
      <c r="DMH112" s="3"/>
      <c r="DMI112" s="3"/>
      <c r="DMJ112" s="3"/>
      <c r="DMK112" s="3"/>
      <c r="DML112" s="3"/>
      <c r="DMM112" s="3"/>
      <c r="DMN112" s="3"/>
      <c r="DMO112" s="3"/>
      <c r="DMP112" s="3"/>
      <c r="DMQ112" s="3"/>
      <c r="DMR112" s="3"/>
      <c r="DMS112" s="3"/>
      <c r="DMT112" s="3"/>
      <c r="DMU112" s="3"/>
      <c r="DMV112" s="3"/>
      <c r="DMW112" s="3"/>
      <c r="DMX112" s="3"/>
      <c r="DMY112" s="3"/>
      <c r="DMZ112" s="3"/>
      <c r="DNA112" s="3"/>
      <c r="DNB112" s="3"/>
      <c r="DNC112" s="3"/>
      <c r="DND112" s="3"/>
      <c r="DNE112" s="3"/>
      <c r="DNF112" s="3"/>
      <c r="DNG112" s="3"/>
      <c r="DNH112" s="3"/>
      <c r="DNI112" s="3"/>
      <c r="DNJ112" s="3"/>
      <c r="DNK112" s="3"/>
      <c r="DNL112" s="3"/>
      <c r="DNM112" s="3"/>
      <c r="DNN112" s="3"/>
      <c r="DNO112" s="3"/>
      <c r="DNP112" s="3"/>
      <c r="DNQ112" s="3"/>
      <c r="DNR112" s="3"/>
      <c r="DNS112" s="3"/>
      <c r="DNT112" s="3"/>
      <c r="DNU112" s="3"/>
      <c r="DNV112" s="3"/>
      <c r="DNW112" s="3"/>
      <c r="DNX112" s="3"/>
      <c r="DNY112" s="3"/>
      <c r="DNZ112" s="3"/>
      <c r="DOA112" s="3"/>
      <c r="DOB112" s="3"/>
      <c r="DOC112" s="3"/>
      <c r="DOD112" s="3"/>
      <c r="DOE112" s="3"/>
      <c r="DOF112" s="3"/>
      <c r="DOG112" s="3"/>
      <c r="DOH112" s="3"/>
      <c r="DOI112" s="3"/>
      <c r="DOJ112" s="3"/>
      <c r="DOK112" s="3"/>
      <c r="DOL112" s="3"/>
      <c r="DOM112" s="3"/>
      <c r="DON112" s="3"/>
      <c r="DOO112" s="3"/>
      <c r="DOP112" s="3"/>
      <c r="DOQ112" s="3"/>
      <c r="DOR112" s="3"/>
      <c r="DOS112" s="3"/>
      <c r="DOT112" s="3"/>
      <c r="DOU112" s="3"/>
      <c r="DOV112" s="3"/>
      <c r="DOW112" s="3"/>
      <c r="DOX112" s="3"/>
      <c r="DOY112" s="3"/>
      <c r="DOZ112" s="3"/>
      <c r="DPA112" s="3"/>
      <c r="DPB112" s="3"/>
      <c r="DPC112" s="3"/>
      <c r="DPD112" s="3"/>
      <c r="DPE112" s="3"/>
      <c r="DPF112" s="3"/>
      <c r="DPG112" s="3"/>
      <c r="DPH112" s="3"/>
      <c r="DPI112" s="3"/>
      <c r="DPJ112" s="3"/>
      <c r="DPK112" s="3"/>
      <c r="DPL112" s="3"/>
      <c r="DPM112" s="3"/>
      <c r="DPN112" s="3"/>
      <c r="DPO112" s="3"/>
      <c r="DPP112" s="3"/>
      <c r="DPQ112" s="3"/>
      <c r="DPR112" s="3"/>
      <c r="DPS112" s="3"/>
      <c r="DPT112" s="3"/>
      <c r="DPU112" s="3"/>
      <c r="DPV112" s="3"/>
      <c r="DPW112" s="3"/>
      <c r="DPX112" s="3"/>
      <c r="DPY112" s="3"/>
      <c r="DPZ112" s="3"/>
      <c r="DQA112" s="3"/>
      <c r="DQB112" s="3"/>
      <c r="DQC112" s="3"/>
      <c r="DQD112" s="3"/>
      <c r="DQE112" s="3"/>
      <c r="DQF112" s="3"/>
      <c r="DQG112" s="3"/>
      <c r="DQH112" s="3"/>
      <c r="DQI112" s="3"/>
      <c r="DQJ112" s="3"/>
      <c r="DQK112" s="3"/>
      <c r="DQL112" s="3"/>
      <c r="DQM112" s="3"/>
      <c r="DQN112" s="3"/>
      <c r="DQO112" s="3"/>
      <c r="DQP112" s="3"/>
      <c r="DQQ112" s="3"/>
      <c r="DQR112" s="3"/>
      <c r="DQS112" s="3"/>
      <c r="DQT112" s="3"/>
      <c r="DQU112" s="3"/>
      <c r="DQV112" s="3"/>
      <c r="DQW112" s="3"/>
      <c r="DQX112" s="3"/>
      <c r="DQY112" s="3"/>
      <c r="DQZ112" s="3"/>
      <c r="DRA112" s="3"/>
      <c r="DRB112" s="3"/>
      <c r="DRC112" s="3"/>
      <c r="DRD112" s="3"/>
      <c r="DRE112" s="3"/>
      <c r="DRF112" s="3"/>
      <c r="DRG112" s="3"/>
      <c r="DRH112" s="3"/>
      <c r="DRI112" s="3"/>
      <c r="DRJ112" s="3"/>
      <c r="DRK112" s="3"/>
      <c r="DRL112" s="3"/>
      <c r="DRM112" s="3"/>
      <c r="DRN112" s="3"/>
      <c r="DRO112" s="3"/>
      <c r="DRP112" s="3"/>
      <c r="DRQ112" s="3"/>
      <c r="DRR112" s="3"/>
      <c r="DRS112" s="3"/>
      <c r="DRT112" s="3"/>
      <c r="DRU112" s="3"/>
      <c r="DRV112" s="3"/>
      <c r="DRW112" s="3"/>
      <c r="DRX112" s="3"/>
      <c r="DRY112" s="3"/>
      <c r="DRZ112" s="3"/>
      <c r="DSA112" s="3"/>
      <c r="DSB112" s="3"/>
      <c r="DSC112" s="3"/>
      <c r="DSD112" s="3"/>
      <c r="DSE112" s="3"/>
      <c r="DSF112" s="3"/>
      <c r="DSG112" s="3"/>
      <c r="DSH112" s="3"/>
      <c r="DSI112" s="3"/>
      <c r="DSJ112" s="3"/>
      <c r="DSK112" s="3"/>
      <c r="DSL112" s="3"/>
      <c r="DSM112" s="3"/>
      <c r="DSN112" s="3"/>
      <c r="DSO112" s="3"/>
      <c r="DSP112" s="3"/>
      <c r="DSQ112" s="3"/>
      <c r="DSR112" s="3"/>
      <c r="DSS112" s="3"/>
      <c r="DST112" s="3"/>
      <c r="DSU112" s="3"/>
      <c r="DSV112" s="3"/>
      <c r="DSW112" s="3"/>
      <c r="DSX112" s="3"/>
      <c r="DSY112" s="3"/>
      <c r="DSZ112" s="3"/>
      <c r="DTA112" s="3"/>
      <c r="DTB112" s="3"/>
      <c r="DTC112" s="3"/>
      <c r="DTD112" s="3"/>
      <c r="DTE112" s="3"/>
      <c r="DTF112" s="3"/>
      <c r="DTG112" s="3"/>
      <c r="DTH112" s="3"/>
      <c r="DTI112" s="3"/>
      <c r="DTJ112" s="3"/>
      <c r="DTK112" s="3"/>
      <c r="DTL112" s="3"/>
      <c r="DTM112" s="3"/>
      <c r="DTN112" s="3"/>
      <c r="DTO112" s="3"/>
      <c r="DTP112" s="3"/>
      <c r="DTQ112" s="3"/>
      <c r="DTR112" s="3"/>
      <c r="DTS112" s="3"/>
      <c r="DTT112" s="3"/>
      <c r="DTU112" s="3"/>
      <c r="DTV112" s="3"/>
      <c r="DTW112" s="3"/>
      <c r="DTX112" s="3"/>
      <c r="DTY112" s="3"/>
      <c r="DTZ112" s="3"/>
      <c r="DUA112" s="3"/>
      <c r="DUB112" s="3"/>
      <c r="DUC112" s="3"/>
      <c r="DUD112" s="3"/>
      <c r="DUE112" s="3"/>
      <c r="DUF112" s="3"/>
      <c r="DUG112" s="3"/>
      <c r="DUH112" s="3"/>
      <c r="DUI112" s="3"/>
      <c r="DUJ112" s="3"/>
      <c r="DUK112" s="3"/>
      <c r="DUL112" s="3"/>
      <c r="DUM112" s="3"/>
      <c r="DUN112" s="3"/>
      <c r="DUO112" s="3"/>
      <c r="DUP112" s="3"/>
      <c r="DUQ112" s="3"/>
      <c r="DUR112" s="3"/>
      <c r="DUS112" s="3"/>
      <c r="DUT112" s="3"/>
      <c r="DUU112" s="3"/>
      <c r="DUV112" s="3"/>
      <c r="DUW112" s="3"/>
      <c r="DUX112" s="3"/>
      <c r="DUY112" s="3"/>
      <c r="DUZ112" s="3"/>
      <c r="DVA112" s="3"/>
      <c r="DVB112" s="3"/>
      <c r="DVC112" s="3"/>
      <c r="DVD112" s="3"/>
      <c r="DVE112" s="3"/>
      <c r="DVF112" s="3"/>
      <c r="DVG112" s="3"/>
      <c r="DVH112" s="3"/>
      <c r="DVI112" s="3"/>
      <c r="DVJ112" s="3"/>
      <c r="DVK112" s="3"/>
      <c r="DVL112" s="3"/>
      <c r="DVM112" s="3"/>
      <c r="DVN112" s="3"/>
      <c r="DVO112" s="3"/>
      <c r="DVP112" s="3"/>
      <c r="DVQ112" s="3"/>
      <c r="DVR112" s="3"/>
      <c r="DVS112" s="3"/>
      <c r="DVT112" s="3"/>
      <c r="DVU112" s="3"/>
      <c r="DVV112" s="3"/>
      <c r="DVW112" s="3"/>
      <c r="DVX112" s="3"/>
      <c r="DVY112" s="3"/>
      <c r="DVZ112" s="3"/>
      <c r="DWA112" s="3"/>
      <c r="DWB112" s="3"/>
      <c r="DWC112" s="3"/>
      <c r="DWD112" s="3"/>
      <c r="DWE112" s="3"/>
      <c r="DWF112" s="3"/>
      <c r="DWG112" s="3"/>
      <c r="DWH112" s="3"/>
      <c r="DWI112" s="3"/>
      <c r="DWJ112" s="3"/>
      <c r="DWK112" s="3"/>
      <c r="DWL112" s="3"/>
      <c r="DWM112" s="3"/>
      <c r="DWN112" s="3"/>
      <c r="DWO112" s="3"/>
      <c r="DWP112" s="3"/>
      <c r="DWQ112" s="3"/>
      <c r="DWR112" s="3"/>
      <c r="DWS112" s="3"/>
      <c r="DWT112" s="3"/>
      <c r="DWU112" s="3"/>
      <c r="DWV112" s="3"/>
      <c r="DWW112" s="3"/>
      <c r="DWX112" s="3"/>
      <c r="DWY112" s="3"/>
      <c r="DWZ112" s="3"/>
      <c r="DXA112" s="3"/>
      <c r="DXB112" s="3"/>
      <c r="DXC112" s="3"/>
      <c r="DXD112" s="3"/>
      <c r="DXE112" s="3"/>
      <c r="DXF112" s="3"/>
      <c r="DXG112" s="3"/>
      <c r="DXH112" s="3"/>
      <c r="DXI112" s="3"/>
      <c r="DXJ112" s="3"/>
      <c r="DXK112" s="3"/>
      <c r="DXL112" s="3"/>
      <c r="DXM112" s="3"/>
      <c r="DXN112" s="3"/>
      <c r="DXO112" s="3"/>
      <c r="DXP112" s="3"/>
      <c r="DXQ112" s="3"/>
      <c r="DXR112" s="3"/>
      <c r="DXS112" s="3"/>
      <c r="DXT112" s="3"/>
      <c r="DXU112" s="3"/>
      <c r="DXV112" s="3"/>
      <c r="DXW112" s="3"/>
      <c r="DXX112" s="3"/>
      <c r="DXY112" s="3"/>
      <c r="DXZ112" s="3"/>
      <c r="DYA112" s="3"/>
      <c r="DYB112" s="3"/>
      <c r="DYC112" s="3"/>
      <c r="DYD112" s="3"/>
      <c r="DYE112" s="3"/>
      <c r="DYF112" s="3"/>
      <c r="DYG112" s="3"/>
      <c r="DYH112" s="3"/>
      <c r="DYI112" s="3"/>
      <c r="DYJ112" s="3"/>
      <c r="DYK112" s="3"/>
      <c r="DYL112" s="3"/>
      <c r="DYM112" s="3"/>
      <c r="DYN112" s="3"/>
      <c r="DYO112" s="3"/>
      <c r="DYP112" s="3"/>
      <c r="DYQ112" s="3"/>
      <c r="DYR112" s="3"/>
      <c r="DYS112" s="3"/>
      <c r="DYT112" s="3"/>
      <c r="DYU112" s="3"/>
      <c r="DYV112" s="3"/>
      <c r="DYW112" s="3"/>
      <c r="DYX112" s="3"/>
      <c r="DYY112" s="3"/>
      <c r="DYZ112" s="3"/>
      <c r="DZA112" s="3"/>
      <c r="DZB112" s="3"/>
      <c r="DZC112" s="3"/>
      <c r="DZD112" s="3"/>
      <c r="DZE112" s="3"/>
      <c r="DZF112" s="3"/>
      <c r="DZG112" s="3"/>
      <c r="DZH112" s="3"/>
      <c r="DZI112" s="3"/>
      <c r="DZJ112" s="3"/>
      <c r="DZK112" s="3"/>
      <c r="DZL112" s="3"/>
      <c r="DZM112" s="3"/>
      <c r="DZN112" s="3"/>
      <c r="DZO112" s="3"/>
      <c r="DZP112" s="3"/>
      <c r="DZQ112" s="3"/>
      <c r="DZR112" s="3"/>
      <c r="DZS112" s="3"/>
      <c r="DZT112" s="3"/>
      <c r="DZU112" s="3"/>
      <c r="DZV112" s="3"/>
      <c r="DZW112" s="3"/>
      <c r="DZX112" s="3"/>
      <c r="DZY112" s="3"/>
      <c r="DZZ112" s="3"/>
      <c r="EAA112" s="3"/>
      <c r="EAB112" s="3"/>
      <c r="EAC112" s="3"/>
      <c r="EAD112" s="3"/>
      <c r="EAE112" s="3"/>
      <c r="EAF112" s="3"/>
      <c r="EAG112" s="3"/>
      <c r="EAH112" s="3"/>
      <c r="EAI112" s="3"/>
      <c r="EAJ112" s="3"/>
      <c r="EAK112" s="3"/>
      <c r="EAL112" s="3"/>
      <c r="EAM112" s="3"/>
      <c r="EAN112" s="3"/>
      <c r="EAO112" s="3"/>
      <c r="EAP112" s="3"/>
      <c r="EAQ112" s="3"/>
      <c r="EAR112" s="3"/>
      <c r="EAS112" s="3"/>
      <c r="EAT112" s="3"/>
      <c r="EAU112" s="3"/>
      <c r="EAV112" s="3"/>
      <c r="EAW112" s="3"/>
      <c r="EAX112" s="3"/>
      <c r="EAY112" s="3"/>
      <c r="EAZ112" s="3"/>
      <c r="EBA112" s="3"/>
      <c r="EBB112" s="3"/>
      <c r="EBC112" s="3"/>
      <c r="EBD112" s="3"/>
      <c r="EBE112" s="3"/>
      <c r="EBF112" s="3"/>
      <c r="EBG112" s="3"/>
      <c r="EBH112" s="3"/>
      <c r="EBI112" s="3"/>
      <c r="EBJ112" s="3"/>
      <c r="EBK112" s="3"/>
      <c r="EBL112" s="3"/>
      <c r="EBM112" s="3"/>
      <c r="EBN112" s="3"/>
      <c r="EBO112" s="3"/>
      <c r="EBP112" s="3"/>
      <c r="EBQ112" s="3"/>
      <c r="EBR112" s="3"/>
      <c r="EBS112" s="3"/>
      <c r="EBT112" s="3"/>
      <c r="EBU112" s="3"/>
      <c r="EBV112" s="3"/>
      <c r="EBW112" s="3"/>
      <c r="EBX112" s="3"/>
      <c r="EBY112" s="3"/>
      <c r="EBZ112" s="3"/>
      <c r="ECA112" s="3"/>
      <c r="ECB112" s="3"/>
      <c r="ECC112" s="3"/>
      <c r="ECD112" s="3"/>
      <c r="ECE112" s="3"/>
      <c r="ECF112" s="3"/>
      <c r="ECG112" s="3"/>
      <c r="ECH112" s="3"/>
      <c r="ECI112" s="3"/>
      <c r="ECJ112" s="3"/>
      <c r="ECK112" s="3"/>
      <c r="ECL112" s="3"/>
      <c r="ECM112" s="3"/>
      <c r="ECN112" s="3"/>
      <c r="ECO112" s="3"/>
      <c r="ECP112" s="3"/>
      <c r="ECQ112" s="3"/>
      <c r="ECR112" s="3"/>
      <c r="ECS112" s="3"/>
      <c r="ECT112" s="3"/>
      <c r="ECU112" s="3"/>
      <c r="ECV112" s="3"/>
      <c r="ECW112" s="3"/>
      <c r="ECX112" s="3"/>
      <c r="ECY112" s="3"/>
      <c r="ECZ112" s="3"/>
      <c r="EDA112" s="3"/>
      <c r="EDB112" s="3"/>
      <c r="EDC112" s="3"/>
      <c r="EDD112" s="3"/>
      <c r="EDE112" s="3"/>
      <c r="EDF112" s="3"/>
      <c r="EDG112" s="3"/>
      <c r="EDH112" s="3"/>
      <c r="EDI112" s="3"/>
      <c r="EDJ112" s="3"/>
      <c r="EDK112" s="3"/>
      <c r="EDL112" s="3"/>
      <c r="EDM112" s="3"/>
      <c r="EDN112" s="3"/>
      <c r="EDO112" s="3"/>
      <c r="EDP112" s="3"/>
      <c r="EDQ112" s="3"/>
      <c r="EDR112" s="3"/>
      <c r="EDS112" s="3"/>
      <c r="EDT112" s="3"/>
      <c r="EDU112" s="3"/>
      <c r="EDV112" s="3"/>
      <c r="EDW112" s="3"/>
      <c r="EDX112" s="3"/>
      <c r="EDY112" s="3"/>
      <c r="EDZ112" s="3"/>
      <c r="EEA112" s="3"/>
      <c r="EEB112" s="3"/>
      <c r="EEC112" s="3"/>
      <c r="EED112" s="3"/>
      <c r="EEE112" s="3"/>
      <c r="EEF112" s="3"/>
      <c r="EEG112" s="3"/>
      <c r="EEH112" s="3"/>
      <c r="EEI112" s="3"/>
      <c r="EEJ112" s="3"/>
      <c r="EEK112" s="3"/>
      <c r="EEL112" s="3"/>
      <c r="EEM112" s="3"/>
      <c r="EEN112" s="3"/>
      <c r="EEO112" s="3"/>
      <c r="EEP112" s="3"/>
      <c r="EEQ112" s="3"/>
      <c r="EER112" s="3"/>
      <c r="EES112" s="3"/>
      <c r="EET112" s="3"/>
      <c r="EEU112" s="3"/>
      <c r="EEV112" s="3"/>
      <c r="EEW112" s="3"/>
      <c r="EEX112" s="3"/>
      <c r="EEY112" s="3"/>
      <c r="EEZ112" s="3"/>
      <c r="EFA112" s="3"/>
      <c r="EFB112" s="3"/>
      <c r="EFC112" s="3"/>
      <c r="EFD112" s="3"/>
      <c r="EFE112" s="3"/>
      <c r="EFF112" s="3"/>
      <c r="EFG112" s="3"/>
      <c r="EFH112" s="3"/>
      <c r="EFI112" s="3"/>
      <c r="EFJ112" s="3"/>
      <c r="EFK112" s="3"/>
      <c r="EFL112" s="3"/>
      <c r="EFM112" s="3"/>
      <c r="EFN112" s="3"/>
      <c r="EFO112" s="3"/>
      <c r="EFP112" s="3"/>
      <c r="EFQ112" s="3"/>
      <c r="EFR112" s="3"/>
      <c r="EFS112" s="3"/>
      <c r="EFT112" s="3"/>
      <c r="EFU112" s="3"/>
      <c r="EFV112" s="3"/>
      <c r="EFW112" s="3"/>
      <c r="EFX112" s="3"/>
      <c r="EFY112" s="3"/>
      <c r="EFZ112" s="3"/>
      <c r="EGA112" s="3"/>
      <c r="EGB112" s="3"/>
      <c r="EGC112" s="3"/>
      <c r="EGD112" s="3"/>
      <c r="EGE112" s="3"/>
      <c r="EGF112" s="3"/>
      <c r="EGG112" s="3"/>
      <c r="EGH112" s="3"/>
      <c r="EGI112" s="3"/>
      <c r="EGJ112" s="3"/>
      <c r="EGK112" s="3"/>
      <c r="EGL112" s="3"/>
      <c r="EGM112" s="3"/>
      <c r="EGN112" s="3"/>
      <c r="EGO112" s="3"/>
      <c r="EGP112" s="3"/>
      <c r="EGQ112" s="3"/>
      <c r="EGR112" s="3"/>
      <c r="EGS112" s="3"/>
      <c r="EGT112" s="3"/>
      <c r="EGU112" s="3"/>
      <c r="EGV112" s="3"/>
      <c r="EGW112" s="3"/>
      <c r="EGX112" s="3"/>
      <c r="EGY112" s="3"/>
      <c r="EGZ112" s="3"/>
      <c r="EHA112" s="3"/>
      <c r="EHB112" s="3"/>
      <c r="EHC112" s="3"/>
      <c r="EHD112" s="3"/>
      <c r="EHE112" s="3"/>
      <c r="EHF112" s="3"/>
      <c r="EHG112" s="3"/>
      <c r="EHH112" s="3"/>
      <c r="EHI112" s="3"/>
      <c r="EHJ112" s="3"/>
      <c r="EHK112" s="3"/>
      <c r="EHL112" s="3"/>
      <c r="EHM112" s="3"/>
      <c r="EHN112" s="3"/>
      <c r="EHO112" s="3"/>
      <c r="EHP112" s="3"/>
      <c r="EHQ112" s="3"/>
      <c r="EHR112" s="3"/>
      <c r="EHS112" s="3"/>
      <c r="EHT112" s="3"/>
      <c r="EHU112" s="3"/>
      <c r="EHV112" s="3"/>
      <c r="EHW112" s="3"/>
      <c r="EHX112" s="3"/>
      <c r="EHY112" s="3"/>
      <c r="EHZ112" s="3"/>
      <c r="EIA112" s="3"/>
      <c r="EIB112" s="3"/>
      <c r="EIC112" s="3"/>
      <c r="EID112" s="3"/>
      <c r="EIE112" s="3"/>
      <c r="EIF112" s="3"/>
      <c r="EIG112" s="3"/>
      <c r="EIH112" s="3"/>
      <c r="EII112" s="3"/>
      <c r="EIJ112" s="3"/>
      <c r="EIK112" s="3"/>
      <c r="EIL112" s="3"/>
      <c r="EIM112" s="3"/>
      <c r="EIN112" s="3"/>
      <c r="EIO112" s="3"/>
      <c r="EIP112" s="3"/>
      <c r="EIQ112" s="3"/>
      <c r="EIR112" s="3"/>
      <c r="EIS112" s="3"/>
      <c r="EIT112" s="3"/>
      <c r="EIU112" s="3"/>
      <c r="EIV112" s="3"/>
      <c r="EIW112" s="3"/>
      <c r="EIX112" s="3"/>
      <c r="EIY112" s="3"/>
      <c r="EIZ112" s="3"/>
      <c r="EJA112" s="3"/>
      <c r="EJB112" s="3"/>
      <c r="EJC112" s="3"/>
      <c r="EJD112" s="3"/>
      <c r="EJE112" s="3"/>
      <c r="EJF112" s="3"/>
      <c r="EJG112" s="3"/>
      <c r="EJH112" s="3"/>
      <c r="EJI112" s="3"/>
      <c r="EJJ112" s="3"/>
      <c r="EJK112" s="3"/>
      <c r="EJL112" s="3"/>
      <c r="EJM112" s="3"/>
      <c r="EJN112" s="3"/>
      <c r="EJO112" s="3"/>
      <c r="EJP112" s="3"/>
      <c r="EJQ112" s="3"/>
      <c r="EJR112" s="3"/>
      <c r="EJS112" s="3"/>
      <c r="EJT112" s="3"/>
      <c r="EJU112" s="3"/>
      <c r="EJV112" s="3"/>
      <c r="EJW112" s="3"/>
      <c r="EJX112" s="3"/>
      <c r="EJY112" s="3"/>
      <c r="EJZ112" s="3"/>
      <c r="EKA112" s="3"/>
      <c r="EKB112" s="3"/>
      <c r="EKC112" s="3"/>
      <c r="EKD112" s="3"/>
      <c r="EKE112" s="3"/>
      <c r="EKF112" s="3"/>
      <c r="EKG112" s="3"/>
      <c r="EKH112" s="3"/>
      <c r="EKI112" s="3"/>
      <c r="EKJ112" s="3"/>
      <c r="EKK112" s="3"/>
      <c r="EKL112" s="3"/>
      <c r="EKM112" s="3"/>
      <c r="EKN112" s="3"/>
      <c r="EKO112" s="3"/>
      <c r="EKP112" s="3"/>
      <c r="EKQ112" s="3"/>
      <c r="EKR112" s="3"/>
      <c r="EKS112" s="3"/>
      <c r="EKT112" s="3"/>
      <c r="EKU112" s="3"/>
      <c r="EKV112" s="3"/>
      <c r="EKW112" s="3"/>
      <c r="EKX112" s="3"/>
      <c r="EKY112" s="3"/>
      <c r="EKZ112" s="3"/>
      <c r="ELA112" s="3"/>
      <c r="ELB112" s="3"/>
      <c r="ELC112" s="3"/>
      <c r="ELD112" s="3"/>
      <c r="ELE112" s="3"/>
      <c r="ELF112" s="3"/>
      <c r="ELG112" s="3"/>
      <c r="ELH112" s="3"/>
      <c r="ELI112" s="3"/>
      <c r="ELJ112" s="3"/>
      <c r="ELK112" s="3"/>
      <c r="ELL112" s="3"/>
      <c r="ELM112" s="3"/>
      <c r="ELN112" s="3"/>
      <c r="ELO112" s="3"/>
      <c r="ELP112" s="3"/>
      <c r="ELQ112" s="3"/>
      <c r="ELR112" s="3"/>
      <c r="ELS112" s="3"/>
      <c r="ELT112" s="3"/>
      <c r="ELU112" s="3"/>
      <c r="ELV112" s="3"/>
      <c r="ELW112" s="3"/>
      <c r="ELX112" s="3"/>
      <c r="ELY112" s="3"/>
      <c r="ELZ112" s="3"/>
      <c r="EMA112" s="3"/>
      <c r="EMB112" s="3"/>
      <c r="EMC112" s="3"/>
      <c r="EMD112" s="3"/>
      <c r="EME112" s="3"/>
      <c r="EMF112" s="3"/>
      <c r="EMG112" s="3"/>
      <c r="EMH112" s="3"/>
      <c r="EMI112" s="3"/>
      <c r="EMJ112" s="3"/>
      <c r="EMK112" s="3"/>
      <c r="EML112" s="3"/>
      <c r="EMM112" s="3"/>
      <c r="EMN112" s="3"/>
      <c r="EMO112" s="3"/>
      <c r="EMP112" s="3"/>
      <c r="EMQ112" s="3"/>
      <c r="EMR112" s="3"/>
      <c r="EMS112" s="3"/>
      <c r="EMT112" s="3"/>
      <c r="EMU112" s="3"/>
      <c r="EMV112" s="3"/>
      <c r="EMW112" s="3"/>
      <c r="EMX112" s="3"/>
      <c r="EMY112" s="3"/>
      <c r="EMZ112" s="3"/>
      <c r="ENA112" s="3"/>
      <c r="ENB112" s="3"/>
      <c r="ENC112" s="3"/>
      <c r="END112" s="3"/>
      <c r="ENE112" s="3"/>
      <c r="ENF112" s="3"/>
      <c r="ENG112" s="3"/>
      <c r="ENH112" s="3"/>
      <c r="ENI112" s="3"/>
      <c r="ENJ112" s="3"/>
      <c r="ENK112" s="3"/>
      <c r="ENL112" s="3"/>
      <c r="ENM112" s="3"/>
      <c r="ENN112" s="3"/>
      <c r="ENO112" s="3"/>
      <c r="ENP112" s="3"/>
      <c r="ENQ112" s="3"/>
      <c r="ENR112" s="3"/>
      <c r="ENS112" s="3"/>
      <c r="ENT112" s="3"/>
      <c r="ENU112" s="3"/>
      <c r="ENV112" s="3"/>
      <c r="ENW112" s="3"/>
      <c r="ENX112" s="3"/>
      <c r="ENY112" s="3"/>
      <c r="ENZ112" s="3"/>
      <c r="EOA112" s="3"/>
      <c r="EOB112" s="3"/>
      <c r="EOC112" s="3"/>
      <c r="EOD112" s="3"/>
      <c r="EOE112" s="3"/>
      <c r="EOF112" s="3"/>
      <c r="EOG112" s="3"/>
      <c r="EOH112" s="3"/>
      <c r="EOI112" s="3"/>
      <c r="EOJ112" s="3"/>
      <c r="EOK112" s="3"/>
      <c r="EOL112" s="3"/>
      <c r="EOM112" s="3"/>
      <c r="EON112" s="3"/>
      <c r="EOO112" s="3"/>
      <c r="EOP112" s="3"/>
      <c r="EOQ112" s="3"/>
      <c r="EOR112" s="3"/>
      <c r="EOS112" s="3"/>
      <c r="EOT112" s="3"/>
      <c r="EOU112" s="3"/>
      <c r="EOV112" s="3"/>
      <c r="EOW112" s="3"/>
      <c r="EOX112" s="3"/>
      <c r="EOY112" s="3"/>
      <c r="EOZ112" s="3"/>
      <c r="EPA112" s="3"/>
      <c r="EPB112" s="3"/>
      <c r="EPC112" s="3"/>
      <c r="EPD112" s="3"/>
      <c r="EPE112" s="3"/>
      <c r="EPF112" s="3"/>
      <c r="EPG112" s="3"/>
      <c r="EPH112" s="3"/>
      <c r="EPI112" s="3"/>
      <c r="EPJ112" s="3"/>
      <c r="EPK112" s="3"/>
      <c r="EPL112" s="3"/>
      <c r="EPM112" s="3"/>
      <c r="EPN112" s="3"/>
      <c r="EPO112" s="3"/>
      <c r="EPP112" s="3"/>
      <c r="EPQ112" s="3"/>
      <c r="EPR112" s="3"/>
      <c r="EPS112" s="3"/>
      <c r="EPT112" s="3"/>
      <c r="EPU112" s="3"/>
      <c r="EPV112" s="3"/>
      <c r="EPW112" s="3"/>
      <c r="EPX112" s="3"/>
      <c r="EPY112" s="3"/>
      <c r="EPZ112" s="3"/>
      <c r="EQA112" s="3"/>
      <c r="EQB112" s="3"/>
      <c r="EQC112" s="3"/>
      <c r="EQD112" s="3"/>
      <c r="EQE112" s="3"/>
      <c r="EQF112" s="3"/>
      <c r="EQG112" s="3"/>
      <c r="EQH112" s="3"/>
      <c r="EQI112" s="3"/>
      <c r="EQJ112" s="3"/>
      <c r="EQK112" s="3"/>
      <c r="EQL112" s="3"/>
      <c r="EQM112" s="3"/>
      <c r="EQN112" s="3"/>
      <c r="EQO112" s="3"/>
      <c r="EQP112" s="3"/>
      <c r="EQQ112" s="3"/>
      <c r="EQR112" s="3"/>
      <c r="EQS112" s="3"/>
      <c r="EQT112" s="3"/>
      <c r="EQU112" s="3"/>
      <c r="EQV112" s="3"/>
      <c r="EQW112" s="3"/>
      <c r="EQX112" s="3"/>
      <c r="EQY112" s="3"/>
      <c r="EQZ112" s="3"/>
      <c r="ERA112" s="3"/>
      <c r="ERB112" s="3"/>
      <c r="ERC112" s="3"/>
      <c r="ERD112" s="3"/>
      <c r="ERE112" s="3"/>
      <c r="ERF112" s="3"/>
      <c r="ERG112" s="3"/>
      <c r="ERH112" s="3"/>
      <c r="ERI112" s="3"/>
      <c r="ERJ112" s="3"/>
      <c r="ERK112" s="3"/>
      <c r="ERL112" s="3"/>
      <c r="ERM112" s="3"/>
      <c r="ERN112" s="3"/>
      <c r="ERO112" s="3"/>
      <c r="ERP112" s="3"/>
      <c r="ERQ112" s="3"/>
      <c r="ERR112" s="3"/>
      <c r="ERS112" s="3"/>
      <c r="ERT112" s="3"/>
      <c r="ERU112" s="3"/>
      <c r="ERV112" s="3"/>
      <c r="ERW112" s="3"/>
      <c r="ERX112" s="3"/>
      <c r="ERY112" s="3"/>
      <c r="ERZ112" s="3"/>
      <c r="ESA112" s="3"/>
      <c r="ESB112" s="3"/>
      <c r="ESC112" s="3"/>
      <c r="ESD112" s="3"/>
      <c r="ESE112" s="3"/>
      <c r="ESF112" s="3"/>
      <c r="ESG112" s="3"/>
      <c r="ESH112" s="3"/>
      <c r="ESI112" s="3"/>
      <c r="ESJ112" s="3"/>
      <c r="ESK112" s="3"/>
      <c r="ESL112" s="3"/>
      <c r="ESM112" s="3"/>
      <c r="ESN112" s="3"/>
      <c r="ESO112" s="3"/>
      <c r="ESP112" s="3"/>
      <c r="ESQ112" s="3"/>
      <c r="ESR112" s="3"/>
      <c r="ESS112" s="3"/>
      <c r="EST112" s="3"/>
      <c r="ESU112" s="3"/>
      <c r="ESV112" s="3"/>
      <c r="ESW112" s="3"/>
      <c r="ESX112" s="3"/>
      <c r="ESY112" s="3"/>
      <c r="ESZ112" s="3"/>
      <c r="ETA112" s="3"/>
      <c r="ETB112" s="3"/>
      <c r="ETC112" s="3"/>
      <c r="ETD112" s="3"/>
      <c r="ETE112" s="3"/>
      <c r="ETF112" s="3"/>
      <c r="ETG112" s="3"/>
      <c r="ETH112" s="3"/>
      <c r="ETI112" s="3"/>
      <c r="ETJ112" s="3"/>
      <c r="ETK112" s="3"/>
      <c r="ETL112" s="3"/>
      <c r="ETM112" s="3"/>
      <c r="ETN112" s="3"/>
      <c r="ETO112" s="3"/>
      <c r="ETP112" s="3"/>
      <c r="ETQ112" s="3"/>
      <c r="ETR112" s="3"/>
      <c r="ETS112" s="3"/>
      <c r="ETT112" s="3"/>
      <c r="ETU112" s="3"/>
      <c r="ETV112" s="3"/>
      <c r="ETW112" s="3"/>
      <c r="ETX112" s="3"/>
      <c r="ETY112" s="3"/>
      <c r="ETZ112" s="3"/>
      <c r="EUA112" s="3"/>
      <c r="EUB112" s="3"/>
      <c r="EUC112" s="3"/>
      <c r="EUD112" s="3"/>
      <c r="EUE112" s="3"/>
      <c r="EUF112" s="3"/>
      <c r="EUG112" s="3"/>
      <c r="EUH112" s="3"/>
      <c r="EUI112" s="3"/>
      <c r="EUJ112" s="3"/>
      <c r="EUK112" s="3"/>
      <c r="EUL112" s="3"/>
      <c r="EUM112" s="3"/>
      <c r="EUN112" s="3"/>
      <c r="EUO112" s="3"/>
      <c r="EUP112" s="3"/>
      <c r="EUQ112" s="3"/>
      <c r="EUR112" s="3"/>
      <c r="EUS112" s="3"/>
      <c r="EUT112" s="3"/>
      <c r="EUU112" s="3"/>
      <c r="EUV112" s="3"/>
      <c r="EUW112" s="3"/>
      <c r="EUX112" s="3"/>
      <c r="EUY112" s="3"/>
      <c r="EUZ112" s="3"/>
      <c r="EVA112" s="3"/>
      <c r="EVB112" s="3"/>
      <c r="EVC112" s="3"/>
      <c r="EVD112" s="3"/>
      <c r="EVE112" s="3"/>
      <c r="EVF112" s="3"/>
      <c r="EVG112" s="3"/>
      <c r="EVH112" s="3"/>
      <c r="EVI112" s="3"/>
      <c r="EVJ112" s="3"/>
      <c r="EVK112" s="3"/>
      <c r="EVL112" s="3"/>
      <c r="EVM112" s="3"/>
      <c r="EVN112" s="3"/>
      <c r="EVO112" s="3"/>
      <c r="EVP112" s="3"/>
      <c r="EVQ112" s="3"/>
      <c r="EVR112" s="3"/>
      <c r="EVS112" s="3"/>
      <c r="EVT112" s="3"/>
      <c r="EVU112" s="3"/>
      <c r="EVV112" s="3"/>
      <c r="EVW112" s="3"/>
      <c r="EVX112" s="3"/>
      <c r="EVY112" s="3"/>
      <c r="EVZ112" s="3"/>
      <c r="EWA112" s="3"/>
      <c r="EWB112" s="3"/>
      <c r="EWC112" s="3"/>
      <c r="EWD112" s="3"/>
      <c r="EWE112" s="3"/>
      <c r="EWF112" s="3"/>
      <c r="EWG112" s="3"/>
      <c r="EWH112" s="3"/>
      <c r="EWI112" s="3"/>
      <c r="EWJ112" s="3"/>
      <c r="EWK112" s="3"/>
      <c r="EWL112" s="3"/>
      <c r="EWM112" s="3"/>
      <c r="EWN112" s="3"/>
      <c r="EWO112" s="3"/>
      <c r="EWP112" s="3"/>
      <c r="EWQ112" s="3"/>
      <c r="EWR112" s="3"/>
      <c r="EWS112" s="3"/>
      <c r="EWT112" s="3"/>
      <c r="EWU112" s="3"/>
      <c r="EWV112" s="3"/>
      <c r="EWW112" s="3"/>
      <c r="EWX112" s="3"/>
      <c r="EWY112" s="3"/>
      <c r="EWZ112" s="3"/>
      <c r="EXA112" s="3"/>
      <c r="EXB112" s="3"/>
      <c r="EXC112" s="3"/>
      <c r="EXD112" s="3"/>
      <c r="EXE112" s="3"/>
      <c r="EXF112" s="3"/>
      <c r="EXG112" s="3"/>
      <c r="EXH112" s="3"/>
      <c r="EXI112" s="3"/>
      <c r="EXJ112" s="3"/>
      <c r="EXK112" s="3"/>
      <c r="EXL112" s="3"/>
      <c r="EXM112" s="3"/>
      <c r="EXN112" s="3"/>
      <c r="EXO112" s="3"/>
      <c r="EXP112" s="3"/>
      <c r="EXQ112" s="3"/>
      <c r="EXR112" s="3"/>
      <c r="EXS112" s="3"/>
      <c r="EXT112" s="3"/>
      <c r="EXU112" s="3"/>
      <c r="EXV112" s="3"/>
      <c r="EXW112" s="3"/>
      <c r="EXX112" s="3"/>
      <c r="EXY112" s="3"/>
      <c r="EXZ112" s="3"/>
      <c r="EYA112" s="3"/>
      <c r="EYB112" s="3"/>
      <c r="EYC112" s="3"/>
      <c r="EYD112" s="3"/>
      <c r="EYE112" s="3"/>
      <c r="EYF112" s="3"/>
      <c r="EYG112" s="3"/>
      <c r="EYH112" s="3"/>
      <c r="EYI112" s="3"/>
      <c r="EYJ112" s="3"/>
      <c r="EYK112" s="3"/>
      <c r="EYL112" s="3"/>
      <c r="EYM112" s="3"/>
      <c r="EYN112" s="3"/>
      <c r="EYO112" s="3"/>
      <c r="EYP112" s="3"/>
      <c r="EYQ112" s="3"/>
      <c r="EYR112" s="3"/>
      <c r="EYS112" s="3"/>
      <c r="EYT112" s="3"/>
      <c r="EYU112" s="3"/>
      <c r="EYV112" s="3"/>
      <c r="EYW112" s="3"/>
      <c r="EYX112" s="3"/>
      <c r="EYY112" s="3"/>
      <c r="EYZ112" s="3"/>
      <c r="EZA112" s="3"/>
      <c r="EZB112" s="3"/>
      <c r="EZC112" s="3"/>
      <c r="EZD112" s="3"/>
      <c r="EZE112" s="3"/>
      <c r="EZF112" s="3"/>
      <c r="EZG112" s="3"/>
      <c r="EZH112" s="3"/>
      <c r="EZI112" s="3"/>
      <c r="EZJ112" s="3"/>
      <c r="EZK112" s="3"/>
      <c r="EZL112" s="3"/>
      <c r="EZM112" s="3"/>
      <c r="EZN112" s="3"/>
      <c r="EZO112" s="3"/>
      <c r="EZP112" s="3"/>
      <c r="EZQ112" s="3"/>
      <c r="EZR112" s="3"/>
      <c r="EZS112" s="3"/>
      <c r="EZT112" s="3"/>
      <c r="EZU112" s="3"/>
      <c r="EZV112" s="3"/>
      <c r="EZW112" s="3"/>
      <c r="EZX112" s="3"/>
      <c r="EZY112" s="3"/>
      <c r="EZZ112" s="3"/>
      <c r="FAA112" s="3"/>
      <c r="FAB112" s="3"/>
      <c r="FAC112" s="3"/>
      <c r="FAD112" s="3"/>
      <c r="FAE112" s="3"/>
      <c r="FAF112" s="3"/>
      <c r="FAG112" s="3"/>
      <c r="FAH112" s="3"/>
      <c r="FAI112" s="3"/>
      <c r="FAJ112" s="3"/>
      <c r="FAK112" s="3"/>
      <c r="FAL112" s="3"/>
      <c r="FAM112" s="3"/>
      <c r="FAN112" s="3"/>
      <c r="FAO112" s="3"/>
      <c r="FAP112" s="3"/>
      <c r="FAQ112" s="3"/>
      <c r="FAR112" s="3"/>
      <c r="FAS112" s="3"/>
      <c r="FAT112" s="3"/>
      <c r="FAU112" s="3"/>
      <c r="FAV112" s="3"/>
      <c r="FAW112" s="3"/>
      <c r="FAX112" s="3"/>
      <c r="FAY112" s="3"/>
      <c r="FAZ112" s="3"/>
      <c r="FBA112" s="3"/>
      <c r="FBB112" s="3"/>
      <c r="FBC112" s="3"/>
      <c r="FBD112" s="3"/>
      <c r="FBE112" s="3"/>
      <c r="FBF112" s="3"/>
      <c r="FBG112" s="3"/>
      <c r="FBH112" s="3"/>
      <c r="FBI112" s="3"/>
      <c r="FBJ112" s="3"/>
      <c r="FBK112" s="3"/>
      <c r="FBL112" s="3"/>
      <c r="FBM112" s="3"/>
      <c r="FBN112" s="3"/>
      <c r="FBO112" s="3"/>
      <c r="FBP112" s="3"/>
      <c r="FBQ112" s="3"/>
      <c r="FBR112" s="3"/>
      <c r="FBS112" s="3"/>
      <c r="FBT112" s="3"/>
      <c r="FBU112" s="3"/>
      <c r="FBV112" s="3"/>
      <c r="FBW112" s="3"/>
      <c r="FBX112" s="3"/>
      <c r="FBY112" s="3"/>
      <c r="FBZ112" s="3"/>
      <c r="FCA112" s="3"/>
      <c r="FCB112" s="3"/>
      <c r="FCC112" s="3"/>
      <c r="FCD112" s="3"/>
      <c r="FCE112" s="3"/>
      <c r="FCF112" s="3"/>
      <c r="FCG112" s="3"/>
      <c r="FCH112" s="3"/>
      <c r="FCI112" s="3"/>
      <c r="FCJ112" s="3"/>
      <c r="FCK112" s="3"/>
      <c r="FCL112" s="3"/>
      <c r="FCM112" s="3"/>
      <c r="FCN112" s="3"/>
      <c r="FCO112" s="3"/>
      <c r="FCP112" s="3"/>
      <c r="FCQ112" s="3"/>
      <c r="FCR112" s="3"/>
      <c r="FCS112" s="3"/>
      <c r="FCT112" s="3"/>
      <c r="FCU112" s="3"/>
      <c r="FCV112" s="3"/>
      <c r="FCW112" s="3"/>
      <c r="FCX112" s="3"/>
      <c r="FCY112" s="3"/>
      <c r="FCZ112" s="3"/>
      <c r="FDA112" s="3"/>
      <c r="FDB112" s="3"/>
      <c r="FDC112" s="3"/>
      <c r="FDD112" s="3"/>
      <c r="FDE112" s="3"/>
      <c r="FDF112" s="3"/>
      <c r="FDG112" s="3"/>
      <c r="FDH112" s="3"/>
      <c r="FDI112" s="3"/>
      <c r="FDJ112" s="3"/>
      <c r="FDK112" s="3"/>
      <c r="FDL112" s="3"/>
      <c r="FDM112" s="3"/>
      <c r="FDN112" s="3"/>
      <c r="FDO112" s="3"/>
      <c r="FDP112" s="3"/>
      <c r="FDQ112" s="3"/>
      <c r="FDR112" s="3"/>
      <c r="FDS112" s="3"/>
      <c r="FDT112" s="3"/>
      <c r="FDU112" s="3"/>
      <c r="FDV112" s="3"/>
      <c r="FDW112" s="3"/>
      <c r="FDX112" s="3"/>
      <c r="FDY112" s="3"/>
      <c r="FDZ112" s="3"/>
      <c r="FEA112" s="3"/>
      <c r="FEB112" s="3"/>
      <c r="FEC112" s="3"/>
      <c r="FED112" s="3"/>
      <c r="FEE112" s="3"/>
      <c r="FEF112" s="3"/>
      <c r="FEG112" s="3"/>
      <c r="FEH112" s="3"/>
      <c r="FEI112" s="3"/>
      <c r="FEJ112" s="3"/>
      <c r="FEK112" s="3"/>
      <c r="FEL112" s="3"/>
      <c r="FEM112" s="3"/>
      <c r="FEN112" s="3"/>
      <c r="FEO112" s="3"/>
      <c r="FEP112" s="3"/>
      <c r="FEQ112" s="3"/>
      <c r="FER112" s="3"/>
      <c r="FES112" s="3"/>
      <c r="FET112" s="3"/>
      <c r="FEU112" s="3"/>
      <c r="FEV112" s="3"/>
      <c r="FEW112" s="3"/>
      <c r="FEX112" s="3"/>
      <c r="FEY112" s="3"/>
      <c r="FEZ112" s="3"/>
      <c r="FFA112" s="3"/>
      <c r="FFB112" s="3"/>
      <c r="FFC112" s="3"/>
      <c r="FFD112" s="3"/>
      <c r="FFE112" s="3"/>
      <c r="FFF112" s="3"/>
      <c r="FFG112" s="3"/>
      <c r="FFH112" s="3"/>
      <c r="FFI112" s="3"/>
      <c r="FFJ112" s="3"/>
      <c r="FFK112" s="3"/>
      <c r="FFL112" s="3"/>
      <c r="FFM112" s="3"/>
      <c r="FFN112" s="3"/>
      <c r="FFO112" s="3"/>
      <c r="FFP112" s="3"/>
      <c r="FFQ112" s="3"/>
      <c r="FFR112" s="3"/>
      <c r="FFS112" s="3"/>
      <c r="FFT112" s="3"/>
      <c r="FFU112" s="3"/>
      <c r="FFV112" s="3"/>
      <c r="FFW112" s="3"/>
      <c r="FFX112" s="3"/>
      <c r="FFY112" s="3"/>
      <c r="FFZ112" s="3"/>
      <c r="FGA112" s="3"/>
      <c r="FGB112" s="3"/>
      <c r="FGC112" s="3"/>
      <c r="FGD112" s="3"/>
      <c r="FGE112" s="3"/>
      <c r="FGF112" s="3"/>
      <c r="FGG112" s="3"/>
      <c r="FGH112" s="3"/>
      <c r="FGI112" s="3"/>
      <c r="FGJ112" s="3"/>
      <c r="FGK112" s="3"/>
      <c r="FGL112" s="3"/>
      <c r="FGM112" s="3"/>
      <c r="FGN112" s="3"/>
      <c r="FGO112" s="3"/>
      <c r="FGP112" s="3"/>
      <c r="FGQ112" s="3"/>
      <c r="FGR112" s="3"/>
      <c r="FGS112" s="3"/>
      <c r="FGT112" s="3"/>
      <c r="FGU112" s="3"/>
      <c r="FGV112" s="3"/>
      <c r="FGW112" s="3"/>
      <c r="FGX112" s="3"/>
      <c r="FGY112" s="3"/>
      <c r="FGZ112" s="3"/>
      <c r="FHA112" s="3"/>
      <c r="FHB112" s="3"/>
      <c r="FHC112" s="3"/>
      <c r="FHD112" s="3"/>
      <c r="FHE112" s="3"/>
      <c r="FHF112" s="3"/>
      <c r="FHG112" s="3"/>
      <c r="FHH112" s="3"/>
      <c r="FHI112" s="3"/>
      <c r="FHJ112" s="3"/>
      <c r="FHK112" s="3"/>
      <c r="FHL112" s="3"/>
      <c r="FHM112" s="3"/>
      <c r="FHN112" s="3"/>
      <c r="FHO112" s="3"/>
      <c r="FHP112" s="3"/>
      <c r="FHQ112" s="3"/>
      <c r="FHR112" s="3"/>
      <c r="FHS112" s="3"/>
      <c r="FHT112" s="3"/>
      <c r="FHU112" s="3"/>
      <c r="FHV112" s="3"/>
      <c r="FHW112" s="3"/>
      <c r="FHX112" s="3"/>
      <c r="FHY112" s="3"/>
      <c r="FHZ112" s="3"/>
      <c r="FIA112" s="3"/>
      <c r="FIB112" s="3"/>
      <c r="FIC112" s="3"/>
      <c r="FID112" s="3"/>
      <c r="FIE112" s="3"/>
      <c r="FIF112" s="3"/>
      <c r="FIG112" s="3"/>
      <c r="FIH112" s="3"/>
      <c r="FII112" s="3"/>
      <c r="FIJ112" s="3"/>
      <c r="FIK112" s="3"/>
      <c r="FIL112" s="3"/>
      <c r="FIM112" s="3"/>
      <c r="FIN112" s="3"/>
      <c r="FIO112" s="3"/>
      <c r="FIP112" s="3"/>
      <c r="FIQ112" s="3"/>
      <c r="FIR112" s="3"/>
      <c r="FIS112" s="3"/>
      <c r="FIT112" s="3"/>
      <c r="FIU112" s="3"/>
      <c r="FIV112" s="3"/>
      <c r="FIW112" s="3"/>
      <c r="FIX112" s="3"/>
      <c r="FIY112" s="3"/>
      <c r="FIZ112" s="3"/>
      <c r="FJA112" s="3"/>
      <c r="FJB112" s="3"/>
      <c r="FJC112" s="3"/>
      <c r="FJD112" s="3"/>
      <c r="FJE112" s="3"/>
      <c r="FJF112" s="3"/>
      <c r="FJG112" s="3"/>
      <c r="FJH112" s="3"/>
      <c r="FJI112" s="3"/>
      <c r="FJJ112" s="3"/>
      <c r="FJK112" s="3"/>
      <c r="FJL112" s="3"/>
      <c r="FJM112" s="3"/>
      <c r="FJN112" s="3"/>
      <c r="FJO112" s="3"/>
      <c r="FJP112" s="3"/>
      <c r="FJQ112" s="3"/>
      <c r="FJR112" s="3"/>
      <c r="FJS112" s="3"/>
      <c r="FJT112" s="3"/>
      <c r="FJU112" s="3"/>
      <c r="FJV112" s="3"/>
      <c r="FJW112" s="3"/>
      <c r="FJX112" s="3"/>
      <c r="FJY112" s="3"/>
      <c r="FJZ112" s="3"/>
      <c r="FKA112" s="3"/>
      <c r="FKB112" s="3"/>
      <c r="FKC112" s="3"/>
      <c r="FKD112" s="3"/>
      <c r="FKE112" s="3"/>
      <c r="FKF112" s="3"/>
      <c r="FKG112" s="3"/>
      <c r="FKH112" s="3"/>
      <c r="FKI112" s="3"/>
      <c r="FKJ112" s="3"/>
      <c r="FKK112" s="3"/>
      <c r="FKL112" s="3"/>
      <c r="FKM112" s="3"/>
      <c r="FKN112" s="3"/>
      <c r="FKO112" s="3"/>
      <c r="FKP112" s="3"/>
      <c r="FKQ112" s="3"/>
      <c r="FKR112" s="3"/>
      <c r="FKS112" s="3"/>
      <c r="FKT112" s="3"/>
      <c r="FKU112" s="3"/>
      <c r="FKV112" s="3"/>
      <c r="FKW112" s="3"/>
      <c r="FKX112" s="3"/>
      <c r="FKY112" s="3"/>
      <c r="FKZ112" s="3"/>
      <c r="FLA112" s="3"/>
      <c r="FLB112" s="3"/>
      <c r="FLC112" s="3"/>
      <c r="FLD112" s="3"/>
      <c r="FLE112" s="3"/>
      <c r="FLF112" s="3"/>
      <c r="FLG112" s="3"/>
      <c r="FLH112" s="3"/>
      <c r="FLI112" s="3"/>
      <c r="FLJ112" s="3"/>
      <c r="FLK112" s="3"/>
      <c r="FLL112" s="3"/>
      <c r="FLM112" s="3"/>
      <c r="FLN112" s="3"/>
      <c r="FLO112" s="3"/>
      <c r="FLP112" s="3"/>
      <c r="FLQ112" s="3"/>
      <c r="FLR112" s="3"/>
      <c r="FLS112" s="3"/>
      <c r="FLT112" s="3"/>
      <c r="FLU112" s="3"/>
      <c r="FLV112" s="3"/>
      <c r="FLW112" s="3"/>
      <c r="FLX112" s="3"/>
      <c r="FLY112" s="3"/>
      <c r="FLZ112" s="3"/>
      <c r="FMA112" s="3"/>
      <c r="FMB112" s="3"/>
      <c r="FMC112" s="3"/>
      <c r="FMD112" s="3"/>
      <c r="FME112" s="3"/>
      <c r="FMF112" s="3"/>
      <c r="FMG112" s="3"/>
      <c r="FMH112" s="3"/>
      <c r="FMI112" s="3"/>
      <c r="FMJ112" s="3"/>
      <c r="FMK112" s="3"/>
      <c r="FML112" s="3"/>
      <c r="FMM112" s="3"/>
      <c r="FMN112" s="3"/>
      <c r="FMO112" s="3"/>
      <c r="FMP112" s="3"/>
      <c r="FMQ112" s="3"/>
      <c r="FMR112" s="3"/>
      <c r="FMS112" s="3"/>
      <c r="FMT112" s="3"/>
      <c r="FMU112" s="3"/>
      <c r="FMV112" s="3"/>
      <c r="FMW112" s="3"/>
      <c r="FMX112" s="3"/>
      <c r="FMY112" s="3"/>
      <c r="FMZ112" s="3"/>
      <c r="FNA112" s="3"/>
      <c r="FNB112" s="3"/>
      <c r="FNC112" s="3"/>
      <c r="FND112" s="3"/>
      <c r="FNE112" s="3"/>
      <c r="FNF112" s="3"/>
      <c r="FNG112" s="3"/>
      <c r="FNH112" s="3"/>
      <c r="FNI112" s="3"/>
      <c r="FNJ112" s="3"/>
      <c r="FNK112" s="3"/>
      <c r="FNL112" s="3"/>
      <c r="FNM112" s="3"/>
      <c r="FNN112" s="3"/>
      <c r="FNO112" s="3"/>
      <c r="FNP112" s="3"/>
      <c r="FNQ112" s="3"/>
      <c r="FNR112" s="3"/>
      <c r="FNS112" s="3"/>
      <c r="FNT112" s="3"/>
      <c r="FNU112" s="3"/>
      <c r="FNV112" s="3"/>
      <c r="FNW112" s="3"/>
      <c r="FNX112" s="3"/>
      <c r="FNY112" s="3"/>
      <c r="FNZ112" s="3"/>
      <c r="FOA112" s="3"/>
      <c r="FOB112" s="3"/>
      <c r="FOC112" s="3"/>
      <c r="FOD112" s="3"/>
      <c r="FOE112" s="3"/>
      <c r="FOF112" s="3"/>
      <c r="FOG112" s="3"/>
      <c r="FOH112" s="3"/>
      <c r="FOI112" s="3"/>
      <c r="FOJ112" s="3"/>
      <c r="FOK112" s="3"/>
      <c r="FOL112" s="3"/>
      <c r="FOM112" s="3"/>
      <c r="FON112" s="3"/>
      <c r="FOO112" s="3"/>
      <c r="FOP112" s="3"/>
      <c r="FOQ112" s="3"/>
      <c r="FOR112" s="3"/>
      <c r="FOS112" s="3"/>
      <c r="FOT112" s="3"/>
      <c r="FOU112" s="3"/>
      <c r="FOV112" s="3"/>
      <c r="FOW112" s="3"/>
      <c r="FOX112" s="3"/>
      <c r="FOY112" s="3"/>
      <c r="FOZ112" s="3"/>
      <c r="FPA112" s="3"/>
      <c r="FPB112" s="3"/>
      <c r="FPC112" s="3"/>
      <c r="FPD112" s="3"/>
      <c r="FPE112" s="3"/>
      <c r="FPF112" s="3"/>
      <c r="FPG112" s="3"/>
      <c r="FPH112" s="3"/>
      <c r="FPI112" s="3"/>
      <c r="FPJ112" s="3"/>
      <c r="FPK112" s="3"/>
      <c r="FPL112" s="3"/>
      <c r="FPM112" s="3"/>
      <c r="FPN112" s="3"/>
      <c r="FPO112" s="3"/>
      <c r="FPP112" s="3"/>
      <c r="FPQ112" s="3"/>
      <c r="FPR112" s="3"/>
      <c r="FPS112" s="3"/>
      <c r="FPT112" s="3"/>
      <c r="FPU112" s="3"/>
      <c r="FPV112" s="3"/>
      <c r="FPW112" s="3"/>
      <c r="FPX112" s="3"/>
      <c r="FPY112" s="3"/>
      <c r="FPZ112" s="3"/>
      <c r="FQA112" s="3"/>
      <c r="FQB112" s="3"/>
      <c r="FQC112" s="3"/>
      <c r="FQD112" s="3"/>
      <c r="FQE112" s="3"/>
      <c r="FQF112" s="3"/>
      <c r="FQG112" s="3"/>
      <c r="FQH112" s="3"/>
      <c r="FQI112" s="3"/>
      <c r="FQJ112" s="3"/>
      <c r="FQK112" s="3"/>
      <c r="FQL112" s="3"/>
      <c r="FQM112" s="3"/>
      <c r="FQN112" s="3"/>
      <c r="FQO112" s="3"/>
      <c r="FQP112" s="3"/>
      <c r="FQQ112" s="3"/>
      <c r="FQR112" s="3"/>
      <c r="FQS112" s="3"/>
      <c r="FQT112" s="3"/>
      <c r="FQU112" s="3"/>
      <c r="FQV112" s="3"/>
      <c r="FQW112" s="3"/>
      <c r="FQX112" s="3"/>
      <c r="FQY112" s="3"/>
      <c r="FQZ112" s="3"/>
      <c r="FRA112" s="3"/>
      <c r="FRB112" s="3"/>
      <c r="FRC112" s="3"/>
      <c r="FRD112" s="3"/>
      <c r="FRE112" s="3"/>
      <c r="FRF112" s="3"/>
      <c r="FRG112" s="3"/>
      <c r="FRH112" s="3"/>
      <c r="FRI112" s="3"/>
      <c r="FRJ112" s="3"/>
      <c r="FRK112" s="3"/>
      <c r="FRL112" s="3"/>
      <c r="FRM112" s="3"/>
      <c r="FRN112" s="3"/>
      <c r="FRO112" s="3"/>
      <c r="FRP112" s="3"/>
      <c r="FRQ112" s="3"/>
      <c r="FRR112" s="3"/>
      <c r="FRS112" s="3"/>
      <c r="FRT112" s="3"/>
      <c r="FRU112" s="3"/>
      <c r="FRV112" s="3"/>
      <c r="FRW112" s="3"/>
      <c r="FRX112" s="3"/>
      <c r="FRY112" s="3"/>
      <c r="FRZ112" s="3"/>
      <c r="FSA112" s="3"/>
      <c r="FSB112" s="3"/>
      <c r="FSC112" s="3"/>
      <c r="FSD112" s="3"/>
      <c r="FSE112" s="3"/>
      <c r="FSF112" s="3"/>
      <c r="FSG112" s="3"/>
      <c r="FSH112" s="3"/>
      <c r="FSI112" s="3"/>
      <c r="FSJ112" s="3"/>
      <c r="FSK112" s="3"/>
      <c r="FSL112" s="3"/>
      <c r="FSM112" s="3"/>
      <c r="FSN112" s="3"/>
      <c r="FSO112" s="3"/>
      <c r="FSP112" s="3"/>
      <c r="FSQ112" s="3"/>
      <c r="FSR112" s="3"/>
      <c r="FSS112" s="3"/>
      <c r="FST112" s="3"/>
      <c r="FSU112" s="3"/>
      <c r="FSV112" s="3"/>
      <c r="FSW112" s="3"/>
      <c r="FSX112" s="3"/>
      <c r="FSY112" s="3"/>
      <c r="FSZ112" s="3"/>
      <c r="FTA112" s="3"/>
      <c r="FTB112" s="3"/>
      <c r="FTC112" s="3"/>
      <c r="FTD112" s="3"/>
      <c r="FTE112" s="3"/>
      <c r="FTF112" s="3"/>
      <c r="FTG112" s="3"/>
      <c r="FTH112" s="3"/>
      <c r="FTI112" s="3"/>
      <c r="FTJ112" s="3"/>
      <c r="FTK112" s="3"/>
      <c r="FTL112" s="3"/>
      <c r="FTM112" s="3"/>
      <c r="FTN112" s="3"/>
      <c r="FTO112" s="3"/>
      <c r="FTP112" s="3"/>
      <c r="FTQ112" s="3"/>
      <c r="FTR112" s="3"/>
      <c r="FTS112" s="3"/>
      <c r="FTT112" s="3"/>
      <c r="FTU112" s="3"/>
      <c r="FTV112" s="3"/>
      <c r="FTW112" s="3"/>
      <c r="FTX112" s="3"/>
      <c r="FTY112" s="3"/>
      <c r="FTZ112" s="3"/>
      <c r="FUA112" s="3"/>
      <c r="FUB112" s="3"/>
      <c r="FUC112" s="3"/>
      <c r="FUD112" s="3"/>
      <c r="FUE112" s="3"/>
      <c r="FUF112" s="3"/>
      <c r="FUG112" s="3"/>
      <c r="FUH112" s="3"/>
      <c r="FUI112" s="3"/>
      <c r="FUJ112" s="3"/>
      <c r="FUK112" s="3"/>
      <c r="FUL112" s="3"/>
      <c r="FUM112" s="3"/>
      <c r="FUN112" s="3"/>
      <c r="FUO112" s="3"/>
      <c r="FUP112" s="3"/>
      <c r="FUQ112" s="3"/>
      <c r="FUR112" s="3"/>
      <c r="FUS112" s="3"/>
      <c r="FUT112" s="3"/>
      <c r="FUU112" s="3"/>
      <c r="FUV112" s="3"/>
      <c r="FUW112" s="3"/>
      <c r="FUX112" s="3"/>
      <c r="FUY112" s="3"/>
      <c r="FUZ112" s="3"/>
      <c r="FVA112" s="3"/>
      <c r="FVB112" s="3"/>
      <c r="FVC112" s="3"/>
      <c r="FVD112" s="3"/>
      <c r="FVE112" s="3"/>
      <c r="FVF112" s="3"/>
      <c r="FVG112" s="3"/>
      <c r="FVH112" s="3"/>
      <c r="FVI112" s="3"/>
      <c r="FVJ112" s="3"/>
      <c r="FVK112" s="3"/>
      <c r="FVL112" s="3"/>
      <c r="FVM112" s="3"/>
      <c r="FVN112" s="3"/>
      <c r="FVO112" s="3"/>
      <c r="FVP112" s="3"/>
      <c r="FVQ112" s="3"/>
      <c r="FVR112" s="3"/>
      <c r="FVS112" s="3"/>
      <c r="FVT112" s="3"/>
      <c r="FVU112" s="3"/>
      <c r="FVV112" s="3"/>
      <c r="FVW112" s="3"/>
      <c r="FVX112" s="3"/>
      <c r="FVY112" s="3"/>
      <c r="FVZ112" s="3"/>
      <c r="FWA112" s="3"/>
      <c r="FWB112" s="3"/>
      <c r="FWC112" s="3"/>
      <c r="FWD112" s="3"/>
      <c r="FWE112" s="3"/>
      <c r="FWF112" s="3"/>
      <c r="FWG112" s="3"/>
      <c r="FWH112" s="3"/>
      <c r="FWI112" s="3"/>
      <c r="FWJ112" s="3"/>
      <c r="FWK112" s="3"/>
      <c r="FWL112" s="3"/>
      <c r="FWM112" s="3"/>
      <c r="FWN112" s="3"/>
      <c r="FWO112" s="3"/>
      <c r="FWP112" s="3"/>
      <c r="FWQ112" s="3"/>
      <c r="FWR112" s="3"/>
      <c r="FWS112" s="3"/>
      <c r="FWT112" s="3"/>
      <c r="FWU112" s="3"/>
      <c r="FWV112" s="3"/>
      <c r="FWW112" s="3"/>
      <c r="FWX112" s="3"/>
      <c r="FWY112" s="3"/>
      <c r="FWZ112" s="3"/>
      <c r="FXA112" s="3"/>
      <c r="FXB112" s="3"/>
      <c r="FXC112" s="3"/>
      <c r="FXD112" s="3"/>
      <c r="FXE112" s="3"/>
      <c r="FXF112" s="3"/>
      <c r="FXG112" s="3"/>
      <c r="FXH112" s="3"/>
      <c r="FXI112" s="3"/>
      <c r="FXJ112" s="3"/>
      <c r="FXK112" s="3"/>
      <c r="FXL112" s="3"/>
      <c r="FXM112" s="3"/>
      <c r="FXN112" s="3"/>
      <c r="FXO112" s="3"/>
      <c r="FXP112" s="3"/>
      <c r="FXQ112" s="3"/>
      <c r="FXR112" s="3"/>
      <c r="FXS112" s="3"/>
      <c r="FXT112" s="3"/>
      <c r="FXU112" s="3"/>
      <c r="FXV112" s="3"/>
      <c r="FXW112" s="3"/>
      <c r="FXX112" s="3"/>
      <c r="FXY112" s="3"/>
      <c r="FXZ112" s="3"/>
      <c r="FYA112" s="3"/>
      <c r="FYB112" s="3"/>
      <c r="FYC112" s="3"/>
      <c r="FYD112" s="3"/>
      <c r="FYE112" s="3"/>
      <c r="FYF112" s="3"/>
      <c r="FYG112" s="3"/>
      <c r="FYH112" s="3"/>
      <c r="FYI112" s="3"/>
      <c r="FYJ112" s="3"/>
      <c r="FYK112" s="3"/>
      <c r="FYL112" s="3"/>
      <c r="FYM112" s="3"/>
      <c r="FYN112" s="3"/>
      <c r="FYO112" s="3"/>
      <c r="FYP112" s="3"/>
      <c r="FYQ112" s="3"/>
      <c r="FYR112" s="3"/>
      <c r="FYS112" s="3"/>
      <c r="FYT112" s="3"/>
      <c r="FYU112" s="3"/>
      <c r="FYV112" s="3"/>
      <c r="FYW112" s="3"/>
      <c r="FYX112" s="3"/>
      <c r="FYY112" s="3"/>
      <c r="FYZ112" s="3"/>
      <c r="FZA112" s="3"/>
      <c r="FZB112" s="3"/>
      <c r="FZC112" s="3"/>
      <c r="FZD112" s="3"/>
      <c r="FZE112" s="3"/>
      <c r="FZF112" s="3"/>
      <c r="FZG112" s="3"/>
      <c r="FZH112" s="3"/>
      <c r="FZI112" s="3"/>
      <c r="FZJ112" s="3"/>
      <c r="FZK112" s="3"/>
      <c r="FZL112" s="3"/>
      <c r="FZM112" s="3"/>
      <c r="FZN112" s="3"/>
      <c r="FZO112" s="3"/>
      <c r="FZP112" s="3"/>
      <c r="FZQ112" s="3"/>
      <c r="FZR112" s="3"/>
      <c r="FZS112" s="3"/>
      <c r="FZT112" s="3"/>
      <c r="FZU112" s="3"/>
      <c r="FZV112" s="3"/>
      <c r="FZW112" s="3"/>
      <c r="FZX112" s="3"/>
      <c r="FZY112" s="3"/>
      <c r="FZZ112" s="3"/>
      <c r="GAA112" s="3"/>
      <c r="GAB112" s="3"/>
      <c r="GAC112" s="3"/>
      <c r="GAD112" s="3"/>
      <c r="GAE112" s="3"/>
      <c r="GAF112" s="3"/>
      <c r="GAG112" s="3"/>
      <c r="GAH112" s="3"/>
      <c r="GAI112" s="3"/>
      <c r="GAJ112" s="3"/>
      <c r="GAK112" s="3"/>
      <c r="GAL112" s="3"/>
      <c r="GAM112" s="3"/>
      <c r="GAN112" s="3"/>
      <c r="GAO112" s="3"/>
      <c r="GAP112" s="3"/>
      <c r="GAQ112" s="3"/>
      <c r="GAR112" s="3"/>
      <c r="GAS112" s="3"/>
      <c r="GAT112" s="3"/>
      <c r="GAU112" s="3"/>
      <c r="GAV112" s="3"/>
      <c r="GAW112" s="3"/>
      <c r="GAX112" s="3"/>
      <c r="GAY112" s="3"/>
      <c r="GAZ112" s="3"/>
      <c r="GBA112" s="3"/>
      <c r="GBB112" s="3"/>
      <c r="GBC112" s="3"/>
      <c r="GBD112" s="3"/>
      <c r="GBE112" s="3"/>
      <c r="GBF112" s="3"/>
      <c r="GBG112" s="3"/>
      <c r="GBH112" s="3"/>
      <c r="GBI112" s="3"/>
      <c r="GBJ112" s="3"/>
      <c r="GBK112" s="3"/>
      <c r="GBL112" s="3"/>
      <c r="GBM112" s="3"/>
      <c r="GBN112" s="3"/>
      <c r="GBO112" s="3"/>
      <c r="GBP112" s="3"/>
      <c r="GBQ112" s="3"/>
      <c r="GBR112" s="3"/>
      <c r="GBS112" s="3"/>
      <c r="GBT112" s="3"/>
      <c r="GBU112" s="3"/>
      <c r="GBV112" s="3"/>
      <c r="GBW112" s="3"/>
      <c r="GBX112" s="3"/>
      <c r="GBY112" s="3"/>
      <c r="GBZ112" s="3"/>
      <c r="GCA112" s="3"/>
      <c r="GCB112" s="3"/>
      <c r="GCC112" s="3"/>
      <c r="GCD112" s="3"/>
      <c r="GCE112" s="3"/>
      <c r="GCF112" s="3"/>
      <c r="GCG112" s="3"/>
      <c r="GCH112" s="3"/>
      <c r="GCI112" s="3"/>
      <c r="GCJ112" s="3"/>
      <c r="GCK112" s="3"/>
      <c r="GCL112" s="3"/>
      <c r="GCM112" s="3"/>
      <c r="GCN112" s="3"/>
      <c r="GCO112" s="3"/>
      <c r="GCP112" s="3"/>
      <c r="GCQ112" s="3"/>
      <c r="GCR112" s="3"/>
      <c r="GCS112" s="3"/>
      <c r="GCT112" s="3"/>
      <c r="GCU112" s="3"/>
      <c r="GCV112" s="3"/>
      <c r="GCW112" s="3"/>
      <c r="GCX112" s="3"/>
      <c r="GCY112" s="3"/>
      <c r="GCZ112" s="3"/>
      <c r="GDA112" s="3"/>
      <c r="GDB112" s="3"/>
      <c r="GDC112" s="3"/>
      <c r="GDD112" s="3"/>
      <c r="GDE112" s="3"/>
      <c r="GDF112" s="3"/>
      <c r="GDG112" s="3"/>
      <c r="GDH112" s="3"/>
      <c r="GDI112" s="3"/>
      <c r="GDJ112" s="3"/>
      <c r="GDK112" s="3"/>
      <c r="GDL112" s="3"/>
      <c r="GDM112" s="3"/>
      <c r="GDN112" s="3"/>
      <c r="GDO112" s="3"/>
      <c r="GDP112" s="3"/>
      <c r="GDQ112" s="3"/>
      <c r="GDR112" s="3"/>
      <c r="GDS112" s="3"/>
      <c r="GDT112" s="3"/>
      <c r="GDU112" s="3"/>
      <c r="GDV112" s="3"/>
      <c r="GDW112" s="3"/>
      <c r="GDX112" s="3"/>
      <c r="GDY112" s="3"/>
      <c r="GDZ112" s="3"/>
      <c r="GEA112" s="3"/>
      <c r="GEB112" s="3"/>
      <c r="GEC112" s="3"/>
      <c r="GED112" s="3"/>
      <c r="GEE112" s="3"/>
      <c r="GEF112" s="3"/>
      <c r="GEG112" s="3"/>
      <c r="GEH112" s="3"/>
      <c r="GEI112" s="3"/>
      <c r="GEJ112" s="3"/>
      <c r="GEK112" s="3"/>
      <c r="GEL112" s="3"/>
      <c r="GEM112" s="3"/>
      <c r="GEN112" s="3"/>
      <c r="GEO112" s="3"/>
      <c r="GEP112" s="3"/>
      <c r="GEQ112" s="3"/>
      <c r="GER112" s="3"/>
      <c r="GES112" s="3"/>
      <c r="GET112" s="3"/>
      <c r="GEU112" s="3"/>
      <c r="GEV112" s="3"/>
      <c r="GEW112" s="3"/>
      <c r="GEX112" s="3"/>
      <c r="GEY112" s="3"/>
      <c r="GEZ112" s="3"/>
      <c r="GFA112" s="3"/>
      <c r="GFB112" s="3"/>
      <c r="GFC112" s="3"/>
      <c r="GFD112" s="3"/>
      <c r="GFE112" s="3"/>
      <c r="GFF112" s="3"/>
      <c r="GFG112" s="3"/>
      <c r="GFH112" s="3"/>
      <c r="GFI112" s="3"/>
      <c r="GFJ112" s="3"/>
      <c r="GFK112" s="3"/>
      <c r="GFL112" s="3"/>
      <c r="GFM112" s="3"/>
      <c r="GFN112" s="3"/>
      <c r="GFO112" s="3"/>
      <c r="GFP112" s="3"/>
      <c r="GFQ112" s="3"/>
      <c r="GFR112" s="3"/>
      <c r="GFS112" s="3"/>
      <c r="GFT112" s="3"/>
      <c r="GFU112" s="3"/>
      <c r="GFV112" s="3"/>
      <c r="GFW112" s="3"/>
      <c r="GFX112" s="3"/>
      <c r="GFY112" s="3"/>
      <c r="GFZ112" s="3"/>
      <c r="GGA112" s="3"/>
      <c r="GGB112" s="3"/>
      <c r="GGC112" s="3"/>
      <c r="GGD112" s="3"/>
      <c r="GGE112" s="3"/>
      <c r="GGF112" s="3"/>
      <c r="GGG112" s="3"/>
      <c r="GGH112" s="3"/>
      <c r="GGI112" s="3"/>
      <c r="GGJ112" s="3"/>
      <c r="GGK112" s="3"/>
      <c r="GGL112" s="3"/>
      <c r="GGM112" s="3"/>
      <c r="GGN112" s="3"/>
      <c r="GGO112" s="3"/>
      <c r="GGP112" s="3"/>
      <c r="GGQ112" s="3"/>
      <c r="GGR112" s="3"/>
      <c r="GGS112" s="3"/>
      <c r="GGT112" s="3"/>
      <c r="GGU112" s="3"/>
      <c r="GGV112" s="3"/>
      <c r="GGW112" s="3"/>
      <c r="GGX112" s="3"/>
      <c r="GGY112" s="3"/>
      <c r="GGZ112" s="3"/>
      <c r="GHA112" s="3"/>
      <c r="GHB112" s="3"/>
      <c r="GHC112" s="3"/>
      <c r="GHD112" s="3"/>
      <c r="GHE112" s="3"/>
      <c r="GHF112" s="3"/>
      <c r="GHG112" s="3"/>
      <c r="GHH112" s="3"/>
      <c r="GHI112" s="3"/>
      <c r="GHJ112" s="3"/>
      <c r="GHK112" s="3"/>
      <c r="GHL112" s="3"/>
      <c r="GHM112" s="3"/>
      <c r="GHN112" s="3"/>
      <c r="GHO112" s="3"/>
      <c r="GHP112" s="3"/>
      <c r="GHQ112" s="3"/>
      <c r="GHR112" s="3"/>
      <c r="GHS112" s="3"/>
      <c r="GHT112" s="3"/>
      <c r="GHU112" s="3"/>
      <c r="GHV112" s="3"/>
      <c r="GHW112" s="3"/>
      <c r="GHX112" s="3"/>
      <c r="GHY112" s="3"/>
      <c r="GHZ112" s="3"/>
      <c r="GIA112" s="3"/>
      <c r="GIB112" s="3"/>
      <c r="GIC112" s="3"/>
      <c r="GID112" s="3"/>
      <c r="GIE112" s="3"/>
      <c r="GIF112" s="3"/>
      <c r="GIG112" s="3"/>
      <c r="GIH112" s="3"/>
      <c r="GII112" s="3"/>
      <c r="GIJ112" s="3"/>
      <c r="GIK112" s="3"/>
      <c r="GIL112" s="3"/>
      <c r="GIM112" s="3"/>
      <c r="GIN112" s="3"/>
      <c r="GIO112" s="3"/>
      <c r="GIP112" s="3"/>
      <c r="GIQ112" s="3"/>
      <c r="GIR112" s="3"/>
      <c r="GIS112" s="3"/>
      <c r="GIT112" s="3"/>
      <c r="GIU112" s="3"/>
      <c r="GIV112" s="3"/>
      <c r="GIW112" s="3"/>
      <c r="GIX112" s="3"/>
      <c r="GIY112" s="3"/>
      <c r="GIZ112" s="3"/>
      <c r="GJA112" s="3"/>
      <c r="GJB112" s="3"/>
      <c r="GJC112" s="3"/>
      <c r="GJD112" s="3"/>
      <c r="GJE112" s="3"/>
      <c r="GJF112" s="3"/>
      <c r="GJG112" s="3"/>
      <c r="GJH112" s="3"/>
      <c r="GJI112" s="3"/>
      <c r="GJJ112" s="3"/>
      <c r="GJK112" s="3"/>
      <c r="GJL112" s="3"/>
      <c r="GJM112" s="3"/>
      <c r="GJN112" s="3"/>
      <c r="GJO112" s="3"/>
      <c r="GJP112" s="3"/>
      <c r="GJQ112" s="3"/>
      <c r="GJR112" s="3"/>
      <c r="GJS112" s="3"/>
      <c r="GJT112" s="3"/>
      <c r="GJU112" s="3"/>
      <c r="GJV112" s="3"/>
      <c r="GJW112" s="3"/>
      <c r="GJX112" s="3"/>
      <c r="GJY112" s="3"/>
      <c r="GJZ112" s="3"/>
      <c r="GKA112" s="3"/>
      <c r="GKB112" s="3"/>
      <c r="GKC112" s="3"/>
      <c r="GKD112" s="3"/>
      <c r="GKE112" s="3"/>
      <c r="GKF112" s="3"/>
      <c r="GKG112" s="3"/>
      <c r="GKH112" s="3"/>
      <c r="GKI112" s="3"/>
      <c r="GKJ112" s="3"/>
      <c r="GKK112" s="3"/>
      <c r="GKL112" s="3"/>
      <c r="GKM112" s="3"/>
      <c r="GKN112" s="3"/>
      <c r="GKO112" s="3"/>
      <c r="GKP112" s="3"/>
      <c r="GKQ112" s="3"/>
      <c r="GKR112" s="3"/>
      <c r="GKS112" s="3"/>
      <c r="GKT112" s="3"/>
      <c r="GKU112" s="3"/>
      <c r="GKV112" s="3"/>
      <c r="GKW112" s="3"/>
      <c r="GKX112" s="3"/>
      <c r="GKY112" s="3"/>
      <c r="GKZ112" s="3"/>
      <c r="GLA112" s="3"/>
      <c r="GLB112" s="3"/>
      <c r="GLC112" s="3"/>
      <c r="GLD112" s="3"/>
      <c r="GLE112" s="3"/>
      <c r="GLF112" s="3"/>
      <c r="GLG112" s="3"/>
      <c r="GLH112" s="3"/>
      <c r="GLI112" s="3"/>
      <c r="GLJ112" s="3"/>
      <c r="GLK112" s="3"/>
      <c r="GLL112" s="3"/>
      <c r="GLM112" s="3"/>
      <c r="GLN112" s="3"/>
      <c r="GLO112" s="3"/>
      <c r="GLP112" s="3"/>
      <c r="GLQ112" s="3"/>
      <c r="GLR112" s="3"/>
      <c r="GLS112" s="3"/>
      <c r="GLT112" s="3"/>
      <c r="GLU112" s="3"/>
      <c r="GLV112" s="3"/>
      <c r="GLW112" s="3"/>
      <c r="GLX112" s="3"/>
      <c r="GLY112" s="3"/>
      <c r="GLZ112" s="3"/>
      <c r="GMA112" s="3"/>
      <c r="GMB112" s="3"/>
      <c r="GMC112" s="3"/>
      <c r="GMD112" s="3"/>
      <c r="GME112" s="3"/>
      <c r="GMF112" s="3"/>
      <c r="GMG112" s="3"/>
      <c r="GMH112" s="3"/>
      <c r="GMI112" s="3"/>
      <c r="GMJ112" s="3"/>
      <c r="GMK112" s="3"/>
      <c r="GML112" s="3"/>
      <c r="GMM112" s="3"/>
      <c r="GMN112" s="3"/>
      <c r="GMO112" s="3"/>
      <c r="GMP112" s="3"/>
      <c r="GMQ112" s="3"/>
      <c r="GMR112" s="3"/>
      <c r="GMS112" s="3"/>
      <c r="GMT112" s="3"/>
      <c r="GMU112" s="3"/>
      <c r="GMV112" s="3"/>
      <c r="GMW112" s="3"/>
      <c r="GMX112" s="3"/>
      <c r="GMY112" s="3"/>
      <c r="GMZ112" s="3"/>
      <c r="GNA112" s="3"/>
      <c r="GNB112" s="3"/>
      <c r="GNC112" s="3"/>
      <c r="GND112" s="3"/>
      <c r="GNE112" s="3"/>
      <c r="GNF112" s="3"/>
      <c r="GNG112" s="3"/>
      <c r="GNH112" s="3"/>
      <c r="GNI112" s="3"/>
      <c r="GNJ112" s="3"/>
      <c r="GNK112" s="3"/>
      <c r="GNL112" s="3"/>
      <c r="GNM112" s="3"/>
      <c r="GNN112" s="3"/>
      <c r="GNO112" s="3"/>
      <c r="GNP112" s="3"/>
      <c r="GNQ112" s="3"/>
      <c r="GNR112" s="3"/>
      <c r="GNS112" s="3"/>
      <c r="GNT112" s="3"/>
      <c r="GNU112" s="3"/>
      <c r="GNV112" s="3"/>
      <c r="GNW112" s="3"/>
      <c r="GNX112" s="3"/>
      <c r="GNY112" s="3"/>
      <c r="GNZ112" s="3"/>
      <c r="GOA112" s="3"/>
      <c r="GOB112" s="3"/>
      <c r="GOC112" s="3"/>
      <c r="GOD112" s="3"/>
      <c r="GOE112" s="3"/>
      <c r="GOF112" s="3"/>
      <c r="GOG112" s="3"/>
      <c r="GOH112" s="3"/>
      <c r="GOI112" s="3"/>
      <c r="GOJ112" s="3"/>
      <c r="GOK112" s="3"/>
      <c r="GOL112" s="3"/>
      <c r="GOM112" s="3"/>
      <c r="GON112" s="3"/>
      <c r="GOO112" s="3"/>
      <c r="GOP112" s="3"/>
      <c r="GOQ112" s="3"/>
      <c r="GOR112" s="3"/>
      <c r="GOS112" s="3"/>
      <c r="GOT112" s="3"/>
      <c r="GOU112" s="3"/>
      <c r="GOV112" s="3"/>
      <c r="GOW112" s="3"/>
      <c r="GOX112" s="3"/>
      <c r="GOY112" s="3"/>
      <c r="GOZ112" s="3"/>
      <c r="GPA112" s="3"/>
      <c r="GPB112" s="3"/>
      <c r="GPC112" s="3"/>
      <c r="GPD112" s="3"/>
      <c r="GPE112" s="3"/>
      <c r="GPF112" s="3"/>
      <c r="GPG112" s="3"/>
      <c r="GPH112" s="3"/>
      <c r="GPI112" s="3"/>
      <c r="GPJ112" s="3"/>
      <c r="GPK112" s="3"/>
      <c r="GPL112" s="3"/>
      <c r="GPM112" s="3"/>
      <c r="GPN112" s="3"/>
      <c r="GPO112" s="3"/>
      <c r="GPP112" s="3"/>
      <c r="GPQ112" s="3"/>
      <c r="GPR112" s="3"/>
      <c r="GPS112" s="3"/>
      <c r="GPT112" s="3"/>
      <c r="GPU112" s="3"/>
      <c r="GPV112" s="3"/>
      <c r="GPW112" s="3"/>
      <c r="GPX112" s="3"/>
      <c r="GPY112" s="3"/>
      <c r="GPZ112" s="3"/>
      <c r="GQA112" s="3"/>
      <c r="GQB112" s="3"/>
      <c r="GQC112" s="3"/>
      <c r="GQD112" s="3"/>
      <c r="GQE112" s="3"/>
      <c r="GQF112" s="3"/>
      <c r="GQG112" s="3"/>
      <c r="GQH112" s="3"/>
      <c r="GQI112" s="3"/>
      <c r="GQJ112" s="3"/>
      <c r="GQK112" s="3"/>
      <c r="GQL112" s="3"/>
      <c r="GQM112" s="3"/>
      <c r="GQN112" s="3"/>
      <c r="GQO112" s="3"/>
      <c r="GQP112" s="3"/>
      <c r="GQQ112" s="3"/>
      <c r="GQR112" s="3"/>
      <c r="GQS112" s="3"/>
      <c r="GQT112" s="3"/>
      <c r="GQU112" s="3"/>
      <c r="GQV112" s="3"/>
      <c r="GQW112" s="3"/>
      <c r="GQX112" s="3"/>
      <c r="GQY112" s="3"/>
      <c r="GQZ112" s="3"/>
      <c r="GRA112" s="3"/>
      <c r="GRB112" s="3"/>
      <c r="GRC112" s="3"/>
      <c r="GRD112" s="3"/>
      <c r="GRE112" s="3"/>
      <c r="GRF112" s="3"/>
      <c r="GRG112" s="3"/>
      <c r="GRH112" s="3"/>
      <c r="GRI112" s="3"/>
      <c r="GRJ112" s="3"/>
      <c r="GRK112" s="3"/>
      <c r="GRL112" s="3"/>
      <c r="GRM112" s="3"/>
      <c r="GRN112" s="3"/>
      <c r="GRO112" s="3"/>
      <c r="GRP112" s="3"/>
      <c r="GRQ112" s="3"/>
      <c r="GRR112" s="3"/>
      <c r="GRS112" s="3"/>
      <c r="GRT112" s="3"/>
      <c r="GRU112" s="3"/>
      <c r="GRV112" s="3"/>
      <c r="GRW112" s="3"/>
      <c r="GRX112" s="3"/>
      <c r="GRY112" s="3"/>
      <c r="GRZ112" s="3"/>
      <c r="GSA112" s="3"/>
      <c r="GSB112" s="3"/>
      <c r="GSC112" s="3"/>
      <c r="GSD112" s="3"/>
      <c r="GSE112" s="3"/>
      <c r="GSF112" s="3"/>
      <c r="GSG112" s="3"/>
      <c r="GSH112" s="3"/>
      <c r="GSI112" s="3"/>
      <c r="GSJ112" s="3"/>
      <c r="GSK112" s="3"/>
      <c r="GSL112" s="3"/>
      <c r="GSM112" s="3"/>
      <c r="GSN112" s="3"/>
      <c r="GSO112" s="3"/>
      <c r="GSP112" s="3"/>
      <c r="GSQ112" s="3"/>
      <c r="GSR112" s="3"/>
      <c r="GSS112" s="3"/>
      <c r="GST112" s="3"/>
      <c r="GSU112" s="3"/>
      <c r="GSV112" s="3"/>
      <c r="GSW112" s="3"/>
      <c r="GSX112" s="3"/>
      <c r="GSY112" s="3"/>
      <c r="GSZ112" s="3"/>
      <c r="GTA112" s="3"/>
      <c r="GTB112" s="3"/>
      <c r="GTC112" s="3"/>
      <c r="GTD112" s="3"/>
      <c r="GTE112" s="3"/>
      <c r="GTF112" s="3"/>
      <c r="GTG112" s="3"/>
      <c r="GTH112" s="3"/>
      <c r="GTI112" s="3"/>
      <c r="GTJ112" s="3"/>
      <c r="GTK112" s="3"/>
      <c r="GTL112" s="3"/>
      <c r="GTM112" s="3"/>
      <c r="GTN112" s="3"/>
      <c r="GTO112" s="3"/>
      <c r="GTP112" s="3"/>
      <c r="GTQ112" s="3"/>
      <c r="GTR112" s="3"/>
      <c r="GTS112" s="3"/>
      <c r="GTT112" s="3"/>
      <c r="GTU112" s="3"/>
      <c r="GTV112" s="3"/>
      <c r="GTW112" s="3"/>
      <c r="GTX112" s="3"/>
      <c r="GTY112" s="3"/>
      <c r="GTZ112" s="3"/>
      <c r="GUA112" s="3"/>
      <c r="GUB112" s="3"/>
      <c r="GUC112" s="3"/>
      <c r="GUD112" s="3"/>
      <c r="GUE112" s="3"/>
      <c r="GUF112" s="3"/>
      <c r="GUG112" s="3"/>
      <c r="GUH112" s="3"/>
      <c r="GUI112" s="3"/>
      <c r="GUJ112" s="3"/>
      <c r="GUK112" s="3"/>
      <c r="GUL112" s="3"/>
      <c r="GUM112" s="3"/>
      <c r="GUN112" s="3"/>
      <c r="GUO112" s="3"/>
      <c r="GUP112" s="3"/>
      <c r="GUQ112" s="3"/>
      <c r="GUR112" s="3"/>
      <c r="GUS112" s="3"/>
      <c r="GUT112" s="3"/>
      <c r="GUU112" s="3"/>
      <c r="GUV112" s="3"/>
      <c r="GUW112" s="3"/>
      <c r="GUX112" s="3"/>
      <c r="GUY112" s="3"/>
      <c r="GUZ112" s="3"/>
      <c r="GVA112" s="3"/>
      <c r="GVB112" s="3"/>
      <c r="GVC112" s="3"/>
      <c r="GVD112" s="3"/>
      <c r="GVE112" s="3"/>
      <c r="GVF112" s="3"/>
      <c r="GVG112" s="3"/>
      <c r="GVH112" s="3"/>
      <c r="GVI112" s="3"/>
      <c r="GVJ112" s="3"/>
      <c r="GVK112" s="3"/>
      <c r="GVL112" s="3"/>
      <c r="GVM112" s="3"/>
      <c r="GVN112" s="3"/>
      <c r="GVO112" s="3"/>
      <c r="GVP112" s="3"/>
      <c r="GVQ112" s="3"/>
      <c r="GVR112" s="3"/>
      <c r="GVS112" s="3"/>
      <c r="GVT112" s="3"/>
      <c r="GVU112" s="3"/>
      <c r="GVV112" s="3"/>
      <c r="GVW112" s="3"/>
      <c r="GVX112" s="3"/>
      <c r="GVY112" s="3"/>
      <c r="GVZ112" s="3"/>
      <c r="GWA112" s="3"/>
      <c r="GWB112" s="3"/>
      <c r="GWC112" s="3"/>
      <c r="GWD112" s="3"/>
      <c r="GWE112" s="3"/>
      <c r="GWF112" s="3"/>
      <c r="GWG112" s="3"/>
      <c r="GWH112" s="3"/>
      <c r="GWI112" s="3"/>
      <c r="GWJ112" s="3"/>
      <c r="GWK112" s="3"/>
      <c r="GWL112" s="3"/>
      <c r="GWM112" s="3"/>
      <c r="GWN112" s="3"/>
      <c r="GWO112" s="3"/>
      <c r="GWP112" s="3"/>
      <c r="GWQ112" s="3"/>
      <c r="GWR112" s="3"/>
      <c r="GWS112" s="3"/>
      <c r="GWT112" s="3"/>
      <c r="GWU112" s="3"/>
      <c r="GWV112" s="3"/>
      <c r="GWW112" s="3"/>
      <c r="GWX112" s="3"/>
      <c r="GWY112" s="3"/>
      <c r="GWZ112" s="3"/>
      <c r="GXA112" s="3"/>
      <c r="GXB112" s="3"/>
      <c r="GXC112" s="3"/>
      <c r="GXD112" s="3"/>
      <c r="GXE112" s="3"/>
      <c r="GXF112" s="3"/>
      <c r="GXG112" s="3"/>
      <c r="GXH112" s="3"/>
      <c r="GXI112" s="3"/>
      <c r="GXJ112" s="3"/>
      <c r="GXK112" s="3"/>
      <c r="GXL112" s="3"/>
      <c r="GXM112" s="3"/>
      <c r="GXN112" s="3"/>
      <c r="GXO112" s="3"/>
      <c r="GXP112" s="3"/>
      <c r="GXQ112" s="3"/>
      <c r="GXR112" s="3"/>
      <c r="GXS112" s="3"/>
      <c r="GXT112" s="3"/>
      <c r="GXU112" s="3"/>
      <c r="GXV112" s="3"/>
      <c r="GXW112" s="3"/>
      <c r="GXX112" s="3"/>
      <c r="GXY112" s="3"/>
      <c r="GXZ112" s="3"/>
      <c r="GYA112" s="3"/>
      <c r="GYB112" s="3"/>
      <c r="GYC112" s="3"/>
      <c r="GYD112" s="3"/>
      <c r="GYE112" s="3"/>
      <c r="GYF112" s="3"/>
      <c r="GYG112" s="3"/>
      <c r="GYH112" s="3"/>
      <c r="GYI112" s="3"/>
      <c r="GYJ112" s="3"/>
      <c r="GYK112" s="3"/>
      <c r="GYL112" s="3"/>
      <c r="GYM112" s="3"/>
      <c r="GYN112" s="3"/>
      <c r="GYO112" s="3"/>
      <c r="GYP112" s="3"/>
      <c r="GYQ112" s="3"/>
      <c r="GYR112" s="3"/>
      <c r="GYS112" s="3"/>
      <c r="GYT112" s="3"/>
      <c r="GYU112" s="3"/>
      <c r="GYV112" s="3"/>
      <c r="GYW112" s="3"/>
      <c r="GYX112" s="3"/>
      <c r="GYY112" s="3"/>
      <c r="GYZ112" s="3"/>
      <c r="GZA112" s="3"/>
      <c r="GZB112" s="3"/>
      <c r="GZC112" s="3"/>
      <c r="GZD112" s="3"/>
      <c r="GZE112" s="3"/>
      <c r="GZF112" s="3"/>
      <c r="GZG112" s="3"/>
      <c r="GZH112" s="3"/>
      <c r="GZI112" s="3"/>
      <c r="GZJ112" s="3"/>
      <c r="GZK112" s="3"/>
      <c r="GZL112" s="3"/>
      <c r="GZM112" s="3"/>
      <c r="GZN112" s="3"/>
      <c r="GZO112" s="3"/>
      <c r="GZP112" s="3"/>
      <c r="GZQ112" s="3"/>
      <c r="GZR112" s="3"/>
      <c r="GZS112" s="3"/>
      <c r="GZT112" s="3"/>
      <c r="GZU112" s="3"/>
      <c r="GZV112" s="3"/>
      <c r="GZW112" s="3"/>
      <c r="GZX112" s="3"/>
      <c r="GZY112" s="3"/>
      <c r="GZZ112" s="3"/>
      <c r="HAA112" s="3"/>
      <c r="HAB112" s="3"/>
      <c r="HAC112" s="3"/>
      <c r="HAD112" s="3"/>
      <c r="HAE112" s="3"/>
      <c r="HAF112" s="3"/>
      <c r="HAG112" s="3"/>
      <c r="HAH112" s="3"/>
      <c r="HAI112" s="3"/>
      <c r="HAJ112" s="3"/>
      <c r="HAK112" s="3"/>
      <c r="HAL112" s="3"/>
      <c r="HAM112" s="3"/>
      <c r="HAN112" s="3"/>
      <c r="HAO112" s="3"/>
      <c r="HAP112" s="3"/>
      <c r="HAQ112" s="3"/>
      <c r="HAR112" s="3"/>
      <c r="HAS112" s="3"/>
      <c r="HAT112" s="3"/>
      <c r="HAU112" s="3"/>
      <c r="HAV112" s="3"/>
      <c r="HAW112" s="3"/>
      <c r="HAX112" s="3"/>
      <c r="HAY112" s="3"/>
      <c r="HAZ112" s="3"/>
      <c r="HBA112" s="3"/>
      <c r="HBB112" s="3"/>
      <c r="HBC112" s="3"/>
      <c r="HBD112" s="3"/>
      <c r="HBE112" s="3"/>
      <c r="HBF112" s="3"/>
      <c r="HBG112" s="3"/>
      <c r="HBH112" s="3"/>
      <c r="HBI112" s="3"/>
      <c r="HBJ112" s="3"/>
      <c r="HBK112" s="3"/>
      <c r="HBL112" s="3"/>
      <c r="HBM112" s="3"/>
      <c r="HBN112" s="3"/>
      <c r="HBO112" s="3"/>
      <c r="HBP112" s="3"/>
      <c r="HBQ112" s="3"/>
      <c r="HBR112" s="3"/>
      <c r="HBS112" s="3"/>
      <c r="HBT112" s="3"/>
      <c r="HBU112" s="3"/>
      <c r="HBV112" s="3"/>
      <c r="HBW112" s="3"/>
      <c r="HBX112" s="3"/>
      <c r="HBY112" s="3"/>
      <c r="HBZ112" s="3"/>
      <c r="HCA112" s="3"/>
      <c r="HCB112" s="3"/>
      <c r="HCC112" s="3"/>
      <c r="HCD112" s="3"/>
      <c r="HCE112" s="3"/>
      <c r="HCF112" s="3"/>
      <c r="HCG112" s="3"/>
      <c r="HCH112" s="3"/>
      <c r="HCI112" s="3"/>
      <c r="HCJ112" s="3"/>
      <c r="HCK112" s="3"/>
      <c r="HCL112" s="3"/>
      <c r="HCM112" s="3"/>
      <c r="HCN112" s="3"/>
      <c r="HCO112" s="3"/>
      <c r="HCP112" s="3"/>
      <c r="HCQ112" s="3"/>
      <c r="HCR112" s="3"/>
      <c r="HCS112" s="3"/>
      <c r="HCT112" s="3"/>
      <c r="HCU112" s="3"/>
      <c r="HCV112" s="3"/>
      <c r="HCW112" s="3"/>
      <c r="HCX112" s="3"/>
      <c r="HCY112" s="3"/>
      <c r="HCZ112" s="3"/>
      <c r="HDA112" s="3"/>
      <c r="HDB112" s="3"/>
      <c r="HDC112" s="3"/>
      <c r="HDD112" s="3"/>
      <c r="HDE112" s="3"/>
      <c r="HDF112" s="3"/>
      <c r="HDG112" s="3"/>
      <c r="HDH112" s="3"/>
      <c r="HDI112" s="3"/>
      <c r="HDJ112" s="3"/>
      <c r="HDK112" s="3"/>
      <c r="HDL112" s="3"/>
      <c r="HDM112" s="3"/>
      <c r="HDN112" s="3"/>
      <c r="HDO112" s="3"/>
      <c r="HDP112" s="3"/>
      <c r="HDQ112" s="3"/>
      <c r="HDR112" s="3"/>
      <c r="HDS112" s="3"/>
      <c r="HDT112" s="3"/>
      <c r="HDU112" s="3"/>
      <c r="HDV112" s="3"/>
      <c r="HDW112" s="3"/>
      <c r="HDX112" s="3"/>
      <c r="HDY112" s="3"/>
      <c r="HDZ112" s="3"/>
      <c r="HEA112" s="3"/>
      <c r="HEB112" s="3"/>
      <c r="HEC112" s="3"/>
      <c r="HED112" s="3"/>
      <c r="HEE112" s="3"/>
      <c r="HEF112" s="3"/>
      <c r="HEG112" s="3"/>
      <c r="HEH112" s="3"/>
      <c r="HEI112" s="3"/>
      <c r="HEJ112" s="3"/>
      <c r="HEK112" s="3"/>
      <c r="HEL112" s="3"/>
      <c r="HEM112" s="3"/>
      <c r="HEN112" s="3"/>
      <c r="HEO112" s="3"/>
      <c r="HEP112" s="3"/>
      <c r="HEQ112" s="3"/>
      <c r="HER112" s="3"/>
      <c r="HES112" s="3"/>
      <c r="HET112" s="3"/>
      <c r="HEU112" s="3"/>
      <c r="HEV112" s="3"/>
      <c r="HEW112" s="3"/>
      <c r="HEX112" s="3"/>
      <c r="HEY112" s="3"/>
      <c r="HEZ112" s="3"/>
      <c r="HFA112" s="3"/>
      <c r="HFB112" s="3"/>
      <c r="HFC112" s="3"/>
      <c r="HFD112" s="3"/>
      <c r="HFE112" s="3"/>
      <c r="HFF112" s="3"/>
      <c r="HFG112" s="3"/>
      <c r="HFH112" s="3"/>
      <c r="HFI112" s="3"/>
      <c r="HFJ112" s="3"/>
      <c r="HFK112" s="3"/>
      <c r="HFL112" s="3"/>
      <c r="HFM112" s="3"/>
      <c r="HFN112" s="3"/>
      <c r="HFO112" s="3"/>
      <c r="HFP112" s="3"/>
      <c r="HFQ112" s="3"/>
      <c r="HFR112" s="3"/>
      <c r="HFS112" s="3"/>
      <c r="HFT112" s="3"/>
      <c r="HFU112" s="3"/>
      <c r="HFV112" s="3"/>
      <c r="HFW112" s="3"/>
      <c r="HFX112" s="3"/>
      <c r="HFY112" s="3"/>
      <c r="HFZ112" s="3"/>
      <c r="HGA112" s="3"/>
      <c r="HGB112" s="3"/>
      <c r="HGC112" s="3"/>
      <c r="HGD112" s="3"/>
      <c r="HGE112" s="3"/>
      <c r="HGF112" s="3"/>
      <c r="HGG112" s="3"/>
      <c r="HGH112" s="3"/>
      <c r="HGI112" s="3"/>
      <c r="HGJ112" s="3"/>
      <c r="HGK112" s="3"/>
      <c r="HGL112" s="3"/>
      <c r="HGM112" s="3"/>
      <c r="HGN112" s="3"/>
      <c r="HGO112" s="3"/>
      <c r="HGP112" s="3"/>
      <c r="HGQ112" s="3"/>
      <c r="HGR112" s="3"/>
      <c r="HGS112" s="3"/>
      <c r="HGT112" s="3"/>
      <c r="HGU112" s="3"/>
      <c r="HGV112" s="3"/>
      <c r="HGW112" s="3"/>
      <c r="HGX112" s="3"/>
      <c r="HGY112" s="3"/>
      <c r="HGZ112" s="3"/>
      <c r="HHA112" s="3"/>
      <c r="HHB112" s="3"/>
      <c r="HHC112" s="3"/>
      <c r="HHD112" s="3"/>
      <c r="HHE112" s="3"/>
      <c r="HHF112" s="3"/>
      <c r="HHG112" s="3"/>
      <c r="HHH112" s="3"/>
      <c r="HHI112" s="3"/>
      <c r="HHJ112" s="3"/>
      <c r="HHK112" s="3"/>
      <c r="HHL112" s="3"/>
      <c r="HHM112" s="3"/>
      <c r="HHN112" s="3"/>
      <c r="HHO112" s="3"/>
      <c r="HHP112" s="3"/>
      <c r="HHQ112" s="3"/>
      <c r="HHR112" s="3"/>
      <c r="HHS112" s="3"/>
      <c r="HHT112" s="3"/>
      <c r="HHU112" s="3"/>
      <c r="HHV112" s="3"/>
      <c r="HHW112" s="3"/>
      <c r="HHX112" s="3"/>
      <c r="HHY112" s="3"/>
      <c r="HHZ112" s="3"/>
      <c r="HIA112" s="3"/>
      <c r="HIB112" s="3"/>
      <c r="HIC112" s="3"/>
      <c r="HID112" s="3"/>
      <c r="HIE112" s="3"/>
      <c r="HIF112" s="3"/>
      <c r="HIG112" s="3"/>
      <c r="HIH112" s="3"/>
      <c r="HII112" s="3"/>
      <c r="HIJ112" s="3"/>
      <c r="HIK112" s="3"/>
      <c r="HIL112" s="3"/>
      <c r="HIM112" s="3"/>
      <c r="HIN112" s="3"/>
      <c r="HIO112" s="3"/>
      <c r="HIP112" s="3"/>
      <c r="HIQ112" s="3"/>
      <c r="HIR112" s="3"/>
      <c r="HIS112" s="3"/>
      <c r="HIT112" s="3"/>
      <c r="HIU112" s="3"/>
      <c r="HIV112" s="3"/>
      <c r="HIW112" s="3"/>
      <c r="HIX112" s="3"/>
      <c r="HIY112" s="3"/>
      <c r="HIZ112" s="3"/>
      <c r="HJA112" s="3"/>
      <c r="HJB112" s="3"/>
      <c r="HJC112" s="3"/>
      <c r="HJD112" s="3"/>
      <c r="HJE112" s="3"/>
      <c r="HJF112" s="3"/>
      <c r="HJG112" s="3"/>
      <c r="HJH112" s="3"/>
      <c r="HJI112" s="3"/>
      <c r="HJJ112" s="3"/>
      <c r="HJK112" s="3"/>
      <c r="HJL112" s="3"/>
      <c r="HJM112" s="3"/>
      <c r="HJN112" s="3"/>
      <c r="HJO112" s="3"/>
      <c r="HJP112" s="3"/>
      <c r="HJQ112" s="3"/>
      <c r="HJR112" s="3"/>
      <c r="HJS112" s="3"/>
      <c r="HJT112" s="3"/>
      <c r="HJU112" s="3"/>
      <c r="HJV112" s="3"/>
      <c r="HJW112" s="3"/>
      <c r="HJX112" s="3"/>
      <c r="HJY112" s="3"/>
      <c r="HJZ112" s="3"/>
      <c r="HKA112" s="3"/>
      <c r="HKB112" s="3"/>
      <c r="HKC112" s="3"/>
      <c r="HKD112" s="3"/>
      <c r="HKE112" s="3"/>
      <c r="HKF112" s="3"/>
      <c r="HKG112" s="3"/>
      <c r="HKH112" s="3"/>
      <c r="HKI112" s="3"/>
      <c r="HKJ112" s="3"/>
      <c r="HKK112" s="3"/>
      <c r="HKL112" s="3"/>
      <c r="HKM112" s="3"/>
      <c r="HKN112" s="3"/>
      <c r="HKO112" s="3"/>
      <c r="HKP112" s="3"/>
      <c r="HKQ112" s="3"/>
      <c r="HKR112" s="3"/>
      <c r="HKS112" s="3"/>
      <c r="HKT112" s="3"/>
      <c r="HKU112" s="3"/>
      <c r="HKV112" s="3"/>
      <c r="HKW112" s="3"/>
      <c r="HKX112" s="3"/>
      <c r="HKY112" s="3"/>
      <c r="HKZ112" s="3"/>
      <c r="HLA112" s="3"/>
      <c r="HLB112" s="3"/>
      <c r="HLC112" s="3"/>
      <c r="HLD112" s="3"/>
      <c r="HLE112" s="3"/>
      <c r="HLF112" s="3"/>
      <c r="HLG112" s="3"/>
      <c r="HLH112" s="3"/>
      <c r="HLI112" s="3"/>
      <c r="HLJ112" s="3"/>
      <c r="HLK112" s="3"/>
      <c r="HLL112" s="3"/>
      <c r="HLM112" s="3"/>
      <c r="HLN112" s="3"/>
      <c r="HLO112" s="3"/>
      <c r="HLP112" s="3"/>
      <c r="HLQ112" s="3"/>
      <c r="HLR112" s="3"/>
      <c r="HLS112" s="3"/>
      <c r="HLT112" s="3"/>
      <c r="HLU112" s="3"/>
      <c r="HLV112" s="3"/>
      <c r="HLW112" s="3"/>
      <c r="HLX112" s="3"/>
      <c r="HLY112" s="3"/>
      <c r="HLZ112" s="3"/>
      <c r="HMA112" s="3"/>
      <c r="HMB112" s="3"/>
      <c r="HMC112" s="3"/>
      <c r="HMD112" s="3"/>
      <c r="HME112" s="3"/>
      <c r="HMF112" s="3"/>
      <c r="HMG112" s="3"/>
      <c r="HMH112" s="3"/>
      <c r="HMI112" s="3"/>
      <c r="HMJ112" s="3"/>
      <c r="HMK112" s="3"/>
      <c r="HML112" s="3"/>
      <c r="HMM112" s="3"/>
      <c r="HMN112" s="3"/>
      <c r="HMO112" s="3"/>
      <c r="HMP112" s="3"/>
      <c r="HMQ112" s="3"/>
      <c r="HMR112" s="3"/>
      <c r="HMS112" s="3"/>
      <c r="HMT112" s="3"/>
      <c r="HMU112" s="3"/>
      <c r="HMV112" s="3"/>
      <c r="HMW112" s="3"/>
      <c r="HMX112" s="3"/>
      <c r="HMY112" s="3"/>
      <c r="HMZ112" s="3"/>
      <c r="HNA112" s="3"/>
      <c r="HNB112" s="3"/>
      <c r="HNC112" s="3"/>
      <c r="HND112" s="3"/>
      <c r="HNE112" s="3"/>
      <c r="HNF112" s="3"/>
      <c r="HNG112" s="3"/>
      <c r="HNH112" s="3"/>
      <c r="HNI112" s="3"/>
      <c r="HNJ112" s="3"/>
      <c r="HNK112" s="3"/>
      <c r="HNL112" s="3"/>
      <c r="HNM112" s="3"/>
      <c r="HNN112" s="3"/>
      <c r="HNO112" s="3"/>
      <c r="HNP112" s="3"/>
      <c r="HNQ112" s="3"/>
      <c r="HNR112" s="3"/>
      <c r="HNS112" s="3"/>
      <c r="HNT112" s="3"/>
      <c r="HNU112" s="3"/>
      <c r="HNV112" s="3"/>
      <c r="HNW112" s="3"/>
      <c r="HNX112" s="3"/>
      <c r="HNY112" s="3"/>
      <c r="HNZ112" s="3"/>
      <c r="HOA112" s="3"/>
      <c r="HOB112" s="3"/>
      <c r="HOC112" s="3"/>
      <c r="HOD112" s="3"/>
      <c r="HOE112" s="3"/>
      <c r="HOF112" s="3"/>
      <c r="HOG112" s="3"/>
      <c r="HOH112" s="3"/>
      <c r="HOI112" s="3"/>
      <c r="HOJ112" s="3"/>
      <c r="HOK112" s="3"/>
      <c r="HOL112" s="3"/>
      <c r="HOM112" s="3"/>
      <c r="HON112" s="3"/>
      <c r="HOO112" s="3"/>
      <c r="HOP112" s="3"/>
      <c r="HOQ112" s="3"/>
      <c r="HOR112" s="3"/>
      <c r="HOS112" s="3"/>
      <c r="HOT112" s="3"/>
      <c r="HOU112" s="3"/>
      <c r="HOV112" s="3"/>
      <c r="HOW112" s="3"/>
      <c r="HOX112" s="3"/>
      <c r="HOY112" s="3"/>
      <c r="HOZ112" s="3"/>
      <c r="HPA112" s="3"/>
      <c r="HPB112" s="3"/>
      <c r="HPC112" s="3"/>
      <c r="HPD112" s="3"/>
      <c r="HPE112" s="3"/>
      <c r="HPF112" s="3"/>
      <c r="HPG112" s="3"/>
      <c r="HPH112" s="3"/>
      <c r="HPI112" s="3"/>
      <c r="HPJ112" s="3"/>
      <c r="HPK112" s="3"/>
      <c r="HPL112" s="3"/>
      <c r="HPM112" s="3"/>
      <c r="HPN112" s="3"/>
      <c r="HPO112" s="3"/>
      <c r="HPP112" s="3"/>
      <c r="HPQ112" s="3"/>
      <c r="HPR112" s="3"/>
      <c r="HPS112" s="3"/>
      <c r="HPT112" s="3"/>
      <c r="HPU112" s="3"/>
      <c r="HPV112" s="3"/>
      <c r="HPW112" s="3"/>
      <c r="HPX112" s="3"/>
      <c r="HPY112" s="3"/>
      <c r="HPZ112" s="3"/>
      <c r="HQA112" s="3"/>
      <c r="HQB112" s="3"/>
      <c r="HQC112" s="3"/>
      <c r="HQD112" s="3"/>
      <c r="HQE112" s="3"/>
      <c r="HQF112" s="3"/>
      <c r="HQG112" s="3"/>
      <c r="HQH112" s="3"/>
      <c r="HQI112" s="3"/>
      <c r="HQJ112" s="3"/>
      <c r="HQK112" s="3"/>
      <c r="HQL112" s="3"/>
      <c r="HQM112" s="3"/>
      <c r="HQN112" s="3"/>
      <c r="HQO112" s="3"/>
      <c r="HQP112" s="3"/>
      <c r="HQQ112" s="3"/>
      <c r="HQR112" s="3"/>
      <c r="HQS112" s="3"/>
      <c r="HQT112" s="3"/>
      <c r="HQU112" s="3"/>
      <c r="HQV112" s="3"/>
      <c r="HQW112" s="3"/>
      <c r="HQX112" s="3"/>
      <c r="HQY112" s="3"/>
      <c r="HQZ112" s="3"/>
      <c r="HRA112" s="3"/>
      <c r="HRB112" s="3"/>
      <c r="HRC112" s="3"/>
      <c r="HRD112" s="3"/>
      <c r="HRE112" s="3"/>
      <c r="HRF112" s="3"/>
      <c r="HRG112" s="3"/>
      <c r="HRH112" s="3"/>
      <c r="HRI112" s="3"/>
      <c r="HRJ112" s="3"/>
      <c r="HRK112" s="3"/>
      <c r="HRL112" s="3"/>
      <c r="HRM112" s="3"/>
      <c r="HRN112" s="3"/>
      <c r="HRO112" s="3"/>
      <c r="HRP112" s="3"/>
      <c r="HRQ112" s="3"/>
      <c r="HRR112" s="3"/>
      <c r="HRS112" s="3"/>
      <c r="HRT112" s="3"/>
      <c r="HRU112" s="3"/>
      <c r="HRV112" s="3"/>
      <c r="HRW112" s="3"/>
      <c r="HRX112" s="3"/>
      <c r="HRY112" s="3"/>
      <c r="HRZ112" s="3"/>
      <c r="HSA112" s="3"/>
      <c r="HSB112" s="3"/>
      <c r="HSC112" s="3"/>
      <c r="HSD112" s="3"/>
      <c r="HSE112" s="3"/>
      <c r="HSF112" s="3"/>
      <c r="HSG112" s="3"/>
      <c r="HSH112" s="3"/>
      <c r="HSI112" s="3"/>
      <c r="HSJ112" s="3"/>
      <c r="HSK112" s="3"/>
      <c r="HSL112" s="3"/>
      <c r="HSM112" s="3"/>
      <c r="HSN112" s="3"/>
      <c r="HSO112" s="3"/>
      <c r="HSP112" s="3"/>
      <c r="HSQ112" s="3"/>
      <c r="HSR112" s="3"/>
      <c r="HSS112" s="3"/>
      <c r="HST112" s="3"/>
      <c r="HSU112" s="3"/>
      <c r="HSV112" s="3"/>
      <c r="HSW112" s="3"/>
      <c r="HSX112" s="3"/>
      <c r="HSY112" s="3"/>
      <c r="HSZ112" s="3"/>
      <c r="HTA112" s="3"/>
      <c r="HTB112" s="3"/>
      <c r="HTC112" s="3"/>
      <c r="HTD112" s="3"/>
      <c r="HTE112" s="3"/>
      <c r="HTF112" s="3"/>
      <c r="HTG112" s="3"/>
      <c r="HTH112" s="3"/>
      <c r="HTI112" s="3"/>
      <c r="HTJ112" s="3"/>
      <c r="HTK112" s="3"/>
      <c r="HTL112" s="3"/>
      <c r="HTM112" s="3"/>
      <c r="HTN112" s="3"/>
      <c r="HTO112" s="3"/>
      <c r="HTP112" s="3"/>
      <c r="HTQ112" s="3"/>
      <c r="HTR112" s="3"/>
      <c r="HTS112" s="3"/>
      <c r="HTT112" s="3"/>
      <c r="HTU112" s="3"/>
      <c r="HTV112" s="3"/>
      <c r="HTW112" s="3"/>
      <c r="HTX112" s="3"/>
      <c r="HTY112" s="3"/>
      <c r="HTZ112" s="3"/>
      <c r="HUA112" s="3"/>
      <c r="HUB112" s="3"/>
      <c r="HUC112" s="3"/>
      <c r="HUD112" s="3"/>
      <c r="HUE112" s="3"/>
      <c r="HUF112" s="3"/>
      <c r="HUG112" s="3"/>
      <c r="HUH112" s="3"/>
      <c r="HUI112" s="3"/>
      <c r="HUJ112" s="3"/>
      <c r="HUK112" s="3"/>
      <c r="HUL112" s="3"/>
      <c r="HUM112" s="3"/>
      <c r="HUN112" s="3"/>
      <c r="HUO112" s="3"/>
      <c r="HUP112" s="3"/>
      <c r="HUQ112" s="3"/>
      <c r="HUR112" s="3"/>
      <c r="HUS112" s="3"/>
      <c r="HUT112" s="3"/>
      <c r="HUU112" s="3"/>
      <c r="HUV112" s="3"/>
      <c r="HUW112" s="3"/>
      <c r="HUX112" s="3"/>
      <c r="HUY112" s="3"/>
      <c r="HUZ112" s="3"/>
      <c r="HVA112" s="3"/>
      <c r="HVB112" s="3"/>
      <c r="HVC112" s="3"/>
      <c r="HVD112" s="3"/>
      <c r="HVE112" s="3"/>
      <c r="HVF112" s="3"/>
      <c r="HVG112" s="3"/>
      <c r="HVH112" s="3"/>
      <c r="HVI112" s="3"/>
      <c r="HVJ112" s="3"/>
      <c r="HVK112" s="3"/>
      <c r="HVL112" s="3"/>
      <c r="HVM112" s="3"/>
      <c r="HVN112" s="3"/>
      <c r="HVO112" s="3"/>
      <c r="HVP112" s="3"/>
      <c r="HVQ112" s="3"/>
      <c r="HVR112" s="3"/>
      <c r="HVS112" s="3"/>
      <c r="HVT112" s="3"/>
      <c r="HVU112" s="3"/>
      <c r="HVV112" s="3"/>
      <c r="HVW112" s="3"/>
      <c r="HVX112" s="3"/>
      <c r="HVY112" s="3"/>
      <c r="HVZ112" s="3"/>
      <c r="HWA112" s="3"/>
      <c r="HWB112" s="3"/>
      <c r="HWC112" s="3"/>
      <c r="HWD112" s="3"/>
      <c r="HWE112" s="3"/>
      <c r="HWF112" s="3"/>
      <c r="HWG112" s="3"/>
      <c r="HWH112" s="3"/>
      <c r="HWI112" s="3"/>
      <c r="HWJ112" s="3"/>
      <c r="HWK112" s="3"/>
      <c r="HWL112" s="3"/>
      <c r="HWM112" s="3"/>
      <c r="HWN112" s="3"/>
      <c r="HWO112" s="3"/>
      <c r="HWP112" s="3"/>
      <c r="HWQ112" s="3"/>
      <c r="HWR112" s="3"/>
      <c r="HWS112" s="3"/>
      <c r="HWT112" s="3"/>
      <c r="HWU112" s="3"/>
      <c r="HWV112" s="3"/>
      <c r="HWW112" s="3"/>
      <c r="HWX112" s="3"/>
      <c r="HWY112" s="3"/>
      <c r="HWZ112" s="3"/>
      <c r="HXA112" s="3"/>
      <c r="HXB112" s="3"/>
      <c r="HXC112" s="3"/>
      <c r="HXD112" s="3"/>
      <c r="HXE112" s="3"/>
      <c r="HXF112" s="3"/>
      <c r="HXG112" s="3"/>
      <c r="HXH112" s="3"/>
      <c r="HXI112" s="3"/>
      <c r="HXJ112" s="3"/>
      <c r="HXK112" s="3"/>
      <c r="HXL112" s="3"/>
      <c r="HXM112" s="3"/>
      <c r="HXN112" s="3"/>
      <c r="HXO112" s="3"/>
      <c r="HXP112" s="3"/>
      <c r="HXQ112" s="3"/>
      <c r="HXR112" s="3"/>
      <c r="HXS112" s="3"/>
      <c r="HXT112" s="3"/>
      <c r="HXU112" s="3"/>
      <c r="HXV112" s="3"/>
      <c r="HXW112" s="3"/>
      <c r="HXX112" s="3"/>
      <c r="HXY112" s="3"/>
      <c r="HXZ112" s="3"/>
      <c r="HYA112" s="3"/>
      <c r="HYB112" s="3"/>
      <c r="HYC112" s="3"/>
      <c r="HYD112" s="3"/>
      <c r="HYE112" s="3"/>
      <c r="HYF112" s="3"/>
      <c r="HYG112" s="3"/>
      <c r="HYH112" s="3"/>
      <c r="HYI112" s="3"/>
      <c r="HYJ112" s="3"/>
      <c r="HYK112" s="3"/>
      <c r="HYL112" s="3"/>
      <c r="HYM112" s="3"/>
      <c r="HYN112" s="3"/>
      <c r="HYO112" s="3"/>
      <c r="HYP112" s="3"/>
      <c r="HYQ112" s="3"/>
      <c r="HYR112" s="3"/>
      <c r="HYS112" s="3"/>
      <c r="HYT112" s="3"/>
      <c r="HYU112" s="3"/>
      <c r="HYV112" s="3"/>
      <c r="HYW112" s="3"/>
      <c r="HYX112" s="3"/>
      <c r="HYY112" s="3"/>
      <c r="HYZ112" s="3"/>
      <c r="HZA112" s="3"/>
      <c r="HZB112" s="3"/>
      <c r="HZC112" s="3"/>
      <c r="HZD112" s="3"/>
      <c r="HZE112" s="3"/>
      <c r="HZF112" s="3"/>
      <c r="HZG112" s="3"/>
      <c r="HZH112" s="3"/>
      <c r="HZI112" s="3"/>
      <c r="HZJ112" s="3"/>
      <c r="HZK112" s="3"/>
      <c r="HZL112" s="3"/>
      <c r="HZM112" s="3"/>
      <c r="HZN112" s="3"/>
      <c r="HZO112" s="3"/>
      <c r="HZP112" s="3"/>
      <c r="HZQ112" s="3"/>
      <c r="HZR112" s="3"/>
      <c r="HZS112" s="3"/>
      <c r="HZT112" s="3"/>
      <c r="HZU112" s="3"/>
      <c r="HZV112" s="3"/>
      <c r="HZW112" s="3"/>
      <c r="HZX112" s="3"/>
      <c r="HZY112" s="3"/>
      <c r="HZZ112" s="3"/>
      <c r="IAA112" s="3"/>
      <c r="IAB112" s="3"/>
      <c r="IAC112" s="3"/>
      <c r="IAD112" s="3"/>
      <c r="IAE112" s="3"/>
      <c r="IAF112" s="3"/>
      <c r="IAG112" s="3"/>
      <c r="IAH112" s="3"/>
      <c r="IAI112" s="3"/>
      <c r="IAJ112" s="3"/>
      <c r="IAK112" s="3"/>
      <c r="IAL112" s="3"/>
      <c r="IAM112" s="3"/>
      <c r="IAN112" s="3"/>
      <c r="IAO112" s="3"/>
      <c r="IAP112" s="3"/>
      <c r="IAQ112" s="3"/>
      <c r="IAR112" s="3"/>
      <c r="IAS112" s="3"/>
      <c r="IAT112" s="3"/>
      <c r="IAU112" s="3"/>
      <c r="IAV112" s="3"/>
      <c r="IAW112" s="3"/>
      <c r="IAX112" s="3"/>
      <c r="IAY112" s="3"/>
      <c r="IAZ112" s="3"/>
      <c r="IBA112" s="3"/>
      <c r="IBB112" s="3"/>
      <c r="IBC112" s="3"/>
      <c r="IBD112" s="3"/>
      <c r="IBE112" s="3"/>
      <c r="IBF112" s="3"/>
      <c r="IBG112" s="3"/>
      <c r="IBH112" s="3"/>
      <c r="IBI112" s="3"/>
      <c r="IBJ112" s="3"/>
      <c r="IBK112" s="3"/>
      <c r="IBL112" s="3"/>
      <c r="IBM112" s="3"/>
      <c r="IBN112" s="3"/>
      <c r="IBO112" s="3"/>
      <c r="IBP112" s="3"/>
      <c r="IBQ112" s="3"/>
      <c r="IBR112" s="3"/>
      <c r="IBS112" s="3"/>
      <c r="IBT112" s="3"/>
      <c r="IBU112" s="3"/>
      <c r="IBV112" s="3"/>
      <c r="IBW112" s="3"/>
      <c r="IBX112" s="3"/>
      <c r="IBY112" s="3"/>
      <c r="IBZ112" s="3"/>
      <c r="ICA112" s="3"/>
      <c r="ICB112" s="3"/>
      <c r="ICC112" s="3"/>
      <c r="ICD112" s="3"/>
      <c r="ICE112" s="3"/>
      <c r="ICF112" s="3"/>
      <c r="ICG112" s="3"/>
      <c r="ICH112" s="3"/>
      <c r="ICI112" s="3"/>
      <c r="ICJ112" s="3"/>
      <c r="ICK112" s="3"/>
      <c r="ICL112" s="3"/>
      <c r="ICM112" s="3"/>
      <c r="ICN112" s="3"/>
      <c r="ICO112" s="3"/>
      <c r="ICP112" s="3"/>
      <c r="ICQ112" s="3"/>
      <c r="ICR112" s="3"/>
      <c r="ICS112" s="3"/>
      <c r="ICT112" s="3"/>
      <c r="ICU112" s="3"/>
      <c r="ICV112" s="3"/>
      <c r="ICW112" s="3"/>
      <c r="ICX112" s="3"/>
      <c r="ICY112" s="3"/>
      <c r="ICZ112" s="3"/>
      <c r="IDA112" s="3"/>
      <c r="IDB112" s="3"/>
      <c r="IDC112" s="3"/>
      <c r="IDD112" s="3"/>
      <c r="IDE112" s="3"/>
      <c r="IDF112" s="3"/>
      <c r="IDG112" s="3"/>
      <c r="IDH112" s="3"/>
      <c r="IDI112" s="3"/>
      <c r="IDJ112" s="3"/>
      <c r="IDK112" s="3"/>
      <c r="IDL112" s="3"/>
      <c r="IDM112" s="3"/>
      <c r="IDN112" s="3"/>
      <c r="IDO112" s="3"/>
      <c r="IDP112" s="3"/>
      <c r="IDQ112" s="3"/>
      <c r="IDR112" s="3"/>
      <c r="IDS112" s="3"/>
      <c r="IDT112" s="3"/>
      <c r="IDU112" s="3"/>
      <c r="IDV112" s="3"/>
      <c r="IDW112" s="3"/>
      <c r="IDX112" s="3"/>
      <c r="IDY112" s="3"/>
      <c r="IDZ112" s="3"/>
      <c r="IEA112" s="3"/>
      <c r="IEB112" s="3"/>
      <c r="IEC112" s="3"/>
      <c r="IED112" s="3"/>
      <c r="IEE112" s="3"/>
      <c r="IEF112" s="3"/>
      <c r="IEG112" s="3"/>
      <c r="IEH112" s="3"/>
      <c r="IEI112" s="3"/>
      <c r="IEJ112" s="3"/>
      <c r="IEK112" s="3"/>
      <c r="IEL112" s="3"/>
      <c r="IEM112" s="3"/>
      <c r="IEN112" s="3"/>
      <c r="IEO112" s="3"/>
      <c r="IEP112" s="3"/>
      <c r="IEQ112" s="3"/>
      <c r="IER112" s="3"/>
      <c r="IES112" s="3"/>
      <c r="IET112" s="3"/>
      <c r="IEU112" s="3"/>
      <c r="IEV112" s="3"/>
      <c r="IEW112" s="3"/>
      <c r="IEX112" s="3"/>
      <c r="IEY112" s="3"/>
      <c r="IEZ112" s="3"/>
      <c r="IFA112" s="3"/>
      <c r="IFB112" s="3"/>
      <c r="IFC112" s="3"/>
      <c r="IFD112" s="3"/>
      <c r="IFE112" s="3"/>
      <c r="IFF112" s="3"/>
      <c r="IFG112" s="3"/>
      <c r="IFH112" s="3"/>
      <c r="IFI112" s="3"/>
      <c r="IFJ112" s="3"/>
      <c r="IFK112" s="3"/>
      <c r="IFL112" s="3"/>
      <c r="IFM112" s="3"/>
      <c r="IFN112" s="3"/>
      <c r="IFO112" s="3"/>
      <c r="IFP112" s="3"/>
      <c r="IFQ112" s="3"/>
      <c r="IFR112" s="3"/>
      <c r="IFS112" s="3"/>
      <c r="IFT112" s="3"/>
      <c r="IFU112" s="3"/>
      <c r="IFV112" s="3"/>
      <c r="IFW112" s="3"/>
      <c r="IFX112" s="3"/>
      <c r="IFY112" s="3"/>
      <c r="IFZ112" s="3"/>
      <c r="IGA112" s="3"/>
      <c r="IGB112" s="3"/>
      <c r="IGC112" s="3"/>
      <c r="IGD112" s="3"/>
      <c r="IGE112" s="3"/>
      <c r="IGF112" s="3"/>
      <c r="IGG112" s="3"/>
      <c r="IGH112" s="3"/>
      <c r="IGI112" s="3"/>
      <c r="IGJ112" s="3"/>
      <c r="IGK112" s="3"/>
      <c r="IGL112" s="3"/>
      <c r="IGM112" s="3"/>
      <c r="IGN112" s="3"/>
      <c r="IGO112" s="3"/>
      <c r="IGP112" s="3"/>
      <c r="IGQ112" s="3"/>
      <c r="IGR112" s="3"/>
      <c r="IGS112" s="3"/>
      <c r="IGT112" s="3"/>
      <c r="IGU112" s="3"/>
      <c r="IGV112" s="3"/>
      <c r="IGW112" s="3"/>
      <c r="IGX112" s="3"/>
      <c r="IGY112" s="3"/>
      <c r="IGZ112" s="3"/>
      <c r="IHA112" s="3"/>
      <c r="IHB112" s="3"/>
      <c r="IHC112" s="3"/>
      <c r="IHD112" s="3"/>
      <c r="IHE112" s="3"/>
      <c r="IHF112" s="3"/>
      <c r="IHG112" s="3"/>
      <c r="IHH112" s="3"/>
      <c r="IHI112" s="3"/>
      <c r="IHJ112" s="3"/>
      <c r="IHK112" s="3"/>
      <c r="IHL112" s="3"/>
      <c r="IHM112" s="3"/>
      <c r="IHN112" s="3"/>
      <c r="IHO112" s="3"/>
      <c r="IHP112" s="3"/>
      <c r="IHQ112" s="3"/>
      <c r="IHR112" s="3"/>
      <c r="IHS112" s="3"/>
      <c r="IHT112" s="3"/>
      <c r="IHU112" s="3"/>
      <c r="IHV112" s="3"/>
      <c r="IHW112" s="3"/>
      <c r="IHX112" s="3"/>
      <c r="IHY112" s="3"/>
      <c r="IHZ112" s="3"/>
      <c r="IIA112" s="3"/>
      <c r="IIB112" s="3"/>
      <c r="IIC112" s="3"/>
      <c r="IID112" s="3"/>
      <c r="IIE112" s="3"/>
      <c r="IIF112" s="3"/>
      <c r="IIG112" s="3"/>
      <c r="IIH112" s="3"/>
      <c r="III112" s="3"/>
      <c r="IIJ112" s="3"/>
      <c r="IIK112" s="3"/>
      <c r="IIL112" s="3"/>
      <c r="IIM112" s="3"/>
      <c r="IIN112" s="3"/>
      <c r="IIO112" s="3"/>
      <c r="IIP112" s="3"/>
      <c r="IIQ112" s="3"/>
      <c r="IIR112" s="3"/>
      <c r="IIS112" s="3"/>
      <c r="IIT112" s="3"/>
      <c r="IIU112" s="3"/>
      <c r="IIV112" s="3"/>
      <c r="IIW112" s="3"/>
      <c r="IIX112" s="3"/>
      <c r="IIY112" s="3"/>
      <c r="IIZ112" s="3"/>
      <c r="IJA112" s="3"/>
      <c r="IJB112" s="3"/>
      <c r="IJC112" s="3"/>
      <c r="IJD112" s="3"/>
      <c r="IJE112" s="3"/>
      <c r="IJF112" s="3"/>
      <c r="IJG112" s="3"/>
      <c r="IJH112" s="3"/>
      <c r="IJI112" s="3"/>
      <c r="IJJ112" s="3"/>
      <c r="IJK112" s="3"/>
      <c r="IJL112" s="3"/>
      <c r="IJM112" s="3"/>
      <c r="IJN112" s="3"/>
      <c r="IJO112" s="3"/>
      <c r="IJP112" s="3"/>
      <c r="IJQ112" s="3"/>
      <c r="IJR112" s="3"/>
      <c r="IJS112" s="3"/>
      <c r="IJT112" s="3"/>
      <c r="IJU112" s="3"/>
      <c r="IJV112" s="3"/>
      <c r="IJW112" s="3"/>
      <c r="IJX112" s="3"/>
      <c r="IJY112" s="3"/>
      <c r="IJZ112" s="3"/>
      <c r="IKA112" s="3"/>
      <c r="IKB112" s="3"/>
      <c r="IKC112" s="3"/>
      <c r="IKD112" s="3"/>
      <c r="IKE112" s="3"/>
      <c r="IKF112" s="3"/>
      <c r="IKG112" s="3"/>
      <c r="IKH112" s="3"/>
      <c r="IKI112" s="3"/>
      <c r="IKJ112" s="3"/>
      <c r="IKK112" s="3"/>
      <c r="IKL112" s="3"/>
      <c r="IKM112" s="3"/>
      <c r="IKN112" s="3"/>
      <c r="IKO112" s="3"/>
      <c r="IKP112" s="3"/>
      <c r="IKQ112" s="3"/>
      <c r="IKR112" s="3"/>
      <c r="IKS112" s="3"/>
      <c r="IKT112" s="3"/>
      <c r="IKU112" s="3"/>
      <c r="IKV112" s="3"/>
      <c r="IKW112" s="3"/>
      <c r="IKX112" s="3"/>
      <c r="IKY112" s="3"/>
      <c r="IKZ112" s="3"/>
      <c r="ILA112" s="3"/>
      <c r="ILB112" s="3"/>
      <c r="ILC112" s="3"/>
      <c r="ILD112" s="3"/>
      <c r="ILE112" s="3"/>
      <c r="ILF112" s="3"/>
      <c r="ILG112" s="3"/>
      <c r="ILH112" s="3"/>
      <c r="ILI112" s="3"/>
      <c r="ILJ112" s="3"/>
      <c r="ILK112" s="3"/>
      <c r="ILL112" s="3"/>
      <c r="ILM112" s="3"/>
      <c r="ILN112" s="3"/>
      <c r="ILO112" s="3"/>
      <c r="ILP112" s="3"/>
      <c r="ILQ112" s="3"/>
      <c r="ILR112" s="3"/>
      <c r="ILS112" s="3"/>
      <c r="ILT112" s="3"/>
      <c r="ILU112" s="3"/>
      <c r="ILV112" s="3"/>
      <c r="ILW112" s="3"/>
      <c r="ILX112" s="3"/>
      <c r="ILY112" s="3"/>
      <c r="ILZ112" s="3"/>
      <c r="IMA112" s="3"/>
      <c r="IMB112" s="3"/>
      <c r="IMC112" s="3"/>
      <c r="IMD112" s="3"/>
      <c r="IME112" s="3"/>
      <c r="IMF112" s="3"/>
      <c r="IMG112" s="3"/>
      <c r="IMH112" s="3"/>
      <c r="IMI112" s="3"/>
      <c r="IMJ112" s="3"/>
      <c r="IMK112" s="3"/>
      <c r="IML112" s="3"/>
      <c r="IMM112" s="3"/>
      <c r="IMN112" s="3"/>
      <c r="IMO112" s="3"/>
      <c r="IMP112" s="3"/>
      <c r="IMQ112" s="3"/>
      <c r="IMR112" s="3"/>
      <c r="IMS112" s="3"/>
      <c r="IMT112" s="3"/>
      <c r="IMU112" s="3"/>
      <c r="IMV112" s="3"/>
      <c r="IMW112" s="3"/>
      <c r="IMX112" s="3"/>
      <c r="IMY112" s="3"/>
      <c r="IMZ112" s="3"/>
      <c r="INA112" s="3"/>
      <c r="INB112" s="3"/>
      <c r="INC112" s="3"/>
      <c r="IND112" s="3"/>
      <c r="INE112" s="3"/>
      <c r="INF112" s="3"/>
      <c r="ING112" s="3"/>
      <c r="INH112" s="3"/>
      <c r="INI112" s="3"/>
      <c r="INJ112" s="3"/>
      <c r="INK112" s="3"/>
      <c r="INL112" s="3"/>
      <c r="INM112" s="3"/>
      <c r="INN112" s="3"/>
      <c r="INO112" s="3"/>
      <c r="INP112" s="3"/>
      <c r="INQ112" s="3"/>
      <c r="INR112" s="3"/>
      <c r="INS112" s="3"/>
      <c r="INT112" s="3"/>
      <c r="INU112" s="3"/>
      <c r="INV112" s="3"/>
      <c r="INW112" s="3"/>
      <c r="INX112" s="3"/>
      <c r="INY112" s="3"/>
      <c r="INZ112" s="3"/>
      <c r="IOA112" s="3"/>
      <c r="IOB112" s="3"/>
      <c r="IOC112" s="3"/>
      <c r="IOD112" s="3"/>
      <c r="IOE112" s="3"/>
      <c r="IOF112" s="3"/>
      <c r="IOG112" s="3"/>
      <c r="IOH112" s="3"/>
      <c r="IOI112" s="3"/>
      <c r="IOJ112" s="3"/>
      <c r="IOK112" s="3"/>
      <c r="IOL112" s="3"/>
      <c r="IOM112" s="3"/>
      <c r="ION112" s="3"/>
      <c r="IOO112" s="3"/>
      <c r="IOP112" s="3"/>
      <c r="IOQ112" s="3"/>
      <c r="IOR112" s="3"/>
      <c r="IOS112" s="3"/>
      <c r="IOT112" s="3"/>
      <c r="IOU112" s="3"/>
      <c r="IOV112" s="3"/>
      <c r="IOW112" s="3"/>
      <c r="IOX112" s="3"/>
      <c r="IOY112" s="3"/>
      <c r="IOZ112" s="3"/>
      <c r="IPA112" s="3"/>
      <c r="IPB112" s="3"/>
      <c r="IPC112" s="3"/>
      <c r="IPD112" s="3"/>
      <c r="IPE112" s="3"/>
      <c r="IPF112" s="3"/>
      <c r="IPG112" s="3"/>
      <c r="IPH112" s="3"/>
      <c r="IPI112" s="3"/>
      <c r="IPJ112" s="3"/>
      <c r="IPK112" s="3"/>
      <c r="IPL112" s="3"/>
      <c r="IPM112" s="3"/>
      <c r="IPN112" s="3"/>
      <c r="IPO112" s="3"/>
      <c r="IPP112" s="3"/>
      <c r="IPQ112" s="3"/>
      <c r="IPR112" s="3"/>
      <c r="IPS112" s="3"/>
      <c r="IPT112" s="3"/>
      <c r="IPU112" s="3"/>
      <c r="IPV112" s="3"/>
      <c r="IPW112" s="3"/>
      <c r="IPX112" s="3"/>
      <c r="IPY112" s="3"/>
      <c r="IPZ112" s="3"/>
      <c r="IQA112" s="3"/>
      <c r="IQB112" s="3"/>
      <c r="IQC112" s="3"/>
      <c r="IQD112" s="3"/>
      <c r="IQE112" s="3"/>
      <c r="IQF112" s="3"/>
      <c r="IQG112" s="3"/>
      <c r="IQH112" s="3"/>
      <c r="IQI112" s="3"/>
      <c r="IQJ112" s="3"/>
      <c r="IQK112" s="3"/>
      <c r="IQL112" s="3"/>
      <c r="IQM112" s="3"/>
      <c r="IQN112" s="3"/>
      <c r="IQO112" s="3"/>
      <c r="IQP112" s="3"/>
      <c r="IQQ112" s="3"/>
      <c r="IQR112" s="3"/>
      <c r="IQS112" s="3"/>
      <c r="IQT112" s="3"/>
      <c r="IQU112" s="3"/>
      <c r="IQV112" s="3"/>
      <c r="IQW112" s="3"/>
      <c r="IQX112" s="3"/>
      <c r="IQY112" s="3"/>
      <c r="IQZ112" s="3"/>
      <c r="IRA112" s="3"/>
      <c r="IRB112" s="3"/>
      <c r="IRC112" s="3"/>
      <c r="IRD112" s="3"/>
      <c r="IRE112" s="3"/>
      <c r="IRF112" s="3"/>
      <c r="IRG112" s="3"/>
      <c r="IRH112" s="3"/>
      <c r="IRI112" s="3"/>
      <c r="IRJ112" s="3"/>
      <c r="IRK112" s="3"/>
      <c r="IRL112" s="3"/>
      <c r="IRM112" s="3"/>
      <c r="IRN112" s="3"/>
      <c r="IRO112" s="3"/>
      <c r="IRP112" s="3"/>
      <c r="IRQ112" s="3"/>
      <c r="IRR112" s="3"/>
      <c r="IRS112" s="3"/>
      <c r="IRT112" s="3"/>
      <c r="IRU112" s="3"/>
      <c r="IRV112" s="3"/>
      <c r="IRW112" s="3"/>
      <c r="IRX112" s="3"/>
      <c r="IRY112" s="3"/>
      <c r="IRZ112" s="3"/>
      <c r="ISA112" s="3"/>
      <c r="ISB112" s="3"/>
      <c r="ISC112" s="3"/>
      <c r="ISD112" s="3"/>
      <c r="ISE112" s="3"/>
      <c r="ISF112" s="3"/>
      <c r="ISG112" s="3"/>
      <c r="ISH112" s="3"/>
      <c r="ISI112" s="3"/>
      <c r="ISJ112" s="3"/>
      <c r="ISK112" s="3"/>
      <c r="ISL112" s="3"/>
      <c r="ISM112" s="3"/>
      <c r="ISN112" s="3"/>
      <c r="ISO112" s="3"/>
      <c r="ISP112" s="3"/>
      <c r="ISQ112" s="3"/>
      <c r="ISR112" s="3"/>
      <c r="ISS112" s="3"/>
      <c r="IST112" s="3"/>
      <c r="ISU112" s="3"/>
      <c r="ISV112" s="3"/>
      <c r="ISW112" s="3"/>
      <c r="ISX112" s="3"/>
      <c r="ISY112" s="3"/>
      <c r="ISZ112" s="3"/>
      <c r="ITA112" s="3"/>
      <c r="ITB112" s="3"/>
      <c r="ITC112" s="3"/>
      <c r="ITD112" s="3"/>
      <c r="ITE112" s="3"/>
      <c r="ITF112" s="3"/>
      <c r="ITG112" s="3"/>
      <c r="ITH112" s="3"/>
      <c r="ITI112" s="3"/>
      <c r="ITJ112" s="3"/>
      <c r="ITK112" s="3"/>
      <c r="ITL112" s="3"/>
      <c r="ITM112" s="3"/>
      <c r="ITN112" s="3"/>
      <c r="ITO112" s="3"/>
      <c r="ITP112" s="3"/>
      <c r="ITQ112" s="3"/>
      <c r="ITR112" s="3"/>
      <c r="ITS112" s="3"/>
      <c r="ITT112" s="3"/>
      <c r="ITU112" s="3"/>
      <c r="ITV112" s="3"/>
      <c r="ITW112" s="3"/>
      <c r="ITX112" s="3"/>
      <c r="ITY112" s="3"/>
      <c r="ITZ112" s="3"/>
      <c r="IUA112" s="3"/>
      <c r="IUB112" s="3"/>
      <c r="IUC112" s="3"/>
      <c r="IUD112" s="3"/>
      <c r="IUE112" s="3"/>
      <c r="IUF112" s="3"/>
      <c r="IUG112" s="3"/>
      <c r="IUH112" s="3"/>
      <c r="IUI112" s="3"/>
      <c r="IUJ112" s="3"/>
      <c r="IUK112" s="3"/>
      <c r="IUL112" s="3"/>
      <c r="IUM112" s="3"/>
      <c r="IUN112" s="3"/>
      <c r="IUO112" s="3"/>
      <c r="IUP112" s="3"/>
      <c r="IUQ112" s="3"/>
      <c r="IUR112" s="3"/>
      <c r="IUS112" s="3"/>
      <c r="IUT112" s="3"/>
      <c r="IUU112" s="3"/>
      <c r="IUV112" s="3"/>
      <c r="IUW112" s="3"/>
      <c r="IUX112" s="3"/>
      <c r="IUY112" s="3"/>
      <c r="IUZ112" s="3"/>
      <c r="IVA112" s="3"/>
      <c r="IVB112" s="3"/>
      <c r="IVC112" s="3"/>
      <c r="IVD112" s="3"/>
      <c r="IVE112" s="3"/>
      <c r="IVF112" s="3"/>
      <c r="IVG112" s="3"/>
      <c r="IVH112" s="3"/>
      <c r="IVI112" s="3"/>
      <c r="IVJ112" s="3"/>
      <c r="IVK112" s="3"/>
      <c r="IVL112" s="3"/>
      <c r="IVM112" s="3"/>
      <c r="IVN112" s="3"/>
      <c r="IVO112" s="3"/>
      <c r="IVP112" s="3"/>
      <c r="IVQ112" s="3"/>
      <c r="IVR112" s="3"/>
      <c r="IVS112" s="3"/>
      <c r="IVT112" s="3"/>
      <c r="IVU112" s="3"/>
      <c r="IVV112" s="3"/>
      <c r="IVW112" s="3"/>
      <c r="IVX112" s="3"/>
      <c r="IVY112" s="3"/>
      <c r="IVZ112" s="3"/>
      <c r="IWA112" s="3"/>
      <c r="IWB112" s="3"/>
      <c r="IWC112" s="3"/>
      <c r="IWD112" s="3"/>
      <c r="IWE112" s="3"/>
      <c r="IWF112" s="3"/>
      <c r="IWG112" s="3"/>
      <c r="IWH112" s="3"/>
      <c r="IWI112" s="3"/>
      <c r="IWJ112" s="3"/>
      <c r="IWK112" s="3"/>
      <c r="IWL112" s="3"/>
      <c r="IWM112" s="3"/>
      <c r="IWN112" s="3"/>
      <c r="IWO112" s="3"/>
      <c r="IWP112" s="3"/>
      <c r="IWQ112" s="3"/>
      <c r="IWR112" s="3"/>
      <c r="IWS112" s="3"/>
      <c r="IWT112" s="3"/>
      <c r="IWU112" s="3"/>
      <c r="IWV112" s="3"/>
      <c r="IWW112" s="3"/>
      <c r="IWX112" s="3"/>
      <c r="IWY112" s="3"/>
      <c r="IWZ112" s="3"/>
      <c r="IXA112" s="3"/>
      <c r="IXB112" s="3"/>
      <c r="IXC112" s="3"/>
      <c r="IXD112" s="3"/>
      <c r="IXE112" s="3"/>
      <c r="IXF112" s="3"/>
      <c r="IXG112" s="3"/>
      <c r="IXH112" s="3"/>
      <c r="IXI112" s="3"/>
      <c r="IXJ112" s="3"/>
      <c r="IXK112" s="3"/>
      <c r="IXL112" s="3"/>
      <c r="IXM112" s="3"/>
      <c r="IXN112" s="3"/>
      <c r="IXO112" s="3"/>
      <c r="IXP112" s="3"/>
      <c r="IXQ112" s="3"/>
      <c r="IXR112" s="3"/>
      <c r="IXS112" s="3"/>
      <c r="IXT112" s="3"/>
      <c r="IXU112" s="3"/>
      <c r="IXV112" s="3"/>
      <c r="IXW112" s="3"/>
      <c r="IXX112" s="3"/>
      <c r="IXY112" s="3"/>
      <c r="IXZ112" s="3"/>
      <c r="IYA112" s="3"/>
      <c r="IYB112" s="3"/>
      <c r="IYC112" s="3"/>
      <c r="IYD112" s="3"/>
      <c r="IYE112" s="3"/>
      <c r="IYF112" s="3"/>
      <c r="IYG112" s="3"/>
      <c r="IYH112" s="3"/>
      <c r="IYI112" s="3"/>
      <c r="IYJ112" s="3"/>
      <c r="IYK112" s="3"/>
      <c r="IYL112" s="3"/>
      <c r="IYM112" s="3"/>
      <c r="IYN112" s="3"/>
      <c r="IYO112" s="3"/>
      <c r="IYP112" s="3"/>
      <c r="IYQ112" s="3"/>
      <c r="IYR112" s="3"/>
      <c r="IYS112" s="3"/>
      <c r="IYT112" s="3"/>
      <c r="IYU112" s="3"/>
      <c r="IYV112" s="3"/>
      <c r="IYW112" s="3"/>
      <c r="IYX112" s="3"/>
      <c r="IYY112" s="3"/>
      <c r="IYZ112" s="3"/>
      <c r="IZA112" s="3"/>
      <c r="IZB112" s="3"/>
      <c r="IZC112" s="3"/>
      <c r="IZD112" s="3"/>
      <c r="IZE112" s="3"/>
      <c r="IZF112" s="3"/>
      <c r="IZG112" s="3"/>
      <c r="IZH112" s="3"/>
      <c r="IZI112" s="3"/>
      <c r="IZJ112" s="3"/>
      <c r="IZK112" s="3"/>
      <c r="IZL112" s="3"/>
      <c r="IZM112" s="3"/>
      <c r="IZN112" s="3"/>
      <c r="IZO112" s="3"/>
      <c r="IZP112" s="3"/>
      <c r="IZQ112" s="3"/>
      <c r="IZR112" s="3"/>
      <c r="IZS112" s="3"/>
      <c r="IZT112" s="3"/>
      <c r="IZU112" s="3"/>
      <c r="IZV112" s="3"/>
      <c r="IZW112" s="3"/>
      <c r="IZX112" s="3"/>
      <c r="IZY112" s="3"/>
      <c r="IZZ112" s="3"/>
      <c r="JAA112" s="3"/>
      <c r="JAB112" s="3"/>
      <c r="JAC112" s="3"/>
      <c r="JAD112" s="3"/>
      <c r="JAE112" s="3"/>
      <c r="JAF112" s="3"/>
      <c r="JAG112" s="3"/>
      <c r="JAH112" s="3"/>
      <c r="JAI112" s="3"/>
      <c r="JAJ112" s="3"/>
      <c r="JAK112" s="3"/>
      <c r="JAL112" s="3"/>
      <c r="JAM112" s="3"/>
      <c r="JAN112" s="3"/>
      <c r="JAO112" s="3"/>
      <c r="JAP112" s="3"/>
      <c r="JAQ112" s="3"/>
      <c r="JAR112" s="3"/>
      <c r="JAS112" s="3"/>
      <c r="JAT112" s="3"/>
      <c r="JAU112" s="3"/>
      <c r="JAV112" s="3"/>
      <c r="JAW112" s="3"/>
      <c r="JAX112" s="3"/>
      <c r="JAY112" s="3"/>
      <c r="JAZ112" s="3"/>
      <c r="JBA112" s="3"/>
      <c r="JBB112" s="3"/>
      <c r="JBC112" s="3"/>
      <c r="JBD112" s="3"/>
      <c r="JBE112" s="3"/>
      <c r="JBF112" s="3"/>
      <c r="JBG112" s="3"/>
      <c r="JBH112" s="3"/>
      <c r="JBI112" s="3"/>
      <c r="JBJ112" s="3"/>
      <c r="JBK112" s="3"/>
      <c r="JBL112" s="3"/>
      <c r="JBM112" s="3"/>
      <c r="JBN112" s="3"/>
      <c r="JBO112" s="3"/>
      <c r="JBP112" s="3"/>
      <c r="JBQ112" s="3"/>
      <c r="JBR112" s="3"/>
      <c r="JBS112" s="3"/>
      <c r="JBT112" s="3"/>
      <c r="JBU112" s="3"/>
      <c r="JBV112" s="3"/>
      <c r="JBW112" s="3"/>
      <c r="JBX112" s="3"/>
      <c r="JBY112" s="3"/>
      <c r="JBZ112" s="3"/>
      <c r="JCA112" s="3"/>
      <c r="JCB112" s="3"/>
      <c r="JCC112" s="3"/>
      <c r="JCD112" s="3"/>
      <c r="JCE112" s="3"/>
      <c r="JCF112" s="3"/>
      <c r="JCG112" s="3"/>
      <c r="JCH112" s="3"/>
      <c r="JCI112" s="3"/>
      <c r="JCJ112" s="3"/>
      <c r="JCK112" s="3"/>
      <c r="JCL112" s="3"/>
      <c r="JCM112" s="3"/>
      <c r="JCN112" s="3"/>
      <c r="JCO112" s="3"/>
      <c r="JCP112" s="3"/>
      <c r="JCQ112" s="3"/>
      <c r="JCR112" s="3"/>
      <c r="JCS112" s="3"/>
      <c r="JCT112" s="3"/>
      <c r="JCU112" s="3"/>
      <c r="JCV112" s="3"/>
      <c r="JCW112" s="3"/>
      <c r="JCX112" s="3"/>
      <c r="JCY112" s="3"/>
      <c r="JCZ112" s="3"/>
      <c r="JDA112" s="3"/>
      <c r="JDB112" s="3"/>
      <c r="JDC112" s="3"/>
      <c r="JDD112" s="3"/>
      <c r="JDE112" s="3"/>
      <c r="JDF112" s="3"/>
      <c r="JDG112" s="3"/>
      <c r="JDH112" s="3"/>
      <c r="JDI112" s="3"/>
      <c r="JDJ112" s="3"/>
      <c r="JDK112" s="3"/>
      <c r="JDL112" s="3"/>
      <c r="JDM112" s="3"/>
      <c r="JDN112" s="3"/>
      <c r="JDO112" s="3"/>
      <c r="JDP112" s="3"/>
      <c r="JDQ112" s="3"/>
      <c r="JDR112" s="3"/>
      <c r="JDS112" s="3"/>
      <c r="JDT112" s="3"/>
      <c r="JDU112" s="3"/>
      <c r="JDV112" s="3"/>
      <c r="JDW112" s="3"/>
      <c r="JDX112" s="3"/>
      <c r="JDY112" s="3"/>
      <c r="JDZ112" s="3"/>
      <c r="JEA112" s="3"/>
      <c r="JEB112" s="3"/>
      <c r="JEC112" s="3"/>
      <c r="JED112" s="3"/>
      <c r="JEE112" s="3"/>
      <c r="JEF112" s="3"/>
      <c r="JEG112" s="3"/>
      <c r="JEH112" s="3"/>
      <c r="JEI112" s="3"/>
      <c r="JEJ112" s="3"/>
      <c r="JEK112" s="3"/>
      <c r="JEL112" s="3"/>
      <c r="JEM112" s="3"/>
      <c r="JEN112" s="3"/>
      <c r="JEO112" s="3"/>
      <c r="JEP112" s="3"/>
      <c r="JEQ112" s="3"/>
      <c r="JER112" s="3"/>
      <c r="JES112" s="3"/>
      <c r="JET112" s="3"/>
      <c r="JEU112" s="3"/>
      <c r="JEV112" s="3"/>
      <c r="JEW112" s="3"/>
      <c r="JEX112" s="3"/>
      <c r="JEY112" s="3"/>
      <c r="JEZ112" s="3"/>
      <c r="JFA112" s="3"/>
      <c r="JFB112" s="3"/>
      <c r="JFC112" s="3"/>
      <c r="JFD112" s="3"/>
      <c r="JFE112" s="3"/>
      <c r="JFF112" s="3"/>
      <c r="JFG112" s="3"/>
      <c r="JFH112" s="3"/>
      <c r="JFI112" s="3"/>
      <c r="JFJ112" s="3"/>
      <c r="JFK112" s="3"/>
      <c r="JFL112" s="3"/>
      <c r="JFM112" s="3"/>
      <c r="JFN112" s="3"/>
      <c r="JFO112" s="3"/>
      <c r="JFP112" s="3"/>
      <c r="JFQ112" s="3"/>
      <c r="JFR112" s="3"/>
      <c r="JFS112" s="3"/>
      <c r="JFT112" s="3"/>
      <c r="JFU112" s="3"/>
      <c r="JFV112" s="3"/>
      <c r="JFW112" s="3"/>
      <c r="JFX112" s="3"/>
      <c r="JFY112" s="3"/>
      <c r="JFZ112" s="3"/>
      <c r="JGA112" s="3"/>
      <c r="JGB112" s="3"/>
      <c r="JGC112" s="3"/>
      <c r="JGD112" s="3"/>
      <c r="JGE112" s="3"/>
      <c r="JGF112" s="3"/>
      <c r="JGG112" s="3"/>
      <c r="JGH112" s="3"/>
      <c r="JGI112" s="3"/>
      <c r="JGJ112" s="3"/>
      <c r="JGK112" s="3"/>
      <c r="JGL112" s="3"/>
      <c r="JGM112" s="3"/>
      <c r="JGN112" s="3"/>
      <c r="JGO112" s="3"/>
      <c r="JGP112" s="3"/>
      <c r="JGQ112" s="3"/>
      <c r="JGR112" s="3"/>
      <c r="JGS112" s="3"/>
      <c r="JGT112" s="3"/>
      <c r="JGU112" s="3"/>
      <c r="JGV112" s="3"/>
      <c r="JGW112" s="3"/>
      <c r="JGX112" s="3"/>
      <c r="JGY112" s="3"/>
      <c r="JGZ112" s="3"/>
      <c r="JHA112" s="3"/>
      <c r="JHB112" s="3"/>
      <c r="JHC112" s="3"/>
      <c r="JHD112" s="3"/>
      <c r="JHE112" s="3"/>
      <c r="JHF112" s="3"/>
      <c r="JHG112" s="3"/>
      <c r="JHH112" s="3"/>
      <c r="JHI112" s="3"/>
      <c r="JHJ112" s="3"/>
      <c r="JHK112" s="3"/>
      <c r="JHL112" s="3"/>
      <c r="JHM112" s="3"/>
      <c r="JHN112" s="3"/>
      <c r="JHO112" s="3"/>
      <c r="JHP112" s="3"/>
      <c r="JHQ112" s="3"/>
      <c r="JHR112" s="3"/>
      <c r="JHS112" s="3"/>
      <c r="JHT112" s="3"/>
      <c r="JHU112" s="3"/>
      <c r="JHV112" s="3"/>
      <c r="JHW112" s="3"/>
      <c r="JHX112" s="3"/>
      <c r="JHY112" s="3"/>
      <c r="JHZ112" s="3"/>
      <c r="JIA112" s="3"/>
      <c r="JIB112" s="3"/>
      <c r="JIC112" s="3"/>
      <c r="JID112" s="3"/>
      <c r="JIE112" s="3"/>
      <c r="JIF112" s="3"/>
      <c r="JIG112" s="3"/>
      <c r="JIH112" s="3"/>
      <c r="JII112" s="3"/>
      <c r="JIJ112" s="3"/>
      <c r="JIK112" s="3"/>
      <c r="JIL112" s="3"/>
      <c r="JIM112" s="3"/>
      <c r="JIN112" s="3"/>
      <c r="JIO112" s="3"/>
      <c r="JIP112" s="3"/>
      <c r="JIQ112" s="3"/>
      <c r="JIR112" s="3"/>
      <c r="JIS112" s="3"/>
      <c r="JIT112" s="3"/>
      <c r="JIU112" s="3"/>
      <c r="JIV112" s="3"/>
      <c r="JIW112" s="3"/>
      <c r="JIX112" s="3"/>
      <c r="JIY112" s="3"/>
      <c r="JIZ112" s="3"/>
      <c r="JJA112" s="3"/>
      <c r="JJB112" s="3"/>
      <c r="JJC112" s="3"/>
      <c r="JJD112" s="3"/>
      <c r="JJE112" s="3"/>
      <c r="JJF112" s="3"/>
      <c r="JJG112" s="3"/>
      <c r="JJH112" s="3"/>
      <c r="JJI112" s="3"/>
      <c r="JJJ112" s="3"/>
      <c r="JJK112" s="3"/>
      <c r="JJL112" s="3"/>
      <c r="JJM112" s="3"/>
      <c r="JJN112" s="3"/>
      <c r="JJO112" s="3"/>
      <c r="JJP112" s="3"/>
      <c r="JJQ112" s="3"/>
      <c r="JJR112" s="3"/>
      <c r="JJS112" s="3"/>
      <c r="JJT112" s="3"/>
      <c r="JJU112" s="3"/>
      <c r="JJV112" s="3"/>
      <c r="JJW112" s="3"/>
      <c r="JJX112" s="3"/>
      <c r="JJY112" s="3"/>
      <c r="JJZ112" s="3"/>
      <c r="JKA112" s="3"/>
      <c r="JKB112" s="3"/>
      <c r="JKC112" s="3"/>
      <c r="JKD112" s="3"/>
      <c r="JKE112" s="3"/>
      <c r="JKF112" s="3"/>
      <c r="JKG112" s="3"/>
      <c r="JKH112" s="3"/>
      <c r="JKI112" s="3"/>
      <c r="JKJ112" s="3"/>
      <c r="JKK112" s="3"/>
      <c r="JKL112" s="3"/>
      <c r="JKM112" s="3"/>
      <c r="JKN112" s="3"/>
      <c r="JKO112" s="3"/>
      <c r="JKP112" s="3"/>
      <c r="JKQ112" s="3"/>
      <c r="JKR112" s="3"/>
      <c r="JKS112" s="3"/>
      <c r="JKT112" s="3"/>
      <c r="JKU112" s="3"/>
      <c r="JKV112" s="3"/>
      <c r="JKW112" s="3"/>
      <c r="JKX112" s="3"/>
      <c r="JKY112" s="3"/>
      <c r="JKZ112" s="3"/>
      <c r="JLA112" s="3"/>
      <c r="JLB112" s="3"/>
      <c r="JLC112" s="3"/>
      <c r="JLD112" s="3"/>
      <c r="JLE112" s="3"/>
      <c r="JLF112" s="3"/>
      <c r="JLG112" s="3"/>
      <c r="JLH112" s="3"/>
      <c r="JLI112" s="3"/>
      <c r="JLJ112" s="3"/>
      <c r="JLK112" s="3"/>
      <c r="JLL112" s="3"/>
      <c r="JLM112" s="3"/>
      <c r="JLN112" s="3"/>
      <c r="JLO112" s="3"/>
      <c r="JLP112" s="3"/>
      <c r="JLQ112" s="3"/>
      <c r="JLR112" s="3"/>
      <c r="JLS112" s="3"/>
      <c r="JLT112" s="3"/>
      <c r="JLU112" s="3"/>
      <c r="JLV112" s="3"/>
      <c r="JLW112" s="3"/>
      <c r="JLX112" s="3"/>
      <c r="JLY112" s="3"/>
      <c r="JLZ112" s="3"/>
      <c r="JMA112" s="3"/>
      <c r="JMB112" s="3"/>
      <c r="JMC112" s="3"/>
      <c r="JMD112" s="3"/>
      <c r="JME112" s="3"/>
      <c r="JMF112" s="3"/>
      <c r="JMG112" s="3"/>
      <c r="JMH112" s="3"/>
      <c r="JMI112" s="3"/>
      <c r="JMJ112" s="3"/>
      <c r="JMK112" s="3"/>
      <c r="JML112" s="3"/>
      <c r="JMM112" s="3"/>
      <c r="JMN112" s="3"/>
      <c r="JMO112" s="3"/>
      <c r="JMP112" s="3"/>
      <c r="JMQ112" s="3"/>
      <c r="JMR112" s="3"/>
      <c r="JMS112" s="3"/>
      <c r="JMT112" s="3"/>
      <c r="JMU112" s="3"/>
      <c r="JMV112" s="3"/>
      <c r="JMW112" s="3"/>
      <c r="JMX112" s="3"/>
      <c r="JMY112" s="3"/>
      <c r="JMZ112" s="3"/>
      <c r="JNA112" s="3"/>
      <c r="JNB112" s="3"/>
      <c r="JNC112" s="3"/>
      <c r="JND112" s="3"/>
      <c r="JNE112" s="3"/>
      <c r="JNF112" s="3"/>
      <c r="JNG112" s="3"/>
      <c r="JNH112" s="3"/>
      <c r="JNI112" s="3"/>
      <c r="JNJ112" s="3"/>
      <c r="JNK112" s="3"/>
      <c r="JNL112" s="3"/>
      <c r="JNM112" s="3"/>
      <c r="JNN112" s="3"/>
      <c r="JNO112" s="3"/>
      <c r="JNP112" s="3"/>
      <c r="JNQ112" s="3"/>
      <c r="JNR112" s="3"/>
      <c r="JNS112" s="3"/>
      <c r="JNT112" s="3"/>
      <c r="JNU112" s="3"/>
      <c r="JNV112" s="3"/>
      <c r="JNW112" s="3"/>
      <c r="JNX112" s="3"/>
      <c r="JNY112" s="3"/>
      <c r="JNZ112" s="3"/>
      <c r="JOA112" s="3"/>
      <c r="JOB112" s="3"/>
      <c r="JOC112" s="3"/>
      <c r="JOD112" s="3"/>
      <c r="JOE112" s="3"/>
      <c r="JOF112" s="3"/>
      <c r="JOG112" s="3"/>
      <c r="JOH112" s="3"/>
      <c r="JOI112" s="3"/>
      <c r="JOJ112" s="3"/>
      <c r="JOK112" s="3"/>
      <c r="JOL112" s="3"/>
      <c r="JOM112" s="3"/>
      <c r="JON112" s="3"/>
      <c r="JOO112" s="3"/>
      <c r="JOP112" s="3"/>
      <c r="JOQ112" s="3"/>
      <c r="JOR112" s="3"/>
      <c r="JOS112" s="3"/>
      <c r="JOT112" s="3"/>
      <c r="JOU112" s="3"/>
      <c r="JOV112" s="3"/>
      <c r="JOW112" s="3"/>
      <c r="JOX112" s="3"/>
      <c r="JOY112" s="3"/>
      <c r="JOZ112" s="3"/>
      <c r="JPA112" s="3"/>
      <c r="JPB112" s="3"/>
      <c r="JPC112" s="3"/>
      <c r="JPD112" s="3"/>
      <c r="JPE112" s="3"/>
      <c r="JPF112" s="3"/>
      <c r="JPG112" s="3"/>
      <c r="JPH112" s="3"/>
      <c r="JPI112" s="3"/>
      <c r="JPJ112" s="3"/>
      <c r="JPK112" s="3"/>
      <c r="JPL112" s="3"/>
      <c r="JPM112" s="3"/>
      <c r="JPN112" s="3"/>
      <c r="JPO112" s="3"/>
      <c r="JPP112" s="3"/>
      <c r="JPQ112" s="3"/>
      <c r="JPR112" s="3"/>
      <c r="JPS112" s="3"/>
      <c r="JPT112" s="3"/>
      <c r="JPU112" s="3"/>
      <c r="JPV112" s="3"/>
      <c r="JPW112" s="3"/>
      <c r="JPX112" s="3"/>
      <c r="JPY112" s="3"/>
      <c r="JPZ112" s="3"/>
      <c r="JQA112" s="3"/>
      <c r="JQB112" s="3"/>
      <c r="JQC112" s="3"/>
      <c r="JQD112" s="3"/>
      <c r="JQE112" s="3"/>
      <c r="JQF112" s="3"/>
      <c r="JQG112" s="3"/>
      <c r="JQH112" s="3"/>
      <c r="JQI112" s="3"/>
      <c r="JQJ112" s="3"/>
      <c r="JQK112" s="3"/>
      <c r="JQL112" s="3"/>
      <c r="JQM112" s="3"/>
      <c r="JQN112" s="3"/>
      <c r="JQO112" s="3"/>
      <c r="JQP112" s="3"/>
      <c r="JQQ112" s="3"/>
      <c r="JQR112" s="3"/>
      <c r="JQS112" s="3"/>
      <c r="JQT112" s="3"/>
      <c r="JQU112" s="3"/>
      <c r="JQV112" s="3"/>
      <c r="JQW112" s="3"/>
      <c r="JQX112" s="3"/>
      <c r="JQY112" s="3"/>
      <c r="JQZ112" s="3"/>
      <c r="JRA112" s="3"/>
      <c r="JRB112" s="3"/>
      <c r="JRC112" s="3"/>
      <c r="JRD112" s="3"/>
      <c r="JRE112" s="3"/>
      <c r="JRF112" s="3"/>
      <c r="JRG112" s="3"/>
      <c r="JRH112" s="3"/>
      <c r="JRI112" s="3"/>
      <c r="JRJ112" s="3"/>
      <c r="JRK112" s="3"/>
      <c r="JRL112" s="3"/>
      <c r="JRM112" s="3"/>
      <c r="JRN112" s="3"/>
      <c r="JRO112" s="3"/>
      <c r="JRP112" s="3"/>
      <c r="JRQ112" s="3"/>
      <c r="JRR112" s="3"/>
      <c r="JRS112" s="3"/>
      <c r="JRT112" s="3"/>
      <c r="JRU112" s="3"/>
      <c r="JRV112" s="3"/>
      <c r="JRW112" s="3"/>
      <c r="JRX112" s="3"/>
      <c r="JRY112" s="3"/>
      <c r="JRZ112" s="3"/>
      <c r="JSA112" s="3"/>
      <c r="JSB112" s="3"/>
      <c r="JSC112" s="3"/>
      <c r="JSD112" s="3"/>
      <c r="JSE112" s="3"/>
      <c r="JSF112" s="3"/>
      <c r="JSG112" s="3"/>
      <c r="JSH112" s="3"/>
      <c r="JSI112" s="3"/>
      <c r="JSJ112" s="3"/>
      <c r="JSK112" s="3"/>
      <c r="JSL112" s="3"/>
      <c r="JSM112" s="3"/>
      <c r="JSN112" s="3"/>
      <c r="JSO112" s="3"/>
      <c r="JSP112" s="3"/>
      <c r="JSQ112" s="3"/>
      <c r="JSR112" s="3"/>
      <c r="JSS112" s="3"/>
      <c r="JST112" s="3"/>
      <c r="JSU112" s="3"/>
      <c r="JSV112" s="3"/>
      <c r="JSW112" s="3"/>
      <c r="JSX112" s="3"/>
      <c r="JSY112" s="3"/>
      <c r="JSZ112" s="3"/>
      <c r="JTA112" s="3"/>
      <c r="JTB112" s="3"/>
      <c r="JTC112" s="3"/>
      <c r="JTD112" s="3"/>
      <c r="JTE112" s="3"/>
      <c r="JTF112" s="3"/>
      <c r="JTG112" s="3"/>
      <c r="JTH112" s="3"/>
      <c r="JTI112" s="3"/>
      <c r="JTJ112" s="3"/>
      <c r="JTK112" s="3"/>
      <c r="JTL112" s="3"/>
      <c r="JTM112" s="3"/>
      <c r="JTN112" s="3"/>
      <c r="JTO112" s="3"/>
      <c r="JTP112" s="3"/>
      <c r="JTQ112" s="3"/>
      <c r="JTR112" s="3"/>
      <c r="JTS112" s="3"/>
      <c r="JTT112" s="3"/>
      <c r="JTU112" s="3"/>
      <c r="JTV112" s="3"/>
      <c r="JTW112" s="3"/>
      <c r="JTX112" s="3"/>
      <c r="JTY112" s="3"/>
      <c r="JTZ112" s="3"/>
      <c r="JUA112" s="3"/>
      <c r="JUB112" s="3"/>
      <c r="JUC112" s="3"/>
      <c r="JUD112" s="3"/>
      <c r="JUE112" s="3"/>
      <c r="JUF112" s="3"/>
      <c r="JUG112" s="3"/>
      <c r="JUH112" s="3"/>
      <c r="JUI112" s="3"/>
      <c r="JUJ112" s="3"/>
      <c r="JUK112" s="3"/>
      <c r="JUL112" s="3"/>
      <c r="JUM112" s="3"/>
      <c r="JUN112" s="3"/>
      <c r="JUO112" s="3"/>
      <c r="JUP112" s="3"/>
      <c r="JUQ112" s="3"/>
      <c r="JUR112" s="3"/>
      <c r="JUS112" s="3"/>
      <c r="JUT112" s="3"/>
      <c r="JUU112" s="3"/>
      <c r="JUV112" s="3"/>
      <c r="JUW112" s="3"/>
      <c r="JUX112" s="3"/>
      <c r="JUY112" s="3"/>
      <c r="JUZ112" s="3"/>
      <c r="JVA112" s="3"/>
      <c r="JVB112" s="3"/>
      <c r="JVC112" s="3"/>
      <c r="JVD112" s="3"/>
      <c r="JVE112" s="3"/>
      <c r="JVF112" s="3"/>
      <c r="JVG112" s="3"/>
      <c r="JVH112" s="3"/>
      <c r="JVI112" s="3"/>
      <c r="JVJ112" s="3"/>
      <c r="JVK112" s="3"/>
      <c r="JVL112" s="3"/>
      <c r="JVM112" s="3"/>
      <c r="JVN112" s="3"/>
      <c r="JVO112" s="3"/>
      <c r="JVP112" s="3"/>
      <c r="JVQ112" s="3"/>
      <c r="JVR112" s="3"/>
      <c r="JVS112" s="3"/>
      <c r="JVT112" s="3"/>
      <c r="JVU112" s="3"/>
      <c r="JVV112" s="3"/>
      <c r="JVW112" s="3"/>
      <c r="JVX112" s="3"/>
      <c r="JVY112" s="3"/>
      <c r="JVZ112" s="3"/>
      <c r="JWA112" s="3"/>
      <c r="JWB112" s="3"/>
      <c r="JWC112" s="3"/>
      <c r="JWD112" s="3"/>
      <c r="JWE112" s="3"/>
      <c r="JWF112" s="3"/>
      <c r="JWG112" s="3"/>
      <c r="JWH112" s="3"/>
      <c r="JWI112" s="3"/>
      <c r="JWJ112" s="3"/>
      <c r="JWK112" s="3"/>
      <c r="JWL112" s="3"/>
      <c r="JWM112" s="3"/>
      <c r="JWN112" s="3"/>
      <c r="JWO112" s="3"/>
      <c r="JWP112" s="3"/>
      <c r="JWQ112" s="3"/>
      <c r="JWR112" s="3"/>
      <c r="JWS112" s="3"/>
      <c r="JWT112" s="3"/>
      <c r="JWU112" s="3"/>
      <c r="JWV112" s="3"/>
      <c r="JWW112" s="3"/>
      <c r="JWX112" s="3"/>
      <c r="JWY112" s="3"/>
      <c r="JWZ112" s="3"/>
      <c r="JXA112" s="3"/>
      <c r="JXB112" s="3"/>
      <c r="JXC112" s="3"/>
      <c r="JXD112" s="3"/>
      <c r="JXE112" s="3"/>
      <c r="JXF112" s="3"/>
      <c r="JXG112" s="3"/>
      <c r="JXH112" s="3"/>
      <c r="JXI112" s="3"/>
      <c r="JXJ112" s="3"/>
      <c r="JXK112" s="3"/>
      <c r="JXL112" s="3"/>
      <c r="JXM112" s="3"/>
      <c r="JXN112" s="3"/>
      <c r="JXO112" s="3"/>
      <c r="JXP112" s="3"/>
      <c r="JXQ112" s="3"/>
      <c r="JXR112" s="3"/>
      <c r="JXS112" s="3"/>
      <c r="JXT112" s="3"/>
      <c r="JXU112" s="3"/>
      <c r="JXV112" s="3"/>
      <c r="JXW112" s="3"/>
      <c r="JXX112" s="3"/>
      <c r="JXY112" s="3"/>
      <c r="JXZ112" s="3"/>
      <c r="JYA112" s="3"/>
      <c r="JYB112" s="3"/>
      <c r="JYC112" s="3"/>
      <c r="JYD112" s="3"/>
      <c r="JYE112" s="3"/>
      <c r="JYF112" s="3"/>
      <c r="JYG112" s="3"/>
      <c r="JYH112" s="3"/>
      <c r="JYI112" s="3"/>
      <c r="JYJ112" s="3"/>
      <c r="JYK112" s="3"/>
      <c r="JYL112" s="3"/>
      <c r="JYM112" s="3"/>
      <c r="JYN112" s="3"/>
      <c r="JYO112" s="3"/>
      <c r="JYP112" s="3"/>
      <c r="JYQ112" s="3"/>
      <c r="JYR112" s="3"/>
      <c r="JYS112" s="3"/>
      <c r="JYT112" s="3"/>
      <c r="JYU112" s="3"/>
      <c r="JYV112" s="3"/>
      <c r="JYW112" s="3"/>
      <c r="JYX112" s="3"/>
      <c r="JYY112" s="3"/>
      <c r="JYZ112" s="3"/>
      <c r="JZA112" s="3"/>
      <c r="JZB112" s="3"/>
      <c r="JZC112" s="3"/>
      <c r="JZD112" s="3"/>
      <c r="JZE112" s="3"/>
      <c r="JZF112" s="3"/>
      <c r="JZG112" s="3"/>
      <c r="JZH112" s="3"/>
      <c r="JZI112" s="3"/>
      <c r="JZJ112" s="3"/>
      <c r="JZK112" s="3"/>
      <c r="JZL112" s="3"/>
      <c r="JZM112" s="3"/>
      <c r="JZN112" s="3"/>
      <c r="JZO112" s="3"/>
      <c r="JZP112" s="3"/>
      <c r="JZQ112" s="3"/>
      <c r="JZR112" s="3"/>
      <c r="JZS112" s="3"/>
      <c r="JZT112" s="3"/>
      <c r="JZU112" s="3"/>
      <c r="JZV112" s="3"/>
      <c r="JZW112" s="3"/>
      <c r="JZX112" s="3"/>
      <c r="JZY112" s="3"/>
      <c r="JZZ112" s="3"/>
      <c r="KAA112" s="3"/>
      <c r="KAB112" s="3"/>
      <c r="KAC112" s="3"/>
      <c r="KAD112" s="3"/>
      <c r="KAE112" s="3"/>
      <c r="KAF112" s="3"/>
      <c r="KAG112" s="3"/>
      <c r="KAH112" s="3"/>
      <c r="KAI112" s="3"/>
      <c r="KAJ112" s="3"/>
      <c r="KAK112" s="3"/>
      <c r="KAL112" s="3"/>
      <c r="KAM112" s="3"/>
      <c r="KAN112" s="3"/>
      <c r="KAO112" s="3"/>
      <c r="KAP112" s="3"/>
      <c r="KAQ112" s="3"/>
      <c r="KAR112" s="3"/>
      <c r="KAS112" s="3"/>
      <c r="KAT112" s="3"/>
      <c r="KAU112" s="3"/>
      <c r="KAV112" s="3"/>
      <c r="KAW112" s="3"/>
      <c r="KAX112" s="3"/>
      <c r="KAY112" s="3"/>
      <c r="KAZ112" s="3"/>
      <c r="KBA112" s="3"/>
      <c r="KBB112" s="3"/>
      <c r="KBC112" s="3"/>
      <c r="KBD112" s="3"/>
      <c r="KBE112" s="3"/>
      <c r="KBF112" s="3"/>
      <c r="KBG112" s="3"/>
      <c r="KBH112" s="3"/>
      <c r="KBI112" s="3"/>
      <c r="KBJ112" s="3"/>
      <c r="KBK112" s="3"/>
      <c r="KBL112" s="3"/>
      <c r="KBM112" s="3"/>
      <c r="KBN112" s="3"/>
      <c r="KBO112" s="3"/>
      <c r="KBP112" s="3"/>
      <c r="KBQ112" s="3"/>
      <c r="KBR112" s="3"/>
      <c r="KBS112" s="3"/>
      <c r="KBT112" s="3"/>
      <c r="KBU112" s="3"/>
      <c r="KBV112" s="3"/>
      <c r="KBW112" s="3"/>
      <c r="KBX112" s="3"/>
      <c r="KBY112" s="3"/>
      <c r="KBZ112" s="3"/>
      <c r="KCA112" s="3"/>
      <c r="KCB112" s="3"/>
      <c r="KCC112" s="3"/>
      <c r="KCD112" s="3"/>
      <c r="KCE112" s="3"/>
      <c r="KCF112" s="3"/>
      <c r="KCG112" s="3"/>
      <c r="KCH112" s="3"/>
      <c r="KCI112" s="3"/>
      <c r="KCJ112" s="3"/>
      <c r="KCK112" s="3"/>
      <c r="KCL112" s="3"/>
      <c r="KCM112" s="3"/>
      <c r="KCN112" s="3"/>
      <c r="KCO112" s="3"/>
      <c r="KCP112" s="3"/>
      <c r="KCQ112" s="3"/>
      <c r="KCR112" s="3"/>
      <c r="KCS112" s="3"/>
      <c r="KCT112" s="3"/>
      <c r="KCU112" s="3"/>
      <c r="KCV112" s="3"/>
      <c r="KCW112" s="3"/>
      <c r="KCX112" s="3"/>
      <c r="KCY112" s="3"/>
      <c r="KCZ112" s="3"/>
      <c r="KDA112" s="3"/>
      <c r="KDB112" s="3"/>
      <c r="KDC112" s="3"/>
      <c r="KDD112" s="3"/>
      <c r="KDE112" s="3"/>
      <c r="KDF112" s="3"/>
      <c r="KDG112" s="3"/>
      <c r="KDH112" s="3"/>
      <c r="KDI112" s="3"/>
      <c r="KDJ112" s="3"/>
      <c r="KDK112" s="3"/>
      <c r="KDL112" s="3"/>
      <c r="KDM112" s="3"/>
      <c r="KDN112" s="3"/>
      <c r="KDO112" s="3"/>
      <c r="KDP112" s="3"/>
      <c r="KDQ112" s="3"/>
      <c r="KDR112" s="3"/>
      <c r="KDS112" s="3"/>
      <c r="KDT112" s="3"/>
      <c r="KDU112" s="3"/>
      <c r="KDV112" s="3"/>
      <c r="KDW112" s="3"/>
      <c r="KDX112" s="3"/>
      <c r="KDY112" s="3"/>
      <c r="KDZ112" s="3"/>
      <c r="KEA112" s="3"/>
      <c r="KEB112" s="3"/>
      <c r="KEC112" s="3"/>
      <c r="KED112" s="3"/>
      <c r="KEE112" s="3"/>
      <c r="KEF112" s="3"/>
      <c r="KEG112" s="3"/>
      <c r="KEH112" s="3"/>
      <c r="KEI112" s="3"/>
      <c r="KEJ112" s="3"/>
      <c r="KEK112" s="3"/>
      <c r="KEL112" s="3"/>
      <c r="KEM112" s="3"/>
      <c r="KEN112" s="3"/>
      <c r="KEO112" s="3"/>
      <c r="KEP112" s="3"/>
      <c r="KEQ112" s="3"/>
      <c r="KER112" s="3"/>
      <c r="KES112" s="3"/>
      <c r="KET112" s="3"/>
      <c r="KEU112" s="3"/>
      <c r="KEV112" s="3"/>
      <c r="KEW112" s="3"/>
      <c r="KEX112" s="3"/>
      <c r="KEY112" s="3"/>
      <c r="KEZ112" s="3"/>
      <c r="KFA112" s="3"/>
      <c r="KFB112" s="3"/>
      <c r="KFC112" s="3"/>
      <c r="KFD112" s="3"/>
      <c r="KFE112" s="3"/>
      <c r="KFF112" s="3"/>
      <c r="KFG112" s="3"/>
      <c r="KFH112" s="3"/>
      <c r="KFI112" s="3"/>
      <c r="KFJ112" s="3"/>
      <c r="KFK112" s="3"/>
      <c r="KFL112" s="3"/>
      <c r="KFM112" s="3"/>
      <c r="KFN112" s="3"/>
      <c r="KFO112" s="3"/>
      <c r="KFP112" s="3"/>
      <c r="KFQ112" s="3"/>
      <c r="KFR112" s="3"/>
      <c r="KFS112" s="3"/>
      <c r="KFT112" s="3"/>
      <c r="KFU112" s="3"/>
      <c r="KFV112" s="3"/>
      <c r="KFW112" s="3"/>
      <c r="KFX112" s="3"/>
      <c r="KFY112" s="3"/>
      <c r="KFZ112" s="3"/>
      <c r="KGA112" s="3"/>
      <c r="KGB112" s="3"/>
      <c r="KGC112" s="3"/>
      <c r="KGD112" s="3"/>
      <c r="KGE112" s="3"/>
      <c r="KGF112" s="3"/>
      <c r="KGG112" s="3"/>
      <c r="KGH112" s="3"/>
      <c r="KGI112" s="3"/>
      <c r="KGJ112" s="3"/>
      <c r="KGK112" s="3"/>
      <c r="KGL112" s="3"/>
      <c r="KGM112" s="3"/>
      <c r="KGN112" s="3"/>
      <c r="KGO112" s="3"/>
      <c r="KGP112" s="3"/>
      <c r="KGQ112" s="3"/>
      <c r="KGR112" s="3"/>
      <c r="KGS112" s="3"/>
      <c r="KGT112" s="3"/>
      <c r="KGU112" s="3"/>
      <c r="KGV112" s="3"/>
      <c r="KGW112" s="3"/>
      <c r="KGX112" s="3"/>
      <c r="KGY112" s="3"/>
      <c r="KGZ112" s="3"/>
      <c r="KHA112" s="3"/>
      <c r="KHB112" s="3"/>
      <c r="KHC112" s="3"/>
      <c r="KHD112" s="3"/>
      <c r="KHE112" s="3"/>
      <c r="KHF112" s="3"/>
      <c r="KHG112" s="3"/>
      <c r="KHH112" s="3"/>
      <c r="KHI112" s="3"/>
      <c r="KHJ112" s="3"/>
      <c r="KHK112" s="3"/>
      <c r="KHL112" s="3"/>
      <c r="KHM112" s="3"/>
      <c r="KHN112" s="3"/>
      <c r="KHO112" s="3"/>
      <c r="KHP112" s="3"/>
      <c r="KHQ112" s="3"/>
      <c r="KHR112" s="3"/>
      <c r="KHS112" s="3"/>
      <c r="KHT112" s="3"/>
      <c r="KHU112" s="3"/>
      <c r="KHV112" s="3"/>
      <c r="KHW112" s="3"/>
      <c r="KHX112" s="3"/>
      <c r="KHY112" s="3"/>
      <c r="KHZ112" s="3"/>
      <c r="KIA112" s="3"/>
      <c r="KIB112" s="3"/>
      <c r="KIC112" s="3"/>
      <c r="KID112" s="3"/>
      <c r="KIE112" s="3"/>
      <c r="KIF112" s="3"/>
      <c r="KIG112" s="3"/>
      <c r="KIH112" s="3"/>
      <c r="KII112" s="3"/>
      <c r="KIJ112" s="3"/>
      <c r="KIK112" s="3"/>
      <c r="KIL112" s="3"/>
      <c r="KIM112" s="3"/>
      <c r="KIN112" s="3"/>
      <c r="KIO112" s="3"/>
      <c r="KIP112" s="3"/>
      <c r="KIQ112" s="3"/>
      <c r="KIR112" s="3"/>
      <c r="KIS112" s="3"/>
      <c r="KIT112" s="3"/>
      <c r="KIU112" s="3"/>
      <c r="KIV112" s="3"/>
      <c r="KIW112" s="3"/>
      <c r="KIX112" s="3"/>
      <c r="KIY112" s="3"/>
      <c r="KIZ112" s="3"/>
      <c r="KJA112" s="3"/>
      <c r="KJB112" s="3"/>
      <c r="KJC112" s="3"/>
      <c r="KJD112" s="3"/>
      <c r="KJE112" s="3"/>
      <c r="KJF112" s="3"/>
      <c r="KJG112" s="3"/>
      <c r="KJH112" s="3"/>
      <c r="KJI112" s="3"/>
      <c r="KJJ112" s="3"/>
      <c r="KJK112" s="3"/>
      <c r="KJL112" s="3"/>
      <c r="KJM112" s="3"/>
      <c r="KJN112" s="3"/>
      <c r="KJO112" s="3"/>
      <c r="KJP112" s="3"/>
      <c r="KJQ112" s="3"/>
      <c r="KJR112" s="3"/>
      <c r="KJS112" s="3"/>
      <c r="KJT112" s="3"/>
      <c r="KJU112" s="3"/>
      <c r="KJV112" s="3"/>
      <c r="KJW112" s="3"/>
      <c r="KJX112" s="3"/>
      <c r="KJY112" s="3"/>
      <c r="KJZ112" s="3"/>
      <c r="KKA112" s="3"/>
      <c r="KKB112" s="3"/>
      <c r="KKC112" s="3"/>
      <c r="KKD112" s="3"/>
      <c r="KKE112" s="3"/>
      <c r="KKF112" s="3"/>
      <c r="KKG112" s="3"/>
      <c r="KKH112" s="3"/>
      <c r="KKI112" s="3"/>
      <c r="KKJ112" s="3"/>
      <c r="KKK112" s="3"/>
      <c r="KKL112" s="3"/>
      <c r="KKM112" s="3"/>
      <c r="KKN112" s="3"/>
      <c r="KKO112" s="3"/>
      <c r="KKP112" s="3"/>
      <c r="KKQ112" s="3"/>
      <c r="KKR112" s="3"/>
      <c r="KKS112" s="3"/>
      <c r="KKT112" s="3"/>
      <c r="KKU112" s="3"/>
      <c r="KKV112" s="3"/>
      <c r="KKW112" s="3"/>
      <c r="KKX112" s="3"/>
      <c r="KKY112" s="3"/>
      <c r="KKZ112" s="3"/>
      <c r="KLA112" s="3"/>
      <c r="KLB112" s="3"/>
      <c r="KLC112" s="3"/>
      <c r="KLD112" s="3"/>
      <c r="KLE112" s="3"/>
      <c r="KLF112" s="3"/>
      <c r="KLG112" s="3"/>
      <c r="KLH112" s="3"/>
      <c r="KLI112" s="3"/>
      <c r="KLJ112" s="3"/>
      <c r="KLK112" s="3"/>
      <c r="KLL112" s="3"/>
      <c r="KLM112" s="3"/>
      <c r="KLN112" s="3"/>
      <c r="KLO112" s="3"/>
      <c r="KLP112" s="3"/>
      <c r="KLQ112" s="3"/>
      <c r="KLR112" s="3"/>
      <c r="KLS112" s="3"/>
      <c r="KLT112" s="3"/>
      <c r="KLU112" s="3"/>
      <c r="KLV112" s="3"/>
      <c r="KLW112" s="3"/>
      <c r="KLX112" s="3"/>
      <c r="KLY112" s="3"/>
      <c r="KLZ112" s="3"/>
      <c r="KMA112" s="3"/>
      <c r="KMB112" s="3"/>
      <c r="KMC112" s="3"/>
      <c r="KMD112" s="3"/>
      <c r="KME112" s="3"/>
      <c r="KMF112" s="3"/>
      <c r="KMG112" s="3"/>
      <c r="KMH112" s="3"/>
      <c r="KMI112" s="3"/>
      <c r="KMJ112" s="3"/>
      <c r="KMK112" s="3"/>
      <c r="KML112" s="3"/>
      <c r="KMM112" s="3"/>
      <c r="KMN112" s="3"/>
      <c r="KMO112" s="3"/>
      <c r="KMP112" s="3"/>
      <c r="KMQ112" s="3"/>
      <c r="KMR112" s="3"/>
      <c r="KMS112" s="3"/>
      <c r="KMT112" s="3"/>
      <c r="KMU112" s="3"/>
      <c r="KMV112" s="3"/>
      <c r="KMW112" s="3"/>
      <c r="KMX112" s="3"/>
      <c r="KMY112" s="3"/>
      <c r="KMZ112" s="3"/>
      <c r="KNA112" s="3"/>
      <c r="KNB112" s="3"/>
      <c r="KNC112" s="3"/>
      <c r="KND112" s="3"/>
      <c r="KNE112" s="3"/>
      <c r="KNF112" s="3"/>
      <c r="KNG112" s="3"/>
      <c r="KNH112" s="3"/>
      <c r="KNI112" s="3"/>
      <c r="KNJ112" s="3"/>
      <c r="KNK112" s="3"/>
      <c r="KNL112" s="3"/>
      <c r="KNM112" s="3"/>
      <c r="KNN112" s="3"/>
      <c r="KNO112" s="3"/>
      <c r="KNP112" s="3"/>
      <c r="KNQ112" s="3"/>
      <c r="KNR112" s="3"/>
      <c r="KNS112" s="3"/>
      <c r="KNT112" s="3"/>
      <c r="KNU112" s="3"/>
      <c r="KNV112" s="3"/>
      <c r="KNW112" s="3"/>
      <c r="KNX112" s="3"/>
      <c r="KNY112" s="3"/>
      <c r="KNZ112" s="3"/>
      <c r="KOA112" s="3"/>
      <c r="KOB112" s="3"/>
      <c r="KOC112" s="3"/>
      <c r="KOD112" s="3"/>
      <c r="KOE112" s="3"/>
      <c r="KOF112" s="3"/>
      <c r="KOG112" s="3"/>
      <c r="KOH112" s="3"/>
      <c r="KOI112" s="3"/>
      <c r="KOJ112" s="3"/>
      <c r="KOK112" s="3"/>
      <c r="KOL112" s="3"/>
      <c r="KOM112" s="3"/>
      <c r="KON112" s="3"/>
      <c r="KOO112" s="3"/>
      <c r="KOP112" s="3"/>
      <c r="KOQ112" s="3"/>
      <c r="KOR112" s="3"/>
      <c r="KOS112" s="3"/>
      <c r="KOT112" s="3"/>
      <c r="KOU112" s="3"/>
      <c r="KOV112" s="3"/>
      <c r="KOW112" s="3"/>
      <c r="KOX112" s="3"/>
      <c r="KOY112" s="3"/>
      <c r="KOZ112" s="3"/>
      <c r="KPA112" s="3"/>
      <c r="KPB112" s="3"/>
      <c r="KPC112" s="3"/>
      <c r="KPD112" s="3"/>
      <c r="KPE112" s="3"/>
      <c r="KPF112" s="3"/>
      <c r="KPG112" s="3"/>
      <c r="KPH112" s="3"/>
      <c r="KPI112" s="3"/>
      <c r="KPJ112" s="3"/>
      <c r="KPK112" s="3"/>
      <c r="KPL112" s="3"/>
      <c r="KPM112" s="3"/>
      <c r="KPN112" s="3"/>
      <c r="KPO112" s="3"/>
      <c r="KPP112" s="3"/>
      <c r="KPQ112" s="3"/>
      <c r="KPR112" s="3"/>
      <c r="KPS112" s="3"/>
      <c r="KPT112" s="3"/>
      <c r="KPU112" s="3"/>
      <c r="KPV112" s="3"/>
      <c r="KPW112" s="3"/>
      <c r="KPX112" s="3"/>
      <c r="KPY112" s="3"/>
      <c r="KPZ112" s="3"/>
      <c r="KQA112" s="3"/>
      <c r="KQB112" s="3"/>
      <c r="KQC112" s="3"/>
      <c r="KQD112" s="3"/>
      <c r="KQE112" s="3"/>
      <c r="KQF112" s="3"/>
      <c r="KQG112" s="3"/>
      <c r="KQH112" s="3"/>
      <c r="KQI112" s="3"/>
      <c r="KQJ112" s="3"/>
      <c r="KQK112" s="3"/>
      <c r="KQL112" s="3"/>
      <c r="KQM112" s="3"/>
      <c r="KQN112" s="3"/>
      <c r="KQO112" s="3"/>
      <c r="KQP112" s="3"/>
      <c r="KQQ112" s="3"/>
      <c r="KQR112" s="3"/>
      <c r="KQS112" s="3"/>
      <c r="KQT112" s="3"/>
      <c r="KQU112" s="3"/>
      <c r="KQV112" s="3"/>
      <c r="KQW112" s="3"/>
      <c r="KQX112" s="3"/>
      <c r="KQY112" s="3"/>
      <c r="KQZ112" s="3"/>
      <c r="KRA112" s="3"/>
      <c r="KRB112" s="3"/>
      <c r="KRC112" s="3"/>
      <c r="KRD112" s="3"/>
      <c r="KRE112" s="3"/>
      <c r="KRF112" s="3"/>
      <c r="KRG112" s="3"/>
      <c r="KRH112" s="3"/>
      <c r="KRI112" s="3"/>
      <c r="KRJ112" s="3"/>
      <c r="KRK112" s="3"/>
      <c r="KRL112" s="3"/>
      <c r="KRM112" s="3"/>
      <c r="KRN112" s="3"/>
      <c r="KRO112" s="3"/>
      <c r="KRP112" s="3"/>
      <c r="KRQ112" s="3"/>
      <c r="KRR112" s="3"/>
      <c r="KRS112" s="3"/>
      <c r="KRT112" s="3"/>
      <c r="KRU112" s="3"/>
      <c r="KRV112" s="3"/>
      <c r="KRW112" s="3"/>
      <c r="KRX112" s="3"/>
      <c r="KRY112" s="3"/>
      <c r="KRZ112" s="3"/>
      <c r="KSA112" s="3"/>
      <c r="KSB112" s="3"/>
      <c r="KSC112" s="3"/>
      <c r="KSD112" s="3"/>
      <c r="KSE112" s="3"/>
      <c r="KSF112" s="3"/>
      <c r="KSG112" s="3"/>
      <c r="KSH112" s="3"/>
      <c r="KSI112" s="3"/>
      <c r="KSJ112" s="3"/>
      <c r="KSK112" s="3"/>
      <c r="KSL112" s="3"/>
      <c r="KSM112" s="3"/>
      <c r="KSN112" s="3"/>
      <c r="KSO112" s="3"/>
      <c r="KSP112" s="3"/>
      <c r="KSQ112" s="3"/>
      <c r="KSR112" s="3"/>
      <c r="KSS112" s="3"/>
      <c r="KST112" s="3"/>
      <c r="KSU112" s="3"/>
      <c r="KSV112" s="3"/>
      <c r="KSW112" s="3"/>
      <c r="KSX112" s="3"/>
      <c r="KSY112" s="3"/>
      <c r="KSZ112" s="3"/>
      <c r="KTA112" s="3"/>
      <c r="KTB112" s="3"/>
      <c r="KTC112" s="3"/>
      <c r="KTD112" s="3"/>
      <c r="KTE112" s="3"/>
      <c r="KTF112" s="3"/>
      <c r="KTG112" s="3"/>
      <c r="KTH112" s="3"/>
      <c r="KTI112" s="3"/>
      <c r="KTJ112" s="3"/>
      <c r="KTK112" s="3"/>
      <c r="KTL112" s="3"/>
      <c r="KTM112" s="3"/>
      <c r="KTN112" s="3"/>
      <c r="KTO112" s="3"/>
      <c r="KTP112" s="3"/>
      <c r="KTQ112" s="3"/>
      <c r="KTR112" s="3"/>
      <c r="KTS112" s="3"/>
      <c r="KTT112" s="3"/>
      <c r="KTU112" s="3"/>
      <c r="KTV112" s="3"/>
      <c r="KTW112" s="3"/>
      <c r="KTX112" s="3"/>
      <c r="KTY112" s="3"/>
      <c r="KTZ112" s="3"/>
      <c r="KUA112" s="3"/>
      <c r="KUB112" s="3"/>
      <c r="KUC112" s="3"/>
      <c r="KUD112" s="3"/>
      <c r="KUE112" s="3"/>
      <c r="KUF112" s="3"/>
      <c r="KUG112" s="3"/>
      <c r="KUH112" s="3"/>
      <c r="KUI112" s="3"/>
      <c r="KUJ112" s="3"/>
      <c r="KUK112" s="3"/>
      <c r="KUL112" s="3"/>
      <c r="KUM112" s="3"/>
      <c r="KUN112" s="3"/>
      <c r="KUO112" s="3"/>
      <c r="KUP112" s="3"/>
      <c r="KUQ112" s="3"/>
      <c r="KUR112" s="3"/>
      <c r="KUS112" s="3"/>
      <c r="KUT112" s="3"/>
      <c r="KUU112" s="3"/>
      <c r="KUV112" s="3"/>
      <c r="KUW112" s="3"/>
      <c r="KUX112" s="3"/>
      <c r="KUY112" s="3"/>
      <c r="KUZ112" s="3"/>
      <c r="KVA112" s="3"/>
      <c r="KVB112" s="3"/>
      <c r="KVC112" s="3"/>
      <c r="KVD112" s="3"/>
      <c r="KVE112" s="3"/>
      <c r="KVF112" s="3"/>
      <c r="KVG112" s="3"/>
      <c r="KVH112" s="3"/>
      <c r="KVI112" s="3"/>
      <c r="KVJ112" s="3"/>
      <c r="KVK112" s="3"/>
      <c r="KVL112" s="3"/>
      <c r="KVM112" s="3"/>
      <c r="KVN112" s="3"/>
      <c r="KVO112" s="3"/>
      <c r="KVP112" s="3"/>
      <c r="KVQ112" s="3"/>
      <c r="KVR112" s="3"/>
      <c r="KVS112" s="3"/>
      <c r="KVT112" s="3"/>
      <c r="KVU112" s="3"/>
      <c r="KVV112" s="3"/>
      <c r="KVW112" s="3"/>
      <c r="KVX112" s="3"/>
      <c r="KVY112" s="3"/>
      <c r="KVZ112" s="3"/>
      <c r="KWA112" s="3"/>
      <c r="KWB112" s="3"/>
      <c r="KWC112" s="3"/>
      <c r="KWD112" s="3"/>
      <c r="KWE112" s="3"/>
      <c r="KWF112" s="3"/>
      <c r="KWG112" s="3"/>
      <c r="KWH112" s="3"/>
      <c r="KWI112" s="3"/>
      <c r="KWJ112" s="3"/>
      <c r="KWK112" s="3"/>
      <c r="KWL112" s="3"/>
      <c r="KWM112" s="3"/>
      <c r="KWN112" s="3"/>
      <c r="KWO112" s="3"/>
      <c r="KWP112" s="3"/>
      <c r="KWQ112" s="3"/>
      <c r="KWR112" s="3"/>
      <c r="KWS112" s="3"/>
      <c r="KWT112" s="3"/>
      <c r="KWU112" s="3"/>
      <c r="KWV112" s="3"/>
      <c r="KWW112" s="3"/>
      <c r="KWX112" s="3"/>
      <c r="KWY112" s="3"/>
      <c r="KWZ112" s="3"/>
      <c r="KXA112" s="3"/>
      <c r="KXB112" s="3"/>
      <c r="KXC112" s="3"/>
      <c r="KXD112" s="3"/>
      <c r="KXE112" s="3"/>
      <c r="KXF112" s="3"/>
      <c r="KXG112" s="3"/>
      <c r="KXH112" s="3"/>
      <c r="KXI112" s="3"/>
      <c r="KXJ112" s="3"/>
      <c r="KXK112" s="3"/>
      <c r="KXL112" s="3"/>
      <c r="KXM112" s="3"/>
      <c r="KXN112" s="3"/>
      <c r="KXO112" s="3"/>
      <c r="KXP112" s="3"/>
      <c r="KXQ112" s="3"/>
      <c r="KXR112" s="3"/>
      <c r="KXS112" s="3"/>
      <c r="KXT112" s="3"/>
      <c r="KXU112" s="3"/>
      <c r="KXV112" s="3"/>
      <c r="KXW112" s="3"/>
      <c r="KXX112" s="3"/>
      <c r="KXY112" s="3"/>
      <c r="KXZ112" s="3"/>
      <c r="KYA112" s="3"/>
      <c r="KYB112" s="3"/>
      <c r="KYC112" s="3"/>
      <c r="KYD112" s="3"/>
      <c r="KYE112" s="3"/>
      <c r="KYF112" s="3"/>
      <c r="KYG112" s="3"/>
      <c r="KYH112" s="3"/>
      <c r="KYI112" s="3"/>
      <c r="KYJ112" s="3"/>
      <c r="KYK112" s="3"/>
      <c r="KYL112" s="3"/>
      <c r="KYM112" s="3"/>
      <c r="KYN112" s="3"/>
      <c r="KYO112" s="3"/>
      <c r="KYP112" s="3"/>
      <c r="KYQ112" s="3"/>
      <c r="KYR112" s="3"/>
      <c r="KYS112" s="3"/>
      <c r="KYT112" s="3"/>
      <c r="KYU112" s="3"/>
      <c r="KYV112" s="3"/>
      <c r="KYW112" s="3"/>
      <c r="KYX112" s="3"/>
      <c r="KYY112" s="3"/>
      <c r="KYZ112" s="3"/>
      <c r="KZA112" s="3"/>
      <c r="KZB112" s="3"/>
      <c r="KZC112" s="3"/>
      <c r="KZD112" s="3"/>
      <c r="KZE112" s="3"/>
      <c r="KZF112" s="3"/>
      <c r="KZG112" s="3"/>
      <c r="KZH112" s="3"/>
      <c r="KZI112" s="3"/>
      <c r="KZJ112" s="3"/>
      <c r="KZK112" s="3"/>
      <c r="KZL112" s="3"/>
      <c r="KZM112" s="3"/>
      <c r="KZN112" s="3"/>
      <c r="KZO112" s="3"/>
      <c r="KZP112" s="3"/>
      <c r="KZQ112" s="3"/>
      <c r="KZR112" s="3"/>
      <c r="KZS112" s="3"/>
      <c r="KZT112" s="3"/>
      <c r="KZU112" s="3"/>
      <c r="KZV112" s="3"/>
      <c r="KZW112" s="3"/>
      <c r="KZX112" s="3"/>
      <c r="KZY112" s="3"/>
      <c r="KZZ112" s="3"/>
      <c r="LAA112" s="3"/>
      <c r="LAB112" s="3"/>
      <c r="LAC112" s="3"/>
      <c r="LAD112" s="3"/>
      <c r="LAE112" s="3"/>
      <c r="LAF112" s="3"/>
      <c r="LAG112" s="3"/>
      <c r="LAH112" s="3"/>
      <c r="LAI112" s="3"/>
      <c r="LAJ112" s="3"/>
      <c r="LAK112" s="3"/>
      <c r="LAL112" s="3"/>
      <c r="LAM112" s="3"/>
      <c r="LAN112" s="3"/>
      <c r="LAO112" s="3"/>
      <c r="LAP112" s="3"/>
      <c r="LAQ112" s="3"/>
      <c r="LAR112" s="3"/>
      <c r="LAS112" s="3"/>
      <c r="LAT112" s="3"/>
      <c r="LAU112" s="3"/>
      <c r="LAV112" s="3"/>
      <c r="LAW112" s="3"/>
      <c r="LAX112" s="3"/>
      <c r="LAY112" s="3"/>
      <c r="LAZ112" s="3"/>
      <c r="LBA112" s="3"/>
      <c r="LBB112" s="3"/>
      <c r="LBC112" s="3"/>
      <c r="LBD112" s="3"/>
      <c r="LBE112" s="3"/>
      <c r="LBF112" s="3"/>
      <c r="LBG112" s="3"/>
      <c r="LBH112" s="3"/>
      <c r="LBI112" s="3"/>
      <c r="LBJ112" s="3"/>
      <c r="LBK112" s="3"/>
      <c r="LBL112" s="3"/>
      <c r="LBM112" s="3"/>
      <c r="LBN112" s="3"/>
      <c r="LBO112" s="3"/>
      <c r="LBP112" s="3"/>
      <c r="LBQ112" s="3"/>
      <c r="LBR112" s="3"/>
      <c r="LBS112" s="3"/>
      <c r="LBT112" s="3"/>
      <c r="LBU112" s="3"/>
      <c r="LBV112" s="3"/>
      <c r="LBW112" s="3"/>
      <c r="LBX112" s="3"/>
      <c r="LBY112" s="3"/>
      <c r="LBZ112" s="3"/>
      <c r="LCA112" s="3"/>
      <c r="LCB112" s="3"/>
      <c r="LCC112" s="3"/>
      <c r="LCD112" s="3"/>
      <c r="LCE112" s="3"/>
      <c r="LCF112" s="3"/>
      <c r="LCG112" s="3"/>
      <c r="LCH112" s="3"/>
      <c r="LCI112" s="3"/>
      <c r="LCJ112" s="3"/>
      <c r="LCK112" s="3"/>
      <c r="LCL112" s="3"/>
      <c r="LCM112" s="3"/>
      <c r="LCN112" s="3"/>
      <c r="LCO112" s="3"/>
      <c r="LCP112" s="3"/>
      <c r="LCQ112" s="3"/>
      <c r="LCR112" s="3"/>
      <c r="LCS112" s="3"/>
      <c r="LCT112" s="3"/>
      <c r="LCU112" s="3"/>
      <c r="LCV112" s="3"/>
      <c r="LCW112" s="3"/>
      <c r="LCX112" s="3"/>
      <c r="LCY112" s="3"/>
      <c r="LCZ112" s="3"/>
      <c r="LDA112" s="3"/>
      <c r="LDB112" s="3"/>
      <c r="LDC112" s="3"/>
      <c r="LDD112" s="3"/>
      <c r="LDE112" s="3"/>
      <c r="LDF112" s="3"/>
      <c r="LDG112" s="3"/>
      <c r="LDH112" s="3"/>
      <c r="LDI112" s="3"/>
      <c r="LDJ112" s="3"/>
      <c r="LDK112" s="3"/>
      <c r="LDL112" s="3"/>
      <c r="LDM112" s="3"/>
      <c r="LDN112" s="3"/>
      <c r="LDO112" s="3"/>
      <c r="LDP112" s="3"/>
      <c r="LDQ112" s="3"/>
      <c r="LDR112" s="3"/>
      <c r="LDS112" s="3"/>
      <c r="LDT112" s="3"/>
      <c r="LDU112" s="3"/>
      <c r="LDV112" s="3"/>
      <c r="LDW112" s="3"/>
      <c r="LDX112" s="3"/>
      <c r="LDY112" s="3"/>
      <c r="LDZ112" s="3"/>
      <c r="LEA112" s="3"/>
      <c r="LEB112" s="3"/>
      <c r="LEC112" s="3"/>
      <c r="LED112" s="3"/>
      <c r="LEE112" s="3"/>
      <c r="LEF112" s="3"/>
      <c r="LEG112" s="3"/>
      <c r="LEH112" s="3"/>
      <c r="LEI112" s="3"/>
      <c r="LEJ112" s="3"/>
      <c r="LEK112" s="3"/>
      <c r="LEL112" s="3"/>
      <c r="LEM112" s="3"/>
      <c r="LEN112" s="3"/>
      <c r="LEO112" s="3"/>
      <c r="LEP112" s="3"/>
      <c r="LEQ112" s="3"/>
      <c r="LER112" s="3"/>
      <c r="LES112" s="3"/>
      <c r="LET112" s="3"/>
      <c r="LEU112" s="3"/>
      <c r="LEV112" s="3"/>
      <c r="LEW112" s="3"/>
      <c r="LEX112" s="3"/>
      <c r="LEY112" s="3"/>
      <c r="LEZ112" s="3"/>
      <c r="LFA112" s="3"/>
      <c r="LFB112" s="3"/>
      <c r="LFC112" s="3"/>
      <c r="LFD112" s="3"/>
      <c r="LFE112" s="3"/>
      <c r="LFF112" s="3"/>
      <c r="LFG112" s="3"/>
      <c r="LFH112" s="3"/>
      <c r="LFI112" s="3"/>
      <c r="LFJ112" s="3"/>
      <c r="LFK112" s="3"/>
      <c r="LFL112" s="3"/>
      <c r="LFM112" s="3"/>
      <c r="LFN112" s="3"/>
      <c r="LFO112" s="3"/>
      <c r="LFP112" s="3"/>
      <c r="LFQ112" s="3"/>
      <c r="LFR112" s="3"/>
      <c r="LFS112" s="3"/>
      <c r="LFT112" s="3"/>
      <c r="LFU112" s="3"/>
      <c r="LFV112" s="3"/>
      <c r="LFW112" s="3"/>
      <c r="LFX112" s="3"/>
      <c r="LFY112" s="3"/>
      <c r="LFZ112" s="3"/>
      <c r="LGA112" s="3"/>
      <c r="LGB112" s="3"/>
      <c r="LGC112" s="3"/>
      <c r="LGD112" s="3"/>
      <c r="LGE112" s="3"/>
      <c r="LGF112" s="3"/>
      <c r="LGG112" s="3"/>
      <c r="LGH112" s="3"/>
      <c r="LGI112" s="3"/>
      <c r="LGJ112" s="3"/>
      <c r="LGK112" s="3"/>
      <c r="LGL112" s="3"/>
      <c r="LGM112" s="3"/>
      <c r="LGN112" s="3"/>
      <c r="LGO112" s="3"/>
      <c r="LGP112" s="3"/>
      <c r="LGQ112" s="3"/>
      <c r="LGR112" s="3"/>
      <c r="LGS112" s="3"/>
      <c r="LGT112" s="3"/>
      <c r="LGU112" s="3"/>
      <c r="LGV112" s="3"/>
      <c r="LGW112" s="3"/>
      <c r="LGX112" s="3"/>
      <c r="LGY112" s="3"/>
      <c r="LGZ112" s="3"/>
      <c r="LHA112" s="3"/>
      <c r="LHB112" s="3"/>
      <c r="LHC112" s="3"/>
      <c r="LHD112" s="3"/>
      <c r="LHE112" s="3"/>
      <c r="LHF112" s="3"/>
      <c r="LHG112" s="3"/>
      <c r="LHH112" s="3"/>
      <c r="LHI112" s="3"/>
      <c r="LHJ112" s="3"/>
      <c r="LHK112" s="3"/>
      <c r="LHL112" s="3"/>
      <c r="LHM112" s="3"/>
      <c r="LHN112" s="3"/>
      <c r="LHO112" s="3"/>
      <c r="LHP112" s="3"/>
      <c r="LHQ112" s="3"/>
      <c r="LHR112" s="3"/>
      <c r="LHS112" s="3"/>
      <c r="LHT112" s="3"/>
      <c r="LHU112" s="3"/>
      <c r="LHV112" s="3"/>
      <c r="LHW112" s="3"/>
      <c r="LHX112" s="3"/>
      <c r="LHY112" s="3"/>
      <c r="LHZ112" s="3"/>
      <c r="LIA112" s="3"/>
      <c r="LIB112" s="3"/>
      <c r="LIC112" s="3"/>
      <c r="LID112" s="3"/>
      <c r="LIE112" s="3"/>
      <c r="LIF112" s="3"/>
      <c r="LIG112" s="3"/>
      <c r="LIH112" s="3"/>
      <c r="LII112" s="3"/>
      <c r="LIJ112" s="3"/>
      <c r="LIK112" s="3"/>
      <c r="LIL112" s="3"/>
      <c r="LIM112" s="3"/>
      <c r="LIN112" s="3"/>
      <c r="LIO112" s="3"/>
      <c r="LIP112" s="3"/>
      <c r="LIQ112" s="3"/>
      <c r="LIR112" s="3"/>
      <c r="LIS112" s="3"/>
      <c r="LIT112" s="3"/>
      <c r="LIU112" s="3"/>
      <c r="LIV112" s="3"/>
      <c r="LIW112" s="3"/>
      <c r="LIX112" s="3"/>
      <c r="LIY112" s="3"/>
      <c r="LIZ112" s="3"/>
      <c r="LJA112" s="3"/>
      <c r="LJB112" s="3"/>
      <c r="LJC112" s="3"/>
      <c r="LJD112" s="3"/>
      <c r="LJE112" s="3"/>
      <c r="LJF112" s="3"/>
      <c r="LJG112" s="3"/>
      <c r="LJH112" s="3"/>
      <c r="LJI112" s="3"/>
      <c r="LJJ112" s="3"/>
      <c r="LJK112" s="3"/>
      <c r="LJL112" s="3"/>
      <c r="LJM112" s="3"/>
      <c r="LJN112" s="3"/>
      <c r="LJO112" s="3"/>
      <c r="LJP112" s="3"/>
      <c r="LJQ112" s="3"/>
      <c r="LJR112" s="3"/>
      <c r="LJS112" s="3"/>
      <c r="LJT112" s="3"/>
      <c r="LJU112" s="3"/>
      <c r="LJV112" s="3"/>
      <c r="LJW112" s="3"/>
      <c r="LJX112" s="3"/>
      <c r="LJY112" s="3"/>
      <c r="LJZ112" s="3"/>
      <c r="LKA112" s="3"/>
      <c r="LKB112" s="3"/>
      <c r="LKC112" s="3"/>
      <c r="LKD112" s="3"/>
      <c r="LKE112" s="3"/>
      <c r="LKF112" s="3"/>
      <c r="LKG112" s="3"/>
      <c r="LKH112" s="3"/>
      <c r="LKI112" s="3"/>
      <c r="LKJ112" s="3"/>
      <c r="LKK112" s="3"/>
      <c r="LKL112" s="3"/>
      <c r="LKM112" s="3"/>
      <c r="LKN112" s="3"/>
      <c r="LKO112" s="3"/>
      <c r="LKP112" s="3"/>
      <c r="LKQ112" s="3"/>
      <c r="LKR112" s="3"/>
      <c r="LKS112" s="3"/>
      <c r="LKT112" s="3"/>
      <c r="LKU112" s="3"/>
      <c r="LKV112" s="3"/>
      <c r="LKW112" s="3"/>
      <c r="LKX112" s="3"/>
      <c r="LKY112" s="3"/>
      <c r="LKZ112" s="3"/>
      <c r="LLA112" s="3"/>
      <c r="LLB112" s="3"/>
      <c r="LLC112" s="3"/>
      <c r="LLD112" s="3"/>
      <c r="LLE112" s="3"/>
      <c r="LLF112" s="3"/>
      <c r="LLG112" s="3"/>
      <c r="LLH112" s="3"/>
      <c r="LLI112" s="3"/>
      <c r="LLJ112" s="3"/>
      <c r="LLK112" s="3"/>
      <c r="LLL112" s="3"/>
      <c r="LLM112" s="3"/>
      <c r="LLN112" s="3"/>
      <c r="LLO112" s="3"/>
      <c r="LLP112" s="3"/>
      <c r="LLQ112" s="3"/>
      <c r="LLR112" s="3"/>
      <c r="LLS112" s="3"/>
      <c r="LLT112" s="3"/>
      <c r="LLU112" s="3"/>
      <c r="LLV112" s="3"/>
      <c r="LLW112" s="3"/>
      <c r="LLX112" s="3"/>
      <c r="LLY112" s="3"/>
      <c r="LLZ112" s="3"/>
      <c r="LMA112" s="3"/>
      <c r="LMB112" s="3"/>
      <c r="LMC112" s="3"/>
      <c r="LMD112" s="3"/>
      <c r="LME112" s="3"/>
      <c r="LMF112" s="3"/>
      <c r="LMG112" s="3"/>
      <c r="LMH112" s="3"/>
      <c r="LMI112" s="3"/>
      <c r="LMJ112" s="3"/>
      <c r="LMK112" s="3"/>
      <c r="LML112" s="3"/>
      <c r="LMM112" s="3"/>
      <c r="LMN112" s="3"/>
      <c r="LMO112" s="3"/>
      <c r="LMP112" s="3"/>
      <c r="LMQ112" s="3"/>
      <c r="LMR112" s="3"/>
      <c r="LMS112" s="3"/>
      <c r="LMT112" s="3"/>
      <c r="LMU112" s="3"/>
      <c r="LMV112" s="3"/>
      <c r="LMW112" s="3"/>
      <c r="LMX112" s="3"/>
      <c r="LMY112" s="3"/>
      <c r="LMZ112" s="3"/>
      <c r="LNA112" s="3"/>
      <c r="LNB112" s="3"/>
      <c r="LNC112" s="3"/>
      <c r="LND112" s="3"/>
      <c r="LNE112" s="3"/>
      <c r="LNF112" s="3"/>
      <c r="LNG112" s="3"/>
      <c r="LNH112" s="3"/>
      <c r="LNI112" s="3"/>
      <c r="LNJ112" s="3"/>
      <c r="LNK112" s="3"/>
      <c r="LNL112" s="3"/>
      <c r="LNM112" s="3"/>
      <c r="LNN112" s="3"/>
      <c r="LNO112" s="3"/>
      <c r="LNP112" s="3"/>
      <c r="LNQ112" s="3"/>
      <c r="LNR112" s="3"/>
      <c r="LNS112" s="3"/>
      <c r="LNT112" s="3"/>
      <c r="LNU112" s="3"/>
      <c r="LNV112" s="3"/>
      <c r="LNW112" s="3"/>
      <c r="LNX112" s="3"/>
      <c r="LNY112" s="3"/>
      <c r="LNZ112" s="3"/>
      <c r="LOA112" s="3"/>
      <c r="LOB112" s="3"/>
      <c r="LOC112" s="3"/>
      <c r="LOD112" s="3"/>
      <c r="LOE112" s="3"/>
      <c r="LOF112" s="3"/>
      <c r="LOG112" s="3"/>
      <c r="LOH112" s="3"/>
      <c r="LOI112" s="3"/>
      <c r="LOJ112" s="3"/>
      <c r="LOK112" s="3"/>
      <c r="LOL112" s="3"/>
      <c r="LOM112" s="3"/>
      <c r="LON112" s="3"/>
      <c r="LOO112" s="3"/>
      <c r="LOP112" s="3"/>
      <c r="LOQ112" s="3"/>
      <c r="LOR112" s="3"/>
      <c r="LOS112" s="3"/>
      <c r="LOT112" s="3"/>
      <c r="LOU112" s="3"/>
      <c r="LOV112" s="3"/>
      <c r="LOW112" s="3"/>
      <c r="LOX112" s="3"/>
      <c r="LOY112" s="3"/>
      <c r="LOZ112" s="3"/>
      <c r="LPA112" s="3"/>
      <c r="LPB112" s="3"/>
      <c r="LPC112" s="3"/>
      <c r="LPD112" s="3"/>
      <c r="LPE112" s="3"/>
      <c r="LPF112" s="3"/>
      <c r="LPG112" s="3"/>
      <c r="LPH112" s="3"/>
      <c r="LPI112" s="3"/>
      <c r="LPJ112" s="3"/>
      <c r="LPK112" s="3"/>
      <c r="LPL112" s="3"/>
      <c r="LPM112" s="3"/>
      <c r="LPN112" s="3"/>
      <c r="LPO112" s="3"/>
      <c r="LPP112" s="3"/>
      <c r="LPQ112" s="3"/>
      <c r="LPR112" s="3"/>
      <c r="LPS112" s="3"/>
      <c r="LPT112" s="3"/>
      <c r="LPU112" s="3"/>
      <c r="LPV112" s="3"/>
      <c r="LPW112" s="3"/>
      <c r="LPX112" s="3"/>
      <c r="LPY112" s="3"/>
      <c r="LPZ112" s="3"/>
      <c r="LQA112" s="3"/>
      <c r="LQB112" s="3"/>
      <c r="LQC112" s="3"/>
      <c r="LQD112" s="3"/>
      <c r="LQE112" s="3"/>
      <c r="LQF112" s="3"/>
      <c r="LQG112" s="3"/>
      <c r="LQH112" s="3"/>
      <c r="LQI112" s="3"/>
      <c r="LQJ112" s="3"/>
      <c r="LQK112" s="3"/>
      <c r="LQL112" s="3"/>
      <c r="LQM112" s="3"/>
      <c r="LQN112" s="3"/>
      <c r="LQO112" s="3"/>
      <c r="LQP112" s="3"/>
      <c r="LQQ112" s="3"/>
      <c r="LQR112" s="3"/>
      <c r="LQS112" s="3"/>
      <c r="LQT112" s="3"/>
      <c r="LQU112" s="3"/>
      <c r="LQV112" s="3"/>
      <c r="LQW112" s="3"/>
      <c r="LQX112" s="3"/>
      <c r="LQY112" s="3"/>
      <c r="LQZ112" s="3"/>
      <c r="LRA112" s="3"/>
      <c r="LRB112" s="3"/>
      <c r="LRC112" s="3"/>
      <c r="LRD112" s="3"/>
      <c r="LRE112" s="3"/>
      <c r="LRF112" s="3"/>
      <c r="LRG112" s="3"/>
      <c r="LRH112" s="3"/>
      <c r="LRI112" s="3"/>
      <c r="LRJ112" s="3"/>
      <c r="LRK112" s="3"/>
      <c r="LRL112" s="3"/>
      <c r="LRM112" s="3"/>
      <c r="LRN112" s="3"/>
      <c r="LRO112" s="3"/>
      <c r="LRP112" s="3"/>
      <c r="LRQ112" s="3"/>
      <c r="LRR112" s="3"/>
      <c r="LRS112" s="3"/>
      <c r="LRT112" s="3"/>
      <c r="LRU112" s="3"/>
      <c r="LRV112" s="3"/>
      <c r="LRW112" s="3"/>
      <c r="LRX112" s="3"/>
      <c r="LRY112" s="3"/>
      <c r="LRZ112" s="3"/>
      <c r="LSA112" s="3"/>
      <c r="LSB112" s="3"/>
      <c r="LSC112" s="3"/>
      <c r="LSD112" s="3"/>
      <c r="LSE112" s="3"/>
      <c r="LSF112" s="3"/>
      <c r="LSG112" s="3"/>
      <c r="LSH112" s="3"/>
      <c r="LSI112" s="3"/>
      <c r="LSJ112" s="3"/>
      <c r="LSK112" s="3"/>
      <c r="LSL112" s="3"/>
      <c r="LSM112" s="3"/>
      <c r="LSN112" s="3"/>
      <c r="LSO112" s="3"/>
      <c r="LSP112" s="3"/>
      <c r="LSQ112" s="3"/>
      <c r="LSR112" s="3"/>
      <c r="LSS112" s="3"/>
      <c r="LST112" s="3"/>
      <c r="LSU112" s="3"/>
      <c r="LSV112" s="3"/>
      <c r="LSW112" s="3"/>
      <c r="LSX112" s="3"/>
      <c r="LSY112" s="3"/>
      <c r="LSZ112" s="3"/>
      <c r="LTA112" s="3"/>
      <c r="LTB112" s="3"/>
      <c r="LTC112" s="3"/>
      <c r="LTD112" s="3"/>
      <c r="LTE112" s="3"/>
      <c r="LTF112" s="3"/>
      <c r="LTG112" s="3"/>
      <c r="LTH112" s="3"/>
      <c r="LTI112" s="3"/>
      <c r="LTJ112" s="3"/>
      <c r="LTK112" s="3"/>
      <c r="LTL112" s="3"/>
      <c r="LTM112" s="3"/>
      <c r="LTN112" s="3"/>
      <c r="LTO112" s="3"/>
      <c r="LTP112" s="3"/>
      <c r="LTQ112" s="3"/>
      <c r="LTR112" s="3"/>
      <c r="LTS112" s="3"/>
      <c r="LTT112" s="3"/>
      <c r="LTU112" s="3"/>
      <c r="LTV112" s="3"/>
      <c r="LTW112" s="3"/>
      <c r="LTX112" s="3"/>
      <c r="LTY112" s="3"/>
      <c r="LTZ112" s="3"/>
      <c r="LUA112" s="3"/>
      <c r="LUB112" s="3"/>
      <c r="LUC112" s="3"/>
      <c r="LUD112" s="3"/>
      <c r="LUE112" s="3"/>
      <c r="LUF112" s="3"/>
      <c r="LUG112" s="3"/>
      <c r="LUH112" s="3"/>
      <c r="LUI112" s="3"/>
      <c r="LUJ112" s="3"/>
      <c r="LUK112" s="3"/>
      <c r="LUL112" s="3"/>
      <c r="LUM112" s="3"/>
      <c r="LUN112" s="3"/>
      <c r="LUO112" s="3"/>
      <c r="LUP112" s="3"/>
      <c r="LUQ112" s="3"/>
      <c r="LUR112" s="3"/>
      <c r="LUS112" s="3"/>
      <c r="LUT112" s="3"/>
      <c r="LUU112" s="3"/>
      <c r="LUV112" s="3"/>
      <c r="LUW112" s="3"/>
      <c r="LUX112" s="3"/>
      <c r="LUY112" s="3"/>
      <c r="LUZ112" s="3"/>
      <c r="LVA112" s="3"/>
      <c r="LVB112" s="3"/>
      <c r="LVC112" s="3"/>
      <c r="LVD112" s="3"/>
      <c r="LVE112" s="3"/>
      <c r="LVF112" s="3"/>
      <c r="LVG112" s="3"/>
      <c r="LVH112" s="3"/>
      <c r="LVI112" s="3"/>
      <c r="LVJ112" s="3"/>
      <c r="LVK112" s="3"/>
      <c r="LVL112" s="3"/>
      <c r="LVM112" s="3"/>
      <c r="LVN112" s="3"/>
      <c r="LVO112" s="3"/>
      <c r="LVP112" s="3"/>
      <c r="LVQ112" s="3"/>
      <c r="LVR112" s="3"/>
      <c r="LVS112" s="3"/>
      <c r="LVT112" s="3"/>
      <c r="LVU112" s="3"/>
      <c r="LVV112" s="3"/>
      <c r="LVW112" s="3"/>
      <c r="LVX112" s="3"/>
      <c r="LVY112" s="3"/>
      <c r="LVZ112" s="3"/>
      <c r="LWA112" s="3"/>
      <c r="LWB112" s="3"/>
      <c r="LWC112" s="3"/>
      <c r="LWD112" s="3"/>
      <c r="LWE112" s="3"/>
      <c r="LWF112" s="3"/>
      <c r="LWG112" s="3"/>
      <c r="LWH112" s="3"/>
      <c r="LWI112" s="3"/>
      <c r="LWJ112" s="3"/>
      <c r="LWK112" s="3"/>
      <c r="LWL112" s="3"/>
      <c r="LWM112" s="3"/>
      <c r="LWN112" s="3"/>
      <c r="LWO112" s="3"/>
      <c r="LWP112" s="3"/>
      <c r="LWQ112" s="3"/>
      <c r="LWR112" s="3"/>
      <c r="LWS112" s="3"/>
      <c r="LWT112" s="3"/>
      <c r="LWU112" s="3"/>
      <c r="LWV112" s="3"/>
      <c r="LWW112" s="3"/>
      <c r="LWX112" s="3"/>
      <c r="LWY112" s="3"/>
      <c r="LWZ112" s="3"/>
      <c r="LXA112" s="3"/>
      <c r="LXB112" s="3"/>
      <c r="LXC112" s="3"/>
      <c r="LXD112" s="3"/>
      <c r="LXE112" s="3"/>
      <c r="LXF112" s="3"/>
      <c r="LXG112" s="3"/>
      <c r="LXH112" s="3"/>
      <c r="LXI112" s="3"/>
      <c r="LXJ112" s="3"/>
      <c r="LXK112" s="3"/>
      <c r="LXL112" s="3"/>
      <c r="LXM112" s="3"/>
      <c r="LXN112" s="3"/>
      <c r="LXO112" s="3"/>
      <c r="LXP112" s="3"/>
      <c r="LXQ112" s="3"/>
      <c r="LXR112" s="3"/>
      <c r="LXS112" s="3"/>
      <c r="LXT112" s="3"/>
      <c r="LXU112" s="3"/>
      <c r="LXV112" s="3"/>
      <c r="LXW112" s="3"/>
      <c r="LXX112" s="3"/>
      <c r="LXY112" s="3"/>
      <c r="LXZ112" s="3"/>
      <c r="LYA112" s="3"/>
      <c r="LYB112" s="3"/>
      <c r="LYC112" s="3"/>
      <c r="LYD112" s="3"/>
      <c r="LYE112" s="3"/>
      <c r="LYF112" s="3"/>
      <c r="LYG112" s="3"/>
      <c r="LYH112" s="3"/>
      <c r="LYI112" s="3"/>
      <c r="LYJ112" s="3"/>
      <c r="LYK112" s="3"/>
      <c r="LYL112" s="3"/>
      <c r="LYM112" s="3"/>
      <c r="LYN112" s="3"/>
      <c r="LYO112" s="3"/>
      <c r="LYP112" s="3"/>
      <c r="LYQ112" s="3"/>
      <c r="LYR112" s="3"/>
      <c r="LYS112" s="3"/>
      <c r="LYT112" s="3"/>
      <c r="LYU112" s="3"/>
      <c r="LYV112" s="3"/>
      <c r="LYW112" s="3"/>
      <c r="LYX112" s="3"/>
      <c r="LYY112" s="3"/>
      <c r="LYZ112" s="3"/>
      <c r="LZA112" s="3"/>
      <c r="LZB112" s="3"/>
      <c r="LZC112" s="3"/>
      <c r="LZD112" s="3"/>
      <c r="LZE112" s="3"/>
      <c r="LZF112" s="3"/>
      <c r="LZG112" s="3"/>
      <c r="LZH112" s="3"/>
      <c r="LZI112" s="3"/>
      <c r="LZJ112" s="3"/>
      <c r="LZK112" s="3"/>
      <c r="LZL112" s="3"/>
      <c r="LZM112" s="3"/>
      <c r="LZN112" s="3"/>
      <c r="LZO112" s="3"/>
      <c r="LZP112" s="3"/>
      <c r="LZQ112" s="3"/>
      <c r="LZR112" s="3"/>
      <c r="LZS112" s="3"/>
      <c r="LZT112" s="3"/>
      <c r="LZU112" s="3"/>
      <c r="LZV112" s="3"/>
      <c r="LZW112" s="3"/>
      <c r="LZX112" s="3"/>
      <c r="LZY112" s="3"/>
      <c r="LZZ112" s="3"/>
      <c r="MAA112" s="3"/>
      <c r="MAB112" s="3"/>
      <c r="MAC112" s="3"/>
      <c r="MAD112" s="3"/>
      <c r="MAE112" s="3"/>
      <c r="MAF112" s="3"/>
      <c r="MAG112" s="3"/>
      <c r="MAH112" s="3"/>
      <c r="MAI112" s="3"/>
      <c r="MAJ112" s="3"/>
      <c r="MAK112" s="3"/>
      <c r="MAL112" s="3"/>
      <c r="MAM112" s="3"/>
      <c r="MAN112" s="3"/>
      <c r="MAO112" s="3"/>
      <c r="MAP112" s="3"/>
      <c r="MAQ112" s="3"/>
      <c r="MAR112" s="3"/>
      <c r="MAS112" s="3"/>
      <c r="MAT112" s="3"/>
      <c r="MAU112" s="3"/>
      <c r="MAV112" s="3"/>
      <c r="MAW112" s="3"/>
      <c r="MAX112" s="3"/>
      <c r="MAY112" s="3"/>
      <c r="MAZ112" s="3"/>
      <c r="MBA112" s="3"/>
      <c r="MBB112" s="3"/>
      <c r="MBC112" s="3"/>
      <c r="MBD112" s="3"/>
      <c r="MBE112" s="3"/>
      <c r="MBF112" s="3"/>
      <c r="MBG112" s="3"/>
      <c r="MBH112" s="3"/>
      <c r="MBI112" s="3"/>
      <c r="MBJ112" s="3"/>
      <c r="MBK112" s="3"/>
      <c r="MBL112" s="3"/>
      <c r="MBM112" s="3"/>
      <c r="MBN112" s="3"/>
      <c r="MBO112" s="3"/>
      <c r="MBP112" s="3"/>
      <c r="MBQ112" s="3"/>
      <c r="MBR112" s="3"/>
      <c r="MBS112" s="3"/>
      <c r="MBT112" s="3"/>
      <c r="MBU112" s="3"/>
      <c r="MBV112" s="3"/>
      <c r="MBW112" s="3"/>
      <c r="MBX112" s="3"/>
      <c r="MBY112" s="3"/>
      <c r="MBZ112" s="3"/>
      <c r="MCA112" s="3"/>
      <c r="MCB112" s="3"/>
      <c r="MCC112" s="3"/>
      <c r="MCD112" s="3"/>
      <c r="MCE112" s="3"/>
      <c r="MCF112" s="3"/>
      <c r="MCG112" s="3"/>
      <c r="MCH112" s="3"/>
      <c r="MCI112" s="3"/>
      <c r="MCJ112" s="3"/>
      <c r="MCK112" s="3"/>
      <c r="MCL112" s="3"/>
      <c r="MCM112" s="3"/>
      <c r="MCN112" s="3"/>
      <c r="MCO112" s="3"/>
      <c r="MCP112" s="3"/>
      <c r="MCQ112" s="3"/>
      <c r="MCR112" s="3"/>
      <c r="MCS112" s="3"/>
      <c r="MCT112" s="3"/>
      <c r="MCU112" s="3"/>
      <c r="MCV112" s="3"/>
      <c r="MCW112" s="3"/>
      <c r="MCX112" s="3"/>
      <c r="MCY112" s="3"/>
      <c r="MCZ112" s="3"/>
      <c r="MDA112" s="3"/>
      <c r="MDB112" s="3"/>
      <c r="MDC112" s="3"/>
      <c r="MDD112" s="3"/>
      <c r="MDE112" s="3"/>
      <c r="MDF112" s="3"/>
      <c r="MDG112" s="3"/>
      <c r="MDH112" s="3"/>
      <c r="MDI112" s="3"/>
      <c r="MDJ112" s="3"/>
      <c r="MDK112" s="3"/>
      <c r="MDL112" s="3"/>
      <c r="MDM112" s="3"/>
      <c r="MDN112" s="3"/>
      <c r="MDO112" s="3"/>
      <c r="MDP112" s="3"/>
      <c r="MDQ112" s="3"/>
      <c r="MDR112" s="3"/>
      <c r="MDS112" s="3"/>
      <c r="MDT112" s="3"/>
      <c r="MDU112" s="3"/>
      <c r="MDV112" s="3"/>
      <c r="MDW112" s="3"/>
      <c r="MDX112" s="3"/>
      <c r="MDY112" s="3"/>
      <c r="MDZ112" s="3"/>
      <c r="MEA112" s="3"/>
      <c r="MEB112" s="3"/>
      <c r="MEC112" s="3"/>
      <c r="MED112" s="3"/>
      <c r="MEE112" s="3"/>
      <c r="MEF112" s="3"/>
      <c r="MEG112" s="3"/>
      <c r="MEH112" s="3"/>
      <c r="MEI112" s="3"/>
      <c r="MEJ112" s="3"/>
      <c r="MEK112" s="3"/>
      <c r="MEL112" s="3"/>
      <c r="MEM112" s="3"/>
      <c r="MEN112" s="3"/>
      <c r="MEO112" s="3"/>
      <c r="MEP112" s="3"/>
      <c r="MEQ112" s="3"/>
      <c r="MER112" s="3"/>
      <c r="MES112" s="3"/>
      <c r="MET112" s="3"/>
      <c r="MEU112" s="3"/>
      <c r="MEV112" s="3"/>
      <c r="MEW112" s="3"/>
      <c r="MEX112" s="3"/>
      <c r="MEY112" s="3"/>
      <c r="MEZ112" s="3"/>
      <c r="MFA112" s="3"/>
      <c r="MFB112" s="3"/>
      <c r="MFC112" s="3"/>
      <c r="MFD112" s="3"/>
      <c r="MFE112" s="3"/>
      <c r="MFF112" s="3"/>
      <c r="MFG112" s="3"/>
      <c r="MFH112" s="3"/>
      <c r="MFI112" s="3"/>
      <c r="MFJ112" s="3"/>
      <c r="MFK112" s="3"/>
      <c r="MFL112" s="3"/>
      <c r="MFM112" s="3"/>
      <c r="MFN112" s="3"/>
      <c r="MFO112" s="3"/>
      <c r="MFP112" s="3"/>
      <c r="MFQ112" s="3"/>
      <c r="MFR112" s="3"/>
      <c r="MFS112" s="3"/>
      <c r="MFT112" s="3"/>
      <c r="MFU112" s="3"/>
      <c r="MFV112" s="3"/>
      <c r="MFW112" s="3"/>
      <c r="MFX112" s="3"/>
      <c r="MFY112" s="3"/>
      <c r="MFZ112" s="3"/>
      <c r="MGA112" s="3"/>
      <c r="MGB112" s="3"/>
      <c r="MGC112" s="3"/>
      <c r="MGD112" s="3"/>
      <c r="MGE112" s="3"/>
      <c r="MGF112" s="3"/>
      <c r="MGG112" s="3"/>
      <c r="MGH112" s="3"/>
      <c r="MGI112" s="3"/>
      <c r="MGJ112" s="3"/>
      <c r="MGK112" s="3"/>
      <c r="MGL112" s="3"/>
      <c r="MGM112" s="3"/>
      <c r="MGN112" s="3"/>
      <c r="MGO112" s="3"/>
      <c r="MGP112" s="3"/>
      <c r="MGQ112" s="3"/>
      <c r="MGR112" s="3"/>
      <c r="MGS112" s="3"/>
      <c r="MGT112" s="3"/>
      <c r="MGU112" s="3"/>
      <c r="MGV112" s="3"/>
      <c r="MGW112" s="3"/>
      <c r="MGX112" s="3"/>
      <c r="MGY112" s="3"/>
      <c r="MGZ112" s="3"/>
      <c r="MHA112" s="3"/>
      <c r="MHB112" s="3"/>
      <c r="MHC112" s="3"/>
      <c r="MHD112" s="3"/>
      <c r="MHE112" s="3"/>
      <c r="MHF112" s="3"/>
      <c r="MHG112" s="3"/>
      <c r="MHH112" s="3"/>
      <c r="MHI112" s="3"/>
      <c r="MHJ112" s="3"/>
      <c r="MHK112" s="3"/>
      <c r="MHL112" s="3"/>
      <c r="MHM112" s="3"/>
      <c r="MHN112" s="3"/>
      <c r="MHO112" s="3"/>
      <c r="MHP112" s="3"/>
      <c r="MHQ112" s="3"/>
      <c r="MHR112" s="3"/>
      <c r="MHS112" s="3"/>
      <c r="MHT112" s="3"/>
      <c r="MHU112" s="3"/>
      <c r="MHV112" s="3"/>
      <c r="MHW112" s="3"/>
      <c r="MHX112" s="3"/>
      <c r="MHY112" s="3"/>
      <c r="MHZ112" s="3"/>
      <c r="MIA112" s="3"/>
      <c r="MIB112" s="3"/>
      <c r="MIC112" s="3"/>
      <c r="MID112" s="3"/>
      <c r="MIE112" s="3"/>
      <c r="MIF112" s="3"/>
      <c r="MIG112" s="3"/>
      <c r="MIH112" s="3"/>
      <c r="MII112" s="3"/>
      <c r="MIJ112" s="3"/>
      <c r="MIK112" s="3"/>
      <c r="MIL112" s="3"/>
      <c r="MIM112" s="3"/>
      <c r="MIN112" s="3"/>
      <c r="MIO112" s="3"/>
      <c r="MIP112" s="3"/>
      <c r="MIQ112" s="3"/>
      <c r="MIR112" s="3"/>
      <c r="MIS112" s="3"/>
      <c r="MIT112" s="3"/>
      <c r="MIU112" s="3"/>
      <c r="MIV112" s="3"/>
      <c r="MIW112" s="3"/>
      <c r="MIX112" s="3"/>
      <c r="MIY112" s="3"/>
      <c r="MIZ112" s="3"/>
      <c r="MJA112" s="3"/>
      <c r="MJB112" s="3"/>
      <c r="MJC112" s="3"/>
      <c r="MJD112" s="3"/>
      <c r="MJE112" s="3"/>
      <c r="MJF112" s="3"/>
      <c r="MJG112" s="3"/>
      <c r="MJH112" s="3"/>
      <c r="MJI112" s="3"/>
      <c r="MJJ112" s="3"/>
      <c r="MJK112" s="3"/>
      <c r="MJL112" s="3"/>
      <c r="MJM112" s="3"/>
      <c r="MJN112" s="3"/>
      <c r="MJO112" s="3"/>
      <c r="MJP112" s="3"/>
      <c r="MJQ112" s="3"/>
      <c r="MJR112" s="3"/>
      <c r="MJS112" s="3"/>
      <c r="MJT112" s="3"/>
      <c r="MJU112" s="3"/>
      <c r="MJV112" s="3"/>
      <c r="MJW112" s="3"/>
      <c r="MJX112" s="3"/>
      <c r="MJY112" s="3"/>
      <c r="MJZ112" s="3"/>
      <c r="MKA112" s="3"/>
      <c r="MKB112" s="3"/>
      <c r="MKC112" s="3"/>
      <c r="MKD112" s="3"/>
      <c r="MKE112" s="3"/>
      <c r="MKF112" s="3"/>
      <c r="MKG112" s="3"/>
      <c r="MKH112" s="3"/>
      <c r="MKI112" s="3"/>
      <c r="MKJ112" s="3"/>
      <c r="MKK112" s="3"/>
      <c r="MKL112" s="3"/>
      <c r="MKM112" s="3"/>
      <c r="MKN112" s="3"/>
      <c r="MKO112" s="3"/>
      <c r="MKP112" s="3"/>
      <c r="MKQ112" s="3"/>
      <c r="MKR112" s="3"/>
      <c r="MKS112" s="3"/>
      <c r="MKT112" s="3"/>
      <c r="MKU112" s="3"/>
      <c r="MKV112" s="3"/>
      <c r="MKW112" s="3"/>
      <c r="MKX112" s="3"/>
      <c r="MKY112" s="3"/>
      <c r="MKZ112" s="3"/>
      <c r="MLA112" s="3"/>
      <c r="MLB112" s="3"/>
      <c r="MLC112" s="3"/>
      <c r="MLD112" s="3"/>
      <c r="MLE112" s="3"/>
      <c r="MLF112" s="3"/>
      <c r="MLG112" s="3"/>
      <c r="MLH112" s="3"/>
      <c r="MLI112" s="3"/>
      <c r="MLJ112" s="3"/>
      <c r="MLK112" s="3"/>
      <c r="MLL112" s="3"/>
      <c r="MLM112" s="3"/>
      <c r="MLN112" s="3"/>
      <c r="MLO112" s="3"/>
      <c r="MLP112" s="3"/>
      <c r="MLQ112" s="3"/>
      <c r="MLR112" s="3"/>
      <c r="MLS112" s="3"/>
      <c r="MLT112" s="3"/>
      <c r="MLU112" s="3"/>
      <c r="MLV112" s="3"/>
      <c r="MLW112" s="3"/>
      <c r="MLX112" s="3"/>
      <c r="MLY112" s="3"/>
      <c r="MLZ112" s="3"/>
      <c r="MMA112" s="3"/>
      <c r="MMB112" s="3"/>
      <c r="MMC112" s="3"/>
      <c r="MMD112" s="3"/>
      <c r="MME112" s="3"/>
      <c r="MMF112" s="3"/>
      <c r="MMG112" s="3"/>
      <c r="MMH112" s="3"/>
      <c r="MMI112" s="3"/>
      <c r="MMJ112" s="3"/>
      <c r="MMK112" s="3"/>
      <c r="MML112" s="3"/>
      <c r="MMM112" s="3"/>
      <c r="MMN112" s="3"/>
      <c r="MMO112" s="3"/>
      <c r="MMP112" s="3"/>
      <c r="MMQ112" s="3"/>
      <c r="MMR112" s="3"/>
      <c r="MMS112" s="3"/>
      <c r="MMT112" s="3"/>
      <c r="MMU112" s="3"/>
      <c r="MMV112" s="3"/>
      <c r="MMW112" s="3"/>
      <c r="MMX112" s="3"/>
      <c r="MMY112" s="3"/>
      <c r="MMZ112" s="3"/>
      <c r="MNA112" s="3"/>
      <c r="MNB112" s="3"/>
      <c r="MNC112" s="3"/>
      <c r="MND112" s="3"/>
      <c r="MNE112" s="3"/>
      <c r="MNF112" s="3"/>
      <c r="MNG112" s="3"/>
      <c r="MNH112" s="3"/>
      <c r="MNI112" s="3"/>
      <c r="MNJ112" s="3"/>
      <c r="MNK112" s="3"/>
      <c r="MNL112" s="3"/>
      <c r="MNM112" s="3"/>
      <c r="MNN112" s="3"/>
      <c r="MNO112" s="3"/>
      <c r="MNP112" s="3"/>
      <c r="MNQ112" s="3"/>
      <c r="MNR112" s="3"/>
      <c r="MNS112" s="3"/>
      <c r="MNT112" s="3"/>
      <c r="MNU112" s="3"/>
      <c r="MNV112" s="3"/>
      <c r="MNW112" s="3"/>
      <c r="MNX112" s="3"/>
      <c r="MNY112" s="3"/>
      <c r="MNZ112" s="3"/>
      <c r="MOA112" s="3"/>
      <c r="MOB112" s="3"/>
      <c r="MOC112" s="3"/>
      <c r="MOD112" s="3"/>
      <c r="MOE112" s="3"/>
      <c r="MOF112" s="3"/>
      <c r="MOG112" s="3"/>
      <c r="MOH112" s="3"/>
      <c r="MOI112" s="3"/>
      <c r="MOJ112" s="3"/>
      <c r="MOK112" s="3"/>
      <c r="MOL112" s="3"/>
      <c r="MOM112" s="3"/>
      <c r="MON112" s="3"/>
      <c r="MOO112" s="3"/>
      <c r="MOP112" s="3"/>
      <c r="MOQ112" s="3"/>
      <c r="MOR112" s="3"/>
      <c r="MOS112" s="3"/>
      <c r="MOT112" s="3"/>
      <c r="MOU112" s="3"/>
      <c r="MOV112" s="3"/>
      <c r="MOW112" s="3"/>
      <c r="MOX112" s="3"/>
      <c r="MOY112" s="3"/>
      <c r="MOZ112" s="3"/>
      <c r="MPA112" s="3"/>
      <c r="MPB112" s="3"/>
      <c r="MPC112" s="3"/>
      <c r="MPD112" s="3"/>
      <c r="MPE112" s="3"/>
      <c r="MPF112" s="3"/>
      <c r="MPG112" s="3"/>
      <c r="MPH112" s="3"/>
      <c r="MPI112" s="3"/>
      <c r="MPJ112" s="3"/>
      <c r="MPK112" s="3"/>
      <c r="MPL112" s="3"/>
      <c r="MPM112" s="3"/>
      <c r="MPN112" s="3"/>
      <c r="MPO112" s="3"/>
      <c r="MPP112" s="3"/>
      <c r="MPQ112" s="3"/>
      <c r="MPR112" s="3"/>
      <c r="MPS112" s="3"/>
      <c r="MPT112" s="3"/>
      <c r="MPU112" s="3"/>
      <c r="MPV112" s="3"/>
      <c r="MPW112" s="3"/>
      <c r="MPX112" s="3"/>
      <c r="MPY112" s="3"/>
      <c r="MPZ112" s="3"/>
      <c r="MQA112" s="3"/>
      <c r="MQB112" s="3"/>
      <c r="MQC112" s="3"/>
      <c r="MQD112" s="3"/>
      <c r="MQE112" s="3"/>
      <c r="MQF112" s="3"/>
      <c r="MQG112" s="3"/>
      <c r="MQH112" s="3"/>
      <c r="MQI112" s="3"/>
      <c r="MQJ112" s="3"/>
      <c r="MQK112" s="3"/>
      <c r="MQL112" s="3"/>
      <c r="MQM112" s="3"/>
      <c r="MQN112" s="3"/>
      <c r="MQO112" s="3"/>
      <c r="MQP112" s="3"/>
      <c r="MQQ112" s="3"/>
      <c r="MQR112" s="3"/>
      <c r="MQS112" s="3"/>
      <c r="MQT112" s="3"/>
      <c r="MQU112" s="3"/>
      <c r="MQV112" s="3"/>
      <c r="MQW112" s="3"/>
      <c r="MQX112" s="3"/>
      <c r="MQY112" s="3"/>
      <c r="MQZ112" s="3"/>
      <c r="MRA112" s="3"/>
      <c r="MRB112" s="3"/>
      <c r="MRC112" s="3"/>
      <c r="MRD112" s="3"/>
      <c r="MRE112" s="3"/>
      <c r="MRF112" s="3"/>
      <c r="MRG112" s="3"/>
      <c r="MRH112" s="3"/>
      <c r="MRI112" s="3"/>
      <c r="MRJ112" s="3"/>
      <c r="MRK112" s="3"/>
      <c r="MRL112" s="3"/>
      <c r="MRM112" s="3"/>
      <c r="MRN112" s="3"/>
      <c r="MRO112" s="3"/>
      <c r="MRP112" s="3"/>
      <c r="MRQ112" s="3"/>
      <c r="MRR112" s="3"/>
      <c r="MRS112" s="3"/>
      <c r="MRT112" s="3"/>
      <c r="MRU112" s="3"/>
      <c r="MRV112" s="3"/>
      <c r="MRW112" s="3"/>
      <c r="MRX112" s="3"/>
      <c r="MRY112" s="3"/>
      <c r="MRZ112" s="3"/>
      <c r="MSA112" s="3"/>
      <c r="MSB112" s="3"/>
      <c r="MSC112" s="3"/>
      <c r="MSD112" s="3"/>
      <c r="MSE112" s="3"/>
      <c r="MSF112" s="3"/>
      <c r="MSG112" s="3"/>
      <c r="MSH112" s="3"/>
      <c r="MSI112" s="3"/>
      <c r="MSJ112" s="3"/>
      <c r="MSK112" s="3"/>
      <c r="MSL112" s="3"/>
      <c r="MSM112" s="3"/>
      <c r="MSN112" s="3"/>
      <c r="MSO112" s="3"/>
      <c r="MSP112" s="3"/>
      <c r="MSQ112" s="3"/>
      <c r="MSR112" s="3"/>
      <c r="MSS112" s="3"/>
      <c r="MST112" s="3"/>
      <c r="MSU112" s="3"/>
      <c r="MSV112" s="3"/>
      <c r="MSW112" s="3"/>
      <c r="MSX112" s="3"/>
      <c r="MSY112" s="3"/>
      <c r="MSZ112" s="3"/>
      <c r="MTA112" s="3"/>
      <c r="MTB112" s="3"/>
      <c r="MTC112" s="3"/>
      <c r="MTD112" s="3"/>
      <c r="MTE112" s="3"/>
      <c r="MTF112" s="3"/>
      <c r="MTG112" s="3"/>
      <c r="MTH112" s="3"/>
      <c r="MTI112" s="3"/>
      <c r="MTJ112" s="3"/>
      <c r="MTK112" s="3"/>
      <c r="MTL112" s="3"/>
      <c r="MTM112" s="3"/>
      <c r="MTN112" s="3"/>
      <c r="MTO112" s="3"/>
      <c r="MTP112" s="3"/>
      <c r="MTQ112" s="3"/>
      <c r="MTR112" s="3"/>
      <c r="MTS112" s="3"/>
      <c r="MTT112" s="3"/>
      <c r="MTU112" s="3"/>
      <c r="MTV112" s="3"/>
      <c r="MTW112" s="3"/>
      <c r="MTX112" s="3"/>
      <c r="MTY112" s="3"/>
      <c r="MTZ112" s="3"/>
      <c r="MUA112" s="3"/>
      <c r="MUB112" s="3"/>
      <c r="MUC112" s="3"/>
      <c r="MUD112" s="3"/>
      <c r="MUE112" s="3"/>
      <c r="MUF112" s="3"/>
      <c r="MUG112" s="3"/>
      <c r="MUH112" s="3"/>
      <c r="MUI112" s="3"/>
      <c r="MUJ112" s="3"/>
      <c r="MUK112" s="3"/>
      <c r="MUL112" s="3"/>
      <c r="MUM112" s="3"/>
      <c r="MUN112" s="3"/>
      <c r="MUO112" s="3"/>
      <c r="MUP112" s="3"/>
      <c r="MUQ112" s="3"/>
      <c r="MUR112" s="3"/>
      <c r="MUS112" s="3"/>
      <c r="MUT112" s="3"/>
      <c r="MUU112" s="3"/>
      <c r="MUV112" s="3"/>
      <c r="MUW112" s="3"/>
      <c r="MUX112" s="3"/>
      <c r="MUY112" s="3"/>
      <c r="MUZ112" s="3"/>
      <c r="MVA112" s="3"/>
      <c r="MVB112" s="3"/>
      <c r="MVC112" s="3"/>
      <c r="MVD112" s="3"/>
      <c r="MVE112" s="3"/>
      <c r="MVF112" s="3"/>
      <c r="MVG112" s="3"/>
      <c r="MVH112" s="3"/>
      <c r="MVI112" s="3"/>
      <c r="MVJ112" s="3"/>
      <c r="MVK112" s="3"/>
      <c r="MVL112" s="3"/>
      <c r="MVM112" s="3"/>
      <c r="MVN112" s="3"/>
      <c r="MVO112" s="3"/>
      <c r="MVP112" s="3"/>
      <c r="MVQ112" s="3"/>
      <c r="MVR112" s="3"/>
      <c r="MVS112" s="3"/>
      <c r="MVT112" s="3"/>
      <c r="MVU112" s="3"/>
      <c r="MVV112" s="3"/>
      <c r="MVW112" s="3"/>
      <c r="MVX112" s="3"/>
      <c r="MVY112" s="3"/>
      <c r="MVZ112" s="3"/>
      <c r="MWA112" s="3"/>
      <c r="MWB112" s="3"/>
      <c r="MWC112" s="3"/>
      <c r="MWD112" s="3"/>
      <c r="MWE112" s="3"/>
      <c r="MWF112" s="3"/>
      <c r="MWG112" s="3"/>
      <c r="MWH112" s="3"/>
      <c r="MWI112" s="3"/>
      <c r="MWJ112" s="3"/>
      <c r="MWK112" s="3"/>
      <c r="MWL112" s="3"/>
      <c r="MWM112" s="3"/>
      <c r="MWN112" s="3"/>
      <c r="MWO112" s="3"/>
      <c r="MWP112" s="3"/>
      <c r="MWQ112" s="3"/>
      <c r="MWR112" s="3"/>
      <c r="MWS112" s="3"/>
      <c r="MWT112" s="3"/>
      <c r="MWU112" s="3"/>
      <c r="MWV112" s="3"/>
      <c r="MWW112" s="3"/>
      <c r="MWX112" s="3"/>
      <c r="MWY112" s="3"/>
      <c r="MWZ112" s="3"/>
      <c r="MXA112" s="3"/>
      <c r="MXB112" s="3"/>
      <c r="MXC112" s="3"/>
      <c r="MXD112" s="3"/>
      <c r="MXE112" s="3"/>
      <c r="MXF112" s="3"/>
      <c r="MXG112" s="3"/>
      <c r="MXH112" s="3"/>
      <c r="MXI112" s="3"/>
      <c r="MXJ112" s="3"/>
      <c r="MXK112" s="3"/>
      <c r="MXL112" s="3"/>
      <c r="MXM112" s="3"/>
      <c r="MXN112" s="3"/>
      <c r="MXO112" s="3"/>
      <c r="MXP112" s="3"/>
      <c r="MXQ112" s="3"/>
      <c r="MXR112" s="3"/>
      <c r="MXS112" s="3"/>
      <c r="MXT112" s="3"/>
      <c r="MXU112" s="3"/>
      <c r="MXV112" s="3"/>
      <c r="MXW112" s="3"/>
      <c r="MXX112" s="3"/>
      <c r="MXY112" s="3"/>
      <c r="MXZ112" s="3"/>
      <c r="MYA112" s="3"/>
      <c r="MYB112" s="3"/>
      <c r="MYC112" s="3"/>
      <c r="MYD112" s="3"/>
      <c r="MYE112" s="3"/>
      <c r="MYF112" s="3"/>
      <c r="MYG112" s="3"/>
      <c r="MYH112" s="3"/>
      <c r="MYI112" s="3"/>
      <c r="MYJ112" s="3"/>
      <c r="MYK112" s="3"/>
      <c r="MYL112" s="3"/>
      <c r="MYM112" s="3"/>
      <c r="MYN112" s="3"/>
      <c r="MYO112" s="3"/>
      <c r="MYP112" s="3"/>
      <c r="MYQ112" s="3"/>
      <c r="MYR112" s="3"/>
      <c r="MYS112" s="3"/>
      <c r="MYT112" s="3"/>
      <c r="MYU112" s="3"/>
      <c r="MYV112" s="3"/>
      <c r="MYW112" s="3"/>
      <c r="MYX112" s="3"/>
      <c r="MYY112" s="3"/>
      <c r="MYZ112" s="3"/>
      <c r="MZA112" s="3"/>
      <c r="MZB112" s="3"/>
      <c r="MZC112" s="3"/>
      <c r="MZD112" s="3"/>
      <c r="MZE112" s="3"/>
      <c r="MZF112" s="3"/>
      <c r="MZG112" s="3"/>
      <c r="MZH112" s="3"/>
      <c r="MZI112" s="3"/>
      <c r="MZJ112" s="3"/>
      <c r="MZK112" s="3"/>
      <c r="MZL112" s="3"/>
      <c r="MZM112" s="3"/>
      <c r="MZN112" s="3"/>
      <c r="MZO112" s="3"/>
      <c r="MZP112" s="3"/>
      <c r="MZQ112" s="3"/>
      <c r="MZR112" s="3"/>
      <c r="MZS112" s="3"/>
      <c r="MZT112" s="3"/>
      <c r="MZU112" s="3"/>
      <c r="MZV112" s="3"/>
      <c r="MZW112" s="3"/>
      <c r="MZX112" s="3"/>
      <c r="MZY112" s="3"/>
      <c r="MZZ112" s="3"/>
      <c r="NAA112" s="3"/>
      <c r="NAB112" s="3"/>
      <c r="NAC112" s="3"/>
      <c r="NAD112" s="3"/>
      <c r="NAE112" s="3"/>
      <c r="NAF112" s="3"/>
      <c r="NAG112" s="3"/>
      <c r="NAH112" s="3"/>
      <c r="NAI112" s="3"/>
      <c r="NAJ112" s="3"/>
      <c r="NAK112" s="3"/>
      <c r="NAL112" s="3"/>
      <c r="NAM112" s="3"/>
      <c r="NAN112" s="3"/>
      <c r="NAO112" s="3"/>
      <c r="NAP112" s="3"/>
      <c r="NAQ112" s="3"/>
      <c r="NAR112" s="3"/>
      <c r="NAS112" s="3"/>
      <c r="NAT112" s="3"/>
      <c r="NAU112" s="3"/>
      <c r="NAV112" s="3"/>
      <c r="NAW112" s="3"/>
      <c r="NAX112" s="3"/>
      <c r="NAY112" s="3"/>
      <c r="NAZ112" s="3"/>
      <c r="NBA112" s="3"/>
      <c r="NBB112" s="3"/>
      <c r="NBC112" s="3"/>
      <c r="NBD112" s="3"/>
      <c r="NBE112" s="3"/>
      <c r="NBF112" s="3"/>
      <c r="NBG112" s="3"/>
      <c r="NBH112" s="3"/>
      <c r="NBI112" s="3"/>
      <c r="NBJ112" s="3"/>
      <c r="NBK112" s="3"/>
      <c r="NBL112" s="3"/>
      <c r="NBM112" s="3"/>
      <c r="NBN112" s="3"/>
      <c r="NBO112" s="3"/>
      <c r="NBP112" s="3"/>
      <c r="NBQ112" s="3"/>
      <c r="NBR112" s="3"/>
      <c r="NBS112" s="3"/>
      <c r="NBT112" s="3"/>
      <c r="NBU112" s="3"/>
      <c r="NBV112" s="3"/>
      <c r="NBW112" s="3"/>
      <c r="NBX112" s="3"/>
      <c r="NBY112" s="3"/>
      <c r="NBZ112" s="3"/>
      <c r="NCA112" s="3"/>
      <c r="NCB112" s="3"/>
      <c r="NCC112" s="3"/>
      <c r="NCD112" s="3"/>
      <c r="NCE112" s="3"/>
      <c r="NCF112" s="3"/>
      <c r="NCG112" s="3"/>
      <c r="NCH112" s="3"/>
      <c r="NCI112" s="3"/>
      <c r="NCJ112" s="3"/>
      <c r="NCK112" s="3"/>
      <c r="NCL112" s="3"/>
      <c r="NCM112" s="3"/>
      <c r="NCN112" s="3"/>
      <c r="NCO112" s="3"/>
      <c r="NCP112" s="3"/>
      <c r="NCQ112" s="3"/>
      <c r="NCR112" s="3"/>
      <c r="NCS112" s="3"/>
      <c r="NCT112" s="3"/>
      <c r="NCU112" s="3"/>
      <c r="NCV112" s="3"/>
      <c r="NCW112" s="3"/>
      <c r="NCX112" s="3"/>
      <c r="NCY112" s="3"/>
      <c r="NCZ112" s="3"/>
      <c r="NDA112" s="3"/>
      <c r="NDB112" s="3"/>
      <c r="NDC112" s="3"/>
      <c r="NDD112" s="3"/>
      <c r="NDE112" s="3"/>
      <c r="NDF112" s="3"/>
      <c r="NDG112" s="3"/>
      <c r="NDH112" s="3"/>
      <c r="NDI112" s="3"/>
      <c r="NDJ112" s="3"/>
      <c r="NDK112" s="3"/>
      <c r="NDL112" s="3"/>
      <c r="NDM112" s="3"/>
      <c r="NDN112" s="3"/>
      <c r="NDO112" s="3"/>
      <c r="NDP112" s="3"/>
      <c r="NDQ112" s="3"/>
      <c r="NDR112" s="3"/>
      <c r="NDS112" s="3"/>
      <c r="NDT112" s="3"/>
      <c r="NDU112" s="3"/>
      <c r="NDV112" s="3"/>
      <c r="NDW112" s="3"/>
      <c r="NDX112" s="3"/>
      <c r="NDY112" s="3"/>
      <c r="NDZ112" s="3"/>
      <c r="NEA112" s="3"/>
      <c r="NEB112" s="3"/>
      <c r="NEC112" s="3"/>
      <c r="NED112" s="3"/>
      <c r="NEE112" s="3"/>
      <c r="NEF112" s="3"/>
      <c r="NEG112" s="3"/>
      <c r="NEH112" s="3"/>
      <c r="NEI112" s="3"/>
      <c r="NEJ112" s="3"/>
      <c r="NEK112" s="3"/>
      <c r="NEL112" s="3"/>
      <c r="NEM112" s="3"/>
      <c r="NEN112" s="3"/>
      <c r="NEO112" s="3"/>
      <c r="NEP112" s="3"/>
      <c r="NEQ112" s="3"/>
      <c r="NER112" s="3"/>
      <c r="NES112" s="3"/>
      <c r="NET112" s="3"/>
      <c r="NEU112" s="3"/>
      <c r="NEV112" s="3"/>
      <c r="NEW112" s="3"/>
      <c r="NEX112" s="3"/>
      <c r="NEY112" s="3"/>
      <c r="NEZ112" s="3"/>
      <c r="NFA112" s="3"/>
      <c r="NFB112" s="3"/>
      <c r="NFC112" s="3"/>
      <c r="NFD112" s="3"/>
      <c r="NFE112" s="3"/>
      <c r="NFF112" s="3"/>
      <c r="NFG112" s="3"/>
      <c r="NFH112" s="3"/>
      <c r="NFI112" s="3"/>
      <c r="NFJ112" s="3"/>
      <c r="NFK112" s="3"/>
      <c r="NFL112" s="3"/>
      <c r="NFM112" s="3"/>
      <c r="NFN112" s="3"/>
      <c r="NFO112" s="3"/>
      <c r="NFP112" s="3"/>
      <c r="NFQ112" s="3"/>
      <c r="NFR112" s="3"/>
      <c r="NFS112" s="3"/>
      <c r="NFT112" s="3"/>
      <c r="NFU112" s="3"/>
      <c r="NFV112" s="3"/>
      <c r="NFW112" s="3"/>
      <c r="NFX112" s="3"/>
      <c r="NFY112" s="3"/>
      <c r="NFZ112" s="3"/>
      <c r="NGA112" s="3"/>
      <c r="NGB112" s="3"/>
      <c r="NGC112" s="3"/>
      <c r="NGD112" s="3"/>
      <c r="NGE112" s="3"/>
      <c r="NGF112" s="3"/>
      <c r="NGG112" s="3"/>
      <c r="NGH112" s="3"/>
      <c r="NGI112" s="3"/>
      <c r="NGJ112" s="3"/>
      <c r="NGK112" s="3"/>
      <c r="NGL112" s="3"/>
      <c r="NGM112" s="3"/>
      <c r="NGN112" s="3"/>
      <c r="NGO112" s="3"/>
      <c r="NGP112" s="3"/>
      <c r="NGQ112" s="3"/>
      <c r="NGR112" s="3"/>
      <c r="NGS112" s="3"/>
      <c r="NGT112" s="3"/>
      <c r="NGU112" s="3"/>
      <c r="NGV112" s="3"/>
      <c r="NGW112" s="3"/>
      <c r="NGX112" s="3"/>
      <c r="NGY112" s="3"/>
      <c r="NGZ112" s="3"/>
      <c r="NHA112" s="3"/>
      <c r="NHB112" s="3"/>
      <c r="NHC112" s="3"/>
      <c r="NHD112" s="3"/>
      <c r="NHE112" s="3"/>
      <c r="NHF112" s="3"/>
      <c r="NHG112" s="3"/>
      <c r="NHH112" s="3"/>
      <c r="NHI112" s="3"/>
      <c r="NHJ112" s="3"/>
      <c r="NHK112" s="3"/>
      <c r="NHL112" s="3"/>
      <c r="NHM112" s="3"/>
      <c r="NHN112" s="3"/>
      <c r="NHO112" s="3"/>
      <c r="NHP112" s="3"/>
      <c r="NHQ112" s="3"/>
      <c r="NHR112" s="3"/>
      <c r="NHS112" s="3"/>
      <c r="NHT112" s="3"/>
      <c r="NHU112" s="3"/>
      <c r="NHV112" s="3"/>
      <c r="NHW112" s="3"/>
      <c r="NHX112" s="3"/>
      <c r="NHY112" s="3"/>
      <c r="NHZ112" s="3"/>
      <c r="NIA112" s="3"/>
      <c r="NIB112" s="3"/>
      <c r="NIC112" s="3"/>
      <c r="NID112" s="3"/>
      <c r="NIE112" s="3"/>
      <c r="NIF112" s="3"/>
      <c r="NIG112" s="3"/>
      <c r="NIH112" s="3"/>
      <c r="NII112" s="3"/>
      <c r="NIJ112" s="3"/>
      <c r="NIK112" s="3"/>
      <c r="NIL112" s="3"/>
      <c r="NIM112" s="3"/>
      <c r="NIN112" s="3"/>
      <c r="NIO112" s="3"/>
      <c r="NIP112" s="3"/>
      <c r="NIQ112" s="3"/>
      <c r="NIR112" s="3"/>
      <c r="NIS112" s="3"/>
      <c r="NIT112" s="3"/>
      <c r="NIU112" s="3"/>
      <c r="NIV112" s="3"/>
      <c r="NIW112" s="3"/>
      <c r="NIX112" s="3"/>
      <c r="NIY112" s="3"/>
      <c r="NIZ112" s="3"/>
      <c r="NJA112" s="3"/>
      <c r="NJB112" s="3"/>
      <c r="NJC112" s="3"/>
      <c r="NJD112" s="3"/>
      <c r="NJE112" s="3"/>
      <c r="NJF112" s="3"/>
      <c r="NJG112" s="3"/>
      <c r="NJH112" s="3"/>
      <c r="NJI112" s="3"/>
      <c r="NJJ112" s="3"/>
      <c r="NJK112" s="3"/>
      <c r="NJL112" s="3"/>
      <c r="NJM112" s="3"/>
      <c r="NJN112" s="3"/>
      <c r="NJO112" s="3"/>
      <c r="NJP112" s="3"/>
      <c r="NJQ112" s="3"/>
      <c r="NJR112" s="3"/>
      <c r="NJS112" s="3"/>
      <c r="NJT112" s="3"/>
      <c r="NJU112" s="3"/>
      <c r="NJV112" s="3"/>
      <c r="NJW112" s="3"/>
      <c r="NJX112" s="3"/>
      <c r="NJY112" s="3"/>
      <c r="NJZ112" s="3"/>
      <c r="NKA112" s="3"/>
      <c r="NKB112" s="3"/>
      <c r="NKC112" s="3"/>
      <c r="NKD112" s="3"/>
      <c r="NKE112" s="3"/>
      <c r="NKF112" s="3"/>
      <c r="NKG112" s="3"/>
      <c r="NKH112" s="3"/>
      <c r="NKI112" s="3"/>
      <c r="NKJ112" s="3"/>
      <c r="NKK112" s="3"/>
      <c r="NKL112" s="3"/>
      <c r="NKM112" s="3"/>
      <c r="NKN112" s="3"/>
      <c r="NKO112" s="3"/>
      <c r="NKP112" s="3"/>
      <c r="NKQ112" s="3"/>
      <c r="NKR112" s="3"/>
      <c r="NKS112" s="3"/>
      <c r="NKT112" s="3"/>
      <c r="NKU112" s="3"/>
      <c r="NKV112" s="3"/>
      <c r="NKW112" s="3"/>
      <c r="NKX112" s="3"/>
      <c r="NKY112" s="3"/>
      <c r="NKZ112" s="3"/>
      <c r="NLA112" s="3"/>
      <c r="NLB112" s="3"/>
      <c r="NLC112" s="3"/>
      <c r="NLD112" s="3"/>
      <c r="NLE112" s="3"/>
      <c r="NLF112" s="3"/>
      <c r="NLG112" s="3"/>
      <c r="NLH112" s="3"/>
      <c r="NLI112" s="3"/>
      <c r="NLJ112" s="3"/>
      <c r="NLK112" s="3"/>
      <c r="NLL112" s="3"/>
      <c r="NLM112" s="3"/>
      <c r="NLN112" s="3"/>
      <c r="NLO112" s="3"/>
      <c r="NLP112" s="3"/>
      <c r="NLQ112" s="3"/>
      <c r="NLR112" s="3"/>
      <c r="NLS112" s="3"/>
      <c r="NLT112" s="3"/>
      <c r="NLU112" s="3"/>
      <c r="NLV112" s="3"/>
      <c r="NLW112" s="3"/>
      <c r="NLX112" s="3"/>
      <c r="NLY112" s="3"/>
      <c r="NLZ112" s="3"/>
      <c r="NMA112" s="3"/>
      <c r="NMB112" s="3"/>
      <c r="NMC112" s="3"/>
      <c r="NMD112" s="3"/>
      <c r="NME112" s="3"/>
      <c r="NMF112" s="3"/>
      <c r="NMG112" s="3"/>
      <c r="NMH112" s="3"/>
      <c r="NMI112" s="3"/>
      <c r="NMJ112" s="3"/>
      <c r="NMK112" s="3"/>
      <c r="NML112" s="3"/>
      <c r="NMM112" s="3"/>
      <c r="NMN112" s="3"/>
      <c r="NMO112" s="3"/>
      <c r="NMP112" s="3"/>
      <c r="NMQ112" s="3"/>
      <c r="NMR112" s="3"/>
      <c r="NMS112" s="3"/>
      <c r="NMT112" s="3"/>
      <c r="NMU112" s="3"/>
      <c r="NMV112" s="3"/>
      <c r="NMW112" s="3"/>
      <c r="NMX112" s="3"/>
      <c r="NMY112" s="3"/>
      <c r="NMZ112" s="3"/>
      <c r="NNA112" s="3"/>
      <c r="NNB112" s="3"/>
      <c r="NNC112" s="3"/>
      <c r="NND112" s="3"/>
      <c r="NNE112" s="3"/>
      <c r="NNF112" s="3"/>
      <c r="NNG112" s="3"/>
      <c r="NNH112" s="3"/>
      <c r="NNI112" s="3"/>
      <c r="NNJ112" s="3"/>
      <c r="NNK112" s="3"/>
      <c r="NNL112" s="3"/>
      <c r="NNM112" s="3"/>
      <c r="NNN112" s="3"/>
      <c r="NNO112" s="3"/>
      <c r="NNP112" s="3"/>
      <c r="NNQ112" s="3"/>
      <c r="NNR112" s="3"/>
      <c r="NNS112" s="3"/>
      <c r="NNT112" s="3"/>
      <c r="NNU112" s="3"/>
      <c r="NNV112" s="3"/>
      <c r="NNW112" s="3"/>
      <c r="NNX112" s="3"/>
      <c r="NNY112" s="3"/>
      <c r="NNZ112" s="3"/>
      <c r="NOA112" s="3"/>
      <c r="NOB112" s="3"/>
      <c r="NOC112" s="3"/>
      <c r="NOD112" s="3"/>
      <c r="NOE112" s="3"/>
      <c r="NOF112" s="3"/>
      <c r="NOG112" s="3"/>
      <c r="NOH112" s="3"/>
      <c r="NOI112" s="3"/>
      <c r="NOJ112" s="3"/>
      <c r="NOK112" s="3"/>
      <c r="NOL112" s="3"/>
      <c r="NOM112" s="3"/>
      <c r="NON112" s="3"/>
      <c r="NOO112" s="3"/>
      <c r="NOP112" s="3"/>
      <c r="NOQ112" s="3"/>
      <c r="NOR112" s="3"/>
      <c r="NOS112" s="3"/>
      <c r="NOT112" s="3"/>
      <c r="NOU112" s="3"/>
      <c r="NOV112" s="3"/>
      <c r="NOW112" s="3"/>
      <c r="NOX112" s="3"/>
      <c r="NOY112" s="3"/>
      <c r="NOZ112" s="3"/>
      <c r="NPA112" s="3"/>
      <c r="NPB112" s="3"/>
      <c r="NPC112" s="3"/>
      <c r="NPD112" s="3"/>
      <c r="NPE112" s="3"/>
      <c r="NPF112" s="3"/>
      <c r="NPG112" s="3"/>
      <c r="NPH112" s="3"/>
      <c r="NPI112" s="3"/>
      <c r="NPJ112" s="3"/>
      <c r="NPK112" s="3"/>
      <c r="NPL112" s="3"/>
      <c r="NPM112" s="3"/>
      <c r="NPN112" s="3"/>
      <c r="NPO112" s="3"/>
      <c r="NPP112" s="3"/>
      <c r="NPQ112" s="3"/>
      <c r="NPR112" s="3"/>
      <c r="NPS112" s="3"/>
      <c r="NPT112" s="3"/>
      <c r="NPU112" s="3"/>
      <c r="NPV112" s="3"/>
      <c r="NPW112" s="3"/>
      <c r="NPX112" s="3"/>
      <c r="NPY112" s="3"/>
      <c r="NPZ112" s="3"/>
      <c r="NQA112" s="3"/>
      <c r="NQB112" s="3"/>
      <c r="NQC112" s="3"/>
      <c r="NQD112" s="3"/>
      <c r="NQE112" s="3"/>
      <c r="NQF112" s="3"/>
      <c r="NQG112" s="3"/>
      <c r="NQH112" s="3"/>
      <c r="NQI112" s="3"/>
      <c r="NQJ112" s="3"/>
      <c r="NQK112" s="3"/>
      <c r="NQL112" s="3"/>
      <c r="NQM112" s="3"/>
      <c r="NQN112" s="3"/>
      <c r="NQO112" s="3"/>
      <c r="NQP112" s="3"/>
      <c r="NQQ112" s="3"/>
      <c r="NQR112" s="3"/>
      <c r="NQS112" s="3"/>
      <c r="NQT112" s="3"/>
      <c r="NQU112" s="3"/>
      <c r="NQV112" s="3"/>
      <c r="NQW112" s="3"/>
      <c r="NQX112" s="3"/>
      <c r="NQY112" s="3"/>
      <c r="NQZ112" s="3"/>
      <c r="NRA112" s="3"/>
      <c r="NRB112" s="3"/>
      <c r="NRC112" s="3"/>
      <c r="NRD112" s="3"/>
      <c r="NRE112" s="3"/>
      <c r="NRF112" s="3"/>
      <c r="NRG112" s="3"/>
      <c r="NRH112" s="3"/>
      <c r="NRI112" s="3"/>
      <c r="NRJ112" s="3"/>
      <c r="NRK112" s="3"/>
      <c r="NRL112" s="3"/>
      <c r="NRM112" s="3"/>
      <c r="NRN112" s="3"/>
      <c r="NRO112" s="3"/>
      <c r="NRP112" s="3"/>
      <c r="NRQ112" s="3"/>
      <c r="NRR112" s="3"/>
      <c r="NRS112" s="3"/>
      <c r="NRT112" s="3"/>
      <c r="NRU112" s="3"/>
      <c r="NRV112" s="3"/>
      <c r="NRW112" s="3"/>
      <c r="NRX112" s="3"/>
      <c r="NRY112" s="3"/>
      <c r="NRZ112" s="3"/>
      <c r="NSA112" s="3"/>
      <c r="NSB112" s="3"/>
      <c r="NSC112" s="3"/>
      <c r="NSD112" s="3"/>
      <c r="NSE112" s="3"/>
      <c r="NSF112" s="3"/>
      <c r="NSG112" s="3"/>
      <c r="NSH112" s="3"/>
      <c r="NSI112" s="3"/>
      <c r="NSJ112" s="3"/>
      <c r="NSK112" s="3"/>
      <c r="NSL112" s="3"/>
      <c r="NSM112" s="3"/>
      <c r="NSN112" s="3"/>
      <c r="NSO112" s="3"/>
      <c r="NSP112" s="3"/>
      <c r="NSQ112" s="3"/>
      <c r="NSR112" s="3"/>
      <c r="NSS112" s="3"/>
      <c r="NST112" s="3"/>
      <c r="NSU112" s="3"/>
      <c r="NSV112" s="3"/>
      <c r="NSW112" s="3"/>
      <c r="NSX112" s="3"/>
      <c r="NSY112" s="3"/>
      <c r="NSZ112" s="3"/>
      <c r="NTA112" s="3"/>
      <c r="NTB112" s="3"/>
      <c r="NTC112" s="3"/>
      <c r="NTD112" s="3"/>
      <c r="NTE112" s="3"/>
      <c r="NTF112" s="3"/>
      <c r="NTG112" s="3"/>
      <c r="NTH112" s="3"/>
      <c r="NTI112" s="3"/>
      <c r="NTJ112" s="3"/>
      <c r="NTK112" s="3"/>
      <c r="NTL112" s="3"/>
      <c r="NTM112" s="3"/>
      <c r="NTN112" s="3"/>
      <c r="NTO112" s="3"/>
      <c r="NTP112" s="3"/>
      <c r="NTQ112" s="3"/>
      <c r="NTR112" s="3"/>
      <c r="NTS112" s="3"/>
      <c r="NTT112" s="3"/>
      <c r="NTU112" s="3"/>
      <c r="NTV112" s="3"/>
      <c r="NTW112" s="3"/>
      <c r="NTX112" s="3"/>
      <c r="NTY112" s="3"/>
      <c r="NTZ112" s="3"/>
      <c r="NUA112" s="3"/>
      <c r="NUB112" s="3"/>
      <c r="NUC112" s="3"/>
      <c r="NUD112" s="3"/>
      <c r="NUE112" s="3"/>
      <c r="NUF112" s="3"/>
      <c r="NUG112" s="3"/>
      <c r="NUH112" s="3"/>
      <c r="NUI112" s="3"/>
      <c r="NUJ112" s="3"/>
      <c r="NUK112" s="3"/>
      <c r="NUL112" s="3"/>
      <c r="NUM112" s="3"/>
      <c r="NUN112" s="3"/>
      <c r="NUO112" s="3"/>
      <c r="NUP112" s="3"/>
      <c r="NUQ112" s="3"/>
      <c r="NUR112" s="3"/>
      <c r="NUS112" s="3"/>
      <c r="NUT112" s="3"/>
      <c r="NUU112" s="3"/>
      <c r="NUV112" s="3"/>
      <c r="NUW112" s="3"/>
      <c r="NUX112" s="3"/>
      <c r="NUY112" s="3"/>
      <c r="NUZ112" s="3"/>
      <c r="NVA112" s="3"/>
      <c r="NVB112" s="3"/>
      <c r="NVC112" s="3"/>
      <c r="NVD112" s="3"/>
      <c r="NVE112" s="3"/>
      <c r="NVF112" s="3"/>
      <c r="NVG112" s="3"/>
      <c r="NVH112" s="3"/>
      <c r="NVI112" s="3"/>
      <c r="NVJ112" s="3"/>
      <c r="NVK112" s="3"/>
      <c r="NVL112" s="3"/>
      <c r="NVM112" s="3"/>
      <c r="NVN112" s="3"/>
      <c r="NVO112" s="3"/>
      <c r="NVP112" s="3"/>
      <c r="NVQ112" s="3"/>
      <c r="NVR112" s="3"/>
      <c r="NVS112" s="3"/>
      <c r="NVT112" s="3"/>
      <c r="NVU112" s="3"/>
      <c r="NVV112" s="3"/>
      <c r="NVW112" s="3"/>
      <c r="NVX112" s="3"/>
      <c r="NVY112" s="3"/>
      <c r="NVZ112" s="3"/>
      <c r="NWA112" s="3"/>
      <c r="NWB112" s="3"/>
      <c r="NWC112" s="3"/>
      <c r="NWD112" s="3"/>
      <c r="NWE112" s="3"/>
      <c r="NWF112" s="3"/>
      <c r="NWG112" s="3"/>
      <c r="NWH112" s="3"/>
      <c r="NWI112" s="3"/>
      <c r="NWJ112" s="3"/>
      <c r="NWK112" s="3"/>
      <c r="NWL112" s="3"/>
      <c r="NWM112" s="3"/>
      <c r="NWN112" s="3"/>
      <c r="NWO112" s="3"/>
      <c r="NWP112" s="3"/>
      <c r="NWQ112" s="3"/>
      <c r="NWR112" s="3"/>
      <c r="NWS112" s="3"/>
      <c r="NWT112" s="3"/>
      <c r="NWU112" s="3"/>
      <c r="NWV112" s="3"/>
      <c r="NWW112" s="3"/>
      <c r="NWX112" s="3"/>
      <c r="NWY112" s="3"/>
      <c r="NWZ112" s="3"/>
      <c r="NXA112" s="3"/>
      <c r="NXB112" s="3"/>
      <c r="NXC112" s="3"/>
      <c r="NXD112" s="3"/>
      <c r="NXE112" s="3"/>
      <c r="NXF112" s="3"/>
      <c r="NXG112" s="3"/>
      <c r="NXH112" s="3"/>
      <c r="NXI112" s="3"/>
      <c r="NXJ112" s="3"/>
      <c r="NXK112" s="3"/>
      <c r="NXL112" s="3"/>
      <c r="NXM112" s="3"/>
      <c r="NXN112" s="3"/>
      <c r="NXO112" s="3"/>
      <c r="NXP112" s="3"/>
      <c r="NXQ112" s="3"/>
      <c r="NXR112" s="3"/>
      <c r="NXS112" s="3"/>
      <c r="NXT112" s="3"/>
      <c r="NXU112" s="3"/>
      <c r="NXV112" s="3"/>
      <c r="NXW112" s="3"/>
      <c r="NXX112" s="3"/>
      <c r="NXY112" s="3"/>
      <c r="NXZ112" s="3"/>
      <c r="NYA112" s="3"/>
      <c r="NYB112" s="3"/>
      <c r="NYC112" s="3"/>
      <c r="NYD112" s="3"/>
      <c r="NYE112" s="3"/>
      <c r="NYF112" s="3"/>
      <c r="NYG112" s="3"/>
      <c r="NYH112" s="3"/>
      <c r="NYI112" s="3"/>
      <c r="NYJ112" s="3"/>
      <c r="NYK112" s="3"/>
      <c r="NYL112" s="3"/>
      <c r="NYM112" s="3"/>
      <c r="NYN112" s="3"/>
      <c r="NYO112" s="3"/>
      <c r="NYP112" s="3"/>
      <c r="NYQ112" s="3"/>
      <c r="NYR112" s="3"/>
      <c r="NYS112" s="3"/>
      <c r="NYT112" s="3"/>
      <c r="NYU112" s="3"/>
      <c r="NYV112" s="3"/>
      <c r="NYW112" s="3"/>
      <c r="NYX112" s="3"/>
      <c r="NYY112" s="3"/>
      <c r="NYZ112" s="3"/>
      <c r="NZA112" s="3"/>
      <c r="NZB112" s="3"/>
      <c r="NZC112" s="3"/>
      <c r="NZD112" s="3"/>
      <c r="NZE112" s="3"/>
      <c r="NZF112" s="3"/>
      <c r="NZG112" s="3"/>
      <c r="NZH112" s="3"/>
      <c r="NZI112" s="3"/>
      <c r="NZJ112" s="3"/>
      <c r="NZK112" s="3"/>
      <c r="NZL112" s="3"/>
      <c r="NZM112" s="3"/>
      <c r="NZN112" s="3"/>
      <c r="NZO112" s="3"/>
      <c r="NZP112" s="3"/>
      <c r="NZQ112" s="3"/>
      <c r="NZR112" s="3"/>
      <c r="NZS112" s="3"/>
      <c r="NZT112" s="3"/>
      <c r="NZU112" s="3"/>
      <c r="NZV112" s="3"/>
      <c r="NZW112" s="3"/>
      <c r="NZX112" s="3"/>
      <c r="NZY112" s="3"/>
      <c r="NZZ112" s="3"/>
      <c r="OAA112" s="3"/>
      <c r="OAB112" s="3"/>
      <c r="OAC112" s="3"/>
      <c r="OAD112" s="3"/>
      <c r="OAE112" s="3"/>
      <c r="OAF112" s="3"/>
      <c r="OAG112" s="3"/>
      <c r="OAH112" s="3"/>
      <c r="OAI112" s="3"/>
      <c r="OAJ112" s="3"/>
      <c r="OAK112" s="3"/>
      <c r="OAL112" s="3"/>
      <c r="OAM112" s="3"/>
      <c r="OAN112" s="3"/>
      <c r="OAO112" s="3"/>
      <c r="OAP112" s="3"/>
      <c r="OAQ112" s="3"/>
      <c r="OAR112" s="3"/>
      <c r="OAS112" s="3"/>
      <c r="OAT112" s="3"/>
      <c r="OAU112" s="3"/>
      <c r="OAV112" s="3"/>
      <c r="OAW112" s="3"/>
      <c r="OAX112" s="3"/>
      <c r="OAY112" s="3"/>
      <c r="OAZ112" s="3"/>
      <c r="OBA112" s="3"/>
      <c r="OBB112" s="3"/>
      <c r="OBC112" s="3"/>
      <c r="OBD112" s="3"/>
      <c r="OBE112" s="3"/>
      <c r="OBF112" s="3"/>
      <c r="OBG112" s="3"/>
      <c r="OBH112" s="3"/>
      <c r="OBI112" s="3"/>
      <c r="OBJ112" s="3"/>
      <c r="OBK112" s="3"/>
      <c r="OBL112" s="3"/>
      <c r="OBM112" s="3"/>
      <c r="OBN112" s="3"/>
      <c r="OBO112" s="3"/>
      <c r="OBP112" s="3"/>
      <c r="OBQ112" s="3"/>
      <c r="OBR112" s="3"/>
      <c r="OBS112" s="3"/>
      <c r="OBT112" s="3"/>
      <c r="OBU112" s="3"/>
      <c r="OBV112" s="3"/>
      <c r="OBW112" s="3"/>
      <c r="OBX112" s="3"/>
      <c r="OBY112" s="3"/>
      <c r="OBZ112" s="3"/>
      <c r="OCA112" s="3"/>
      <c r="OCB112" s="3"/>
      <c r="OCC112" s="3"/>
      <c r="OCD112" s="3"/>
      <c r="OCE112" s="3"/>
      <c r="OCF112" s="3"/>
      <c r="OCG112" s="3"/>
      <c r="OCH112" s="3"/>
      <c r="OCI112" s="3"/>
      <c r="OCJ112" s="3"/>
      <c r="OCK112" s="3"/>
      <c r="OCL112" s="3"/>
      <c r="OCM112" s="3"/>
      <c r="OCN112" s="3"/>
      <c r="OCO112" s="3"/>
      <c r="OCP112" s="3"/>
      <c r="OCQ112" s="3"/>
      <c r="OCR112" s="3"/>
      <c r="OCS112" s="3"/>
      <c r="OCT112" s="3"/>
      <c r="OCU112" s="3"/>
      <c r="OCV112" s="3"/>
      <c r="OCW112" s="3"/>
      <c r="OCX112" s="3"/>
      <c r="OCY112" s="3"/>
      <c r="OCZ112" s="3"/>
      <c r="ODA112" s="3"/>
      <c r="ODB112" s="3"/>
      <c r="ODC112" s="3"/>
      <c r="ODD112" s="3"/>
      <c r="ODE112" s="3"/>
      <c r="ODF112" s="3"/>
      <c r="ODG112" s="3"/>
      <c r="ODH112" s="3"/>
      <c r="ODI112" s="3"/>
      <c r="ODJ112" s="3"/>
      <c r="ODK112" s="3"/>
      <c r="ODL112" s="3"/>
      <c r="ODM112" s="3"/>
      <c r="ODN112" s="3"/>
      <c r="ODO112" s="3"/>
      <c r="ODP112" s="3"/>
      <c r="ODQ112" s="3"/>
      <c r="ODR112" s="3"/>
      <c r="ODS112" s="3"/>
      <c r="ODT112" s="3"/>
      <c r="ODU112" s="3"/>
      <c r="ODV112" s="3"/>
      <c r="ODW112" s="3"/>
      <c r="ODX112" s="3"/>
      <c r="ODY112" s="3"/>
      <c r="ODZ112" s="3"/>
      <c r="OEA112" s="3"/>
      <c r="OEB112" s="3"/>
      <c r="OEC112" s="3"/>
      <c r="OED112" s="3"/>
      <c r="OEE112" s="3"/>
      <c r="OEF112" s="3"/>
      <c r="OEG112" s="3"/>
      <c r="OEH112" s="3"/>
      <c r="OEI112" s="3"/>
      <c r="OEJ112" s="3"/>
      <c r="OEK112" s="3"/>
      <c r="OEL112" s="3"/>
      <c r="OEM112" s="3"/>
      <c r="OEN112" s="3"/>
      <c r="OEO112" s="3"/>
      <c r="OEP112" s="3"/>
      <c r="OEQ112" s="3"/>
      <c r="OER112" s="3"/>
      <c r="OES112" s="3"/>
      <c r="OET112" s="3"/>
      <c r="OEU112" s="3"/>
      <c r="OEV112" s="3"/>
      <c r="OEW112" s="3"/>
      <c r="OEX112" s="3"/>
      <c r="OEY112" s="3"/>
      <c r="OEZ112" s="3"/>
      <c r="OFA112" s="3"/>
      <c r="OFB112" s="3"/>
      <c r="OFC112" s="3"/>
      <c r="OFD112" s="3"/>
      <c r="OFE112" s="3"/>
      <c r="OFF112" s="3"/>
      <c r="OFG112" s="3"/>
      <c r="OFH112" s="3"/>
      <c r="OFI112" s="3"/>
      <c r="OFJ112" s="3"/>
      <c r="OFK112" s="3"/>
      <c r="OFL112" s="3"/>
      <c r="OFM112" s="3"/>
      <c r="OFN112" s="3"/>
      <c r="OFO112" s="3"/>
      <c r="OFP112" s="3"/>
      <c r="OFQ112" s="3"/>
      <c r="OFR112" s="3"/>
      <c r="OFS112" s="3"/>
      <c r="OFT112" s="3"/>
      <c r="OFU112" s="3"/>
      <c r="OFV112" s="3"/>
      <c r="OFW112" s="3"/>
      <c r="OFX112" s="3"/>
      <c r="OFY112" s="3"/>
      <c r="OFZ112" s="3"/>
      <c r="OGA112" s="3"/>
      <c r="OGB112" s="3"/>
      <c r="OGC112" s="3"/>
      <c r="OGD112" s="3"/>
      <c r="OGE112" s="3"/>
      <c r="OGF112" s="3"/>
      <c r="OGG112" s="3"/>
      <c r="OGH112" s="3"/>
      <c r="OGI112" s="3"/>
      <c r="OGJ112" s="3"/>
      <c r="OGK112" s="3"/>
      <c r="OGL112" s="3"/>
      <c r="OGM112" s="3"/>
      <c r="OGN112" s="3"/>
      <c r="OGO112" s="3"/>
      <c r="OGP112" s="3"/>
      <c r="OGQ112" s="3"/>
      <c r="OGR112" s="3"/>
      <c r="OGS112" s="3"/>
      <c r="OGT112" s="3"/>
      <c r="OGU112" s="3"/>
      <c r="OGV112" s="3"/>
      <c r="OGW112" s="3"/>
      <c r="OGX112" s="3"/>
      <c r="OGY112" s="3"/>
      <c r="OGZ112" s="3"/>
      <c r="OHA112" s="3"/>
      <c r="OHB112" s="3"/>
      <c r="OHC112" s="3"/>
      <c r="OHD112" s="3"/>
      <c r="OHE112" s="3"/>
      <c r="OHF112" s="3"/>
      <c r="OHG112" s="3"/>
      <c r="OHH112" s="3"/>
      <c r="OHI112" s="3"/>
      <c r="OHJ112" s="3"/>
      <c r="OHK112" s="3"/>
      <c r="OHL112" s="3"/>
      <c r="OHM112" s="3"/>
      <c r="OHN112" s="3"/>
      <c r="OHO112" s="3"/>
      <c r="OHP112" s="3"/>
      <c r="OHQ112" s="3"/>
      <c r="OHR112" s="3"/>
      <c r="OHS112" s="3"/>
      <c r="OHT112" s="3"/>
      <c r="OHU112" s="3"/>
      <c r="OHV112" s="3"/>
      <c r="OHW112" s="3"/>
      <c r="OHX112" s="3"/>
      <c r="OHY112" s="3"/>
      <c r="OHZ112" s="3"/>
      <c r="OIA112" s="3"/>
      <c r="OIB112" s="3"/>
      <c r="OIC112" s="3"/>
      <c r="OID112" s="3"/>
      <c r="OIE112" s="3"/>
      <c r="OIF112" s="3"/>
      <c r="OIG112" s="3"/>
      <c r="OIH112" s="3"/>
      <c r="OII112" s="3"/>
      <c r="OIJ112" s="3"/>
      <c r="OIK112" s="3"/>
      <c r="OIL112" s="3"/>
      <c r="OIM112" s="3"/>
      <c r="OIN112" s="3"/>
      <c r="OIO112" s="3"/>
      <c r="OIP112" s="3"/>
      <c r="OIQ112" s="3"/>
      <c r="OIR112" s="3"/>
      <c r="OIS112" s="3"/>
      <c r="OIT112" s="3"/>
      <c r="OIU112" s="3"/>
      <c r="OIV112" s="3"/>
      <c r="OIW112" s="3"/>
      <c r="OIX112" s="3"/>
      <c r="OIY112" s="3"/>
      <c r="OIZ112" s="3"/>
      <c r="OJA112" s="3"/>
      <c r="OJB112" s="3"/>
      <c r="OJC112" s="3"/>
      <c r="OJD112" s="3"/>
      <c r="OJE112" s="3"/>
      <c r="OJF112" s="3"/>
      <c r="OJG112" s="3"/>
      <c r="OJH112" s="3"/>
      <c r="OJI112" s="3"/>
      <c r="OJJ112" s="3"/>
      <c r="OJK112" s="3"/>
      <c r="OJL112" s="3"/>
      <c r="OJM112" s="3"/>
      <c r="OJN112" s="3"/>
      <c r="OJO112" s="3"/>
      <c r="OJP112" s="3"/>
      <c r="OJQ112" s="3"/>
      <c r="OJR112" s="3"/>
      <c r="OJS112" s="3"/>
      <c r="OJT112" s="3"/>
      <c r="OJU112" s="3"/>
      <c r="OJV112" s="3"/>
      <c r="OJW112" s="3"/>
      <c r="OJX112" s="3"/>
      <c r="OJY112" s="3"/>
      <c r="OJZ112" s="3"/>
      <c r="OKA112" s="3"/>
      <c r="OKB112" s="3"/>
      <c r="OKC112" s="3"/>
      <c r="OKD112" s="3"/>
      <c r="OKE112" s="3"/>
      <c r="OKF112" s="3"/>
      <c r="OKG112" s="3"/>
      <c r="OKH112" s="3"/>
      <c r="OKI112" s="3"/>
      <c r="OKJ112" s="3"/>
      <c r="OKK112" s="3"/>
      <c r="OKL112" s="3"/>
      <c r="OKM112" s="3"/>
      <c r="OKN112" s="3"/>
      <c r="OKO112" s="3"/>
      <c r="OKP112" s="3"/>
      <c r="OKQ112" s="3"/>
      <c r="OKR112" s="3"/>
      <c r="OKS112" s="3"/>
      <c r="OKT112" s="3"/>
      <c r="OKU112" s="3"/>
      <c r="OKV112" s="3"/>
      <c r="OKW112" s="3"/>
      <c r="OKX112" s="3"/>
      <c r="OKY112" s="3"/>
      <c r="OKZ112" s="3"/>
      <c r="OLA112" s="3"/>
      <c r="OLB112" s="3"/>
      <c r="OLC112" s="3"/>
      <c r="OLD112" s="3"/>
      <c r="OLE112" s="3"/>
      <c r="OLF112" s="3"/>
      <c r="OLG112" s="3"/>
      <c r="OLH112" s="3"/>
      <c r="OLI112" s="3"/>
      <c r="OLJ112" s="3"/>
      <c r="OLK112" s="3"/>
      <c r="OLL112" s="3"/>
      <c r="OLM112" s="3"/>
      <c r="OLN112" s="3"/>
      <c r="OLO112" s="3"/>
      <c r="OLP112" s="3"/>
      <c r="OLQ112" s="3"/>
      <c r="OLR112" s="3"/>
      <c r="OLS112" s="3"/>
      <c r="OLT112" s="3"/>
      <c r="OLU112" s="3"/>
      <c r="OLV112" s="3"/>
      <c r="OLW112" s="3"/>
      <c r="OLX112" s="3"/>
      <c r="OLY112" s="3"/>
      <c r="OLZ112" s="3"/>
      <c r="OMA112" s="3"/>
      <c r="OMB112" s="3"/>
      <c r="OMC112" s="3"/>
      <c r="OMD112" s="3"/>
      <c r="OME112" s="3"/>
      <c r="OMF112" s="3"/>
      <c r="OMG112" s="3"/>
      <c r="OMH112" s="3"/>
      <c r="OMI112" s="3"/>
      <c r="OMJ112" s="3"/>
      <c r="OMK112" s="3"/>
      <c r="OML112" s="3"/>
      <c r="OMM112" s="3"/>
      <c r="OMN112" s="3"/>
      <c r="OMO112" s="3"/>
      <c r="OMP112" s="3"/>
      <c r="OMQ112" s="3"/>
      <c r="OMR112" s="3"/>
      <c r="OMS112" s="3"/>
      <c r="OMT112" s="3"/>
      <c r="OMU112" s="3"/>
      <c r="OMV112" s="3"/>
      <c r="OMW112" s="3"/>
      <c r="OMX112" s="3"/>
      <c r="OMY112" s="3"/>
      <c r="OMZ112" s="3"/>
      <c r="ONA112" s="3"/>
      <c r="ONB112" s="3"/>
      <c r="ONC112" s="3"/>
      <c r="OND112" s="3"/>
      <c r="ONE112" s="3"/>
      <c r="ONF112" s="3"/>
      <c r="ONG112" s="3"/>
      <c r="ONH112" s="3"/>
      <c r="ONI112" s="3"/>
      <c r="ONJ112" s="3"/>
      <c r="ONK112" s="3"/>
      <c r="ONL112" s="3"/>
      <c r="ONM112" s="3"/>
      <c r="ONN112" s="3"/>
      <c r="ONO112" s="3"/>
      <c r="ONP112" s="3"/>
      <c r="ONQ112" s="3"/>
      <c r="ONR112" s="3"/>
      <c r="ONS112" s="3"/>
      <c r="ONT112" s="3"/>
      <c r="ONU112" s="3"/>
      <c r="ONV112" s="3"/>
      <c r="ONW112" s="3"/>
      <c r="ONX112" s="3"/>
      <c r="ONY112" s="3"/>
      <c r="ONZ112" s="3"/>
      <c r="OOA112" s="3"/>
      <c r="OOB112" s="3"/>
      <c r="OOC112" s="3"/>
      <c r="OOD112" s="3"/>
      <c r="OOE112" s="3"/>
      <c r="OOF112" s="3"/>
      <c r="OOG112" s="3"/>
      <c r="OOH112" s="3"/>
      <c r="OOI112" s="3"/>
      <c r="OOJ112" s="3"/>
      <c r="OOK112" s="3"/>
      <c r="OOL112" s="3"/>
      <c r="OOM112" s="3"/>
      <c r="OON112" s="3"/>
      <c r="OOO112" s="3"/>
      <c r="OOP112" s="3"/>
      <c r="OOQ112" s="3"/>
      <c r="OOR112" s="3"/>
      <c r="OOS112" s="3"/>
      <c r="OOT112" s="3"/>
      <c r="OOU112" s="3"/>
      <c r="OOV112" s="3"/>
      <c r="OOW112" s="3"/>
      <c r="OOX112" s="3"/>
      <c r="OOY112" s="3"/>
      <c r="OOZ112" s="3"/>
      <c r="OPA112" s="3"/>
      <c r="OPB112" s="3"/>
      <c r="OPC112" s="3"/>
      <c r="OPD112" s="3"/>
      <c r="OPE112" s="3"/>
      <c r="OPF112" s="3"/>
      <c r="OPG112" s="3"/>
      <c r="OPH112" s="3"/>
      <c r="OPI112" s="3"/>
      <c r="OPJ112" s="3"/>
      <c r="OPK112" s="3"/>
      <c r="OPL112" s="3"/>
      <c r="OPM112" s="3"/>
      <c r="OPN112" s="3"/>
      <c r="OPO112" s="3"/>
      <c r="OPP112" s="3"/>
      <c r="OPQ112" s="3"/>
      <c r="OPR112" s="3"/>
      <c r="OPS112" s="3"/>
      <c r="OPT112" s="3"/>
      <c r="OPU112" s="3"/>
      <c r="OPV112" s="3"/>
      <c r="OPW112" s="3"/>
      <c r="OPX112" s="3"/>
      <c r="OPY112" s="3"/>
      <c r="OPZ112" s="3"/>
      <c r="OQA112" s="3"/>
      <c r="OQB112" s="3"/>
      <c r="OQC112" s="3"/>
      <c r="OQD112" s="3"/>
      <c r="OQE112" s="3"/>
      <c r="OQF112" s="3"/>
      <c r="OQG112" s="3"/>
      <c r="OQH112" s="3"/>
      <c r="OQI112" s="3"/>
      <c r="OQJ112" s="3"/>
      <c r="OQK112" s="3"/>
      <c r="OQL112" s="3"/>
      <c r="OQM112" s="3"/>
      <c r="OQN112" s="3"/>
      <c r="OQO112" s="3"/>
      <c r="OQP112" s="3"/>
      <c r="OQQ112" s="3"/>
      <c r="OQR112" s="3"/>
      <c r="OQS112" s="3"/>
      <c r="OQT112" s="3"/>
      <c r="OQU112" s="3"/>
      <c r="OQV112" s="3"/>
      <c r="OQW112" s="3"/>
      <c r="OQX112" s="3"/>
      <c r="OQY112" s="3"/>
      <c r="OQZ112" s="3"/>
      <c r="ORA112" s="3"/>
      <c r="ORB112" s="3"/>
      <c r="ORC112" s="3"/>
      <c r="ORD112" s="3"/>
      <c r="ORE112" s="3"/>
      <c r="ORF112" s="3"/>
      <c r="ORG112" s="3"/>
      <c r="ORH112" s="3"/>
      <c r="ORI112" s="3"/>
      <c r="ORJ112" s="3"/>
      <c r="ORK112" s="3"/>
      <c r="ORL112" s="3"/>
      <c r="ORM112" s="3"/>
      <c r="ORN112" s="3"/>
      <c r="ORO112" s="3"/>
      <c r="ORP112" s="3"/>
      <c r="ORQ112" s="3"/>
      <c r="ORR112" s="3"/>
      <c r="ORS112" s="3"/>
      <c r="ORT112" s="3"/>
      <c r="ORU112" s="3"/>
      <c r="ORV112" s="3"/>
      <c r="ORW112" s="3"/>
      <c r="ORX112" s="3"/>
      <c r="ORY112" s="3"/>
      <c r="ORZ112" s="3"/>
      <c r="OSA112" s="3"/>
      <c r="OSB112" s="3"/>
      <c r="OSC112" s="3"/>
      <c r="OSD112" s="3"/>
      <c r="OSE112" s="3"/>
      <c r="OSF112" s="3"/>
      <c r="OSG112" s="3"/>
      <c r="OSH112" s="3"/>
      <c r="OSI112" s="3"/>
      <c r="OSJ112" s="3"/>
      <c r="OSK112" s="3"/>
      <c r="OSL112" s="3"/>
      <c r="OSM112" s="3"/>
      <c r="OSN112" s="3"/>
      <c r="OSO112" s="3"/>
      <c r="OSP112" s="3"/>
      <c r="OSQ112" s="3"/>
      <c r="OSR112" s="3"/>
      <c r="OSS112" s="3"/>
      <c r="OST112" s="3"/>
      <c r="OSU112" s="3"/>
      <c r="OSV112" s="3"/>
      <c r="OSW112" s="3"/>
      <c r="OSX112" s="3"/>
      <c r="OSY112" s="3"/>
      <c r="OSZ112" s="3"/>
      <c r="OTA112" s="3"/>
      <c r="OTB112" s="3"/>
      <c r="OTC112" s="3"/>
      <c r="OTD112" s="3"/>
      <c r="OTE112" s="3"/>
      <c r="OTF112" s="3"/>
      <c r="OTG112" s="3"/>
      <c r="OTH112" s="3"/>
      <c r="OTI112" s="3"/>
      <c r="OTJ112" s="3"/>
      <c r="OTK112" s="3"/>
      <c r="OTL112" s="3"/>
      <c r="OTM112" s="3"/>
      <c r="OTN112" s="3"/>
      <c r="OTO112" s="3"/>
      <c r="OTP112" s="3"/>
      <c r="OTQ112" s="3"/>
      <c r="OTR112" s="3"/>
      <c r="OTS112" s="3"/>
      <c r="OTT112" s="3"/>
      <c r="OTU112" s="3"/>
      <c r="OTV112" s="3"/>
      <c r="OTW112" s="3"/>
      <c r="OTX112" s="3"/>
      <c r="OTY112" s="3"/>
      <c r="OTZ112" s="3"/>
      <c r="OUA112" s="3"/>
      <c r="OUB112" s="3"/>
      <c r="OUC112" s="3"/>
      <c r="OUD112" s="3"/>
      <c r="OUE112" s="3"/>
      <c r="OUF112" s="3"/>
      <c r="OUG112" s="3"/>
      <c r="OUH112" s="3"/>
      <c r="OUI112" s="3"/>
      <c r="OUJ112" s="3"/>
      <c r="OUK112" s="3"/>
      <c r="OUL112" s="3"/>
      <c r="OUM112" s="3"/>
      <c r="OUN112" s="3"/>
      <c r="OUO112" s="3"/>
      <c r="OUP112" s="3"/>
      <c r="OUQ112" s="3"/>
      <c r="OUR112" s="3"/>
      <c r="OUS112" s="3"/>
      <c r="OUT112" s="3"/>
      <c r="OUU112" s="3"/>
      <c r="OUV112" s="3"/>
      <c r="OUW112" s="3"/>
      <c r="OUX112" s="3"/>
      <c r="OUY112" s="3"/>
      <c r="OUZ112" s="3"/>
      <c r="OVA112" s="3"/>
      <c r="OVB112" s="3"/>
      <c r="OVC112" s="3"/>
      <c r="OVD112" s="3"/>
      <c r="OVE112" s="3"/>
      <c r="OVF112" s="3"/>
      <c r="OVG112" s="3"/>
      <c r="OVH112" s="3"/>
      <c r="OVI112" s="3"/>
      <c r="OVJ112" s="3"/>
      <c r="OVK112" s="3"/>
      <c r="OVL112" s="3"/>
      <c r="OVM112" s="3"/>
      <c r="OVN112" s="3"/>
      <c r="OVO112" s="3"/>
      <c r="OVP112" s="3"/>
      <c r="OVQ112" s="3"/>
      <c r="OVR112" s="3"/>
      <c r="OVS112" s="3"/>
      <c r="OVT112" s="3"/>
      <c r="OVU112" s="3"/>
      <c r="OVV112" s="3"/>
      <c r="OVW112" s="3"/>
      <c r="OVX112" s="3"/>
      <c r="OVY112" s="3"/>
      <c r="OVZ112" s="3"/>
      <c r="OWA112" s="3"/>
      <c r="OWB112" s="3"/>
      <c r="OWC112" s="3"/>
      <c r="OWD112" s="3"/>
      <c r="OWE112" s="3"/>
      <c r="OWF112" s="3"/>
      <c r="OWG112" s="3"/>
      <c r="OWH112" s="3"/>
      <c r="OWI112" s="3"/>
      <c r="OWJ112" s="3"/>
      <c r="OWK112" s="3"/>
      <c r="OWL112" s="3"/>
      <c r="OWM112" s="3"/>
      <c r="OWN112" s="3"/>
      <c r="OWO112" s="3"/>
      <c r="OWP112" s="3"/>
      <c r="OWQ112" s="3"/>
      <c r="OWR112" s="3"/>
      <c r="OWS112" s="3"/>
      <c r="OWT112" s="3"/>
      <c r="OWU112" s="3"/>
      <c r="OWV112" s="3"/>
      <c r="OWW112" s="3"/>
      <c r="OWX112" s="3"/>
      <c r="OWY112" s="3"/>
      <c r="OWZ112" s="3"/>
      <c r="OXA112" s="3"/>
      <c r="OXB112" s="3"/>
      <c r="OXC112" s="3"/>
      <c r="OXD112" s="3"/>
      <c r="OXE112" s="3"/>
      <c r="OXF112" s="3"/>
      <c r="OXG112" s="3"/>
      <c r="OXH112" s="3"/>
      <c r="OXI112" s="3"/>
      <c r="OXJ112" s="3"/>
      <c r="OXK112" s="3"/>
      <c r="OXL112" s="3"/>
      <c r="OXM112" s="3"/>
      <c r="OXN112" s="3"/>
      <c r="OXO112" s="3"/>
      <c r="OXP112" s="3"/>
      <c r="OXQ112" s="3"/>
      <c r="OXR112" s="3"/>
      <c r="OXS112" s="3"/>
      <c r="OXT112" s="3"/>
      <c r="OXU112" s="3"/>
      <c r="OXV112" s="3"/>
      <c r="OXW112" s="3"/>
      <c r="OXX112" s="3"/>
      <c r="OXY112" s="3"/>
      <c r="OXZ112" s="3"/>
      <c r="OYA112" s="3"/>
      <c r="OYB112" s="3"/>
      <c r="OYC112" s="3"/>
      <c r="OYD112" s="3"/>
      <c r="OYE112" s="3"/>
      <c r="OYF112" s="3"/>
      <c r="OYG112" s="3"/>
      <c r="OYH112" s="3"/>
      <c r="OYI112" s="3"/>
      <c r="OYJ112" s="3"/>
      <c r="OYK112" s="3"/>
      <c r="OYL112" s="3"/>
      <c r="OYM112" s="3"/>
      <c r="OYN112" s="3"/>
      <c r="OYO112" s="3"/>
      <c r="OYP112" s="3"/>
      <c r="OYQ112" s="3"/>
      <c r="OYR112" s="3"/>
      <c r="OYS112" s="3"/>
      <c r="OYT112" s="3"/>
      <c r="OYU112" s="3"/>
      <c r="OYV112" s="3"/>
      <c r="OYW112" s="3"/>
      <c r="OYX112" s="3"/>
      <c r="OYY112" s="3"/>
      <c r="OYZ112" s="3"/>
      <c r="OZA112" s="3"/>
      <c r="OZB112" s="3"/>
      <c r="OZC112" s="3"/>
      <c r="OZD112" s="3"/>
      <c r="OZE112" s="3"/>
      <c r="OZF112" s="3"/>
      <c r="OZG112" s="3"/>
      <c r="OZH112" s="3"/>
      <c r="OZI112" s="3"/>
      <c r="OZJ112" s="3"/>
      <c r="OZK112" s="3"/>
      <c r="OZL112" s="3"/>
      <c r="OZM112" s="3"/>
      <c r="OZN112" s="3"/>
      <c r="OZO112" s="3"/>
      <c r="OZP112" s="3"/>
      <c r="OZQ112" s="3"/>
      <c r="OZR112" s="3"/>
      <c r="OZS112" s="3"/>
      <c r="OZT112" s="3"/>
      <c r="OZU112" s="3"/>
      <c r="OZV112" s="3"/>
      <c r="OZW112" s="3"/>
      <c r="OZX112" s="3"/>
      <c r="OZY112" s="3"/>
      <c r="OZZ112" s="3"/>
      <c r="PAA112" s="3"/>
      <c r="PAB112" s="3"/>
      <c r="PAC112" s="3"/>
      <c r="PAD112" s="3"/>
      <c r="PAE112" s="3"/>
      <c r="PAF112" s="3"/>
      <c r="PAG112" s="3"/>
      <c r="PAH112" s="3"/>
      <c r="PAI112" s="3"/>
      <c r="PAJ112" s="3"/>
      <c r="PAK112" s="3"/>
      <c r="PAL112" s="3"/>
      <c r="PAM112" s="3"/>
      <c r="PAN112" s="3"/>
      <c r="PAO112" s="3"/>
      <c r="PAP112" s="3"/>
      <c r="PAQ112" s="3"/>
      <c r="PAR112" s="3"/>
      <c r="PAS112" s="3"/>
      <c r="PAT112" s="3"/>
      <c r="PAU112" s="3"/>
      <c r="PAV112" s="3"/>
      <c r="PAW112" s="3"/>
      <c r="PAX112" s="3"/>
      <c r="PAY112" s="3"/>
      <c r="PAZ112" s="3"/>
      <c r="PBA112" s="3"/>
      <c r="PBB112" s="3"/>
      <c r="PBC112" s="3"/>
      <c r="PBD112" s="3"/>
      <c r="PBE112" s="3"/>
      <c r="PBF112" s="3"/>
      <c r="PBG112" s="3"/>
      <c r="PBH112" s="3"/>
      <c r="PBI112" s="3"/>
      <c r="PBJ112" s="3"/>
      <c r="PBK112" s="3"/>
      <c r="PBL112" s="3"/>
      <c r="PBM112" s="3"/>
      <c r="PBN112" s="3"/>
      <c r="PBO112" s="3"/>
      <c r="PBP112" s="3"/>
      <c r="PBQ112" s="3"/>
      <c r="PBR112" s="3"/>
      <c r="PBS112" s="3"/>
      <c r="PBT112" s="3"/>
      <c r="PBU112" s="3"/>
      <c r="PBV112" s="3"/>
      <c r="PBW112" s="3"/>
      <c r="PBX112" s="3"/>
      <c r="PBY112" s="3"/>
      <c r="PBZ112" s="3"/>
      <c r="PCA112" s="3"/>
      <c r="PCB112" s="3"/>
      <c r="PCC112" s="3"/>
      <c r="PCD112" s="3"/>
      <c r="PCE112" s="3"/>
      <c r="PCF112" s="3"/>
      <c r="PCG112" s="3"/>
      <c r="PCH112" s="3"/>
      <c r="PCI112" s="3"/>
      <c r="PCJ112" s="3"/>
      <c r="PCK112" s="3"/>
      <c r="PCL112" s="3"/>
      <c r="PCM112" s="3"/>
      <c r="PCN112" s="3"/>
      <c r="PCO112" s="3"/>
      <c r="PCP112" s="3"/>
      <c r="PCQ112" s="3"/>
      <c r="PCR112" s="3"/>
      <c r="PCS112" s="3"/>
      <c r="PCT112" s="3"/>
      <c r="PCU112" s="3"/>
      <c r="PCV112" s="3"/>
      <c r="PCW112" s="3"/>
      <c r="PCX112" s="3"/>
      <c r="PCY112" s="3"/>
      <c r="PCZ112" s="3"/>
      <c r="PDA112" s="3"/>
      <c r="PDB112" s="3"/>
      <c r="PDC112" s="3"/>
      <c r="PDD112" s="3"/>
      <c r="PDE112" s="3"/>
      <c r="PDF112" s="3"/>
      <c r="PDG112" s="3"/>
      <c r="PDH112" s="3"/>
      <c r="PDI112" s="3"/>
      <c r="PDJ112" s="3"/>
      <c r="PDK112" s="3"/>
      <c r="PDL112" s="3"/>
      <c r="PDM112" s="3"/>
      <c r="PDN112" s="3"/>
      <c r="PDO112" s="3"/>
      <c r="PDP112" s="3"/>
      <c r="PDQ112" s="3"/>
      <c r="PDR112" s="3"/>
      <c r="PDS112" s="3"/>
      <c r="PDT112" s="3"/>
      <c r="PDU112" s="3"/>
      <c r="PDV112" s="3"/>
      <c r="PDW112" s="3"/>
      <c r="PDX112" s="3"/>
      <c r="PDY112" s="3"/>
      <c r="PDZ112" s="3"/>
      <c r="PEA112" s="3"/>
      <c r="PEB112" s="3"/>
      <c r="PEC112" s="3"/>
      <c r="PED112" s="3"/>
      <c r="PEE112" s="3"/>
      <c r="PEF112" s="3"/>
      <c r="PEG112" s="3"/>
      <c r="PEH112" s="3"/>
      <c r="PEI112" s="3"/>
      <c r="PEJ112" s="3"/>
      <c r="PEK112" s="3"/>
      <c r="PEL112" s="3"/>
      <c r="PEM112" s="3"/>
      <c r="PEN112" s="3"/>
      <c r="PEO112" s="3"/>
      <c r="PEP112" s="3"/>
      <c r="PEQ112" s="3"/>
      <c r="PER112" s="3"/>
      <c r="PES112" s="3"/>
      <c r="PET112" s="3"/>
      <c r="PEU112" s="3"/>
      <c r="PEV112" s="3"/>
      <c r="PEW112" s="3"/>
      <c r="PEX112" s="3"/>
      <c r="PEY112" s="3"/>
      <c r="PEZ112" s="3"/>
      <c r="PFA112" s="3"/>
      <c r="PFB112" s="3"/>
      <c r="PFC112" s="3"/>
      <c r="PFD112" s="3"/>
      <c r="PFE112" s="3"/>
      <c r="PFF112" s="3"/>
      <c r="PFG112" s="3"/>
      <c r="PFH112" s="3"/>
      <c r="PFI112" s="3"/>
      <c r="PFJ112" s="3"/>
      <c r="PFK112" s="3"/>
      <c r="PFL112" s="3"/>
      <c r="PFM112" s="3"/>
      <c r="PFN112" s="3"/>
      <c r="PFO112" s="3"/>
      <c r="PFP112" s="3"/>
      <c r="PFQ112" s="3"/>
      <c r="PFR112" s="3"/>
      <c r="PFS112" s="3"/>
      <c r="PFT112" s="3"/>
      <c r="PFU112" s="3"/>
      <c r="PFV112" s="3"/>
      <c r="PFW112" s="3"/>
      <c r="PFX112" s="3"/>
      <c r="PFY112" s="3"/>
      <c r="PFZ112" s="3"/>
      <c r="PGA112" s="3"/>
      <c r="PGB112" s="3"/>
      <c r="PGC112" s="3"/>
      <c r="PGD112" s="3"/>
      <c r="PGE112" s="3"/>
      <c r="PGF112" s="3"/>
      <c r="PGG112" s="3"/>
      <c r="PGH112" s="3"/>
      <c r="PGI112" s="3"/>
      <c r="PGJ112" s="3"/>
      <c r="PGK112" s="3"/>
      <c r="PGL112" s="3"/>
      <c r="PGM112" s="3"/>
      <c r="PGN112" s="3"/>
      <c r="PGO112" s="3"/>
      <c r="PGP112" s="3"/>
      <c r="PGQ112" s="3"/>
      <c r="PGR112" s="3"/>
      <c r="PGS112" s="3"/>
      <c r="PGT112" s="3"/>
      <c r="PGU112" s="3"/>
      <c r="PGV112" s="3"/>
      <c r="PGW112" s="3"/>
      <c r="PGX112" s="3"/>
      <c r="PGY112" s="3"/>
      <c r="PGZ112" s="3"/>
      <c r="PHA112" s="3"/>
      <c r="PHB112" s="3"/>
      <c r="PHC112" s="3"/>
      <c r="PHD112" s="3"/>
      <c r="PHE112" s="3"/>
      <c r="PHF112" s="3"/>
      <c r="PHG112" s="3"/>
      <c r="PHH112" s="3"/>
      <c r="PHI112" s="3"/>
      <c r="PHJ112" s="3"/>
      <c r="PHK112" s="3"/>
      <c r="PHL112" s="3"/>
      <c r="PHM112" s="3"/>
      <c r="PHN112" s="3"/>
      <c r="PHO112" s="3"/>
      <c r="PHP112" s="3"/>
      <c r="PHQ112" s="3"/>
      <c r="PHR112" s="3"/>
      <c r="PHS112" s="3"/>
      <c r="PHT112" s="3"/>
      <c r="PHU112" s="3"/>
      <c r="PHV112" s="3"/>
      <c r="PHW112" s="3"/>
      <c r="PHX112" s="3"/>
      <c r="PHY112" s="3"/>
      <c r="PHZ112" s="3"/>
      <c r="PIA112" s="3"/>
      <c r="PIB112" s="3"/>
      <c r="PIC112" s="3"/>
      <c r="PID112" s="3"/>
      <c r="PIE112" s="3"/>
      <c r="PIF112" s="3"/>
      <c r="PIG112" s="3"/>
      <c r="PIH112" s="3"/>
      <c r="PII112" s="3"/>
      <c r="PIJ112" s="3"/>
      <c r="PIK112" s="3"/>
      <c r="PIL112" s="3"/>
      <c r="PIM112" s="3"/>
      <c r="PIN112" s="3"/>
      <c r="PIO112" s="3"/>
      <c r="PIP112" s="3"/>
      <c r="PIQ112" s="3"/>
      <c r="PIR112" s="3"/>
      <c r="PIS112" s="3"/>
      <c r="PIT112" s="3"/>
      <c r="PIU112" s="3"/>
      <c r="PIV112" s="3"/>
      <c r="PIW112" s="3"/>
      <c r="PIX112" s="3"/>
      <c r="PIY112" s="3"/>
      <c r="PIZ112" s="3"/>
      <c r="PJA112" s="3"/>
      <c r="PJB112" s="3"/>
      <c r="PJC112" s="3"/>
      <c r="PJD112" s="3"/>
      <c r="PJE112" s="3"/>
      <c r="PJF112" s="3"/>
      <c r="PJG112" s="3"/>
      <c r="PJH112" s="3"/>
      <c r="PJI112" s="3"/>
      <c r="PJJ112" s="3"/>
      <c r="PJK112" s="3"/>
      <c r="PJL112" s="3"/>
      <c r="PJM112" s="3"/>
      <c r="PJN112" s="3"/>
      <c r="PJO112" s="3"/>
      <c r="PJP112" s="3"/>
      <c r="PJQ112" s="3"/>
      <c r="PJR112" s="3"/>
      <c r="PJS112" s="3"/>
      <c r="PJT112" s="3"/>
      <c r="PJU112" s="3"/>
      <c r="PJV112" s="3"/>
      <c r="PJW112" s="3"/>
      <c r="PJX112" s="3"/>
      <c r="PJY112" s="3"/>
      <c r="PJZ112" s="3"/>
      <c r="PKA112" s="3"/>
      <c r="PKB112" s="3"/>
      <c r="PKC112" s="3"/>
      <c r="PKD112" s="3"/>
      <c r="PKE112" s="3"/>
      <c r="PKF112" s="3"/>
      <c r="PKG112" s="3"/>
      <c r="PKH112" s="3"/>
      <c r="PKI112" s="3"/>
      <c r="PKJ112" s="3"/>
      <c r="PKK112" s="3"/>
      <c r="PKL112" s="3"/>
      <c r="PKM112" s="3"/>
      <c r="PKN112" s="3"/>
      <c r="PKO112" s="3"/>
      <c r="PKP112" s="3"/>
      <c r="PKQ112" s="3"/>
      <c r="PKR112" s="3"/>
      <c r="PKS112" s="3"/>
      <c r="PKT112" s="3"/>
      <c r="PKU112" s="3"/>
      <c r="PKV112" s="3"/>
      <c r="PKW112" s="3"/>
      <c r="PKX112" s="3"/>
      <c r="PKY112" s="3"/>
      <c r="PKZ112" s="3"/>
      <c r="PLA112" s="3"/>
      <c r="PLB112" s="3"/>
      <c r="PLC112" s="3"/>
      <c r="PLD112" s="3"/>
      <c r="PLE112" s="3"/>
      <c r="PLF112" s="3"/>
      <c r="PLG112" s="3"/>
      <c r="PLH112" s="3"/>
      <c r="PLI112" s="3"/>
      <c r="PLJ112" s="3"/>
      <c r="PLK112" s="3"/>
      <c r="PLL112" s="3"/>
      <c r="PLM112" s="3"/>
      <c r="PLN112" s="3"/>
      <c r="PLO112" s="3"/>
      <c r="PLP112" s="3"/>
      <c r="PLQ112" s="3"/>
      <c r="PLR112" s="3"/>
      <c r="PLS112" s="3"/>
      <c r="PLT112" s="3"/>
      <c r="PLU112" s="3"/>
      <c r="PLV112" s="3"/>
      <c r="PLW112" s="3"/>
      <c r="PLX112" s="3"/>
      <c r="PLY112" s="3"/>
      <c r="PLZ112" s="3"/>
      <c r="PMA112" s="3"/>
      <c r="PMB112" s="3"/>
      <c r="PMC112" s="3"/>
      <c r="PMD112" s="3"/>
      <c r="PME112" s="3"/>
      <c r="PMF112" s="3"/>
      <c r="PMG112" s="3"/>
      <c r="PMH112" s="3"/>
      <c r="PMI112" s="3"/>
      <c r="PMJ112" s="3"/>
      <c r="PMK112" s="3"/>
      <c r="PML112" s="3"/>
      <c r="PMM112" s="3"/>
      <c r="PMN112" s="3"/>
      <c r="PMO112" s="3"/>
      <c r="PMP112" s="3"/>
      <c r="PMQ112" s="3"/>
      <c r="PMR112" s="3"/>
      <c r="PMS112" s="3"/>
      <c r="PMT112" s="3"/>
      <c r="PMU112" s="3"/>
      <c r="PMV112" s="3"/>
      <c r="PMW112" s="3"/>
      <c r="PMX112" s="3"/>
      <c r="PMY112" s="3"/>
      <c r="PMZ112" s="3"/>
      <c r="PNA112" s="3"/>
      <c r="PNB112" s="3"/>
      <c r="PNC112" s="3"/>
      <c r="PND112" s="3"/>
      <c r="PNE112" s="3"/>
      <c r="PNF112" s="3"/>
      <c r="PNG112" s="3"/>
      <c r="PNH112" s="3"/>
      <c r="PNI112" s="3"/>
      <c r="PNJ112" s="3"/>
      <c r="PNK112" s="3"/>
      <c r="PNL112" s="3"/>
      <c r="PNM112" s="3"/>
      <c r="PNN112" s="3"/>
      <c r="PNO112" s="3"/>
      <c r="PNP112" s="3"/>
      <c r="PNQ112" s="3"/>
      <c r="PNR112" s="3"/>
      <c r="PNS112" s="3"/>
      <c r="PNT112" s="3"/>
      <c r="PNU112" s="3"/>
      <c r="PNV112" s="3"/>
      <c r="PNW112" s="3"/>
      <c r="PNX112" s="3"/>
      <c r="PNY112" s="3"/>
      <c r="PNZ112" s="3"/>
      <c r="POA112" s="3"/>
      <c r="POB112" s="3"/>
      <c r="POC112" s="3"/>
      <c r="POD112" s="3"/>
      <c r="POE112" s="3"/>
      <c r="POF112" s="3"/>
      <c r="POG112" s="3"/>
      <c r="POH112" s="3"/>
      <c r="POI112" s="3"/>
      <c r="POJ112" s="3"/>
      <c r="POK112" s="3"/>
      <c r="POL112" s="3"/>
      <c r="POM112" s="3"/>
      <c r="PON112" s="3"/>
      <c r="POO112" s="3"/>
      <c r="POP112" s="3"/>
      <c r="POQ112" s="3"/>
      <c r="POR112" s="3"/>
      <c r="POS112" s="3"/>
      <c r="POT112" s="3"/>
      <c r="POU112" s="3"/>
      <c r="POV112" s="3"/>
      <c r="POW112" s="3"/>
      <c r="POX112" s="3"/>
      <c r="POY112" s="3"/>
      <c r="POZ112" s="3"/>
      <c r="PPA112" s="3"/>
      <c r="PPB112" s="3"/>
      <c r="PPC112" s="3"/>
      <c r="PPD112" s="3"/>
      <c r="PPE112" s="3"/>
      <c r="PPF112" s="3"/>
      <c r="PPG112" s="3"/>
      <c r="PPH112" s="3"/>
      <c r="PPI112" s="3"/>
      <c r="PPJ112" s="3"/>
      <c r="PPK112" s="3"/>
      <c r="PPL112" s="3"/>
      <c r="PPM112" s="3"/>
      <c r="PPN112" s="3"/>
      <c r="PPO112" s="3"/>
      <c r="PPP112" s="3"/>
      <c r="PPQ112" s="3"/>
      <c r="PPR112" s="3"/>
      <c r="PPS112" s="3"/>
      <c r="PPT112" s="3"/>
      <c r="PPU112" s="3"/>
      <c r="PPV112" s="3"/>
      <c r="PPW112" s="3"/>
      <c r="PPX112" s="3"/>
      <c r="PPY112" s="3"/>
      <c r="PPZ112" s="3"/>
      <c r="PQA112" s="3"/>
      <c r="PQB112" s="3"/>
      <c r="PQC112" s="3"/>
      <c r="PQD112" s="3"/>
      <c r="PQE112" s="3"/>
      <c r="PQF112" s="3"/>
      <c r="PQG112" s="3"/>
      <c r="PQH112" s="3"/>
      <c r="PQI112" s="3"/>
      <c r="PQJ112" s="3"/>
      <c r="PQK112" s="3"/>
      <c r="PQL112" s="3"/>
      <c r="PQM112" s="3"/>
      <c r="PQN112" s="3"/>
      <c r="PQO112" s="3"/>
      <c r="PQP112" s="3"/>
      <c r="PQQ112" s="3"/>
      <c r="PQR112" s="3"/>
      <c r="PQS112" s="3"/>
      <c r="PQT112" s="3"/>
      <c r="PQU112" s="3"/>
      <c r="PQV112" s="3"/>
      <c r="PQW112" s="3"/>
      <c r="PQX112" s="3"/>
      <c r="PQY112" s="3"/>
      <c r="PQZ112" s="3"/>
      <c r="PRA112" s="3"/>
      <c r="PRB112" s="3"/>
      <c r="PRC112" s="3"/>
      <c r="PRD112" s="3"/>
      <c r="PRE112" s="3"/>
      <c r="PRF112" s="3"/>
      <c r="PRG112" s="3"/>
      <c r="PRH112" s="3"/>
      <c r="PRI112" s="3"/>
      <c r="PRJ112" s="3"/>
      <c r="PRK112" s="3"/>
      <c r="PRL112" s="3"/>
      <c r="PRM112" s="3"/>
      <c r="PRN112" s="3"/>
      <c r="PRO112" s="3"/>
      <c r="PRP112" s="3"/>
      <c r="PRQ112" s="3"/>
      <c r="PRR112" s="3"/>
      <c r="PRS112" s="3"/>
      <c r="PRT112" s="3"/>
      <c r="PRU112" s="3"/>
      <c r="PRV112" s="3"/>
      <c r="PRW112" s="3"/>
      <c r="PRX112" s="3"/>
      <c r="PRY112" s="3"/>
      <c r="PRZ112" s="3"/>
      <c r="PSA112" s="3"/>
      <c r="PSB112" s="3"/>
      <c r="PSC112" s="3"/>
      <c r="PSD112" s="3"/>
      <c r="PSE112" s="3"/>
      <c r="PSF112" s="3"/>
      <c r="PSG112" s="3"/>
      <c r="PSH112" s="3"/>
      <c r="PSI112" s="3"/>
      <c r="PSJ112" s="3"/>
      <c r="PSK112" s="3"/>
      <c r="PSL112" s="3"/>
      <c r="PSM112" s="3"/>
      <c r="PSN112" s="3"/>
      <c r="PSO112" s="3"/>
      <c r="PSP112" s="3"/>
      <c r="PSQ112" s="3"/>
      <c r="PSR112" s="3"/>
      <c r="PSS112" s="3"/>
      <c r="PST112" s="3"/>
      <c r="PSU112" s="3"/>
      <c r="PSV112" s="3"/>
      <c r="PSW112" s="3"/>
      <c r="PSX112" s="3"/>
      <c r="PSY112" s="3"/>
      <c r="PSZ112" s="3"/>
      <c r="PTA112" s="3"/>
      <c r="PTB112" s="3"/>
      <c r="PTC112" s="3"/>
      <c r="PTD112" s="3"/>
      <c r="PTE112" s="3"/>
      <c r="PTF112" s="3"/>
      <c r="PTG112" s="3"/>
      <c r="PTH112" s="3"/>
      <c r="PTI112" s="3"/>
      <c r="PTJ112" s="3"/>
      <c r="PTK112" s="3"/>
      <c r="PTL112" s="3"/>
      <c r="PTM112" s="3"/>
      <c r="PTN112" s="3"/>
      <c r="PTO112" s="3"/>
      <c r="PTP112" s="3"/>
      <c r="PTQ112" s="3"/>
      <c r="PTR112" s="3"/>
      <c r="PTS112" s="3"/>
      <c r="PTT112" s="3"/>
      <c r="PTU112" s="3"/>
      <c r="PTV112" s="3"/>
      <c r="PTW112" s="3"/>
      <c r="PTX112" s="3"/>
      <c r="PTY112" s="3"/>
      <c r="PTZ112" s="3"/>
      <c r="PUA112" s="3"/>
      <c r="PUB112" s="3"/>
      <c r="PUC112" s="3"/>
      <c r="PUD112" s="3"/>
      <c r="PUE112" s="3"/>
      <c r="PUF112" s="3"/>
      <c r="PUG112" s="3"/>
      <c r="PUH112" s="3"/>
      <c r="PUI112" s="3"/>
      <c r="PUJ112" s="3"/>
      <c r="PUK112" s="3"/>
      <c r="PUL112" s="3"/>
      <c r="PUM112" s="3"/>
      <c r="PUN112" s="3"/>
      <c r="PUO112" s="3"/>
      <c r="PUP112" s="3"/>
      <c r="PUQ112" s="3"/>
      <c r="PUR112" s="3"/>
      <c r="PUS112" s="3"/>
      <c r="PUT112" s="3"/>
      <c r="PUU112" s="3"/>
      <c r="PUV112" s="3"/>
      <c r="PUW112" s="3"/>
      <c r="PUX112" s="3"/>
      <c r="PUY112" s="3"/>
      <c r="PUZ112" s="3"/>
      <c r="PVA112" s="3"/>
      <c r="PVB112" s="3"/>
      <c r="PVC112" s="3"/>
      <c r="PVD112" s="3"/>
      <c r="PVE112" s="3"/>
      <c r="PVF112" s="3"/>
      <c r="PVG112" s="3"/>
      <c r="PVH112" s="3"/>
      <c r="PVI112" s="3"/>
      <c r="PVJ112" s="3"/>
      <c r="PVK112" s="3"/>
      <c r="PVL112" s="3"/>
      <c r="PVM112" s="3"/>
      <c r="PVN112" s="3"/>
      <c r="PVO112" s="3"/>
      <c r="PVP112" s="3"/>
      <c r="PVQ112" s="3"/>
      <c r="PVR112" s="3"/>
      <c r="PVS112" s="3"/>
      <c r="PVT112" s="3"/>
      <c r="PVU112" s="3"/>
      <c r="PVV112" s="3"/>
      <c r="PVW112" s="3"/>
      <c r="PVX112" s="3"/>
      <c r="PVY112" s="3"/>
      <c r="PVZ112" s="3"/>
      <c r="PWA112" s="3"/>
      <c r="PWB112" s="3"/>
      <c r="PWC112" s="3"/>
      <c r="PWD112" s="3"/>
      <c r="PWE112" s="3"/>
      <c r="PWF112" s="3"/>
      <c r="PWG112" s="3"/>
      <c r="PWH112" s="3"/>
      <c r="PWI112" s="3"/>
      <c r="PWJ112" s="3"/>
      <c r="PWK112" s="3"/>
      <c r="PWL112" s="3"/>
      <c r="PWM112" s="3"/>
      <c r="PWN112" s="3"/>
      <c r="PWO112" s="3"/>
      <c r="PWP112" s="3"/>
      <c r="PWQ112" s="3"/>
      <c r="PWR112" s="3"/>
      <c r="PWS112" s="3"/>
      <c r="PWT112" s="3"/>
      <c r="PWU112" s="3"/>
      <c r="PWV112" s="3"/>
      <c r="PWW112" s="3"/>
      <c r="PWX112" s="3"/>
      <c r="PWY112" s="3"/>
      <c r="PWZ112" s="3"/>
      <c r="PXA112" s="3"/>
      <c r="PXB112" s="3"/>
      <c r="PXC112" s="3"/>
      <c r="PXD112" s="3"/>
      <c r="PXE112" s="3"/>
      <c r="PXF112" s="3"/>
      <c r="PXG112" s="3"/>
      <c r="PXH112" s="3"/>
      <c r="PXI112" s="3"/>
      <c r="PXJ112" s="3"/>
      <c r="PXK112" s="3"/>
      <c r="PXL112" s="3"/>
      <c r="PXM112" s="3"/>
      <c r="PXN112" s="3"/>
      <c r="PXO112" s="3"/>
      <c r="PXP112" s="3"/>
      <c r="PXQ112" s="3"/>
      <c r="PXR112" s="3"/>
      <c r="PXS112" s="3"/>
      <c r="PXT112" s="3"/>
      <c r="PXU112" s="3"/>
      <c r="PXV112" s="3"/>
      <c r="PXW112" s="3"/>
      <c r="PXX112" s="3"/>
      <c r="PXY112" s="3"/>
      <c r="PXZ112" s="3"/>
      <c r="PYA112" s="3"/>
      <c r="PYB112" s="3"/>
      <c r="PYC112" s="3"/>
      <c r="PYD112" s="3"/>
      <c r="PYE112" s="3"/>
      <c r="PYF112" s="3"/>
      <c r="PYG112" s="3"/>
      <c r="PYH112" s="3"/>
      <c r="PYI112" s="3"/>
      <c r="PYJ112" s="3"/>
      <c r="PYK112" s="3"/>
      <c r="PYL112" s="3"/>
      <c r="PYM112" s="3"/>
      <c r="PYN112" s="3"/>
      <c r="PYO112" s="3"/>
      <c r="PYP112" s="3"/>
      <c r="PYQ112" s="3"/>
      <c r="PYR112" s="3"/>
      <c r="PYS112" s="3"/>
      <c r="PYT112" s="3"/>
      <c r="PYU112" s="3"/>
      <c r="PYV112" s="3"/>
      <c r="PYW112" s="3"/>
      <c r="PYX112" s="3"/>
      <c r="PYY112" s="3"/>
      <c r="PYZ112" s="3"/>
      <c r="PZA112" s="3"/>
      <c r="PZB112" s="3"/>
      <c r="PZC112" s="3"/>
      <c r="PZD112" s="3"/>
      <c r="PZE112" s="3"/>
      <c r="PZF112" s="3"/>
      <c r="PZG112" s="3"/>
      <c r="PZH112" s="3"/>
      <c r="PZI112" s="3"/>
      <c r="PZJ112" s="3"/>
      <c r="PZK112" s="3"/>
      <c r="PZL112" s="3"/>
      <c r="PZM112" s="3"/>
      <c r="PZN112" s="3"/>
      <c r="PZO112" s="3"/>
      <c r="PZP112" s="3"/>
      <c r="PZQ112" s="3"/>
      <c r="PZR112" s="3"/>
      <c r="PZS112" s="3"/>
      <c r="PZT112" s="3"/>
      <c r="PZU112" s="3"/>
      <c r="PZV112" s="3"/>
      <c r="PZW112" s="3"/>
      <c r="PZX112" s="3"/>
      <c r="PZY112" s="3"/>
      <c r="PZZ112" s="3"/>
      <c r="QAA112" s="3"/>
      <c r="QAB112" s="3"/>
      <c r="QAC112" s="3"/>
      <c r="QAD112" s="3"/>
      <c r="QAE112" s="3"/>
      <c r="QAF112" s="3"/>
      <c r="QAG112" s="3"/>
      <c r="QAH112" s="3"/>
      <c r="QAI112" s="3"/>
      <c r="QAJ112" s="3"/>
      <c r="QAK112" s="3"/>
      <c r="QAL112" s="3"/>
      <c r="QAM112" s="3"/>
      <c r="QAN112" s="3"/>
      <c r="QAO112" s="3"/>
      <c r="QAP112" s="3"/>
      <c r="QAQ112" s="3"/>
      <c r="QAR112" s="3"/>
      <c r="QAS112" s="3"/>
      <c r="QAT112" s="3"/>
      <c r="QAU112" s="3"/>
      <c r="QAV112" s="3"/>
      <c r="QAW112" s="3"/>
      <c r="QAX112" s="3"/>
      <c r="QAY112" s="3"/>
      <c r="QAZ112" s="3"/>
      <c r="QBA112" s="3"/>
      <c r="QBB112" s="3"/>
      <c r="QBC112" s="3"/>
      <c r="QBD112" s="3"/>
      <c r="QBE112" s="3"/>
      <c r="QBF112" s="3"/>
      <c r="QBG112" s="3"/>
      <c r="QBH112" s="3"/>
      <c r="QBI112" s="3"/>
      <c r="QBJ112" s="3"/>
      <c r="QBK112" s="3"/>
      <c r="QBL112" s="3"/>
      <c r="QBM112" s="3"/>
      <c r="QBN112" s="3"/>
      <c r="QBO112" s="3"/>
      <c r="QBP112" s="3"/>
      <c r="QBQ112" s="3"/>
      <c r="QBR112" s="3"/>
      <c r="QBS112" s="3"/>
      <c r="QBT112" s="3"/>
      <c r="QBU112" s="3"/>
      <c r="QBV112" s="3"/>
      <c r="QBW112" s="3"/>
      <c r="QBX112" s="3"/>
      <c r="QBY112" s="3"/>
      <c r="QBZ112" s="3"/>
      <c r="QCA112" s="3"/>
      <c r="QCB112" s="3"/>
      <c r="QCC112" s="3"/>
      <c r="QCD112" s="3"/>
      <c r="QCE112" s="3"/>
      <c r="QCF112" s="3"/>
      <c r="QCG112" s="3"/>
      <c r="QCH112" s="3"/>
      <c r="QCI112" s="3"/>
      <c r="QCJ112" s="3"/>
      <c r="QCK112" s="3"/>
      <c r="QCL112" s="3"/>
      <c r="QCM112" s="3"/>
      <c r="QCN112" s="3"/>
      <c r="QCO112" s="3"/>
      <c r="QCP112" s="3"/>
      <c r="QCQ112" s="3"/>
      <c r="QCR112" s="3"/>
      <c r="QCS112" s="3"/>
      <c r="QCT112" s="3"/>
      <c r="QCU112" s="3"/>
      <c r="QCV112" s="3"/>
      <c r="QCW112" s="3"/>
      <c r="QCX112" s="3"/>
      <c r="QCY112" s="3"/>
      <c r="QCZ112" s="3"/>
      <c r="QDA112" s="3"/>
      <c r="QDB112" s="3"/>
      <c r="QDC112" s="3"/>
      <c r="QDD112" s="3"/>
      <c r="QDE112" s="3"/>
      <c r="QDF112" s="3"/>
      <c r="QDG112" s="3"/>
      <c r="QDH112" s="3"/>
      <c r="QDI112" s="3"/>
      <c r="QDJ112" s="3"/>
      <c r="QDK112" s="3"/>
      <c r="QDL112" s="3"/>
      <c r="QDM112" s="3"/>
      <c r="QDN112" s="3"/>
      <c r="QDO112" s="3"/>
      <c r="QDP112" s="3"/>
      <c r="QDQ112" s="3"/>
      <c r="QDR112" s="3"/>
      <c r="QDS112" s="3"/>
      <c r="QDT112" s="3"/>
      <c r="QDU112" s="3"/>
      <c r="QDV112" s="3"/>
      <c r="QDW112" s="3"/>
      <c r="QDX112" s="3"/>
      <c r="QDY112" s="3"/>
      <c r="QDZ112" s="3"/>
      <c r="QEA112" s="3"/>
      <c r="QEB112" s="3"/>
      <c r="QEC112" s="3"/>
      <c r="QED112" s="3"/>
      <c r="QEE112" s="3"/>
      <c r="QEF112" s="3"/>
      <c r="QEG112" s="3"/>
      <c r="QEH112" s="3"/>
      <c r="QEI112" s="3"/>
      <c r="QEJ112" s="3"/>
      <c r="QEK112" s="3"/>
      <c r="QEL112" s="3"/>
      <c r="QEM112" s="3"/>
      <c r="QEN112" s="3"/>
      <c r="QEO112" s="3"/>
      <c r="QEP112" s="3"/>
      <c r="QEQ112" s="3"/>
      <c r="QER112" s="3"/>
      <c r="QES112" s="3"/>
      <c r="QET112" s="3"/>
      <c r="QEU112" s="3"/>
      <c r="QEV112" s="3"/>
      <c r="QEW112" s="3"/>
      <c r="QEX112" s="3"/>
      <c r="QEY112" s="3"/>
      <c r="QEZ112" s="3"/>
      <c r="QFA112" s="3"/>
      <c r="QFB112" s="3"/>
      <c r="QFC112" s="3"/>
      <c r="QFD112" s="3"/>
      <c r="QFE112" s="3"/>
      <c r="QFF112" s="3"/>
      <c r="QFG112" s="3"/>
      <c r="QFH112" s="3"/>
      <c r="QFI112" s="3"/>
      <c r="QFJ112" s="3"/>
      <c r="QFK112" s="3"/>
      <c r="QFL112" s="3"/>
      <c r="QFM112" s="3"/>
      <c r="QFN112" s="3"/>
      <c r="QFO112" s="3"/>
      <c r="QFP112" s="3"/>
      <c r="QFQ112" s="3"/>
      <c r="QFR112" s="3"/>
      <c r="QFS112" s="3"/>
      <c r="QFT112" s="3"/>
      <c r="QFU112" s="3"/>
      <c r="QFV112" s="3"/>
      <c r="QFW112" s="3"/>
      <c r="QFX112" s="3"/>
      <c r="QFY112" s="3"/>
      <c r="QFZ112" s="3"/>
      <c r="QGA112" s="3"/>
      <c r="QGB112" s="3"/>
      <c r="QGC112" s="3"/>
      <c r="QGD112" s="3"/>
      <c r="QGE112" s="3"/>
      <c r="QGF112" s="3"/>
      <c r="QGG112" s="3"/>
      <c r="QGH112" s="3"/>
      <c r="QGI112" s="3"/>
      <c r="QGJ112" s="3"/>
      <c r="QGK112" s="3"/>
      <c r="QGL112" s="3"/>
      <c r="QGM112" s="3"/>
      <c r="QGN112" s="3"/>
      <c r="QGO112" s="3"/>
      <c r="QGP112" s="3"/>
      <c r="QGQ112" s="3"/>
      <c r="QGR112" s="3"/>
      <c r="QGS112" s="3"/>
      <c r="QGT112" s="3"/>
      <c r="QGU112" s="3"/>
      <c r="QGV112" s="3"/>
      <c r="QGW112" s="3"/>
      <c r="QGX112" s="3"/>
      <c r="QGY112" s="3"/>
      <c r="QGZ112" s="3"/>
      <c r="QHA112" s="3"/>
      <c r="QHB112" s="3"/>
      <c r="QHC112" s="3"/>
      <c r="QHD112" s="3"/>
      <c r="QHE112" s="3"/>
      <c r="QHF112" s="3"/>
      <c r="QHG112" s="3"/>
      <c r="QHH112" s="3"/>
      <c r="QHI112" s="3"/>
      <c r="QHJ112" s="3"/>
      <c r="QHK112" s="3"/>
      <c r="QHL112" s="3"/>
      <c r="QHM112" s="3"/>
      <c r="QHN112" s="3"/>
      <c r="QHO112" s="3"/>
      <c r="QHP112" s="3"/>
      <c r="QHQ112" s="3"/>
      <c r="QHR112" s="3"/>
      <c r="QHS112" s="3"/>
      <c r="QHT112" s="3"/>
      <c r="QHU112" s="3"/>
      <c r="QHV112" s="3"/>
      <c r="QHW112" s="3"/>
      <c r="QHX112" s="3"/>
      <c r="QHY112" s="3"/>
      <c r="QHZ112" s="3"/>
      <c r="QIA112" s="3"/>
      <c r="QIB112" s="3"/>
      <c r="QIC112" s="3"/>
      <c r="QID112" s="3"/>
      <c r="QIE112" s="3"/>
      <c r="QIF112" s="3"/>
      <c r="QIG112" s="3"/>
      <c r="QIH112" s="3"/>
      <c r="QII112" s="3"/>
      <c r="QIJ112" s="3"/>
      <c r="QIK112" s="3"/>
      <c r="QIL112" s="3"/>
      <c r="QIM112" s="3"/>
      <c r="QIN112" s="3"/>
      <c r="QIO112" s="3"/>
      <c r="QIP112" s="3"/>
      <c r="QIQ112" s="3"/>
      <c r="QIR112" s="3"/>
      <c r="QIS112" s="3"/>
      <c r="QIT112" s="3"/>
      <c r="QIU112" s="3"/>
      <c r="QIV112" s="3"/>
      <c r="QIW112" s="3"/>
      <c r="QIX112" s="3"/>
      <c r="QIY112" s="3"/>
      <c r="QIZ112" s="3"/>
      <c r="QJA112" s="3"/>
      <c r="QJB112" s="3"/>
      <c r="QJC112" s="3"/>
      <c r="QJD112" s="3"/>
      <c r="QJE112" s="3"/>
      <c r="QJF112" s="3"/>
      <c r="QJG112" s="3"/>
      <c r="QJH112" s="3"/>
      <c r="QJI112" s="3"/>
      <c r="QJJ112" s="3"/>
      <c r="QJK112" s="3"/>
      <c r="QJL112" s="3"/>
      <c r="QJM112" s="3"/>
      <c r="QJN112" s="3"/>
      <c r="QJO112" s="3"/>
      <c r="QJP112" s="3"/>
      <c r="QJQ112" s="3"/>
      <c r="QJR112" s="3"/>
      <c r="QJS112" s="3"/>
      <c r="QJT112" s="3"/>
      <c r="QJU112" s="3"/>
      <c r="QJV112" s="3"/>
      <c r="QJW112" s="3"/>
      <c r="QJX112" s="3"/>
      <c r="QJY112" s="3"/>
      <c r="QJZ112" s="3"/>
      <c r="QKA112" s="3"/>
      <c r="QKB112" s="3"/>
      <c r="QKC112" s="3"/>
      <c r="QKD112" s="3"/>
      <c r="QKE112" s="3"/>
      <c r="QKF112" s="3"/>
      <c r="QKG112" s="3"/>
      <c r="QKH112" s="3"/>
      <c r="QKI112" s="3"/>
      <c r="QKJ112" s="3"/>
      <c r="QKK112" s="3"/>
      <c r="QKL112" s="3"/>
      <c r="QKM112" s="3"/>
      <c r="QKN112" s="3"/>
      <c r="QKO112" s="3"/>
      <c r="QKP112" s="3"/>
      <c r="QKQ112" s="3"/>
      <c r="QKR112" s="3"/>
      <c r="QKS112" s="3"/>
      <c r="QKT112" s="3"/>
      <c r="QKU112" s="3"/>
      <c r="QKV112" s="3"/>
      <c r="QKW112" s="3"/>
      <c r="QKX112" s="3"/>
      <c r="QKY112" s="3"/>
      <c r="QKZ112" s="3"/>
      <c r="QLA112" s="3"/>
      <c r="QLB112" s="3"/>
      <c r="QLC112" s="3"/>
      <c r="QLD112" s="3"/>
      <c r="QLE112" s="3"/>
      <c r="QLF112" s="3"/>
      <c r="QLG112" s="3"/>
      <c r="QLH112" s="3"/>
      <c r="QLI112" s="3"/>
      <c r="QLJ112" s="3"/>
      <c r="QLK112" s="3"/>
      <c r="QLL112" s="3"/>
      <c r="QLM112" s="3"/>
      <c r="QLN112" s="3"/>
      <c r="QLO112" s="3"/>
      <c r="QLP112" s="3"/>
      <c r="QLQ112" s="3"/>
      <c r="QLR112" s="3"/>
      <c r="QLS112" s="3"/>
      <c r="QLT112" s="3"/>
      <c r="QLU112" s="3"/>
      <c r="QLV112" s="3"/>
      <c r="QLW112" s="3"/>
      <c r="QLX112" s="3"/>
      <c r="QLY112" s="3"/>
      <c r="QLZ112" s="3"/>
      <c r="QMA112" s="3"/>
      <c r="QMB112" s="3"/>
      <c r="QMC112" s="3"/>
      <c r="QMD112" s="3"/>
      <c r="QME112" s="3"/>
      <c r="QMF112" s="3"/>
      <c r="QMG112" s="3"/>
      <c r="QMH112" s="3"/>
      <c r="QMI112" s="3"/>
      <c r="QMJ112" s="3"/>
      <c r="QMK112" s="3"/>
      <c r="QML112" s="3"/>
      <c r="QMM112" s="3"/>
      <c r="QMN112" s="3"/>
      <c r="QMO112" s="3"/>
      <c r="QMP112" s="3"/>
      <c r="QMQ112" s="3"/>
      <c r="QMR112" s="3"/>
      <c r="QMS112" s="3"/>
      <c r="QMT112" s="3"/>
      <c r="QMU112" s="3"/>
      <c r="QMV112" s="3"/>
      <c r="QMW112" s="3"/>
      <c r="QMX112" s="3"/>
      <c r="QMY112" s="3"/>
      <c r="QMZ112" s="3"/>
      <c r="QNA112" s="3"/>
      <c r="QNB112" s="3"/>
      <c r="QNC112" s="3"/>
      <c r="QND112" s="3"/>
      <c r="QNE112" s="3"/>
      <c r="QNF112" s="3"/>
      <c r="QNG112" s="3"/>
      <c r="QNH112" s="3"/>
      <c r="QNI112" s="3"/>
      <c r="QNJ112" s="3"/>
      <c r="QNK112" s="3"/>
      <c r="QNL112" s="3"/>
      <c r="QNM112" s="3"/>
      <c r="QNN112" s="3"/>
      <c r="QNO112" s="3"/>
      <c r="QNP112" s="3"/>
      <c r="QNQ112" s="3"/>
      <c r="QNR112" s="3"/>
      <c r="QNS112" s="3"/>
      <c r="QNT112" s="3"/>
      <c r="QNU112" s="3"/>
      <c r="QNV112" s="3"/>
      <c r="QNW112" s="3"/>
      <c r="QNX112" s="3"/>
      <c r="QNY112" s="3"/>
      <c r="QNZ112" s="3"/>
      <c r="QOA112" s="3"/>
      <c r="QOB112" s="3"/>
      <c r="QOC112" s="3"/>
      <c r="QOD112" s="3"/>
      <c r="QOE112" s="3"/>
      <c r="QOF112" s="3"/>
      <c r="QOG112" s="3"/>
      <c r="QOH112" s="3"/>
      <c r="QOI112" s="3"/>
      <c r="QOJ112" s="3"/>
      <c r="QOK112" s="3"/>
      <c r="QOL112" s="3"/>
      <c r="QOM112" s="3"/>
      <c r="QON112" s="3"/>
      <c r="QOO112" s="3"/>
      <c r="QOP112" s="3"/>
      <c r="QOQ112" s="3"/>
      <c r="QOR112" s="3"/>
      <c r="QOS112" s="3"/>
      <c r="QOT112" s="3"/>
      <c r="QOU112" s="3"/>
      <c r="QOV112" s="3"/>
      <c r="QOW112" s="3"/>
      <c r="QOX112" s="3"/>
      <c r="QOY112" s="3"/>
      <c r="QOZ112" s="3"/>
      <c r="QPA112" s="3"/>
      <c r="QPB112" s="3"/>
      <c r="QPC112" s="3"/>
      <c r="QPD112" s="3"/>
      <c r="QPE112" s="3"/>
      <c r="QPF112" s="3"/>
      <c r="QPG112" s="3"/>
      <c r="QPH112" s="3"/>
      <c r="QPI112" s="3"/>
      <c r="QPJ112" s="3"/>
      <c r="QPK112" s="3"/>
      <c r="QPL112" s="3"/>
      <c r="QPM112" s="3"/>
      <c r="QPN112" s="3"/>
      <c r="QPO112" s="3"/>
      <c r="QPP112" s="3"/>
      <c r="QPQ112" s="3"/>
      <c r="QPR112" s="3"/>
      <c r="QPS112" s="3"/>
      <c r="QPT112" s="3"/>
      <c r="QPU112" s="3"/>
      <c r="QPV112" s="3"/>
      <c r="QPW112" s="3"/>
      <c r="QPX112" s="3"/>
      <c r="QPY112" s="3"/>
      <c r="QPZ112" s="3"/>
      <c r="QQA112" s="3"/>
      <c r="QQB112" s="3"/>
      <c r="QQC112" s="3"/>
      <c r="QQD112" s="3"/>
      <c r="QQE112" s="3"/>
      <c r="QQF112" s="3"/>
      <c r="QQG112" s="3"/>
      <c r="QQH112" s="3"/>
      <c r="QQI112" s="3"/>
      <c r="QQJ112" s="3"/>
      <c r="QQK112" s="3"/>
      <c r="QQL112" s="3"/>
      <c r="QQM112" s="3"/>
      <c r="QQN112" s="3"/>
      <c r="QQO112" s="3"/>
      <c r="QQP112" s="3"/>
      <c r="QQQ112" s="3"/>
      <c r="QQR112" s="3"/>
      <c r="QQS112" s="3"/>
      <c r="QQT112" s="3"/>
      <c r="QQU112" s="3"/>
      <c r="QQV112" s="3"/>
      <c r="QQW112" s="3"/>
      <c r="QQX112" s="3"/>
      <c r="QQY112" s="3"/>
      <c r="QQZ112" s="3"/>
      <c r="QRA112" s="3"/>
      <c r="QRB112" s="3"/>
      <c r="QRC112" s="3"/>
      <c r="QRD112" s="3"/>
      <c r="QRE112" s="3"/>
      <c r="QRF112" s="3"/>
      <c r="QRG112" s="3"/>
      <c r="QRH112" s="3"/>
      <c r="QRI112" s="3"/>
      <c r="QRJ112" s="3"/>
      <c r="QRK112" s="3"/>
      <c r="QRL112" s="3"/>
      <c r="QRM112" s="3"/>
      <c r="QRN112" s="3"/>
      <c r="QRO112" s="3"/>
      <c r="QRP112" s="3"/>
      <c r="QRQ112" s="3"/>
      <c r="QRR112" s="3"/>
      <c r="QRS112" s="3"/>
      <c r="QRT112" s="3"/>
      <c r="QRU112" s="3"/>
      <c r="QRV112" s="3"/>
      <c r="QRW112" s="3"/>
      <c r="QRX112" s="3"/>
      <c r="QRY112" s="3"/>
      <c r="QRZ112" s="3"/>
      <c r="QSA112" s="3"/>
      <c r="QSB112" s="3"/>
      <c r="QSC112" s="3"/>
      <c r="QSD112" s="3"/>
      <c r="QSE112" s="3"/>
      <c r="QSF112" s="3"/>
      <c r="QSG112" s="3"/>
      <c r="QSH112" s="3"/>
      <c r="QSI112" s="3"/>
      <c r="QSJ112" s="3"/>
      <c r="QSK112" s="3"/>
      <c r="QSL112" s="3"/>
      <c r="QSM112" s="3"/>
      <c r="QSN112" s="3"/>
      <c r="QSO112" s="3"/>
      <c r="QSP112" s="3"/>
      <c r="QSQ112" s="3"/>
      <c r="QSR112" s="3"/>
      <c r="QSS112" s="3"/>
      <c r="QST112" s="3"/>
      <c r="QSU112" s="3"/>
      <c r="QSV112" s="3"/>
      <c r="QSW112" s="3"/>
      <c r="QSX112" s="3"/>
      <c r="QSY112" s="3"/>
      <c r="QSZ112" s="3"/>
      <c r="QTA112" s="3"/>
      <c r="QTB112" s="3"/>
      <c r="QTC112" s="3"/>
      <c r="QTD112" s="3"/>
      <c r="QTE112" s="3"/>
      <c r="QTF112" s="3"/>
      <c r="QTG112" s="3"/>
      <c r="QTH112" s="3"/>
      <c r="QTI112" s="3"/>
      <c r="QTJ112" s="3"/>
      <c r="QTK112" s="3"/>
      <c r="QTL112" s="3"/>
      <c r="QTM112" s="3"/>
      <c r="QTN112" s="3"/>
      <c r="QTO112" s="3"/>
      <c r="QTP112" s="3"/>
      <c r="QTQ112" s="3"/>
      <c r="QTR112" s="3"/>
      <c r="QTS112" s="3"/>
      <c r="QTT112" s="3"/>
      <c r="QTU112" s="3"/>
      <c r="QTV112" s="3"/>
      <c r="QTW112" s="3"/>
      <c r="QTX112" s="3"/>
      <c r="QTY112" s="3"/>
      <c r="QTZ112" s="3"/>
      <c r="QUA112" s="3"/>
      <c r="QUB112" s="3"/>
      <c r="QUC112" s="3"/>
      <c r="QUD112" s="3"/>
      <c r="QUE112" s="3"/>
      <c r="QUF112" s="3"/>
      <c r="QUG112" s="3"/>
      <c r="QUH112" s="3"/>
      <c r="QUI112" s="3"/>
      <c r="QUJ112" s="3"/>
      <c r="QUK112" s="3"/>
      <c r="QUL112" s="3"/>
      <c r="QUM112" s="3"/>
      <c r="QUN112" s="3"/>
      <c r="QUO112" s="3"/>
      <c r="QUP112" s="3"/>
      <c r="QUQ112" s="3"/>
      <c r="QUR112" s="3"/>
      <c r="QUS112" s="3"/>
      <c r="QUT112" s="3"/>
      <c r="QUU112" s="3"/>
      <c r="QUV112" s="3"/>
      <c r="QUW112" s="3"/>
      <c r="QUX112" s="3"/>
      <c r="QUY112" s="3"/>
      <c r="QUZ112" s="3"/>
      <c r="QVA112" s="3"/>
      <c r="QVB112" s="3"/>
      <c r="QVC112" s="3"/>
      <c r="QVD112" s="3"/>
      <c r="QVE112" s="3"/>
      <c r="QVF112" s="3"/>
      <c r="QVG112" s="3"/>
      <c r="QVH112" s="3"/>
      <c r="QVI112" s="3"/>
      <c r="QVJ112" s="3"/>
      <c r="QVK112" s="3"/>
      <c r="QVL112" s="3"/>
      <c r="QVM112" s="3"/>
      <c r="QVN112" s="3"/>
      <c r="QVO112" s="3"/>
      <c r="QVP112" s="3"/>
      <c r="QVQ112" s="3"/>
      <c r="QVR112" s="3"/>
      <c r="QVS112" s="3"/>
      <c r="QVT112" s="3"/>
      <c r="QVU112" s="3"/>
      <c r="QVV112" s="3"/>
      <c r="QVW112" s="3"/>
      <c r="QVX112" s="3"/>
      <c r="QVY112" s="3"/>
      <c r="QVZ112" s="3"/>
      <c r="QWA112" s="3"/>
      <c r="QWB112" s="3"/>
      <c r="QWC112" s="3"/>
      <c r="QWD112" s="3"/>
      <c r="QWE112" s="3"/>
      <c r="QWF112" s="3"/>
      <c r="QWG112" s="3"/>
      <c r="QWH112" s="3"/>
      <c r="QWI112" s="3"/>
      <c r="QWJ112" s="3"/>
      <c r="QWK112" s="3"/>
      <c r="QWL112" s="3"/>
      <c r="QWM112" s="3"/>
      <c r="QWN112" s="3"/>
      <c r="QWO112" s="3"/>
      <c r="QWP112" s="3"/>
      <c r="QWQ112" s="3"/>
      <c r="QWR112" s="3"/>
      <c r="QWS112" s="3"/>
      <c r="QWT112" s="3"/>
      <c r="QWU112" s="3"/>
      <c r="QWV112" s="3"/>
      <c r="QWW112" s="3"/>
      <c r="QWX112" s="3"/>
      <c r="QWY112" s="3"/>
      <c r="QWZ112" s="3"/>
      <c r="QXA112" s="3"/>
      <c r="QXB112" s="3"/>
      <c r="QXC112" s="3"/>
      <c r="QXD112" s="3"/>
      <c r="QXE112" s="3"/>
      <c r="QXF112" s="3"/>
      <c r="QXG112" s="3"/>
      <c r="QXH112" s="3"/>
      <c r="QXI112" s="3"/>
      <c r="QXJ112" s="3"/>
      <c r="QXK112" s="3"/>
      <c r="QXL112" s="3"/>
      <c r="QXM112" s="3"/>
      <c r="QXN112" s="3"/>
      <c r="QXO112" s="3"/>
      <c r="QXP112" s="3"/>
      <c r="QXQ112" s="3"/>
      <c r="QXR112" s="3"/>
      <c r="QXS112" s="3"/>
      <c r="QXT112" s="3"/>
      <c r="QXU112" s="3"/>
      <c r="QXV112" s="3"/>
      <c r="QXW112" s="3"/>
      <c r="QXX112" s="3"/>
      <c r="QXY112" s="3"/>
      <c r="QXZ112" s="3"/>
      <c r="QYA112" s="3"/>
      <c r="QYB112" s="3"/>
      <c r="QYC112" s="3"/>
      <c r="QYD112" s="3"/>
      <c r="QYE112" s="3"/>
      <c r="QYF112" s="3"/>
      <c r="QYG112" s="3"/>
      <c r="QYH112" s="3"/>
      <c r="QYI112" s="3"/>
      <c r="QYJ112" s="3"/>
      <c r="QYK112" s="3"/>
      <c r="QYL112" s="3"/>
      <c r="QYM112" s="3"/>
      <c r="QYN112" s="3"/>
      <c r="QYO112" s="3"/>
      <c r="QYP112" s="3"/>
      <c r="QYQ112" s="3"/>
      <c r="QYR112" s="3"/>
      <c r="QYS112" s="3"/>
      <c r="QYT112" s="3"/>
      <c r="QYU112" s="3"/>
      <c r="QYV112" s="3"/>
      <c r="QYW112" s="3"/>
      <c r="QYX112" s="3"/>
      <c r="QYY112" s="3"/>
      <c r="QYZ112" s="3"/>
      <c r="QZA112" s="3"/>
      <c r="QZB112" s="3"/>
      <c r="QZC112" s="3"/>
      <c r="QZD112" s="3"/>
      <c r="QZE112" s="3"/>
      <c r="QZF112" s="3"/>
      <c r="QZG112" s="3"/>
      <c r="QZH112" s="3"/>
      <c r="QZI112" s="3"/>
      <c r="QZJ112" s="3"/>
      <c r="QZK112" s="3"/>
      <c r="QZL112" s="3"/>
      <c r="QZM112" s="3"/>
      <c r="QZN112" s="3"/>
      <c r="QZO112" s="3"/>
      <c r="QZP112" s="3"/>
      <c r="QZQ112" s="3"/>
      <c r="QZR112" s="3"/>
      <c r="QZS112" s="3"/>
      <c r="QZT112" s="3"/>
      <c r="QZU112" s="3"/>
      <c r="QZV112" s="3"/>
      <c r="QZW112" s="3"/>
      <c r="QZX112" s="3"/>
      <c r="QZY112" s="3"/>
      <c r="QZZ112" s="3"/>
      <c r="RAA112" s="3"/>
      <c r="RAB112" s="3"/>
      <c r="RAC112" s="3"/>
      <c r="RAD112" s="3"/>
      <c r="RAE112" s="3"/>
      <c r="RAF112" s="3"/>
      <c r="RAG112" s="3"/>
      <c r="RAH112" s="3"/>
      <c r="RAI112" s="3"/>
      <c r="RAJ112" s="3"/>
      <c r="RAK112" s="3"/>
      <c r="RAL112" s="3"/>
      <c r="RAM112" s="3"/>
      <c r="RAN112" s="3"/>
      <c r="RAO112" s="3"/>
      <c r="RAP112" s="3"/>
      <c r="RAQ112" s="3"/>
      <c r="RAR112" s="3"/>
      <c r="RAS112" s="3"/>
      <c r="RAT112" s="3"/>
      <c r="RAU112" s="3"/>
      <c r="RAV112" s="3"/>
      <c r="RAW112" s="3"/>
      <c r="RAX112" s="3"/>
      <c r="RAY112" s="3"/>
      <c r="RAZ112" s="3"/>
      <c r="RBA112" s="3"/>
      <c r="RBB112" s="3"/>
      <c r="RBC112" s="3"/>
      <c r="RBD112" s="3"/>
      <c r="RBE112" s="3"/>
      <c r="RBF112" s="3"/>
      <c r="RBG112" s="3"/>
      <c r="RBH112" s="3"/>
      <c r="RBI112" s="3"/>
      <c r="RBJ112" s="3"/>
      <c r="RBK112" s="3"/>
      <c r="RBL112" s="3"/>
      <c r="RBM112" s="3"/>
      <c r="RBN112" s="3"/>
      <c r="RBO112" s="3"/>
      <c r="RBP112" s="3"/>
      <c r="RBQ112" s="3"/>
      <c r="RBR112" s="3"/>
      <c r="RBS112" s="3"/>
      <c r="RBT112" s="3"/>
      <c r="RBU112" s="3"/>
      <c r="RBV112" s="3"/>
      <c r="RBW112" s="3"/>
      <c r="RBX112" s="3"/>
      <c r="RBY112" s="3"/>
      <c r="RBZ112" s="3"/>
      <c r="RCA112" s="3"/>
      <c r="RCB112" s="3"/>
      <c r="RCC112" s="3"/>
      <c r="RCD112" s="3"/>
      <c r="RCE112" s="3"/>
      <c r="RCF112" s="3"/>
      <c r="RCG112" s="3"/>
      <c r="RCH112" s="3"/>
      <c r="RCI112" s="3"/>
      <c r="RCJ112" s="3"/>
      <c r="RCK112" s="3"/>
      <c r="RCL112" s="3"/>
      <c r="RCM112" s="3"/>
      <c r="RCN112" s="3"/>
      <c r="RCO112" s="3"/>
      <c r="RCP112" s="3"/>
      <c r="RCQ112" s="3"/>
      <c r="RCR112" s="3"/>
      <c r="RCS112" s="3"/>
      <c r="RCT112" s="3"/>
      <c r="RCU112" s="3"/>
      <c r="RCV112" s="3"/>
      <c r="RCW112" s="3"/>
      <c r="RCX112" s="3"/>
      <c r="RCY112" s="3"/>
      <c r="RCZ112" s="3"/>
      <c r="RDA112" s="3"/>
      <c r="RDB112" s="3"/>
      <c r="RDC112" s="3"/>
      <c r="RDD112" s="3"/>
      <c r="RDE112" s="3"/>
      <c r="RDF112" s="3"/>
      <c r="RDG112" s="3"/>
      <c r="RDH112" s="3"/>
      <c r="RDI112" s="3"/>
      <c r="RDJ112" s="3"/>
      <c r="RDK112" s="3"/>
      <c r="RDL112" s="3"/>
      <c r="RDM112" s="3"/>
      <c r="RDN112" s="3"/>
      <c r="RDO112" s="3"/>
      <c r="RDP112" s="3"/>
      <c r="RDQ112" s="3"/>
      <c r="RDR112" s="3"/>
      <c r="RDS112" s="3"/>
      <c r="RDT112" s="3"/>
      <c r="RDU112" s="3"/>
      <c r="RDV112" s="3"/>
      <c r="RDW112" s="3"/>
      <c r="RDX112" s="3"/>
      <c r="RDY112" s="3"/>
      <c r="RDZ112" s="3"/>
      <c r="REA112" s="3"/>
      <c r="REB112" s="3"/>
      <c r="REC112" s="3"/>
      <c r="RED112" s="3"/>
      <c r="REE112" s="3"/>
      <c r="REF112" s="3"/>
      <c r="REG112" s="3"/>
      <c r="REH112" s="3"/>
      <c r="REI112" s="3"/>
      <c r="REJ112" s="3"/>
      <c r="REK112" s="3"/>
      <c r="REL112" s="3"/>
      <c r="REM112" s="3"/>
      <c r="REN112" s="3"/>
      <c r="REO112" s="3"/>
      <c r="REP112" s="3"/>
      <c r="REQ112" s="3"/>
      <c r="RER112" s="3"/>
      <c r="RES112" s="3"/>
      <c r="RET112" s="3"/>
      <c r="REU112" s="3"/>
      <c r="REV112" s="3"/>
      <c r="REW112" s="3"/>
      <c r="REX112" s="3"/>
      <c r="REY112" s="3"/>
      <c r="REZ112" s="3"/>
      <c r="RFA112" s="3"/>
      <c r="RFB112" s="3"/>
      <c r="RFC112" s="3"/>
      <c r="RFD112" s="3"/>
      <c r="RFE112" s="3"/>
      <c r="RFF112" s="3"/>
      <c r="RFG112" s="3"/>
      <c r="RFH112" s="3"/>
      <c r="RFI112" s="3"/>
      <c r="RFJ112" s="3"/>
      <c r="RFK112" s="3"/>
      <c r="RFL112" s="3"/>
      <c r="RFM112" s="3"/>
      <c r="RFN112" s="3"/>
      <c r="RFO112" s="3"/>
      <c r="RFP112" s="3"/>
      <c r="RFQ112" s="3"/>
      <c r="RFR112" s="3"/>
      <c r="RFS112" s="3"/>
      <c r="RFT112" s="3"/>
      <c r="RFU112" s="3"/>
      <c r="RFV112" s="3"/>
      <c r="RFW112" s="3"/>
      <c r="RFX112" s="3"/>
      <c r="RFY112" s="3"/>
      <c r="RFZ112" s="3"/>
      <c r="RGA112" s="3"/>
      <c r="RGB112" s="3"/>
      <c r="RGC112" s="3"/>
      <c r="RGD112" s="3"/>
      <c r="RGE112" s="3"/>
      <c r="RGF112" s="3"/>
      <c r="RGG112" s="3"/>
      <c r="RGH112" s="3"/>
      <c r="RGI112" s="3"/>
      <c r="RGJ112" s="3"/>
      <c r="RGK112" s="3"/>
      <c r="RGL112" s="3"/>
      <c r="RGM112" s="3"/>
      <c r="RGN112" s="3"/>
      <c r="RGO112" s="3"/>
      <c r="RGP112" s="3"/>
      <c r="RGQ112" s="3"/>
      <c r="RGR112" s="3"/>
      <c r="RGS112" s="3"/>
      <c r="RGT112" s="3"/>
      <c r="RGU112" s="3"/>
      <c r="RGV112" s="3"/>
      <c r="RGW112" s="3"/>
      <c r="RGX112" s="3"/>
      <c r="RGY112" s="3"/>
      <c r="RGZ112" s="3"/>
      <c r="RHA112" s="3"/>
      <c r="RHB112" s="3"/>
      <c r="RHC112" s="3"/>
      <c r="RHD112" s="3"/>
      <c r="RHE112" s="3"/>
      <c r="RHF112" s="3"/>
      <c r="RHG112" s="3"/>
      <c r="RHH112" s="3"/>
      <c r="RHI112" s="3"/>
      <c r="RHJ112" s="3"/>
      <c r="RHK112" s="3"/>
      <c r="RHL112" s="3"/>
      <c r="RHM112" s="3"/>
      <c r="RHN112" s="3"/>
      <c r="RHO112" s="3"/>
      <c r="RHP112" s="3"/>
      <c r="RHQ112" s="3"/>
      <c r="RHR112" s="3"/>
      <c r="RHS112" s="3"/>
      <c r="RHT112" s="3"/>
      <c r="RHU112" s="3"/>
      <c r="RHV112" s="3"/>
      <c r="RHW112" s="3"/>
      <c r="RHX112" s="3"/>
      <c r="RHY112" s="3"/>
      <c r="RHZ112" s="3"/>
      <c r="RIA112" s="3"/>
      <c r="RIB112" s="3"/>
      <c r="RIC112" s="3"/>
      <c r="RID112" s="3"/>
      <c r="RIE112" s="3"/>
      <c r="RIF112" s="3"/>
      <c r="RIG112" s="3"/>
      <c r="RIH112" s="3"/>
      <c r="RII112" s="3"/>
      <c r="RIJ112" s="3"/>
      <c r="RIK112" s="3"/>
      <c r="RIL112" s="3"/>
      <c r="RIM112" s="3"/>
      <c r="RIN112" s="3"/>
      <c r="RIO112" s="3"/>
      <c r="RIP112" s="3"/>
      <c r="RIQ112" s="3"/>
      <c r="RIR112" s="3"/>
      <c r="RIS112" s="3"/>
      <c r="RIT112" s="3"/>
      <c r="RIU112" s="3"/>
      <c r="RIV112" s="3"/>
      <c r="RIW112" s="3"/>
      <c r="RIX112" s="3"/>
      <c r="RIY112" s="3"/>
      <c r="RIZ112" s="3"/>
      <c r="RJA112" s="3"/>
      <c r="RJB112" s="3"/>
      <c r="RJC112" s="3"/>
      <c r="RJD112" s="3"/>
      <c r="RJE112" s="3"/>
      <c r="RJF112" s="3"/>
      <c r="RJG112" s="3"/>
      <c r="RJH112" s="3"/>
      <c r="RJI112" s="3"/>
      <c r="RJJ112" s="3"/>
      <c r="RJK112" s="3"/>
      <c r="RJL112" s="3"/>
      <c r="RJM112" s="3"/>
      <c r="RJN112" s="3"/>
      <c r="RJO112" s="3"/>
      <c r="RJP112" s="3"/>
      <c r="RJQ112" s="3"/>
      <c r="RJR112" s="3"/>
      <c r="RJS112" s="3"/>
      <c r="RJT112" s="3"/>
      <c r="RJU112" s="3"/>
      <c r="RJV112" s="3"/>
      <c r="RJW112" s="3"/>
      <c r="RJX112" s="3"/>
      <c r="RJY112" s="3"/>
      <c r="RJZ112" s="3"/>
      <c r="RKA112" s="3"/>
      <c r="RKB112" s="3"/>
      <c r="RKC112" s="3"/>
      <c r="RKD112" s="3"/>
      <c r="RKE112" s="3"/>
      <c r="RKF112" s="3"/>
      <c r="RKG112" s="3"/>
      <c r="RKH112" s="3"/>
      <c r="RKI112" s="3"/>
      <c r="RKJ112" s="3"/>
      <c r="RKK112" s="3"/>
      <c r="RKL112" s="3"/>
      <c r="RKM112" s="3"/>
      <c r="RKN112" s="3"/>
      <c r="RKO112" s="3"/>
      <c r="RKP112" s="3"/>
      <c r="RKQ112" s="3"/>
      <c r="RKR112" s="3"/>
      <c r="RKS112" s="3"/>
      <c r="RKT112" s="3"/>
      <c r="RKU112" s="3"/>
      <c r="RKV112" s="3"/>
      <c r="RKW112" s="3"/>
      <c r="RKX112" s="3"/>
      <c r="RKY112" s="3"/>
      <c r="RKZ112" s="3"/>
      <c r="RLA112" s="3"/>
      <c r="RLB112" s="3"/>
      <c r="RLC112" s="3"/>
      <c r="RLD112" s="3"/>
      <c r="RLE112" s="3"/>
      <c r="RLF112" s="3"/>
      <c r="RLG112" s="3"/>
      <c r="RLH112" s="3"/>
      <c r="RLI112" s="3"/>
      <c r="RLJ112" s="3"/>
      <c r="RLK112" s="3"/>
      <c r="RLL112" s="3"/>
      <c r="RLM112" s="3"/>
      <c r="RLN112" s="3"/>
      <c r="RLO112" s="3"/>
      <c r="RLP112" s="3"/>
      <c r="RLQ112" s="3"/>
      <c r="RLR112" s="3"/>
      <c r="RLS112" s="3"/>
      <c r="RLT112" s="3"/>
      <c r="RLU112" s="3"/>
      <c r="RLV112" s="3"/>
      <c r="RLW112" s="3"/>
      <c r="RLX112" s="3"/>
      <c r="RLY112" s="3"/>
      <c r="RLZ112" s="3"/>
      <c r="RMA112" s="3"/>
      <c r="RMB112" s="3"/>
      <c r="RMC112" s="3"/>
      <c r="RMD112" s="3"/>
      <c r="RME112" s="3"/>
      <c r="RMF112" s="3"/>
      <c r="RMG112" s="3"/>
      <c r="RMH112" s="3"/>
      <c r="RMI112" s="3"/>
      <c r="RMJ112" s="3"/>
      <c r="RMK112" s="3"/>
      <c r="RML112" s="3"/>
      <c r="RMM112" s="3"/>
      <c r="RMN112" s="3"/>
      <c r="RMO112" s="3"/>
      <c r="RMP112" s="3"/>
      <c r="RMQ112" s="3"/>
      <c r="RMR112" s="3"/>
      <c r="RMS112" s="3"/>
      <c r="RMT112" s="3"/>
      <c r="RMU112" s="3"/>
      <c r="RMV112" s="3"/>
      <c r="RMW112" s="3"/>
      <c r="RMX112" s="3"/>
      <c r="RMY112" s="3"/>
      <c r="RMZ112" s="3"/>
      <c r="RNA112" s="3"/>
      <c r="RNB112" s="3"/>
      <c r="RNC112" s="3"/>
      <c r="RND112" s="3"/>
      <c r="RNE112" s="3"/>
      <c r="RNF112" s="3"/>
      <c r="RNG112" s="3"/>
      <c r="RNH112" s="3"/>
      <c r="RNI112" s="3"/>
      <c r="RNJ112" s="3"/>
      <c r="RNK112" s="3"/>
      <c r="RNL112" s="3"/>
      <c r="RNM112" s="3"/>
      <c r="RNN112" s="3"/>
      <c r="RNO112" s="3"/>
      <c r="RNP112" s="3"/>
      <c r="RNQ112" s="3"/>
      <c r="RNR112" s="3"/>
      <c r="RNS112" s="3"/>
      <c r="RNT112" s="3"/>
      <c r="RNU112" s="3"/>
      <c r="RNV112" s="3"/>
      <c r="RNW112" s="3"/>
      <c r="RNX112" s="3"/>
      <c r="RNY112" s="3"/>
      <c r="RNZ112" s="3"/>
      <c r="ROA112" s="3"/>
      <c r="ROB112" s="3"/>
      <c r="ROC112" s="3"/>
      <c r="ROD112" s="3"/>
      <c r="ROE112" s="3"/>
      <c r="ROF112" s="3"/>
      <c r="ROG112" s="3"/>
      <c r="ROH112" s="3"/>
      <c r="ROI112" s="3"/>
      <c r="ROJ112" s="3"/>
      <c r="ROK112" s="3"/>
      <c r="ROL112" s="3"/>
      <c r="ROM112" s="3"/>
      <c r="RON112" s="3"/>
      <c r="ROO112" s="3"/>
      <c r="ROP112" s="3"/>
      <c r="ROQ112" s="3"/>
      <c r="ROR112" s="3"/>
      <c r="ROS112" s="3"/>
      <c r="ROT112" s="3"/>
      <c r="ROU112" s="3"/>
      <c r="ROV112" s="3"/>
      <c r="ROW112" s="3"/>
      <c r="ROX112" s="3"/>
      <c r="ROY112" s="3"/>
      <c r="ROZ112" s="3"/>
      <c r="RPA112" s="3"/>
      <c r="RPB112" s="3"/>
      <c r="RPC112" s="3"/>
      <c r="RPD112" s="3"/>
      <c r="RPE112" s="3"/>
      <c r="RPF112" s="3"/>
      <c r="RPG112" s="3"/>
      <c r="RPH112" s="3"/>
      <c r="RPI112" s="3"/>
      <c r="RPJ112" s="3"/>
      <c r="RPK112" s="3"/>
      <c r="RPL112" s="3"/>
      <c r="RPM112" s="3"/>
      <c r="RPN112" s="3"/>
      <c r="RPO112" s="3"/>
      <c r="RPP112" s="3"/>
      <c r="RPQ112" s="3"/>
      <c r="RPR112" s="3"/>
      <c r="RPS112" s="3"/>
      <c r="RPT112" s="3"/>
      <c r="RPU112" s="3"/>
      <c r="RPV112" s="3"/>
      <c r="RPW112" s="3"/>
      <c r="RPX112" s="3"/>
      <c r="RPY112" s="3"/>
      <c r="RPZ112" s="3"/>
      <c r="RQA112" s="3"/>
      <c r="RQB112" s="3"/>
      <c r="RQC112" s="3"/>
      <c r="RQD112" s="3"/>
      <c r="RQE112" s="3"/>
      <c r="RQF112" s="3"/>
      <c r="RQG112" s="3"/>
      <c r="RQH112" s="3"/>
      <c r="RQI112" s="3"/>
      <c r="RQJ112" s="3"/>
      <c r="RQK112" s="3"/>
      <c r="RQL112" s="3"/>
      <c r="RQM112" s="3"/>
      <c r="RQN112" s="3"/>
      <c r="RQO112" s="3"/>
      <c r="RQP112" s="3"/>
      <c r="RQQ112" s="3"/>
      <c r="RQR112" s="3"/>
      <c r="RQS112" s="3"/>
      <c r="RQT112" s="3"/>
      <c r="RQU112" s="3"/>
      <c r="RQV112" s="3"/>
      <c r="RQW112" s="3"/>
      <c r="RQX112" s="3"/>
      <c r="RQY112" s="3"/>
      <c r="RQZ112" s="3"/>
      <c r="RRA112" s="3"/>
      <c r="RRB112" s="3"/>
      <c r="RRC112" s="3"/>
      <c r="RRD112" s="3"/>
      <c r="RRE112" s="3"/>
      <c r="RRF112" s="3"/>
      <c r="RRG112" s="3"/>
      <c r="RRH112" s="3"/>
      <c r="RRI112" s="3"/>
      <c r="RRJ112" s="3"/>
      <c r="RRK112" s="3"/>
      <c r="RRL112" s="3"/>
      <c r="RRM112" s="3"/>
      <c r="RRN112" s="3"/>
      <c r="RRO112" s="3"/>
      <c r="RRP112" s="3"/>
      <c r="RRQ112" s="3"/>
      <c r="RRR112" s="3"/>
      <c r="RRS112" s="3"/>
      <c r="RRT112" s="3"/>
      <c r="RRU112" s="3"/>
      <c r="RRV112" s="3"/>
      <c r="RRW112" s="3"/>
      <c r="RRX112" s="3"/>
      <c r="RRY112" s="3"/>
      <c r="RRZ112" s="3"/>
      <c r="RSA112" s="3"/>
      <c r="RSB112" s="3"/>
      <c r="RSC112" s="3"/>
      <c r="RSD112" s="3"/>
      <c r="RSE112" s="3"/>
      <c r="RSF112" s="3"/>
      <c r="RSG112" s="3"/>
      <c r="RSH112" s="3"/>
      <c r="RSI112" s="3"/>
      <c r="RSJ112" s="3"/>
      <c r="RSK112" s="3"/>
      <c r="RSL112" s="3"/>
      <c r="RSM112" s="3"/>
      <c r="RSN112" s="3"/>
      <c r="RSO112" s="3"/>
      <c r="RSP112" s="3"/>
      <c r="RSQ112" s="3"/>
      <c r="RSR112" s="3"/>
      <c r="RSS112" s="3"/>
      <c r="RST112" s="3"/>
      <c r="RSU112" s="3"/>
      <c r="RSV112" s="3"/>
      <c r="RSW112" s="3"/>
      <c r="RSX112" s="3"/>
      <c r="RSY112" s="3"/>
      <c r="RSZ112" s="3"/>
      <c r="RTA112" s="3"/>
      <c r="RTB112" s="3"/>
      <c r="RTC112" s="3"/>
      <c r="RTD112" s="3"/>
      <c r="RTE112" s="3"/>
      <c r="RTF112" s="3"/>
      <c r="RTG112" s="3"/>
      <c r="RTH112" s="3"/>
      <c r="RTI112" s="3"/>
      <c r="RTJ112" s="3"/>
      <c r="RTK112" s="3"/>
      <c r="RTL112" s="3"/>
      <c r="RTM112" s="3"/>
      <c r="RTN112" s="3"/>
      <c r="RTO112" s="3"/>
      <c r="RTP112" s="3"/>
      <c r="RTQ112" s="3"/>
      <c r="RTR112" s="3"/>
      <c r="RTS112" s="3"/>
      <c r="RTT112" s="3"/>
      <c r="RTU112" s="3"/>
      <c r="RTV112" s="3"/>
      <c r="RTW112" s="3"/>
      <c r="RTX112" s="3"/>
      <c r="RTY112" s="3"/>
      <c r="RTZ112" s="3"/>
      <c r="RUA112" s="3"/>
      <c r="RUB112" s="3"/>
      <c r="RUC112" s="3"/>
      <c r="RUD112" s="3"/>
      <c r="RUE112" s="3"/>
      <c r="RUF112" s="3"/>
      <c r="RUG112" s="3"/>
      <c r="RUH112" s="3"/>
      <c r="RUI112" s="3"/>
      <c r="RUJ112" s="3"/>
      <c r="RUK112" s="3"/>
      <c r="RUL112" s="3"/>
      <c r="RUM112" s="3"/>
      <c r="RUN112" s="3"/>
      <c r="RUO112" s="3"/>
      <c r="RUP112" s="3"/>
      <c r="RUQ112" s="3"/>
      <c r="RUR112" s="3"/>
      <c r="RUS112" s="3"/>
      <c r="RUT112" s="3"/>
      <c r="RUU112" s="3"/>
      <c r="RUV112" s="3"/>
      <c r="RUW112" s="3"/>
      <c r="RUX112" s="3"/>
      <c r="RUY112" s="3"/>
      <c r="RUZ112" s="3"/>
      <c r="RVA112" s="3"/>
      <c r="RVB112" s="3"/>
      <c r="RVC112" s="3"/>
      <c r="RVD112" s="3"/>
      <c r="RVE112" s="3"/>
      <c r="RVF112" s="3"/>
      <c r="RVG112" s="3"/>
      <c r="RVH112" s="3"/>
      <c r="RVI112" s="3"/>
      <c r="RVJ112" s="3"/>
      <c r="RVK112" s="3"/>
      <c r="RVL112" s="3"/>
      <c r="RVM112" s="3"/>
      <c r="RVN112" s="3"/>
      <c r="RVO112" s="3"/>
      <c r="RVP112" s="3"/>
      <c r="RVQ112" s="3"/>
      <c r="RVR112" s="3"/>
      <c r="RVS112" s="3"/>
      <c r="RVT112" s="3"/>
      <c r="RVU112" s="3"/>
      <c r="RVV112" s="3"/>
      <c r="RVW112" s="3"/>
      <c r="RVX112" s="3"/>
      <c r="RVY112" s="3"/>
      <c r="RVZ112" s="3"/>
      <c r="RWA112" s="3"/>
      <c r="RWB112" s="3"/>
      <c r="RWC112" s="3"/>
      <c r="RWD112" s="3"/>
      <c r="RWE112" s="3"/>
      <c r="RWF112" s="3"/>
      <c r="RWG112" s="3"/>
      <c r="RWH112" s="3"/>
      <c r="RWI112" s="3"/>
      <c r="RWJ112" s="3"/>
      <c r="RWK112" s="3"/>
      <c r="RWL112" s="3"/>
      <c r="RWM112" s="3"/>
      <c r="RWN112" s="3"/>
      <c r="RWO112" s="3"/>
      <c r="RWP112" s="3"/>
      <c r="RWQ112" s="3"/>
      <c r="RWR112" s="3"/>
      <c r="RWS112" s="3"/>
      <c r="RWT112" s="3"/>
      <c r="RWU112" s="3"/>
      <c r="RWV112" s="3"/>
      <c r="RWW112" s="3"/>
      <c r="RWX112" s="3"/>
      <c r="RWY112" s="3"/>
      <c r="RWZ112" s="3"/>
      <c r="RXA112" s="3"/>
      <c r="RXB112" s="3"/>
      <c r="RXC112" s="3"/>
      <c r="RXD112" s="3"/>
      <c r="RXE112" s="3"/>
      <c r="RXF112" s="3"/>
      <c r="RXG112" s="3"/>
      <c r="RXH112" s="3"/>
      <c r="RXI112" s="3"/>
      <c r="RXJ112" s="3"/>
      <c r="RXK112" s="3"/>
      <c r="RXL112" s="3"/>
      <c r="RXM112" s="3"/>
      <c r="RXN112" s="3"/>
      <c r="RXO112" s="3"/>
      <c r="RXP112" s="3"/>
      <c r="RXQ112" s="3"/>
      <c r="RXR112" s="3"/>
      <c r="RXS112" s="3"/>
      <c r="RXT112" s="3"/>
      <c r="RXU112" s="3"/>
      <c r="RXV112" s="3"/>
      <c r="RXW112" s="3"/>
      <c r="RXX112" s="3"/>
      <c r="RXY112" s="3"/>
      <c r="RXZ112" s="3"/>
      <c r="RYA112" s="3"/>
      <c r="RYB112" s="3"/>
      <c r="RYC112" s="3"/>
      <c r="RYD112" s="3"/>
      <c r="RYE112" s="3"/>
      <c r="RYF112" s="3"/>
      <c r="RYG112" s="3"/>
      <c r="RYH112" s="3"/>
      <c r="RYI112" s="3"/>
      <c r="RYJ112" s="3"/>
      <c r="RYK112" s="3"/>
      <c r="RYL112" s="3"/>
      <c r="RYM112" s="3"/>
      <c r="RYN112" s="3"/>
      <c r="RYO112" s="3"/>
      <c r="RYP112" s="3"/>
      <c r="RYQ112" s="3"/>
      <c r="RYR112" s="3"/>
      <c r="RYS112" s="3"/>
      <c r="RYT112" s="3"/>
      <c r="RYU112" s="3"/>
      <c r="RYV112" s="3"/>
      <c r="RYW112" s="3"/>
      <c r="RYX112" s="3"/>
      <c r="RYY112" s="3"/>
      <c r="RYZ112" s="3"/>
      <c r="RZA112" s="3"/>
      <c r="RZB112" s="3"/>
      <c r="RZC112" s="3"/>
      <c r="RZD112" s="3"/>
      <c r="RZE112" s="3"/>
      <c r="RZF112" s="3"/>
      <c r="RZG112" s="3"/>
      <c r="RZH112" s="3"/>
      <c r="RZI112" s="3"/>
      <c r="RZJ112" s="3"/>
      <c r="RZK112" s="3"/>
      <c r="RZL112" s="3"/>
      <c r="RZM112" s="3"/>
      <c r="RZN112" s="3"/>
      <c r="RZO112" s="3"/>
      <c r="RZP112" s="3"/>
      <c r="RZQ112" s="3"/>
      <c r="RZR112" s="3"/>
      <c r="RZS112" s="3"/>
      <c r="RZT112" s="3"/>
      <c r="RZU112" s="3"/>
      <c r="RZV112" s="3"/>
      <c r="RZW112" s="3"/>
      <c r="RZX112" s="3"/>
      <c r="RZY112" s="3"/>
      <c r="RZZ112" s="3"/>
      <c r="SAA112" s="3"/>
      <c r="SAB112" s="3"/>
      <c r="SAC112" s="3"/>
      <c r="SAD112" s="3"/>
      <c r="SAE112" s="3"/>
      <c r="SAF112" s="3"/>
      <c r="SAG112" s="3"/>
      <c r="SAH112" s="3"/>
      <c r="SAI112" s="3"/>
      <c r="SAJ112" s="3"/>
      <c r="SAK112" s="3"/>
      <c r="SAL112" s="3"/>
      <c r="SAM112" s="3"/>
      <c r="SAN112" s="3"/>
      <c r="SAO112" s="3"/>
      <c r="SAP112" s="3"/>
      <c r="SAQ112" s="3"/>
      <c r="SAR112" s="3"/>
      <c r="SAS112" s="3"/>
      <c r="SAT112" s="3"/>
      <c r="SAU112" s="3"/>
      <c r="SAV112" s="3"/>
      <c r="SAW112" s="3"/>
      <c r="SAX112" s="3"/>
      <c r="SAY112" s="3"/>
      <c r="SAZ112" s="3"/>
      <c r="SBA112" s="3"/>
      <c r="SBB112" s="3"/>
      <c r="SBC112" s="3"/>
      <c r="SBD112" s="3"/>
      <c r="SBE112" s="3"/>
      <c r="SBF112" s="3"/>
      <c r="SBG112" s="3"/>
      <c r="SBH112" s="3"/>
      <c r="SBI112" s="3"/>
      <c r="SBJ112" s="3"/>
      <c r="SBK112" s="3"/>
      <c r="SBL112" s="3"/>
      <c r="SBM112" s="3"/>
      <c r="SBN112" s="3"/>
      <c r="SBO112" s="3"/>
      <c r="SBP112" s="3"/>
      <c r="SBQ112" s="3"/>
      <c r="SBR112" s="3"/>
      <c r="SBS112" s="3"/>
      <c r="SBT112" s="3"/>
      <c r="SBU112" s="3"/>
      <c r="SBV112" s="3"/>
      <c r="SBW112" s="3"/>
      <c r="SBX112" s="3"/>
      <c r="SBY112" s="3"/>
      <c r="SBZ112" s="3"/>
      <c r="SCA112" s="3"/>
      <c r="SCB112" s="3"/>
      <c r="SCC112" s="3"/>
      <c r="SCD112" s="3"/>
      <c r="SCE112" s="3"/>
      <c r="SCF112" s="3"/>
      <c r="SCG112" s="3"/>
      <c r="SCH112" s="3"/>
      <c r="SCI112" s="3"/>
      <c r="SCJ112" s="3"/>
      <c r="SCK112" s="3"/>
      <c r="SCL112" s="3"/>
      <c r="SCM112" s="3"/>
      <c r="SCN112" s="3"/>
      <c r="SCO112" s="3"/>
      <c r="SCP112" s="3"/>
      <c r="SCQ112" s="3"/>
      <c r="SCR112" s="3"/>
      <c r="SCS112" s="3"/>
      <c r="SCT112" s="3"/>
      <c r="SCU112" s="3"/>
      <c r="SCV112" s="3"/>
      <c r="SCW112" s="3"/>
      <c r="SCX112" s="3"/>
      <c r="SCY112" s="3"/>
      <c r="SCZ112" s="3"/>
      <c r="SDA112" s="3"/>
      <c r="SDB112" s="3"/>
      <c r="SDC112" s="3"/>
      <c r="SDD112" s="3"/>
      <c r="SDE112" s="3"/>
      <c r="SDF112" s="3"/>
      <c r="SDG112" s="3"/>
      <c r="SDH112" s="3"/>
      <c r="SDI112" s="3"/>
      <c r="SDJ112" s="3"/>
      <c r="SDK112" s="3"/>
      <c r="SDL112" s="3"/>
      <c r="SDM112" s="3"/>
      <c r="SDN112" s="3"/>
      <c r="SDO112" s="3"/>
      <c r="SDP112" s="3"/>
      <c r="SDQ112" s="3"/>
      <c r="SDR112" s="3"/>
      <c r="SDS112" s="3"/>
      <c r="SDT112" s="3"/>
      <c r="SDU112" s="3"/>
      <c r="SDV112" s="3"/>
      <c r="SDW112" s="3"/>
      <c r="SDX112" s="3"/>
      <c r="SDY112" s="3"/>
      <c r="SDZ112" s="3"/>
      <c r="SEA112" s="3"/>
      <c r="SEB112" s="3"/>
      <c r="SEC112" s="3"/>
      <c r="SED112" s="3"/>
      <c r="SEE112" s="3"/>
      <c r="SEF112" s="3"/>
      <c r="SEG112" s="3"/>
      <c r="SEH112" s="3"/>
      <c r="SEI112" s="3"/>
      <c r="SEJ112" s="3"/>
      <c r="SEK112" s="3"/>
      <c r="SEL112" s="3"/>
      <c r="SEM112" s="3"/>
      <c r="SEN112" s="3"/>
      <c r="SEO112" s="3"/>
      <c r="SEP112" s="3"/>
      <c r="SEQ112" s="3"/>
      <c r="SER112" s="3"/>
      <c r="SES112" s="3"/>
      <c r="SET112" s="3"/>
      <c r="SEU112" s="3"/>
      <c r="SEV112" s="3"/>
      <c r="SEW112" s="3"/>
      <c r="SEX112" s="3"/>
      <c r="SEY112" s="3"/>
      <c r="SEZ112" s="3"/>
      <c r="SFA112" s="3"/>
      <c r="SFB112" s="3"/>
      <c r="SFC112" s="3"/>
      <c r="SFD112" s="3"/>
      <c r="SFE112" s="3"/>
      <c r="SFF112" s="3"/>
      <c r="SFG112" s="3"/>
      <c r="SFH112" s="3"/>
      <c r="SFI112" s="3"/>
      <c r="SFJ112" s="3"/>
      <c r="SFK112" s="3"/>
      <c r="SFL112" s="3"/>
      <c r="SFM112" s="3"/>
      <c r="SFN112" s="3"/>
      <c r="SFO112" s="3"/>
      <c r="SFP112" s="3"/>
      <c r="SFQ112" s="3"/>
      <c r="SFR112" s="3"/>
      <c r="SFS112" s="3"/>
      <c r="SFT112" s="3"/>
      <c r="SFU112" s="3"/>
      <c r="SFV112" s="3"/>
      <c r="SFW112" s="3"/>
      <c r="SFX112" s="3"/>
      <c r="SFY112" s="3"/>
      <c r="SFZ112" s="3"/>
      <c r="SGA112" s="3"/>
      <c r="SGB112" s="3"/>
      <c r="SGC112" s="3"/>
      <c r="SGD112" s="3"/>
      <c r="SGE112" s="3"/>
      <c r="SGF112" s="3"/>
      <c r="SGG112" s="3"/>
      <c r="SGH112" s="3"/>
      <c r="SGI112" s="3"/>
      <c r="SGJ112" s="3"/>
      <c r="SGK112" s="3"/>
      <c r="SGL112" s="3"/>
      <c r="SGM112" s="3"/>
      <c r="SGN112" s="3"/>
      <c r="SGO112" s="3"/>
      <c r="SGP112" s="3"/>
      <c r="SGQ112" s="3"/>
      <c r="SGR112" s="3"/>
      <c r="SGS112" s="3"/>
      <c r="SGT112" s="3"/>
      <c r="SGU112" s="3"/>
      <c r="SGV112" s="3"/>
      <c r="SGW112" s="3"/>
      <c r="SGX112" s="3"/>
      <c r="SGY112" s="3"/>
      <c r="SGZ112" s="3"/>
      <c r="SHA112" s="3"/>
      <c r="SHB112" s="3"/>
      <c r="SHC112" s="3"/>
      <c r="SHD112" s="3"/>
      <c r="SHE112" s="3"/>
      <c r="SHF112" s="3"/>
      <c r="SHG112" s="3"/>
      <c r="SHH112" s="3"/>
      <c r="SHI112" s="3"/>
      <c r="SHJ112" s="3"/>
      <c r="SHK112" s="3"/>
      <c r="SHL112" s="3"/>
      <c r="SHM112" s="3"/>
      <c r="SHN112" s="3"/>
      <c r="SHO112" s="3"/>
      <c r="SHP112" s="3"/>
      <c r="SHQ112" s="3"/>
      <c r="SHR112" s="3"/>
      <c r="SHS112" s="3"/>
      <c r="SHT112" s="3"/>
      <c r="SHU112" s="3"/>
      <c r="SHV112" s="3"/>
      <c r="SHW112" s="3"/>
      <c r="SHX112" s="3"/>
      <c r="SHY112" s="3"/>
      <c r="SHZ112" s="3"/>
      <c r="SIA112" s="3"/>
      <c r="SIB112" s="3"/>
      <c r="SIC112" s="3"/>
      <c r="SID112" s="3"/>
      <c r="SIE112" s="3"/>
      <c r="SIF112" s="3"/>
      <c r="SIG112" s="3"/>
      <c r="SIH112" s="3"/>
      <c r="SII112" s="3"/>
      <c r="SIJ112" s="3"/>
      <c r="SIK112" s="3"/>
      <c r="SIL112" s="3"/>
      <c r="SIM112" s="3"/>
      <c r="SIN112" s="3"/>
      <c r="SIO112" s="3"/>
      <c r="SIP112" s="3"/>
      <c r="SIQ112" s="3"/>
      <c r="SIR112" s="3"/>
      <c r="SIS112" s="3"/>
      <c r="SIT112" s="3"/>
      <c r="SIU112" s="3"/>
      <c r="SIV112" s="3"/>
      <c r="SIW112" s="3"/>
      <c r="SIX112" s="3"/>
      <c r="SIY112" s="3"/>
      <c r="SIZ112" s="3"/>
      <c r="SJA112" s="3"/>
      <c r="SJB112" s="3"/>
      <c r="SJC112" s="3"/>
      <c r="SJD112" s="3"/>
      <c r="SJE112" s="3"/>
      <c r="SJF112" s="3"/>
      <c r="SJG112" s="3"/>
      <c r="SJH112" s="3"/>
      <c r="SJI112" s="3"/>
      <c r="SJJ112" s="3"/>
      <c r="SJK112" s="3"/>
      <c r="SJL112" s="3"/>
      <c r="SJM112" s="3"/>
      <c r="SJN112" s="3"/>
      <c r="SJO112" s="3"/>
      <c r="SJP112" s="3"/>
      <c r="SJQ112" s="3"/>
      <c r="SJR112" s="3"/>
      <c r="SJS112" s="3"/>
      <c r="SJT112" s="3"/>
      <c r="SJU112" s="3"/>
      <c r="SJV112" s="3"/>
      <c r="SJW112" s="3"/>
      <c r="SJX112" s="3"/>
      <c r="SJY112" s="3"/>
      <c r="SJZ112" s="3"/>
      <c r="SKA112" s="3"/>
      <c r="SKB112" s="3"/>
      <c r="SKC112" s="3"/>
      <c r="SKD112" s="3"/>
      <c r="SKE112" s="3"/>
      <c r="SKF112" s="3"/>
      <c r="SKG112" s="3"/>
      <c r="SKH112" s="3"/>
      <c r="SKI112" s="3"/>
      <c r="SKJ112" s="3"/>
      <c r="SKK112" s="3"/>
      <c r="SKL112" s="3"/>
      <c r="SKM112" s="3"/>
      <c r="SKN112" s="3"/>
      <c r="SKO112" s="3"/>
      <c r="SKP112" s="3"/>
      <c r="SKQ112" s="3"/>
      <c r="SKR112" s="3"/>
      <c r="SKS112" s="3"/>
      <c r="SKT112" s="3"/>
      <c r="SKU112" s="3"/>
      <c r="SKV112" s="3"/>
      <c r="SKW112" s="3"/>
      <c r="SKX112" s="3"/>
      <c r="SKY112" s="3"/>
      <c r="SKZ112" s="3"/>
      <c r="SLA112" s="3"/>
      <c r="SLB112" s="3"/>
      <c r="SLC112" s="3"/>
      <c r="SLD112" s="3"/>
      <c r="SLE112" s="3"/>
      <c r="SLF112" s="3"/>
      <c r="SLG112" s="3"/>
      <c r="SLH112" s="3"/>
      <c r="SLI112" s="3"/>
      <c r="SLJ112" s="3"/>
      <c r="SLK112" s="3"/>
      <c r="SLL112" s="3"/>
      <c r="SLM112" s="3"/>
      <c r="SLN112" s="3"/>
      <c r="SLO112" s="3"/>
      <c r="SLP112" s="3"/>
      <c r="SLQ112" s="3"/>
      <c r="SLR112" s="3"/>
      <c r="SLS112" s="3"/>
      <c r="SLT112" s="3"/>
      <c r="SLU112" s="3"/>
      <c r="SLV112" s="3"/>
      <c r="SLW112" s="3"/>
      <c r="SLX112" s="3"/>
      <c r="SLY112" s="3"/>
      <c r="SLZ112" s="3"/>
      <c r="SMA112" s="3"/>
      <c r="SMB112" s="3"/>
      <c r="SMC112" s="3"/>
      <c r="SMD112" s="3"/>
      <c r="SME112" s="3"/>
      <c r="SMF112" s="3"/>
      <c r="SMG112" s="3"/>
      <c r="SMH112" s="3"/>
      <c r="SMI112" s="3"/>
      <c r="SMJ112" s="3"/>
      <c r="SMK112" s="3"/>
      <c r="SML112" s="3"/>
      <c r="SMM112" s="3"/>
      <c r="SMN112" s="3"/>
      <c r="SMO112" s="3"/>
      <c r="SMP112" s="3"/>
      <c r="SMQ112" s="3"/>
      <c r="SMR112" s="3"/>
      <c r="SMS112" s="3"/>
      <c r="SMT112" s="3"/>
      <c r="SMU112" s="3"/>
      <c r="SMV112" s="3"/>
      <c r="SMW112" s="3"/>
      <c r="SMX112" s="3"/>
      <c r="SMY112" s="3"/>
      <c r="SMZ112" s="3"/>
      <c r="SNA112" s="3"/>
      <c r="SNB112" s="3"/>
      <c r="SNC112" s="3"/>
      <c r="SND112" s="3"/>
      <c r="SNE112" s="3"/>
      <c r="SNF112" s="3"/>
      <c r="SNG112" s="3"/>
      <c r="SNH112" s="3"/>
      <c r="SNI112" s="3"/>
      <c r="SNJ112" s="3"/>
      <c r="SNK112" s="3"/>
      <c r="SNL112" s="3"/>
      <c r="SNM112" s="3"/>
      <c r="SNN112" s="3"/>
      <c r="SNO112" s="3"/>
      <c r="SNP112" s="3"/>
      <c r="SNQ112" s="3"/>
      <c r="SNR112" s="3"/>
      <c r="SNS112" s="3"/>
      <c r="SNT112" s="3"/>
      <c r="SNU112" s="3"/>
      <c r="SNV112" s="3"/>
      <c r="SNW112" s="3"/>
      <c r="SNX112" s="3"/>
      <c r="SNY112" s="3"/>
      <c r="SNZ112" s="3"/>
      <c r="SOA112" s="3"/>
      <c r="SOB112" s="3"/>
      <c r="SOC112" s="3"/>
      <c r="SOD112" s="3"/>
      <c r="SOE112" s="3"/>
      <c r="SOF112" s="3"/>
      <c r="SOG112" s="3"/>
      <c r="SOH112" s="3"/>
      <c r="SOI112" s="3"/>
      <c r="SOJ112" s="3"/>
      <c r="SOK112" s="3"/>
      <c r="SOL112" s="3"/>
      <c r="SOM112" s="3"/>
      <c r="SON112" s="3"/>
      <c r="SOO112" s="3"/>
      <c r="SOP112" s="3"/>
      <c r="SOQ112" s="3"/>
      <c r="SOR112" s="3"/>
      <c r="SOS112" s="3"/>
      <c r="SOT112" s="3"/>
      <c r="SOU112" s="3"/>
      <c r="SOV112" s="3"/>
      <c r="SOW112" s="3"/>
      <c r="SOX112" s="3"/>
      <c r="SOY112" s="3"/>
      <c r="SOZ112" s="3"/>
      <c r="SPA112" s="3"/>
      <c r="SPB112" s="3"/>
      <c r="SPC112" s="3"/>
      <c r="SPD112" s="3"/>
      <c r="SPE112" s="3"/>
      <c r="SPF112" s="3"/>
      <c r="SPG112" s="3"/>
      <c r="SPH112" s="3"/>
      <c r="SPI112" s="3"/>
      <c r="SPJ112" s="3"/>
      <c r="SPK112" s="3"/>
      <c r="SPL112" s="3"/>
      <c r="SPM112" s="3"/>
      <c r="SPN112" s="3"/>
      <c r="SPO112" s="3"/>
      <c r="SPP112" s="3"/>
      <c r="SPQ112" s="3"/>
      <c r="SPR112" s="3"/>
      <c r="SPS112" s="3"/>
      <c r="SPT112" s="3"/>
      <c r="SPU112" s="3"/>
      <c r="SPV112" s="3"/>
      <c r="SPW112" s="3"/>
      <c r="SPX112" s="3"/>
      <c r="SPY112" s="3"/>
      <c r="SPZ112" s="3"/>
      <c r="SQA112" s="3"/>
      <c r="SQB112" s="3"/>
      <c r="SQC112" s="3"/>
      <c r="SQD112" s="3"/>
      <c r="SQE112" s="3"/>
      <c r="SQF112" s="3"/>
      <c r="SQG112" s="3"/>
      <c r="SQH112" s="3"/>
      <c r="SQI112" s="3"/>
      <c r="SQJ112" s="3"/>
      <c r="SQK112" s="3"/>
      <c r="SQL112" s="3"/>
      <c r="SQM112" s="3"/>
      <c r="SQN112" s="3"/>
      <c r="SQO112" s="3"/>
      <c r="SQP112" s="3"/>
      <c r="SQQ112" s="3"/>
      <c r="SQR112" s="3"/>
      <c r="SQS112" s="3"/>
      <c r="SQT112" s="3"/>
      <c r="SQU112" s="3"/>
      <c r="SQV112" s="3"/>
      <c r="SQW112" s="3"/>
      <c r="SQX112" s="3"/>
      <c r="SQY112" s="3"/>
      <c r="SQZ112" s="3"/>
      <c r="SRA112" s="3"/>
      <c r="SRB112" s="3"/>
      <c r="SRC112" s="3"/>
      <c r="SRD112" s="3"/>
      <c r="SRE112" s="3"/>
      <c r="SRF112" s="3"/>
      <c r="SRG112" s="3"/>
      <c r="SRH112" s="3"/>
      <c r="SRI112" s="3"/>
      <c r="SRJ112" s="3"/>
      <c r="SRK112" s="3"/>
      <c r="SRL112" s="3"/>
      <c r="SRM112" s="3"/>
      <c r="SRN112" s="3"/>
      <c r="SRO112" s="3"/>
      <c r="SRP112" s="3"/>
      <c r="SRQ112" s="3"/>
      <c r="SRR112" s="3"/>
      <c r="SRS112" s="3"/>
      <c r="SRT112" s="3"/>
      <c r="SRU112" s="3"/>
      <c r="SRV112" s="3"/>
      <c r="SRW112" s="3"/>
      <c r="SRX112" s="3"/>
      <c r="SRY112" s="3"/>
      <c r="SRZ112" s="3"/>
      <c r="SSA112" s="3"/>
      <c r="SSB112" s="3"/>
      <c r="SSC112" s="3"/>
      <c r="SSD112" s="3"/>
      <c r="SSE112" s="3"/>
      <c r="SSF112" s="3"/>
      <c r="SSG112" s="3"/>
      <c r="SSH112" s="3"/>
      <c r="SSI112" s="3"/>
      <c r="SSJ112" s="3"/>
      <c r="SSK112" s="3"/>
      <c r="SSL112" s="3"/>
      <c r="SSM112" s="3"/>
      <c r="SSN112" s="3"/>
      <c r="SSO112" s="3"/>
      <c r="SSP112" s="3"/>
      <c r="SSQ112" s="3"/>
      <c r="SSR112" s="3"/>
      <c r="SSS112" s="3"/>
      <c r="SST112" s="3"/>
      <c r="SSU112" s="3"/>
      <c r="SSV112" s="3"/>
      <c r="SSW112" s="3"/>
      <c r="SSX112" s="3"/>
      <c r="SSY112" s="3"/>
      <c r="SSZ112" s="3"/>
      <c r="STA112" s="3"/>
      <c r="STB112" s="3"/>
      <c r="STC112" s="3"/>
      <c r="STD112" s="3"/>
      <c r="STE112" s="3"/>
      <c r="STF112" s="3"/>
      <c r="STG112" s="3"/>
      <c r="STH112" s="3"/>
      <c r="STI112" s="3"/>
      <c r="STJ112" s="3"/>
      <c r="STK112" s="3"/>
      <c r="STL112" s="3"/>
      <c r="STM112" s="3"/>
      <c r="STN112" s="3"/>
      <c r="STO112" s="3"/>
      <c r="STP112" s="3"/>
      <c r="STQ112" s="3"/>
      <c r="STR112" s="3"/>
      <c r="STS112" s="3"/>
      <c r="STT112" s="3"/>
      <c r="STU112" s="3"/>
      <c r="STV112" s="3"/>
      <c r="STW112" s="3"/>
      <c r="STX112" s="3"/>
      <c r="STY112" s="3"/>
      <c r="STZ112" s="3"/>
      <c r="SUA112" s="3"/>
      <c r="SUB112" s="3"/>
      <c r="SUC112" s="3"/>
      <c r="SUD112" s="3"/>
      <c r="SUE112" s="3"/>
      <c r="SUF112" s="3"/>
      <c r="SUG112" s="3"/>
      <c r="SUH112" s="3"/>
      <c r="SUI112" s="3"/>
      <c r="SUJ112" s="3"/>
      <c r="SUK112" s="3"/>
      <c r="SUL112" s="3"/>
      <c r="SUM112" s="3"/>
      <c r="SUN112" s="3"/>
      <c r="SUO112" s="3"/>
      <c r="SUP112" s="3"/>
      <c r="SUQ112" s="3"/>
      <c r="SUR112" s="3"/>
      <c r="SUS112" s="3"/>
      <c r="SUT112" s="3"/>
      <c r="SUU112" s="3"/>
      <c r="SUV112" s="3"/>
      <c r="SUW112" s="3"/>
      <c r="SUX112" s="3"/>
      <c r="SUY112" s="3"/>
      <c r="SUZ112" s="3"/>
      <c r="SVA112" s="3"/>
      <c r="SVB112" s="3"/>
      <c r="SVC112" s="3"/>
      <c r="SVD112" s="3"/>
      <c r="SVE112" s="3"/>
      <c r="SVF112" s="3"/>
      <c r="SVG112" s="3"/>
      <c r="SVH112" s="3"/>
      <c r="SVI112" s="3"/>
      <c r="SVJ112" s="3"/>
      <c r="SVK112" s="3"/>
      <c r="SVL112" s="3"/>
      <c r="SVM112" s="3"/>
      <c r="SVN112" s="3"/>
      <c r="SVO112" s="3"/>
      <c r="SVP112" s="3"/>
      <c r="SVQ112" s="3"/>
      <c r="SVR112" s="3"/>
      <c r="SVS112" s="3"/>
      <c r="SVT112" s="3"/>
      <c r="SVU112" s="3"/>
      <c r="SVV112" s="3"/>
      <c r="SVW112" s="3"/>
      <c r="SVX112" s="3"/>
      <c r="SVY112" s="3"/>
      <c r="SVZ112" s="3"/>
      <c r="SWA112" s="3"/>
      <c r="SWB112" s="3"/>
      <c r="SWC112" s="3"/>
      <c r="SWD112" s="3"/>
      <c r="SWE112" s="3"/>
      <c r="SWF112" s="3"/>
      <c r="SWG112" s="3"/>
      <c r="SWH112" s="3"/>
      <c r="SWI112" s="3"/>
      <c r="SWJ112" s="3"/>
      <c r="SWK112" s="3"/>
      <c r="SWL112" s="3"/>
      <c r="SWM112" s="3"/>
      <c r="SWN112" s="3"/>
      <c r="SWO112" s="3"/>
      <c r="SWP112" s="3"/>
      <c r="SWQ112" s="3"/>
      <c r="SWR112" s="3"/>
      <c r="SWS112" s="3"/>
      <c r="SWT112" s="3"/>
      <c r="SWU112" s="3"/>
      <c r="SWV112" s="3"/>
      <c r="SWW112" s="3"/>
      <c r="SWX112" s="3"/>
      <c r="SWY112" s="3"/>
      <c r="SWZ112" s="3"/>
      <c r="SXA112" s="3"/>
      <c r="SXB112" s="3"/>
      <c r="SXC112" s="3"/>
      <c r="SXD112" s="3"/>
      <c r="SXE112" s="3"/>
      <c r="SXF112" s="3"/>
      <c r="SXG112" s="3"/>
      <c r="SXH112" s="3"/>
      <c r="SXI112" s="3"/>
      <c r="SXJ112" s="3"/>
      <c r="SXK112" s="3"/>
      <c r="SXL112" s="3"/>
      <c r="SXM112" s="3"/>
      <c r="SXN112" s="3"/>
      <c r="SXO112" s="3"/>
      <c r="SXP112" s="3"/>
      <c r="SXQ112" s="3"/>
      <c r="SXR112" s="3"/>
      <c r="SXS112" s="3"/>
      <c r="SXT112" s="3"/>
      <c r="SXU112" s="3"/>
      <c r="SXV112" s="3"/>
      <c r="SXW112" s="3"/>
      <c r="SXX112" s="3"/>
      <c r="SXY112" s="3"/>
      <c r="SXZ112" s="3"/>
      <c r="SYA112" s="3"/>
      <c r="SYB112" s="3"/>
      <c r="SYC112" s="3"/>
      <c r="SYD112" s="3"/>
      <c r="SYE112" s="3"/>
      <c r="SYF112" s="3"/>
      <c r="SYG112" s="3"/>
      <c r="SYH112" s="3"/>
      <c r="SYI112" s="3"/>
      <c r="SYJ112" s="3"/>
      <c r="SYK112" s="3"/>
      <c r="SYL112" s="3"/>
      <c r="SYM112" s="3"/>
      <c r="SYN112" s="3"/>
      <c r="SYO112" s="3"/>
      <c r="SYP112" s="3"/>
      <c r="SYQ112" s="3"/>
      <c r="SYR112" s="3"/>
      <c r="SYS112" s="3"/>
      <c r="SYT112" s="3"/>
      <c r="SYU112" s="3"/>
      <c r="SYV112" s="3"/>
      <c r="SYW112" s="3"/>
      <c r="SYX112" s="3"/>
      <c r="SYY112" s="3"/>
      <c r="SYZ112" s="3"/>
      <c r="SZA112" s="3"/>
      <c r="SZB112" s="3"/>
      <c r="SZC112" s="3"/>
      <c r="SZD112" s="3"/>
      <c r="SZE112" s="3"/>
      <c r="SZF112" s="3"/>
      <c r="SZG112" s="3"/>
      <c r="SZH112" s="3"/>
      <c r="SZI112" s="3"/>
      <c r="SZJ112" s="3"/>
      <c r="SZK112" s="3"/>
      <c r="SZL112" s="3"/>
      <c r="SZM112" s="3"/>
      <c r="SZN112" s="3"/>
      <c r="SZO112" s="3"/>
      <c r="SZP112" s="3"/>
      <c r="SZQ112" s="3"/>
      <c r="SZR112" s="3"/>
      <c r="SZS112" s="3"/>
      <c r="SZT112" s="3"/>
      <c r="SZU112" s="3"/>
      <c r="SZV112" s="3"/>
      <c r="SZW112" s="3"/>
      <c r="SZX112" s="3"/>
      <c r="SZY112" s="3"/>
      <c r="SZZ112" s="3"/>
      <c r="TAA112" s="3"/>
      <c r="TAB112" s="3"/>
      <c r="TAC112" s="3"/>
      <c r="TAD112" s="3"/>
      <c r="TAE112" s="3"/>
      <c r="TAF112" s="3"/>
      <c r="TAG112" s="3"/>
      <c r="TAH112" s="3"/>
      <c r="TAI112" s="3"/>
      <c r="TAJ112" s="3"/>
      <c r="TAK112" s="3"/>
      <c r="TAL112" s="3"/>
      <c r="TAM112" s="3"/>
      <c r="TAN112" s="3"/>
      <c r="TAO112" s="3"/>
      <c r="TAP112" s="3"/>
      <c r="TAQ112" s="3"/>
      <c r="TAR112" s="3"/>
      <c r="TAS112" s="3"/>
      <c r="TAT112" s="3"/>
      <c r="TAU112" s="3"/>
      <c r="TAV112" s="3"/>
      <c r="TAW112" s="3"/>
      <c r="TAX112" s="3"/>
      <c r="TAY112" s="3"/>
      <c r="TAZ112" s="3"/>
      <c r="TBA112" s="3"/>
      <c r="TBB112" s="3"/>
      <c r="TBC112" s="3"/>
      <c r="TBD112" s="3"/>
      <c r="TBE112" s="3"/>
      <c r="TBF112" s="3"/>
      <c r="TBG112" s="3"/>
      <c r="TBH112" s="3"/>
      <c r="TBI112" s="3"/>
      <c r="TBJ112" s="3"/>
      <c r="TBK112" s="3"/>
      <c r="TBL112" s="3"/>
      <c r="TBM112" s="3"/>
      <c r="TBN112" s="3"/>
      <c r="TBO112" s="3"/>
      <c r="TBP112" s="3"/>
      <c r="TBQ112" s="3"/>
      <c r="TBR112" s="3"/>
      <c r="TBS112" s="3"/>
      <c r="TBT112" s="3"/>
      <c r="TBU112" s="3"/>
      <c r="TBV112" s="3"/>
      <c r="TBW112" s="3"/>
      <c r="TBX112" s="3"/>
      <c r="TBY112" s="3"/>
      <c r="TBZ112" s="3"/>
      <c r="TCA112" s="3"/>
      <c r="TCB112" s="3"/>
      <c r="TCC112" s="3"/>
      <c r="TCD112" s="3"/>
      <c r="TCE112" s="3"/>
      <c r="TCF112" s="3"/>
      <c r="TCG112" s="3"/>
      <c r="TCH112" s="3"/>
      <c r="TCI112" s="3"/>
      <c r="TCJ112" s="3"/>
      <c r="TCK112" s="3"/>
      <c r="TCL112" s="3"/>
      <c r="TCM112" s="3"/>
      <c r="TCN112" s="3"/>
      <c r="TCO112" s="3"/>
      <c r="TCP112" s="3"/>
      <c r="TCQ112" s="3"/>
      <c r="TCR112" s="3"/>
      <c r="TCS112" s="3"/>
      <c r="TCT112" s="3"/>
      <c r="TCU112" s="3"/>
      <c r="TCV112" s="3"/>
      <c r="TCW112" s="3"/>
      <c r="TCX112" s="3"/>
      <c r="TCY112" s="3"/>
      <c r="TCZ112" s="3"/>
      <c r="TDA112" s="3"/>
      <c r="TDB112" s="3"/>
      <c r="TDC112" s="3"/>
      <c r="TDD112" s="3"/>
      <c r="TDE112" s="3"/>
      <c r="TDF112" s="3"/>
      <c r="TDG112" s="3"/>
      <c r="TDH112" s="3"/>
      <c r="TDI112" s="3"/>
      <c r="TDJ112" s="3"/>
      <c r="TDK112" s="3"/>
      <c r="TDL112" s="3"/>
      <c r="TDM112" s="3"/>
      <c r="TDN112" s="3"/>
      <c r="TDO112" s="3"/>
      <c r="TDP112" s="3"/>
      <c r="TDQ112" s="3"/>
      <c r="TDR112" s="3"/>
      <c r="TDS112" s="3"/>
      <c r="TDT112" s="3"/>
      <c r="TDU112" s="3"/>
      <c r="TDV112" s="3"/>
      <c r="TDW112" s="3"/>
      <c r="TDX112" s="3"/>
      <c r="TDY112" s="3"/>
      <c r="TDZ112" s="3"/>
      <c r="TEA112" s="3"/>
      <c r="TEB112" s="3"/>
      <c r="TEC112" s="3"/>
      <c r="TED112" s="3"/>
      <c r="TEE112" s="3"/>
      <c r="TEF112" s="3"/>
      <c r="TEG112" s="3"/>
      <c r="TEH112" s="3"/>
      <c r="TEI112" s="3"/>
      <c r="TEJ112" s="3"/>
      <c r="TEK112" s="3"/>
      <c r="TEL112" s="3"/>
      <c r="TEM112" s="3"/>
      <c r="TEN112" s="3"/>
      <c r="TEO112" s="3"/>
      <c r="TEP112" s="3"/>
      <c r="TEQ112" s="3"/>
      <c r="TER112" s="3"/>
      <c r="TES112" s="3"/>
      <c r="TET112" s="3"/>
      <c r="TEU112" s="3"/>
      <c r="TEV112" s="3"/>
      <c r="TEW112" s="3"/>
      <c r="TEX112" s="3"/>
      <c r="TEY112" s="3"/>
      <c r="TEZ112" s="3"/>
      <c r="TFA112" s="3"/>
      <c r="TFB112" s="3"/>
      <c r="TFC112" s="3"/>
      <c r="TFD112" s="3"/>
      <c r="TFE112" s="3"/>
      <c r="TFF112" s="3"/>
      <c r="TFG112" s="3"/>
      <c r="TFH112" s="3"/>
      <c r="TFI112" s="3"/>
      <c r="TFJ112" s="3"/>
      <c r="TFK112" s="3"/>
      <c r="TFL112" s="3"/>
      <c r="TFM112" s="3"/>
      <c r="TFN112" s="3"/>
      <c r="TFO112" s="3"/>
      <c r="TFP112" s="3"/>
      <c r="TFQ112" s="3"/>
      <c r="TFR112" s="3"/>
      <c r="TFS112" s="3"/>
      <c r="TFT112" s="3"/>
      <c r="TFU112" s="3"/>
      <c r="TFV112" s="3"/>
      <c r="TFW112" s="3"/>
      <c r="TFX112" s="3"/>
      <c r="TFY112" s="3"/>
      <c r="TFZ112" s="3"/>
      <c r="TGA112" s="3"/>
      <c r="TGB112" s="3"/>
      <c r="TGC112" s="3"/>
      <c r="TGD112" s="3"/>
      <c r="TGE112" s="3"/>
      <c r="TGF112" s="3"/>
      <c r="TGG112" s="3"/>
      <c r="TGH112" s="3"/>
      <c r="TGI112" s="3"/>
      <c r="TGJ112" s="3"/>
      <c r="TGK112" s="3"/>
      <c r="TGL112" s="3"/>
      <c r="TGM112" s="3"/>
      <c r="TGN112" s="3"/>
      <c r="TGO112" s="3"/>
      <c r="TGP112" s="3"/>
      <c r="TGQ112" s="3"/>
      <c r="TGR112" s="3"/>
      <c r="TGS112" s="3"/>
      <c r="TGT112" s="3"/>
      <c r="TGU112" s="3"/>
      <c r="TGV112" s="3"/>
      <c r="TGW112" s="3"/>
      <c r="TGX112" s="3"/>
      <c r="TGY112" s="3"/>
      <c r="TGZ112" s="3"/>
      <c r="THA112" s="3"/>
      <c r="THB112" s="3"/>
      <c r="THC112" s="3"/>
      <c r="THD112" s="3"/>
      <c r="THE112" s="3"/>
      <c r="THF112" s="3"/>
      <c r="THG112" s="3"/>
      <c r="THH112" s="3"/>
      <c r="THI112" s="3"/>
      <c r="THJ112" s="3"/>
      <c r="THK112" s="3"/>
      <c r="THL112" s="3"/>
      <c r="THM112" s="3"/>
      <c r="THN112" s="3"/>
      <c r="THO112" s="3"/>
      <c r="THP112" s="3"/>
      <c r="THQ112" s="3"/>
      <c r="THR112" s="3"/>
      <c r="THS112" s="3"/>
      <c r="THT112" s="3"/>
      <c r="THU112" s="3"/>
      <c r="THV112" s="3"/>
      <c r="THW112" s="3"/>
      <c r="THX112" s="3"/>
      <c r="THY112" s="3"/>
      <c r="THZ112" s="3"/>
      <c r="TIA112" s="3"/>
      <c r="TIB112" s="3"/>
      <c r="TIC112" s="3"/>
      <c r="TID112" s="3"/>
      <c r="TIE112" s="3"/>
      <c r="TIF112" s="3"/>
      <c r="TIG112" s="3"/>
      <c r="TIH112" s="3"/>
      <c r="TII112" s="3"/>
      <c r="TIJ112" s="3"/>
      <c r="TIK112" s="3"/>
      <c r="TIL112" s="3"/>
      <c r="TIM112" s="3"/>
      <c r="TIN112" s="3"/>
      <c r="TIO112" s="3"/>
      <c r="TIP112" s="3"/>
      <c r="TIQ112" s="3"/>
      <c r="TIR112" s="3"/>
      <c r="TIS112" s="3"/>
      <c r="TIT112" s="3"/>
      <c r="TIU112" s="3"/>
      <c r="TIV112" s="3"/>
      <c r="TIW112" s="3"/>
      <c r="TIX112" s="3"/>
      <c r="TIY112" s="3"/>
      <c r="TIZ112" s="3"/>
      <c r="TJA112" s="3"/>
      <c r="TJB112" s="3"/>
      <c r="TJC112" s="3"/>
      <c r="TJD112" s="3"/>
      <c r="TJE112" s="3"/>
      <c r="TJF112" s="3"/>
      <c r="TJG112" s="3"/>
      <c r="TJH112" s="3"/>
      <c r="TJI112" s="3"/>
      <c r="TJJ112" s="3"/>
      <c r="TJK112" s="3"/>
      <c r="TJL112" s="3"/>
      <c r="TJM112" s="3"/>
      <c r="TJN112" s="3"/>
      <c r="TJO112" s="3"/>
      <c r="TJP112" s="3"/>
      <c r="TJQ112" s="3"/>
      <c r="TJR112" s="3"/>
      <c r="TJS112" s="3"/>
      <c r="TJT112" s="3"/>
      <c r="TJU112" s="3"/>
      <c r="TJV112" s="3"/>
      <c r="TJW112" s="3"/>
      <c r="TJX112" s="3"/>
      <c r="TJY112" s="3"/>
      <c r="TJZ112" s="3"/>
      <c r="TKA112" s="3"/>
      <c r="TKB112" s="3"/>
      <c r="TKC112" s="3"/>
      <c r="TKD112" s="3"/>
      <c r="TKE112" s="3"/>
      <c r="TKF112" s="3"/>
      <c r="TKG112" s="3"/>
      <c r="TKH112" s="3"/>
      <c r="TKI112" s="3"/>
      <c r="TKJ112" s="3"/>
      <c r="TKK112" s="3"/>
      <c r="TKL112" s="3"/>
      <c r="TKM112" s="3"/>
      <c r="TKN112" s="3"/>
      <c r="TKO112" s="3"/>
      <c r="TKP112" s="3"/>
      <c r="TKQ112" s="3"/>
      <c r="TKR112" s="3"/>
      <c r="TKS112" s="3"/>
      <c r="TKT112" s="3"/>
      <c r="TKU112" s="3"/>
      <c r="TKV112" s="3"/>
      <c r="TKW112" s="3"/>
      <c r="TKX112" s="3"/>
      <c r="TKY112" s="3"/>
      <c r="TKZ112" s="3"/>
      <c r="TLA112" s="3"/>
      <c r="TLB112" s="3"/>
      <c r="TLC112" s="3"/>
      <c r="TLD112" s="3"/>
      <c r="TLE112" s="3"/>
      <c r="TLF112" s="3"/>
      <c r="TLG112" s="3"/>
      <c r="TLH112" s="3"/>
      <c r="TLI112" s="3"/>
      <c r="TLJ112" s="3"/>
      <c r="TLK112" s="3"/>
      <c r="TLL112" s="3"/>
      <c r="TLM112" s="3"/>
      <c r="TLN112" s="3"/>
      <c r="TLO112" s="3"/>
      <c r="TLP112" s="3"/>
      <c r="TLQ112" s="3"/>
      <c r="TLR112" s="3"/>
      <c r="TLS112" s="3"/>
      <c r="TLT112" s="3"/>
      <c r="TLU112" s="3"/>
      <c r="TLV112" s="3"/>
      <c r="TLW112" s="3"/>
      <c r="TLX112" s="3"/>
      <c r="TLY112" s="3"/>
      <c r="TLZ112" s="3"/>
      <c r="TMA112" s="3"/>
      <c r="TMB112" s="3"/>
      <c r="TMC112" s="3"/>
      <c r="TMD112" s="3"/>
      <c r="TME112" s="3"/>
      <c r="TMF112" s="3"/>
      <c r="TMG112" s="3"/>
      <c r="TMH112" s="3"/>
      <c r="TMI112" s="3"/>
      <c r="TMJ112" s="3"/>
      <c r="TMK112" s="3"/>
      <c r="TML112" s="3"/>
      <c r="TMM112" s="3"/>
      <c r="TMN112" s="3"/>
      <c r="TMO112" s="3"/>
      <c r="TMP112" s="3"/>
      <c r="TMQ112" s="3"/>
      <c r="TMR112" s="3"/>
      <c r="TMS112" s="3"/>
      <c r="TMT112" s="3"/>
      <c r="TMU112" s="3"/>
      <c r="TMV112" s="3"/>
      <c r="TMW112" s="3"/>
      <c r="TMX112" s="3"/>
      <c r="TMY112" s="3"/>
      <c r="TMZ112" s="3"/>
      <c r="TNA112" s="3"/>
      <c r="TNB112" s="3"/>
      <c r="TNC112" s="3"/>
      <c r="TND112" s="3"/>
      <c r="TNE112" s="3"/>
      <c r="TNF112" s="3"/>
      <c r="TNG112" s="3"/>
      <c r="TNH112" s="3"/>
      <c r="TNI112" s="3"/>
      <c r="TNJ112" s="3"/>
      <c r="TNK112" s="3"/>
      <c r="TNL112" s="3"/>
      <c r="TNM112" s="3"/>
      <c r="TNN112" s="3"/>
      <c r="TNO112" s="3"/>
      <c r="TNP112" s="3"/>
      <c r="TNQ112" s="3"/>
      <c r="TNR112" s="3"/>
      <c r="TNS112" s="3"/>
      <c r="TNT112" s="3"/>
      <c r="TNU112" s="3"/>
      <c r="TNV112" s="3"/>
      <c r="TNW112" s="3"/>
      <c r="TNX112" s="3"/>
      <c r="TNY112" s="3"/>
      <c r="TNZ112" s="3"/>
      <c r="TOA112" s="3"/>
      <c r="TOB112" s="3"/>
      <c r="TOC112" s="3"/>
      <c r="TOD112" s="3"/>
      <c r="TOE112" s="3"/>
      <c r="TOF112" s="3"/>
      <c r="TOG112" s="3"/>
      <c r="TOH112" s="3"/>
      <c r="TOI112" s="3"/>
      <c r="TOJ112" s="3"/>
      <c r="TOK112" s="3"/>
      <c r="TOL112" s="3"/>
      <c r="TOM112" s="3"/>
      <c r="TON112" s="3"/>
      <c r="TOO112" s="3"/>
      <c r="TOP112" s="3"/>
      <c r="TOQ112" s="3"/>
      <c r="TOR112" s="3"/>
      <c r="TOS112" s="3"/>
      <c r="TOT112" s="3"/>
      <c r="TOU112" s="3"/>
      <c r="TOV112" s="3"/>
      <c r="TOW112" s="3"/>
      <c r="TOX112" s="3"/>
      <c r="TOY112" s="3"/>
      <c r="TOZ112" s="3"/>
      <c r="TPA112" s="3"/>
      <c r="TPB112" s="3"/>
      <c r="TPC112" s="3"/>
      <c r="TPD112" s="3"/>
      <c r="TPE112" s="3"/>
      <c r="TPF112" s="3"/>
      <c r="TPG112" s="3"/>
      <c r="TPH112" s="3"/>
      <c r="TPI112" s="3"/>
      <c r="TPJ112" s="3"/>
      <c r="TPK112" s="3"/>
      <c r="TPL112" s="3"/>
      <c r="TPM112" s="3"/>
      <c r="TPN112" s="3"/>
      <c r="TPO112" s="3"/>
      <c r="TPP112" s="3"/>
      <c r="TPQ112" s="3"/>
      <c r="TPR112" s="3"/>
      <c r="TPS112" s="3"/>
      <c r="TPT112" s="3"/>
      <c r="TPU112" s="3"/>
      <c r="TPV112" s="3"/>
      <c r="TPW112" s="3"/>
      <c r="TPX112" s="3"/>
      <c r="TPY112" s="3"/>
      <c r="TPZ112" s="3"/>
      <c r="TQA112" s="3"/>
      <c r="TQB112" s="3"/>
      <c r="TQC112" s="3"/>
      <c r="TQD112" s="3"/>
      <c r="TQE112" s="3"/>
      <c r="TQF112" s="3"/>
      <c r="TQG112" s="3"/>
      <c r="TQH112" s="3"/>
      <c r="TQI112" s="3"/>
      <c r="TQJ112" s="3"/>
      <c r="TQK112" s="3"/>
      <c r="TQL112" s="3"/>
      <c r="TQM112" s="3"/>
      <c r="TQN112" s="3"/>
      <c r="TQO112" s="3"/>
      <c r="TQP112" s="3"/>
      <c r="TQQ112" s="3"/>
      <c r="TQR112" s="3"/>
      <c r="TQS112" s="3"/>
      <c r="TQT112" s="3"/>
      <c r="TQU112" s="3"/>
      <c r="TQV112" s="3"/>
      <c r="TQW112" s="3"/>
      <c r="TQX112" s="3"/>
      <c r="TQY112" s="3"/>
      <c r="TQZ112" s="3"/>
      <c r="TRA112" s="3"/>
      <c r="TRB112" s="3"/>
      <c r="TRC112" s="3"/>
      <c r="TRD112" s="3"/>
      <c r="TRE112" s="3"/>
      <c r="TRF112" s="3"/>
      <c r="TRG112" s="3"/>
      <c r="TRH112" s="3"/>
      <c r="TRI112" s="3"/>
      <c r="TRJ112" s="3"/>
      <c r="TRK112" s="3"/>
      <c r="TRL112" s="3"/>
      <c r="TRM112" s="3"/>
      <c r="TRN112" s="3"/>
      <c r="TRO112" s="3"/>
      <c r="TRP112" s="3"/>
      <c r="TRQ112" s="3"/>
      <c r="TRR112" s="3"/>
      <c r="TRS112" s="3"/>
      <c r="TRT112" s="3"/>
      <c r="TRU112" s="3"/>
      <c r="TRV112" s="3"/>
      <c r="TRW112" s="3"/>
      <c r="TRX112" s="3"/>
      <c r="TRY112" s="3"/>
      <c r="TRZ112" s="3"/>
      <c r="TSA112" s="3"/>
      <c r="TSB112" s="3"/>
      <c r="TSC112" s="3"/>
      <c r="TSD112" s="3"/>
      <c r="TSE112" s="3"/>
      <c r="TSF112" s="3"/>
      <c r="TSG112" s="3"/>
      <c r="TSH112" s="3"/>
      <c r="TSI112" s="3"/>
      <c r="TSJ112" s="3"/>
      <c r="TSK112" s="3"/>
      <c r="TSL112" s="3"/>
      <c r="TSM112" s="3"/>
      <c r="TSN112" s="3"/>
      <c r="TSO112" s="3"/>
      <c r="TSP112" s="3"/>
      <c r="TSQ112" s="3"/>
      <c r="TSR112" s="3"/>
      <c r="TSS112" s="3"/>
      <c r="TST112" s="3"/>
      <c r="TSU112" s="3"/>
      <c r="TSV112" s="3"/>
      <c r="TSW112" s="3"/>
      <c r="TSX112" s="3"/>
      <c r="TSY112" s="3"/>
      <c r="TSZ112" s="3"/>
      <c r="TTA112" s="3"/>
      <c r="TTB112" s="3"/>
      <c r="TTC112" s="3"/>
      <c r="TTD112" s="3"/>
      <c r="TTE112" s="3"/>
      <c r="TTF112" s="3"/>
      <c r="TTG112" s="3"/>
      <c r="TTH112" s="3"/>
      <c r="TTI112" s="3"/>
      <c r="TTJ112" s="3"/>
      <c r="TTK112" s="3"/>
      <c r="TTL112" s="3"/>
      <c r="TTM112" s="3"/>
      <c r="TTN112" s="3"/>
      <c r="TTO112" s="3"/>
      <c r="TTP112" s="3"/>
      <c r="TTQ112" s="3"/>
      <c r="TTR112" s="3"/>
      <c r="TTS112" s="3"/>
      <c r="TTT112" s="3"/>
      <c r="TTU112" s="3"/>
      <c r="TTV112" s="3"/>
      <c r="TTW112" s="3"/>
      <c r="TTX112" s="3"/>
      <c r="TTY112" s="3"/>
      <c r="TTZ112" s="3"/>
      <c r="TUA112" s="3"/>
      <c r="TUB112" s="3"/>
      <c r="TUC112" s="3"/>
      <c r="TUD112" s="3"/>
      <c r="TUE112" s="3"/>
      <c r="TUF112" s="3"/>
      <c r="TUG112" s="3"/>
      <c r="TUH112" s="3"/>
      <c r="TUI112" s="3"/>
      <c r="TUJ112" s="3"/>
      <c r="TUK112" s="3"/>
      <c r="TUL112" s="3"/>
      <c r="TUM112" s="3"/>
      <c r="TUN112" s="3"/>
      <c r="TUO112" s="3"/>
      <c r="TUP112" s="3"/>
      <c r="TUQ112" s="3"/>
      <c r="TUR112" s="3"/>
      <c r="TUS112" s="3"/>
      <c r="TUT112" s="3"/>
      <c r="TUU112" s="3"/>
      <c r="TUV112" s="3"/>
      <c r="TUW112" s="3"/>
      <c r="TUX112" s="3"/>
      <c r="TUY112" s="3"/>
      <c r="TUZ112" s="3"/>
      <c r="TVA112" s="3"/>
      <c r="TVB112" s="3"/>
      <c r="TVC112" s="3"/>
      <c r="TVD112" s="3"/>
      <c r="TVE112" s="3"/>
      <c r="TVF112" s="3"/>
      <c r="TVG112" s="3"/>
      <c r="TVH112" s="3"/>
      <c r="TVI112" s="3"/>
      <c r="TVJ112" s="3"/>
      <c r="TVK112" s="3"/>
      <c r="TVL112" s="3"/>
      <c r="TVM112" s="3"/>
      <c r="TVN112" s="3"/>
      <c r="TVO112" s="3"/>
      <c r="TVP112" s="3"/>
      <c r="TVQ112" s="3"/>
      <c r="TVR112" s="3"/>
      <c r="TVS112" s="3"/>
      <c r="TVT112" s="3"/>
      <c r="TVU112" s="3"/>
      <c r="TVV112" s="3"/>
      <c r="TVW112" s="3"/>
      <c r="TVX112" s="3"/>
      <c r="TVY112" s="3"/>
      <c r="TVZ112" s="3"/>
      <c r="TWA112" s="3"/>
      <c r="TWB112" s="3"/>
      <c r="TWC112" s="3"/>
      <c r="TWD112" s="3"/>
      <c r="TWE112" s="3"/>
      <c r="TWF112" s="3"/>
      <c r="TWG112" s="3"/>
      <c r="TWH112" s="3"/>
      <c r="TWI112" s="3"/>
      <c r="TWJ112" s="3"/>
      <c r="TWK112" s="3"/>
      <c r="TWL112" s="3"/>
      <c r="TWM112" s="3"/>
      <c r="TWN112" s="3"/>
      <c r="TWO112" s="3"/>
      <c r="TWP112" s="3"/>
      <c r="TWQ112" s="3"/>
      <c r="TWR112" s="3"/>
      <c r="TWS112" s="3"/>
      <c r="TWT112" s="3"/>
      <c r="TWU112" s="3"/>
      <c r="TWV112" s="3"/>
      <c r="TWW112" s="3"/>
      <c r="TWX112" s="3"/>
      <c r="TWY112" s="3"/>
      <c r="TWZ112" s="3"/>
      <c r="TXA112" s="3"/>
      <c r="TXB112" s="3"/>
      <c r="TXC112" s="3"/>
      <c r="TXD112" s="3"/>
      <c r="TXE112" s="3"/>
      <c r="TXF112" s="3"/>
      <c r="TXG112" s="3"/>
      <c r="TXH112" s="3"/>
      <c r="TXI112" s="3"/>
      <c r="TXJ112" s="3"/>
      <c r="TXK112" s="3"/>
      <c r="TXL112" s="3"/>
      <c r="TXM112" s="3"/>
      <c r="TXN112" s="3"/>
      <c r="TXO112" s="3"/>
      <c r="TXP112" s="3"/>
      <c r="TXQ112" s="3"/>
      <c r="TXR112" s="3"/>
      <c r="TXS112" s="3"/>
      <c r="TXT112" s="3"/>
      <c r="TXU112" s="3"/>
      <c r="TXV112" s="3"/>
      <c r="TXW112" s="3"/>
      <c r="TXX112" s="3"/>
      <c r="TXY112" s="3"/>
      <c r="TXZ112" s="3"/>
      <c r="TYA112" s="3"/>
      <c r="TYB112" s="3"/>
      <c r="TYC112" s="3"/>
      <c r="TYD112" s="3"/>
      <c r="TYE112" s="3"/>
      <c r="TYF112" s="3"/>
      <c r="TYG112" s="3"/>
      <c r="TYH112" s="3"/>
      <c r="TYI112" s="3"/>
      <c r="TYJ112" s="3"/>
      <c r="TYK112" s="3"/>
      <c r="TYL112" s="3"/>
      <c r="TYM112" s="3"/>
      <c r="TYN112" s="3"/>
      <c r="TYO112" s="3"/>
      <c r="TYP112" s="3"/>
      <c r="TYQ112" s="3"/>
      <c r="TYR112" s="3"/>
      <c r="TYS112" s="3"/>
      <c r="TYT112" s="3"/>
      <c r="TYU112" s="3"/>
      <c r="TYV112" s="3"/>
      <c r="TYW112" s="3"/>
      <c r="TYX112" s="3"/>
      <c r="TYY112" s="3"/>
      <c r="TYZ112" s="3"/>
      <c r="TZA112" s="3"/>
      <c r="TZB112" s="3"/>
      <c r="TZC112" s="3"/>
      <c r="TZD112" s="3"/>
      <c r="TZE112" s="3"/>
      <c r="TZF112" s="3"/>
      <c r="TZG112" s="3"/>
      <c r="TZH112" s="3"/>
      <c r="TZI112" s="3"/>
      <c r="TZJ112" s="3"/>
      <c r="TZK112" s="3"/>
      <c r="TZL112" s="3"/>
      <c r="TZM112" s="3"/>
      <c r="TZN112" s="3"/>
      <c r="TZO112" s="3"/>
      <c r="TZP112" s="3"/>
      <c r="TZQ112" s="3"/>
      <c r="TZR112" s="3"/>
      <c r="TZS112" s="3"/>
      <c r="TZT112" s="3"/>
      <c r="TZU112" s="3"/>
      <c r="TZV112" s="3"/>
      <c r="TZW112" s="3"/>
      <c r="TZX112" s="3"/>
      <c r="TZY112" s="3"/>
      <c r="TZZ112" s="3"/>
      <c r="UAA112" s="3"/>
      <c r="UAB112" s="3"/>
      <c r="UAC112" s="3"/>
      <c r="UAD112" s="3"/>
      <c r="UAE112" s="3"/>
      <c r="UAF112" s="3"/>
      <c r="UAG112" s="3"/>
      <c r="UAH112" s="3"/>
      <c r="UAI112" s="3"/>
      <c r="UAJ112" s="3"/>
      <c r="UAK112" s="3"/>
      <c r="UAL112" s="3"/>
      <c r="UAM112" s="3"/>
      <c r="UAN112" s="3"/>
      <c r="UAO112" s="3"/>
      <c r="UAP112" s="3"/>
      <c r="UAQ112" s="3"/>
      <c r="UAR112" s="3"/>
      <c r="UAS112" s="3"/>
      <c r="UAT112" s="3"/>
      <c r="UAU112" s="3"/>
      <c r="UAV112" s="3"/>
      <c r="UAW112" s="3"/>
      <c r="UAX112" s="3"/>
      <c r="UAY112" s="3"/>
      <c r="UAZ112" s="3"/>
      <c r="UBA112" s="3"/>
      <c r="UBB112" s="3"/>
      <c r="UBC112" s="3"/>
      <c r="UBD112" s="3"/>
      <c r="UBE112" s="3"/>
      <c r="UBF112" s="3"/>
      <c r="UBG112" s="3"/>
      <c r="UBH112" s="3"/>
      <c r="UBI112" s="3"/>
      <c r="UBJ112" s="3"/>
      <c r="UBK112" s="3"/>
      <c r="UBL112" s="3"/>
      <c r="UBM112" s="3"/>
      <c r="UBN112" s="3"/>
      <c r="UBO112" s="3"/>
      <c r="UBP112" s="3"/>
      <c r="UBQ112" s="3"/>
      <c r="UBR112" s="3"/>
      <c r="UBS112" s="3"/>
      <c r="UBT112" s="3"/>
      <c r="UBU112" s="3"/>
      <c r="UBV112" s="3"/>
      <c r="UBW112" s="3"/>
      <c r="UBX112" s="3"/>
      <c r="UBY112" s="3"/>
      <c r="UBZ112" s="3"/>
      <c r="UCA112" s="3"/>
      <c r="UCB112" s="3"/>
      <c r="UCC112" s="3"/>
      <c r="UCD112" s="3"/>
      <c r="UCE112" s="3"/>
      <c r="UCF112" s="3"/>
      <c r="UCG112" s="3"/>
      <c r="UCH112" s="3"/>
      <c r="UCI112" s="3"/>
      <c r="UCJ112" s="3"/>
      <c r="UCK112" s="3"/>
      <c r="UCL112" s="3"/>
      <c r="UCM112" s="3"/>
      <c r="UCN112" s="3"/>
      <c r="UCO112" s="3"/>
      <c r="UCP112" s="3"/>
      <c r="UCQ112" s="3"/>
      <c r="UCR112" s="3"/>
      <c r="UCS112" s="3"/>
      <c r="UCT112" s="3"/>
      <c r="UCU112" s="3"/>
      <c r="UCV112" s="3"/>
      <c r="UCW112" s="3"/>
      <c r="UCX112" s="3"/>
      <c r="UCY112" s="3"/>
      <c r="UCZ112" s="3"/>
      <c r="UDA112" s="3"/>
      <c r="UDB112" s="3"/>
      <c r="UDC112" s="3"/>
      <c r="UDD112" s="3"/>
      <c r="UDE112" s="3"/>
      <c r="UDF112" s="3"/>
      <c r="UDG112" s="3"/>
      <c r="UDH112" s="3"/>
      <c r="UDI112" s="3"/>
      <c r="UDJ112" s="3"/>
      <c r="UDK112" s="3"/>
      <c r="UDL112" s="3"/>
      <c r="UDM112" s="3"/>
      <c r="UDN112" s="3"/>
      <c r="UDO112" s="3"/>
      <c r="UDP112" s="3"/>
      <c r="UDQ112" s="3"/>
      <c r="UDR112" s="3"/>
      <c r="UDS112" s="3"/>
      <c r="UDT112" s="3"/>
      <c r="UDU112" s="3"/>
      <c r="UDV112" s="3"/>
      <c r="UDW112" s="3"/>
      <c r="UDX112" s="3"/>
      <c r="UDY112" s="3"/>
      <c r="UDZ112" s="3"/>
      <c r="UEA112" s="3"/>
      <c r="UEB112" s="3"/>
      <c r="UEC112" s="3"/>
      <c r="UED112" s="3"/>
      <c r="UEE112" s="3"/>
      <c r="UEF112" s="3"/>
      <c r="UEG112" s="3"/>
      <c r="UEH112" s="3"/>
      <c r="UEI112" s="3"/>
      <c r="UEJ112" s="3"/>
      <c r="UEK112" s="3"/>
      <c r="UEL112" s="3"/>
      <c r="UEM112" s="3"/>
      <c r="UEN112" s="3"/>
      <c r="UEO112" s="3"/>
      <c r="UEP112" s="3"/>
      <c r="UEQ112" s="3"/>
      <c r="UER112" s="3"/>
      <c r="UES112" s="3"/>
      <c r="UET112" s="3"/>
      <c r="UEU112" s="3"/>
      <c r="UEV112" s="3"/>
      <c r="UEW112" s="3"/>
      <c r="UEX112" s="3"/>
      <c r="UEY112" s="3"/>
      <c r="UEZ112" s="3"/>
      <c r="UFA112" s="3"/>
      <c r="UFB112" s="3"/>
      <c r="UFC112" s="3"/>
      <c r="UFD112" s="3"/>
      <c r="UFE112" s="3"/>
      <c r="UFF112" s="3"/>
      <c r="UFG112" s="3"/>
      <c r="UFH112" s="3"/>
      <c r="UFI112" s="3"/>
      <c r="UFJ112" s="3"/>
      <c r="UFK112" s="3"/>
      <c r="UFL112" s="3"/>
      <c r="UFM112" s="3"/>
      <c r="UFN112" s="3"/>
      <c r="UFO112" s="3"/>
      <c r="UFP112" s="3"/>
      <c r="UFQ112" s="3"/>
      <c r="UFR112" s="3"/>
      <c r="UFS112" s="3"/>
      <c r="UFT112" s="3"/>
      <c r="UFU112" s="3"/>
      <c r="UFV112" s="3"/>
      <c r="UFW112" s="3"/>
      <c r="UFX112" s="3"/>
      <c r="UFY112" s="3"/>
      <c r="UFZ112" s="3"/>
      <c r="UGA112" s="3"/>
      <c r="UGB112" s="3"/>
      <c r="UGC112" s="3"/>
      <c r="UGD112" s="3"/>
      <c r="UGE112" s="3"/>
      <c r="UGF112" s="3"/>
      <c r="UGG112" s="3"/>
      <c r="UGH112" s="3"/>
      <c r="UGI112" s="3"/>
      <c r="UGJ112" s="3"/>
      <c r="UGK112" s="3"/>
      <c r="UGL112" s="3"/>
      <c r="UGM112" s="3"/>
      <c r="UGN112" s="3"/>
      <c r="UGO112" s="3"/>
      <c r="UGP112" s="3"/>
      <c r="UGQ112" s="3"/>
      <c r="UGR112" s="3"/>
      <c r="UGS112" s="3"/>
      <c r="UGT112" s="3"/>
      <c r="UGU112" s="3"/>
      <c r="UGV112" s="3"/>
      <c r="UGW112" s="3"/>
      <c r="UGX112" s="3"/>
      <c r="UGY112" s="3"/>
      <c r="UGZ112" s="3"/>
      <c r="UHA112" s="3"/>
      <c r="UHB112" s="3"/>
      <c r="UHC112" s="3"/>
      <c r="UHD112" s="3"/>
      <c r="UHE112" s="3"/>
      <c r="UHF112" s="3"/>
      <c r="UHG112" s="3"/>
      <c r="UHH112" s="3"/>
      <c r="UHI112" s="3"/>
      <c r="UHJ112" s="3"/>
      <c r="UHK112" s="3"/>
      <c r="UHL112" s="3"/>
      <c r="UHM112" s="3"/>
      <c r="UHN112" s="3"/>
      <c r="UHO112" s="3"/>
      <c r="UHP112" s="3"/>
      <c r="UHQ112" s="3"/>
      <c r="UHR112" s="3"/>
      <c r="UHS112" s="3"/>
      <c r="UHT112" s="3"/>
      <c r="UHU112" s="3"/>
      <c r="UHV112" s="3"/>
      <c r="UHW112" s="3"/>
      <c r="UHX112" s="3"/>
      <c r="UHY112" s="3"/>
      <c r="UHZ112" s="3"/>
      <c r="UIA112" s="3"/>
      <c r="UIB112" s="3"/>
      <c r="UIC112" s="3"/>
      <c r="UID112" s="3"/>
      <c r="UIE112" s="3"/>
      <c r="UIF112" s="3"/>
      <c r="UIG112" s="3"/>
      <c r="UIH112" s="3"/>
      <c r="UII112" s="3"/>
      <c r="UIJ112" s="3"/>
      <c r="UIK112" s="3"/>
      <c r="UIL112" s="3"/>
      <c r="UIM112" s="3"/>
      <c r="UIN112" s="3"/>
      <c r="UIO112" s="3"/>
      <c r="UIP112" s="3"/>
      <c r="UIQ112" s="3"/>
      <c r="UIR112" s="3"/>
      <c r="UIS112" s="3"/>
      <c r="UIT112" s="3"/>
      <c r="UIU112" s="3"/>
      <c r="UIV112" s="3"/>
      <c r="UIW112" s="3"/>
      <c r="UIX112" s="3"/>
      <c r="UIY112" s="3"/>
      <c r="UIZ112" s="3"/>
      <c r="UJA112" s="3"/>
      <c r="UJB112" s="3"/>
      <c r="UJC112" s="3"/>
      <c r="UJD112" s="3"/>
      <c r="UJE112" s="3"/>
      <c r="UJF112" s="3"/>
      <c r="UJG112" s="3"/>
      <c r="UJH112" s="3"/>
      <c r="UJI112" s="3"/>
      <c r="UJJ112" s="3"/>
      <c r="UJK112" s="3"/>
      <c r="UJL112" s="3"/>
      <c r="UJM112" s="3"/>
      <c r="UJN112" s="3"/>
      <c r="UJO112" s="3"/>
      <c r="UJP112" s="3"/>
      <c r="UJQ112" s="3"/>
      <c r="UJR112" s="3"/>
      <c r="UJS112" s="3"/>
      <c r="UJT112" s="3"/>
      <c r="UJU112" s="3"/>
      <c r="UJV112" s="3"/>
      <c r="UJW112" s="3"/>
      <c r="UJX112" s="3"/>
      <c r="UJY112" s="3"/>
      <c r="UJZ112" s="3"/>
      <c r="UKA112" s="3"/>
      <c r="UKB112" s="3"/>
      <c r="UKC112" s="3"/>
      <c r="UKD112" s="3"/>
      <c r="UKE112" s="3"/>
      <c r="UKF112" s="3"/>
      <c r="UKG112" s="3"/>
      <c r="UKH112" s="3"/>
      <c r="UKI112" s="3"/>
      <c r="UKJ112" s="3"/>
      <c r="UKK112" s="3"/>
      <c r="UKL112" s="3"/>
      <c r="UKM112" s="3"/>
      <c r="UKN112" s="3"/>
      <c r="UKO112" s="3"/>
      <c r="UKP112" s="3"/>
      <c r="UKQ112" s="3"/>
      <c r="UKR112" s="3"/>
      <c r="UKS112" s="3"/>
      <c r="UKT112" s="3"/>
      <c r="UKU112" s="3"/>
      <c r="UKV112" s="3"/>
      <c r="UKW112" s="3"/>
      <c r="UKX112" s="3"/>
      <c r="UKY112" s="3"/>
      <c r="UKZ112" s="3"/>
      <c r="ULA112" s="3"/>
      <c r="ULB112" s="3"/>
      <c r="ULC112" s="3"/>
      <c r="ULD112" s="3"/>
      <c r="ULE112" s="3"/>
      <c r="ULF112" s="3"/>
      <c r="ULG112" s="3"/>
      <c r="ULH112" s="3"/>
      <c r="ULI112" s="3"/>
      <c r="ULJ112" s="3"/>
      <c r="ULK112" s="3"/>
      <c r="ULL112" s="3"/>
      <c r="ULM112" s="3"/>
      <c r="ULN112" s="3"/>
      <c r="ULO112" s="3"/>
      <c r="ULP112" s="3"/>
      <c r="ULQ112" s="3"/>
      <c r="ULR112" s="3"/>
      <c r="ULS112" s="3"/>
      <c r="ULT112" s="3"/>
      <c r="ULU112" s="3"/>
      <c r="ULV112" s="3"/>
      <c r="ULW112" s="3"/>
      <c r="ULX112" s="3"/>
      <c r="ULY112" s="3"/>
      <c r="ULZ112" s="3"/>
      <c r="UMA112" s="3"/>
      <c r="UMB112" s="3"/>
      <c r="UMC112" s="3"/>
      <c r="UMD112" s="3"/>
      <c r="UME112" s="3"/>
      <c r="UMF112" s="3"/>
      <c r="UMG112" s="3"/>
      <c r="UMH112" s="3"/>
      <c r="UMI112" s="3"/>
      <c r="UMJ112" s="3"/>
      <c r="UMK112" s="3"/>
      <c r="UML112" s="3"/>
      <c r="UMM112" s="3"/>
      <c r="UMN112" s="3"/>
      <c r="UMO112" s="3"/>
      <c r="UMP112" s="3"/>
      <c r="UMQ112" s="3"/>
      <c r="UMR112" s="3"/>
      <c r="UMS112" s="3"/>
      <c r="UMT112" s="3"/>
      <c r="UMU112" s="3"/>
      <c r="UMV112" s="3"/>
      <c r="UMW112" s="3"/>
      <c r="UMX112" s="3"/>
      <c r="UMY112" s="3"/>
      <c r="UMZ112" s="3"/>
      <c r="UNA112" s="3"/>
      <c r="UNB112" s="3"/>
      <c r="UNC112" s="3"/>
      <c r="UND112" s="3"/>
      <c r="UNE112" s="3"/>
      <c r="UNF112" s="3"/>
      <c r="UNG112" s="3"/>
      <c r="UNH112" s="3"/>
      <c r="UNI112" s="3"/>
      <c r="UNJ112" s="3"/>
      <c r="UNK112" s="3"/>
      <c r="UNL112" s="3"/>
      <c r="UNM112" s="3"/>
      <c r="UNN112" s="3"/>
      <c r="UNO112" s="3"/>
      <c r="UNP112" s="3"/>
      <c r="UNQ112" s="3"/>
      <c r="UNR112" s="3"/>
      <c r="UNS112" s="3"/>
      <c r="UNT112" s="3"/>
      <c r="UNU112" s="3"/>
      <c r="UNV112" s="3"/>
      <c r="UNW112" s="3"/>
      <c r="UNX112" s="3"/>
      <c r="UNY112" s="3"/>
      <c r="UNZ112" s="3"/>
      <c r="UOA112" s="3"/>
      <c r="UOB112" s="3"/>
      <c r="UOC112" s="3"/>
      <c r="UOD112" s="3"/>
      <c r="UOE112" s="3"/>
      <c r="UOF112" s="3"/>
      <c r="UOG112" s="3"/>
      <c r="UOH112" s="3"/>
      <c r="UOI112" s="3"/>
      <c r="UOJ112" s="3"/>
      <c r="UOK112" s="3"/>
      <c r="UOL112" s="3"/>
      <c r="UOM112" s="3"/>
      <c r="UON112" s="3"/>
      <c r="UOO112" s="3"/>
      <c r="UOP112" s="3"/>
      <c r="UOQ112" s="3"/>
      <c r="UOR112" s="3"/>
      <c r="UOS112" s="3"/>
      <c r="UOT112" s="3"/>
      <c r="UOU112" s="3"/>
      <c r="UOV112" s="3"/>
      <c r="UOW112" s="3"/>
      <c r="UOX112" s="3"/>
      <c r="UOY112" s="3"/>
      <c r="UOZ112" s="3"/>
      <c r="UPA112" s="3"/>
      <c r="UPB112" s="3"/>
      <c r="UPC112" s="3"/>
      <c r="UPD112" s="3"/>
      <c r="UPE112" s="3"/>
      <c r="UPF112" s="3"/>
      <c r="UPG112" s="3"/>
      <c r="UPH112" s="3"/>
      <c r="UPI112" s="3"/>
      <c r="UPJ112" s="3"/>
      <c r="UPK112" s="3"/>
      <c r="UPL112" s="3"/>
      <c r="UPM112" s="3"/>
      <c r="UPN112" s="3"/>
      <c r="UPO112" s="3"/>
      <c r="UPP112" s="3"/>
      <c r="UPQ112" s="3"/>
      <c r="UPR112" s="3"/>
      <c r="UPS112" s="3"/>
      <c r="UPT112" s="3"/>
      <c r="UPU112" s="3"/>
      <c r="UPV112" s="3"/>
      <c r="UPW112" s="3"/>
      <c r="UPX112" s="3"/>
      <c r="UPY112" s="3"/>
      <c r="UPZ112" s="3"/>
      <c r="UQA112" s="3"/>
      <c r="UQB112" s="3"/>
      <c r="UQC112" s="3"/>
      <c r="UQD112" s="3"/>
      <c r="UQE112" s="3"/>
      <c r="UQF112" s="3"/>
      <c r="UQG112" s="3"/>
      <c r="UQH112" s="3"/>
      <c r="UQI112" s="3"/>
      <c r="UQJ112" s="3"/>
      <c r="UQK112" s="3"/>
      <c r="UQL112" s="3"/>
      <c r="UQM112" s="3"/>
      <c r="UQN112" s="3"/>
      <c r="UQO112" s="3"/>
      <c r="UQP112" s="3"/>
      <c r="UQQ112" s="3"/>
      <c r="UQR112" s="3"/>
      <c r="UQS112" s="3"/>
      <c r="UQT112" s="3"/>
      <c r="UQU112" s="3"/>
      <c r="UQV112" s="3"/>
      <c r="UQW112" s="3"/>
      <c r="UQX112" s="3"/>
      <c r="UQY112" s="3"/>
      <c r="UQZ112" s="3"/>
      <c r="URA112" s="3"/>
      <c r="URB112" s="3"/>
      <c r="URC112" s="3"/>
      <c r="URD112" s="3"/>
      <c r="URE112" s="3"/>
      <c r="URF112" s="3"/>
      <c r="URG112" s="3"/>
      <c r="URH112" s="3"/>
      <c r="URI112" s="3"/>
      <c r="URJ112" s="3"/>
      <c r="URK112" s="3"/>
      <c r="URL112" s="3"/>
      <c r="URM112" s="3"/>
      <c r="URN112" s="3"/>
      <c r="URO112" s="3"/>
      <c r="URP112" s="3"/>
      <c r="URQ112" s="3"/>
      <c r="URR112" s="3"/>
      <c r="URS112" s="3"/>
      <c r="URT112" s="3"/>
      <c r="URU112" s="3"/>
      <c r="URV112" s="3"/>
      <c r="URW112" s="3"/>
      <c r="URX112" s="3"/>
      <c r="URY112" s="3"/>
      <c r="URZ112" s="3"/>
      <c r="USA112" s="3"/>
      <c r="USB112" s="3"/>
      <c r="USC112" s="3"/>
      <c r="USD112" s="3"/>
      <c r="USE112" s="3"/>
      <c r="USF112" s="3"/>
      <c r="USG112" s="3"/>
      <c r="USH112" s="3"/>
      <c r="USI112" s="3"/>
      <c r="USJ112" s="3"/>
      <c r="USK112" s="3"/>
      <c r="USL112" s="3"/>
      <c r="USM112" s="3"/>
      <c r="USN112" s="3"/>
      <c r="USO112" s="3"/>
      <c r="USP112" s="3"/>
      <c r="USQ112" s="3"/>
      <c r="USR112" s="3"/>
      <c r="USS112" s="3"/>
      <c r="UST112" s="3"/>
      <c r="USU112" s="3"/>
      <c r="USV112" s="3"/>
      <c r="USW112" s="3"/>
      <c r="USX112" s="3"/>
      <c r="USY112" s="3"/>
      <c r="USZ112" s="3"/>
      <c r="UTA112" s="3"/>
      <c r="UTB112" s="3"/>
      <c r="UTC112" s="3"/>
      <c r="UTD112" s="3"/>
      <c r="UTE112" s="3"/>
      <c r="UTF112" s="3"/>
      <c r="UTG112" s="3"/>
      <c r="UTH112" s="3"/>
      <c r="UTI112" s="3"/>
      <c r="UTJ112" s="3"/>
      <c r="UTK112" s="3"/>
      <c r="UTL112" s="3"/>
      <c r="UTM112" s="3"/>
      <c r="UTN112" s="3"/>
      <c r="UTO112" s="3"/>
      <c r="UTP112" s="3"/>
      <c r="UTQ112" s="3"/>
      <c r="UTR112" s="3"/>
      <c r="UTS112" s="3"/>
      <c r="UTT112" s="3"/>
      <c r="UTU112" s="3"/>
      <c r="UTV112" s="3"/>
      <c r="UTW112" s="3"/>
      <c r="UTX112" s="3"/>
      <c r="UTY112" s="3"/>
      <c r="UTZ112" s="3"/>
      <c r="UUA112" s="3"/>
      <c r="UUB112" s="3"/>
      <c r="UUC112" s="3"/>
      <c r="UUD112" s="3"/>
      <c r="UUE112" s="3"/>
      <c r="UUF112" s="3"/>
      <c r="UUG112" s="3"/>
      <c r="UUH112" s="3"/>
      <c r="UUI112" s="3"/>
      <c r="UUJ112" s="3"/>
      <c r="UUK112" s="3"/>
      <c r="UUL112" s="3"/>
      <c r="UUM112" s="3"/>
      <c r="UUN112" s="3"/>
      <c r="UUO112" s="3"/>
      <c r="UUP112" s="3"/>
      <c r="UUQ112" s="3"/>
      <c r="UUR112" s="3"/>
      <c r="UUS112" s="3"/>
      <c r="UUT112" s="3"/>
      <c r="UUU112" s="3"/>
      <c r="UUV112" s="3"/>
      <c r="UUW112" s="3"/>
      <c r="UUX112" s="3"/>
      <c r="UUY112" s="3"/>
      <c r="UUZ112" s="3"/>
      <c r="UVA112" s="3"/>
      <c r="UVB112" s="3"/>
      <c r="UVC112" s="3"/>
      <c r="UVD112" s="3"/>
      <c r="UVE112" s="3"/>
      <c r="UVF112" s="3"/>
      <c r="UVG112" s="3"/>
      <c r="UVH112" s="3"/>
      <c r="UVI112" s="3"/>
      <c r="UVJ112" s="3"/>
      <c r="UVK112" s="3"/>
      <c r="UVL112" s="3"/>
      <c r="UVM112" s="3"/>
      <c r="UVN112" s="3"/>
      <c r="UVO112" s="3"/>
      <c r="UVP112" s="3"/>
      <c r="UVQ112" s="3"/>
      <c r="UVR112" s="3"/>
      <c r="UVS112" s="3"/>
      <c r="UVT112" s="3"/>
      <c r="UVU112" s="3"/>
      <c r="UVV112" s="3"/>
      <c r="UVW112" s="3"/>
      <c r="UVX112" s="3"/>
      <c r="UVY112" s="3"/>
      <c r="UVZ112" s="3"/>
      <c r="UWA112" s="3"/>
      <c r="UWB112" s="3"/>
      <c r="UWC112" s="3"/>
      <c r="UWD112" s="3"/>
      <c r="UWE112" s="3"/>
      <c r="UWF112" s="3"/>
      <c r="UWG112" s="3"/>
      <c r="UWH112" s="3"/>
      <c r="UWI112" s="3"/>
      <c r="UWJ112" s="3"/>
      <c r="UWK112" s="3"/>
      <c r="UWL112" s="3"/>
      <c r="UWM112" s="3"/>
      <c r="UWN112" s="3"/>
      <c r="UWO112" s="3"/>
      <c r="UWP112" s="3"/>
      <c r="UWQ112" s="3"/>
      <c r="UWR112" s="3"/>
      <c r="UWS112" s="3"/>
      <c r="UWT112" s="3"/>
      <c r="UWU112" s="3"/>
      <c r="UWV112" s="3"/>
      <c r="UWW112" s="3"/>
      <c r="UWX112" s="3"/>
      <c r="UWY112" s="3"/>
      <c r="UWZ112" s="3"/>
      <c r="UXA112" s="3"/>
      <c r="UXB112" s="3"/>
      <c r="UXC112" s="3"/>
      <c r="UXD112" s="3"/>
      <c r="UXE112" s="3"/>
      <c r="UXF112" s="3"/>
      <c r="UXG112" s="3"/>
      <c r="UXH112" s="3"/>
      <c r="UXI112" s="3"/>
      <c r="UXJ112" s="3"/>
      <c r="UXK112" s="3"/>
      <c r="UXL112" s="3"/>
      <c r="UXM112" s="3"/>
      <c r="UXN112" s="3"/>
      <c r="UXO112" s="3"/>
      <c r="UXP112" s="3"/>
      <c r="UXQ112" s="3"/>
      <c r="UXR112" s="3"/>
      <c r="UXS112" s="3"/>
      <c r="UXT112" s="3"/>
      <c r="UXU112" s="3"/>
      <c r="UXV112" s="3"/>
      <c r="UXW112" s="3"/>
      <c r="UXX112" s="3"/>
      <c r="UXY112" s="3"/>
      <c r="UXZ112" s="3"/>
      <c r="UYA112" s="3"/>
      <c r="UYB112" s="3"/>
      <c r="UYC112" s="3"/>
      <c r="UYD112" s="3"/>
      <c r="UYE112" s="3"/>
      <c r="UYF112" s="3"/>
      <c r="UYG112" s="3"/>
      <c r="UYH112" s="3"/>
      <c r="UYI112" s="3"/>
      <c r="UYJ112" s="3"/>
      <c r="UYK112" s="3"/>
      <c r="UYL112" s="3"/>
      <c r="UYM112" s="3"/>
      <c r="UYN112" s="3"/>
      <c r="UYO112" s="3"/>
      <c r="UYP112" s="3"/>
      <c r="UYQ112" s="3"/>
      <c r="UYR112" s="3"/>
      <c r="UYS112" s="3"/>
      <c r="UYT112" s="3"/>
      <c r="UYU112" s="3"/>
      <c r="UYV112" s="3"/>
      <c r="UYW112" s="3"/>
      <c r="UYX112" s="3"/>
      <c r="UYY112" s="3"/>
      <c r="UYZ112" s="3"/>
      <c r="UZA112" s="3"/>
      <c r="UZB112" s="3"/>
      <c r="UZC112" s="3"/>
      <c r="UZD112" s="3"/>
      <c r="UZE112" s="3"/>
      <c r="UZF112" s="3"/>
      <c r="UZG112" s="3"/>
      <c r="UZH112" s="3"/>
      <c r="UZI112" s="3"/>
      <c r="UZJ112" s="3"/>
      <c r="UZK112" s="3"/>
      <c r="UZL112" s="3"/>
      <c r="UZM112" s="3"/>
      <c r="UZN112" s="3"/>
      <c r="UZO112" s="3"/>
      <c r="UZP112" s="3"/>
      <c r="UZQ112" s="3"/>
      <c r="UZR112" s="3"/>
      <c r="UZS112" s="3"/>
      <c r="UZT112" s="3"/>
      <c r="UZU112" s="3"/>
      <c r="UZV112" s="3"/>
      <c r="UZW112" s="3"/>
      <c r="UZX112" s="3"/>
      <c r="UZY112" s="3"/>
      <c r="UZZ112" s="3"/>
      <c r="VAA112" s="3"/>
      <c r="VAB112" s="3"/>
      <c r="VAC112" s="3"/>
      <c r="VAD112" s="3"/>
      <c r="VAE112" s="3"/>
      <c r="VAF112" s="3"/>
      <c r="VAG112" s="3"/>
      <c r="VAH112" s="3"/>
      <c r="VAI112" s="3"/>
      <c r="VAJ112" s="3"/>
      <c r="VAK112" s="3"/>
      <c r="VAL112" s="3"/>
      <c r="VAM112" s="3"/>
      <c r="VAN112" s="3"/>
      <c r="VAO112" s="3"/>
      <c r="VAP112" s="3"/>
      <c r="VAQ112" s="3"/>
      <c r="VAR112" s="3"/>
      <c r="VAS112" s="3"/>
      <c r="VAT112" s="3"/>
      <c r="VAU112" s="3"/>
      <c r="VAV112" s="3"/>
      <c r="VAW112" s="3"/>
      <c r="VAX112" s="3"/>
      <c r="VAY112" s="3"/>
      <c r="VAZ112" s="3"/>
      <c r="VBA112" s="3"/>
      <c r="VBB112" s="3"/>
      <c r="VBC112" s="3"/>
      <c r="VBD112" s="3"/>
      <c r="VBE112" s="3"/>
      <c r="VBF112" s="3"/>
      <c r="VBG112" s="3"/>
      <c r="VBH112" s="3"/>
      <c r="VBI112" s="3"/>
      <c r="VBJ112" s="3"/>
      <c r="VBK112" s="3"/>
      <c r="VBL112" s="3"/>
      <c r="VBM112" s="3"/>
      <c r="VBN112" s="3"/>
      <c r="VBO112" s="3"/>
      <c r="VBP112" s="3"/>
      <c r="VBQ112" s="3"/>
      <c r="VBR112" s="3"/>
      <c r="VBS112" s="3"/>
      <c r="VBT112" s="3"/>
      <c r="VBU112" s="3"/>
      <c r="VBV112" s="3"/>
      <c r="VBW112" s="3"/>
      <c r="VBX112" s="3"/>
      <c r="VBY112" s="3"/>
      <c r="VBZ112" s="3"/>
      <c r="VCA112" s="3"/>
      <c r="VCB112" s="3"/>
      <c r="VCC112" s="3"/>
      <c r="VCD112" s="3"/>
      <c r="VCE112" s="3"/>
      <c r="VCF112" s="3"/>
      <c r="VCG112" s="3"/>
      <c r="VCH112" s="3"/>
      <c r="VCI112" s="3"/>
      <c r="VCJ112" s="3"/>
      <c r="VCK112" s="3"/>
      <c r="VCL112" s="3"/>
      <c r="VCM112" s="3"/>
      <c r="VCN112" s="3"/>
      <c r="VCO112" s="3"/>
      <c r="VCP112" s="3"/>
      <c r="VCQ112" s="3"/>
      <c r="VCR112" s="3"/>
      <c r="VCS112" s="3"/>
      <c r="VCT112" s="3"/>
      <c r="VCU112" s="3"/>
      <c r="VCV112" s="3"/>
      <c r="VCW112" s="3"/>
      <c r="VCX112" s="3"/>
      <c r="VCY112" s="3"/>
      <c r="VCZ112" s="3"/>
      <c r="VDA112" s="3"/>
      <c r="VDB112" s="3"/>
      <c r="VDC112" s="3"/>
      <c r="VDD112" s="3"/>
      <c r="VDE112" s="3"/>
      <c r="VDF112" s="3"/>
      <c r="VDG112" s="3"/>
      <c r="VDH112" s="3"/>
      <c r="VDI112" s="3"/>
      <c r="VDJ112" s="3"/>
      <c r="VDK112" s="3"/>
      <c r="VDL112" s="3"/>
      <c r="VDM112" s="3"/>
      <c r="VDN112" s="3"/>
      <c r="VDO112" s="3"/>
      <c r="VDP112" s="3"/>
      <c r="VDQ112" s="3"/>
      <c r="VDR112" s="3"/>
      <c r="VDS112" s="3"/>
      <c r="VDT112" s="3"/>
      <c r="VDU112" s="3"/>
      <c r="VDV112" s="3"/>
      <c r="VDW112" s="3"/>
      <c r="VDX112" s="3"/>
      <c r="VDY112" s="3"/>
      <c r="VDZ112" s="3"/>
      <c r="VEA112" s="3"/>
      <c r="VEB112" s="3"/>
      <c r="VEC112" s="3"/>
      <c r="VED112" s="3"/>
      <c r="VEE112" s="3"/>
      <c r="VEF112" s="3"/>
      <c r="VEG112" s="3"/>
      <c r="VEH112" s="3"/>
      <c r="VEI112" s="3"/>
      <c r="VEJ112" s="3"/>
      <c r="VEK112" s="3"/>
      <c r="VEL112" s="3"/>
      <c r="VEM112" s="3"/>
      <c r="VEN112" s="3"/>
      <c r="VEO112" s="3"/>
      <c r="VEP112" s="3"/>
      <c r="VEQ112" s="3"/>
      <c r="VER112" s="3"/>
      <c r="VES112" s="3"/>
      <c r="VET112" s="3"/>
      <c r="VEU112" s="3"/>
      <c r="VEV112" s="3"/>
      <c r="VEW112" s="3"/>
      <c r="VEX112" s="3"/>
      <c r="VEY112" s="3"/>
      <c r="VEZ112" s="3"/>
      <c r="VFA112" s="3"/>
      <c r="VFB112" s="3"/>
      <c r="VFC112" s="3"/>
      <c r="VFD112" s="3"/>
      <c r="VFE112" s="3"/>
      <c r="VFF112" s="3"/>
      <c r="VFG112" s="3"/>
      <c r="VFH112" s="3"/>
      <c r="VFI112" s="3"/>
      <c r="VFJ112" s="3"/>
      <c r="VFK112" s="3"/>
      <c r="VFL112" s="3"/>
      <c r="VFM112" s="3"/>
      <c r="VFN112" s="3"/>
      <c r="VFO112" s="3"/>
      <c r="VFP112" s="3"/>
      <c r="VFQ112" s="3"/>
      <c r="VFR112" s="3"/>
      <c r="VFS112" s="3"/>
      <c r="VFT112" s="3"/>
      <c r="VFU112" s="3"/>
      <c r="VFV112" s="3"/>
      <c r="VFW112" s="3"/>
      <c r="VFX112" s="3"/>
      <c r="VFY112" s="3"/>
      <c r="VFZ112" s="3"/>
      <c r="VGA112" s="3"/>
      <c r="VGB112" s="3"/>
      <c r="VGC112" s="3"/>
      <c r="VGD112" s="3"/>
      <c r="VGE112" s="3"/>
      <c r="VGF112" s="3"/>
      <c r="VGG112" s="3"/>
      <c r="VGH112" s="3"/>
      <c r="VGI112" s="3"/>
      <c r="VGJ112" s="3"/>
      <c r="VGK112" s="3"/>
      <c r="VGL112" s="3"/>
      <c r="VGM112" s="3"/>
      <c r="VGN112" s="3"/>
      <c r="VGO112" s="3"/>
      <c r="VGP112" s="3"/>
      <c r="VGQ112" s="3"/>
      <c r="VGR112" s="3"/>
      <c r="VGS112" s="3"/>
      <c r="VGT112" s="3"/>
      <c r="VGU112" s="3"/>
      <c r="VGV112" s="3"/>
      <c r="VGW112" s="3"/>
      <c r="VGX112" s="3"/>
      <c r="VGY112" s="3"/>
      <c r="VGZ112" s="3"/>
      <c r="VHA112" s="3"/>
      <c r="VHB112" s="3"/>
      <c r="VHC112" s="3"/>
      <c r="VHD112" s="3"/>
      <c r="VHE112" s="3"/>
      <c r="VHF112" s="3"/>
      <c r="VHG112" s="3"/>
      <c r="VHH112" s="3"/>
      <c r="VHI112" s="3"/>
      <c r="VHJ112" s="3"/>
      <c r="VHK112" s="3"/>
      <c r="VHL112" s="3"/>
      <c r="VHM112" s="3"/>
      <c r="VHN112" s="3"/>
      <c r="VHO112" s="3"/>
      <c r="VHP112" s="3"/>
      <c r="VHQ112" s="3"/>
      <c r="VHR112" s="3"/>
      <c r="VHS112" s="3"/>
      <c r="VHT112" s="3"/>
      <c r="VHU112" s="3"/>
      <c r="VHV112" s="3"/>
      <c r="VHW112" s="3"/>
      <c r="VHX112" s="3"/>
      <c r="VHY112" s="3"/>
      <c r="VHZ112" s="3"/>
      <c r="VIA112" s="3"/>
      <c r="VIB112" s="3"/>
      <c r="VIC112" s="3"/>
      <c r="VID112" s="3"/>
      <c r="VIE112" s="3"/>
      <c r="VIF112" s="3"/>
      <c r="VIG112" s="3"/>
      <c r="VIH112" s="3"/>
      <c r="VII112" s="3"/>
      <c r="VIJ112" s="3"/>
      <c r="VIK112" s="3"/>
      <c r="VIL112" s="3"/>
      <c r="VIM112" s="3"/>
      <c r="VIN112" s="3"/>
      <c r="VIO112" s="3"/>
      <c r="VIP112" s="3"/>
      <c r="VIQ112" s="3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  <c r="VWP112"/>
      <c r="VWQ112"/>
      <c r="VWR112"/>
      <c r="VWS112"/>
      <c r="VWT112"/>
      <c r="VWU112"/>
      <c r="VWV112"/>
      <c r="VWW112"/>
      <c r="VWX112"/>
      <c r="VWY112"/>
      <c r="VWZ112"/>
      <c r="VXA112"/>
      <c r="VXB112"/>
      <c r="VXC112"/>
      <c r="VXD112"/>
      <c r="VXE112"/>
      <c r="VXF112"/>
      <c r="VXG112"/>
      <c r="VXH112"/>
      <c r="VXI112"/>
      <c r="VXJ112"/>
      <c r="VXK112"/>
      <c r="VXL112"/>
      <c r="VXM112"/>
      <c r="VXN112"/>
      <c r="VXO112"/>
      <c r="VXP112"/>
      <c r="VXQ112"/>
      <c r="VXR112"/>
      <c r="VXS112"/>
      <c r="VXT112"/>
    </row>
    <row r="113" spans="1:15516" s="1" customFormat="1" ht="14.25">
      <c r="B113" s="75"/>
      <c r="C113" s="248" t="s">
        <v>69</v>
      </c>
      <c r="D113" s="79"/>
      <c r="E113" s="75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126"/>
      <c r="AK113" s="181" t="s">
        <v>69</v>
      </c>
      <c r="AM113" s="127"/>
    </row>
    <row r="114" spans="1:15516" s="1" customFormat="1" ht="14.25">
      <c r="B114" s="75"/>
      <c r="C114" s="159" t="s">
        <v>82</v>
      </c>
      <c r="D114" s="74">
        <v>0.3</v>
      </c>
      <c r="E114" s="249" t="s">
        <v>13</v>
      </c>
      <c r="F114" s="92" t="e">
        <f t="shared" ref="F114:AI114" si="72">F107/F98*100</f>
        <v>#DIV/0!</v>
      </c>
      <c r="G114" s="92" t="e">
        <f t="shared" si="72"/>
        <v>#DIV/0!</v>
      </c>
      <c r="H114" s="92" t="e">
        <f t="shared" si="72"/>
        <v>#DIV/0!</v>
      </c>
      <c r="I114" s="92" t="e">
        <f t="shared" si="72"/>
        <v>#DIV/0!</v>
      </c>
      <c r="J114" s="92">
        <f t="shared" si="72"/>
        <v>2.918855808523059E-2</v>
      </c>
      <c r="K114" s="92" t="e">
        <f t="shared" si="72"/>
        <v>#DIV/0!</v>
      </c>
      <c r="L114" s="92" t="e">
        <f t="shared" si="72"/>
        <v>#DIV/0!</v>
      </c>
      <c r="M114" s="92" t="e">
        <f t="shared" si="72"/>
        <v>#DIV/0!</v>
      </c>
      <c r="N114" s="92" t="e">
        <f t="shared" si="72"/>
        <v>#DIV/0!</v>
      </c>
      <c r="O114" s="92" t="e">
        <f t="shared" si="72"/>
        <v>#DIV/0!</v>
      </c>
      <c r="P114" s="92" t="e">
        <f t="shared" si="72"/>
        <v>#DIV/0!</v>
      </c>
      <c r="Q114" s="92">
        <f t="shared" si="72"/>
        <v>0.17513134851138354</v>
      </c>
      <c r="R114" s="92" t="e">
        <f t="shared" si="72"/>
        <v>#DIV/0!</v>
      </c>
      <c r="S114" s="92" t="e">
        <f t="shared" si="72"/>
        <v>#DIV/0!</v>
      </c>
      <c r="T114" s="92" t="e">
        <f t="shared" si="72"/>
        <v>#DIV/0!</v>
      </c>
      <c r="U114" s="92" t="e">
        <f t="shared" si="72"/>
        <v>#DIV/0!</v>
      </c>
      <c r="V114" s="92" t="e">
        <f t="shared" si="72"/>
        <v>#DIV/0!</v>
      </c>
      <c r="W114" s="92" t="e">
        <f t="shared" si="72"/>
        <v>#DIV/0!</v>
      </c>
      <c r="X114" s="92">
        <f t="shared" si="72"/>
        <v>5.8394160583941611E-2</v>
      </c>
      <c r="Y114" s="92" t="e">
        <f t="shared" si="72"/>
        <v>#DIV/0!</v>
      </c>
      <c r="Z114" s="92" t="e">
        <f t="shared" si="72"/>
        <v>#DIV/0!</v>
      </c>
      <c r="AA114" s="92" t="e">
        <f t="shared" si="72"/>
        <v>#DIV/0!</v>
      </c>
      <c r="AB114" s="92" t="e">
        <f t="shared" si="72"/>
        <v>#DIV/0!</v>
      </c>
      <c r="AC114" s="92" t="e">
        <f t="shared" si="72"/>
        <v>#DIV/0!</v>
      </c>
      <c r="AD114" s="92" t="e">
        <f t="shared" si="72"/>
        <v>#DIV/0!</v>
      </c>
      <c r="AE114" s="92">
        <f t="shared" si="72"/>
        <v>2.918855808523059E-2</v>
      </c>
      <c r="AF114" s="92" t="e">
        <f t="shared" si="72"/>
        <v>#DIV/0!</v>
      </c>
      <c r="AG114" s="92" t="e">
        <f t="shared" si="72"/>
        <v>#DIV/0!</v>
      </c>
      <c r="AH114" s="92" t="e">
        <f t="shared" si="72"/>
        <v>#DIV/0!</v>
      </c>
      <c r="AI114" s="92" t="e">
        <f t="shared" si="72"/>
        <v>#DIV/0!</v>
      </c>
      <c r="AJ114" s="126"/>
      <c r="AK114" s="128">
        <f>AK107/AK98*100</f>
        <v>7.2976720426184055E-2</v>
      </c>
      <c r="AM114" s="127"/>
    </row>
    <row r="115" spans="1:15516" s="1" customFormat="1" ht="14.25">
      <c r="B115" s="75"/>
      <c r="C115" s="159" t="s">
        <v>83</v>
      </c>
      <c r="D115" s="74">
        <v>0.3</v>
      </c>
      <c r="E115" s="249" t="s">
        <v>13</v>
      </c>
      <c r="F115" s="92" t="e">
        <f t="shared" ref="F115:AI115" si="73">F108/F99*100</f>
        <v>#DIV/0!</v>
      </c>
      <c r="G115" s="92" t="e">
        <f t="shared" si="73"/>
        <v>#DIV/0!</v>
      </c>
      <c r="H115" s="92" t="e">
        <f t="shared" si="73"/>
        <v>#DIV/0!</v>
      </c>
      <c r="I115" s="92" t="e">
        <f t="shared" si="73"/>
        <v>#DIV/0!</v>
      </c>
      <c r="J115" s="92">
        <f t="shared" si="73"/>
        <v>0.10217486498321413</v>
      </c>
      <c r="K115" s="92" t="e">
        <f t="shared" si="73"/>
        <v>#DIV/0!</v>
      </c>
      <c r="L115" s="92" t="e">
        <f t="shared" si="73"/>
        <v>#DIV/0!</v>
      </c>
      <c r="M115" s="92" t="e">
        <f t="shared" si="73"/>
        <v>#DIV/0!</v>
      </c>
      <c r="N115" s="92" t="e">
        <f t="shared" si="73"/>
        <v>#DIV/0!</v>
      </c>
      <c r="O115" s="92" t="e">
        <f t="shared" si="73"/>
        <v>#DIV/0!</v>
      </c>
      <c r="P115" s="92" t="e">
        <f t="shared" si="73"/>
        <v>#DIV/0!</v>
      </c>
      <c r="Q115" s="92">
        <f t="shared" si="73"/>
        <v>0.18978102189781021</v>
      </c>
      <c r="R115" s="92" t="e">
        <f t="shared" si="73"/>
        <v>#DIV/0!</v>
      </c>
      <c r="S115" s="92" t="e">
        <f t="shared" si="73"/>
        <v>#DIV/0!</v>
      </c>
      <c r="T115" s="92" t="e">
        <f t="shared" si="73"/>
        <v>#DIV/0!</v>
      </c>
      <c r="U115" s="92" t="e">
        <f t="shared" si="73"/>
        <v>#DIV/0!</v>
      </c>
      <c r="V115" s="92" t="e">
        <f t="shared" si="73"/>
        <v>#DIV/0!</v>
      </c>
      <c r="W115" s="92" t="e">
        <f t="shared" si="73"/>
        <v>#DIV/0!</v>
      </c>
      <c r="X115" s="92">
        <f t="shared" si="73"/>
        <v>0.12066365007541478</v>
      </c>
      <c r="Y115" s="92" t="e">
        <f t="shared" si="73"/>
        <v>#DIV/0!</v>
      </c>
      <c r="Z115" s="92" t="e">
        <f t="shared" si="73"/>
        <v>#DIV/0!</v>
      </c>
      <c r="AA115" s="92" t="e">
        <f t="shared" si="73"/>
        <v>#DIV/0!</v>
      </c>
      <c r="AB115" s="92" t="e">
        <f t="shared" si="73"/>
        <v>#DIV/0!</v>
      </c>
      <c r="AC115" s="92" t="e">
        <f t="shared" si="73"/>
        <v>#DIV/0!</v>
      </c>
      <c r="AD115" s="92" t="e">
        <f t="shared" si="73"/>
        <v>#DIV/0!</v>
      </c>
      <c r="AE115" s="92" t="e">
        <f t="shared" si="73"/>
        <v>#DIV/0!</v>
      </c>
      <c r="AF115" s="92" t="e">
        <f t="shared" si="73"/>
        <v>#DIV/0!</v>
      </c>
      <c r="AG115" s="92" t="e">
        <f t="shared" si="73"/>
        <v>#DIV/0!</v>
      </c>
      <c r="AH115" s="92" t="e">
        <f t="shared" si="73"/>
        <v>#DIV/0!</v>
      </c>
      <c r="AI115" s="92" t="e">
        <f t="shared" si="73"/>
        <v>#DIV/0!</v>
      </c>
      <c r="AJ115" s="126"/>
      <c r="AK115" s="128">
        <f>AK108/AK99*100</f>
        <v>0.13772072205007133</v>
      </c>
      <c r="AM115" s="127"/>
    </row>
    <row r="116" spans="1:15516" s="1" customFormat="1" ht="14.25">
      <c r="B116" s="75"/>
      <c r="C116" s="248" t="s">
        <v>73</v>
      </c>
      <c r="D116" s="74"/>
      <c r="E116" s="75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126"/>
      <c r="AK116" s="181" t="s">
        <v>73</v>
      </c>
      <c r="AM116" s="127"/>
    </row>
    <row r="117" spans="1:15516" s="1" customFormat="1" ht="14.25">
      <c r="B117" s="75"/>
      <c r="C117" s="159" t="s">
        <v>82</v>
      </c>
      <c r="D117" s="74">
        <v>0.5</v>
      </c>
      <c r="E117" s="249" t="s">
        <v>13</v>
      </c>
      <c r="F117" s="92" t="e">
        <f t="shared" ref="F117:AI117" si="74">F110/F101*100</f>
        <v>#DIV/0!</v>
      </c>
      <c r="G117" s="92" t="e">
        <f t="shared" si="74"/>
        <v>#DIV/0!</v>
      </c>
      <c r="H117" s="92" t="e">
        <f t="shared" si="74"/>
        <v>#DIV/0!</v>
      </c>
      <c r="I117" s="92" t="e">
        <f t="shared" si="74"/>
        <v>#DIV/0!</v>
      </c>
      <c r="J117" s="92">
        <f t="shared" si="74"/>
        <v>2.4323798404358825E-3</v>
      </c>
      <c r="K117" s="92" t="e">
        <f t="shared" si="74"/>
        <v>#DIV/0!</v>
      </c>
      <c r="L117" s="92" t="e">
        <f t="shared" si="74"/>
        <v>#DIV/0!</v>
      </c>
      <c r="M117" s="92" t="e">
        <f t="shared" si="74"/>
        <v>#DIV/0!</v>
      </c>
      <c r="N117" s="92" t="e">
        <f t="shared" si="74"/>
        <v>#DIV/0!</v>
      </c>
      <c r="O117" s="92" t="e">
        <f t="shared" si="74"/>
        <v>#DIV/0!</v>
      </c>
      <c r="P117" s="92" t="e">
        <f t="shared" si="74"/>
        <v>#DIV/0!</v>
      </c>
      <c r="Q117" s="92">
        <f t="shared" si="74"/>
        <v>0</v>
      </c>
      <c r="R117" s="92" t="e">
        <f t="shared" si="74"/>
        <v>#DIV/0!</v>
      </c>
      <c r="S117" s="92" t="e">
        <f t="shared" si="74"/>
        <v>#DIV/0!</v>
      </c>
      <c r="T117" s="92" t="e">
        <f t="shared" si="74"/>
        <v>#DIV/0!</v>
      </c>
      <c r="U117" s="92" t="e">
        <f t="shared" si="74"/>
        <v>#DIV/0!</v>
      </c>
      <c r="V117" s="92" t="e">
        <f t="shared" si="74"/>
        <v>#DIV/0!</v>
      </c>
      <c r="W117" s="92" t="e">
        <f t="shared" si="74"/>
        <v>#DIV/0!</v>
      </c>
      <c r="X117" s="92">
        <f t="shared" si="74"/>
        <v>1.2165450121654502E-2</v>
      </c>
      <c r="Y117" s="92" t="e">
        <f t="shared" si="74"/>
        <v>#DIV/0!</v>
      </c>
      <c r="Z117" s="92" t="e">
        <f t="shared" si="74"/>
        <v>#DIV/0!</v>
      </c>
      <c r="AA117" s="92" t="e">
        <f t="shared" si="74"/>
        <v>#DIV/0!</v>
      </c>
      <c r="AB117" s="92" t="e">
        <f t="shared" si="74"/>
        <v>#DIV/0!</v>
      </c>
      <c r="AC117" s="92" t="e">
        <f t="shared" si="74"/>
        <v>#DIV/0!</v>
      </c>
      <c r="AD117" s="92" t="e">
        <f t="shared" si="74"/>
        <v>#DIV/0!</v>
      </c>
      <c r="AE117" s="92">
        <f t="shared" si="74"/>
        <v>9.7295193617435299E-3</v>
      </c>
      <c r="AF117" s="92" t="e">
        <f t="shared" si="74"/>
        <v>#DIV/0!</v>
      </c>
      <c r="AG117" s="92" t="e">
        <f t="shared" si="74"/>
        <v>#DIV/0!</v>
      </c>
      <c r="AH117" s="92" t="e">
        <f t="shared" si="74"/>
        <v>#DIV/0!</v>
      </c>
      <c r="AI117" s="92" t="e">
        <f t="shared" si="74"/>
        <v>#DIV/0!</v>
      </c>
      <c r="AJ117" s="126"/>
      <c r="AK117" s="128">
        <f>AK110/AK101*100</f>
        <v>6.0813933688486704E-3</v>
      </c>
      <c r="AM117" s="127"/>
    </row>
    <row r="118" spans="1:15516" s="1" customFormat="1" ht="14.25">
      <c r="B118" s="75"/>
      <c r="C118" s="159" t="s">
        <v>83</v>
      </c>
      <c r="D118" s="74">
        <v>0.5</v>
      </c>
      <c r="E118" s="249" t="s">
        <v>13</v>
      </c>
      <c r="F118" s="92" t="e">
        <f t="shared" ref="F118:AI118" si="75">F111/F102*100</f>
        <v>#DIV/0!</v>
      </c>
      <c r="G118" s="92" t="e">
        <f t="shared" si="75"/>
        <v>#DIV/0!</v>
      </c>
      <c r="H118" s="92" t="e">
        <f t="shared" si="75"/>
        <v>#DIV/0!</v>
      </c>
      <c r="I118" s="92" t="e">
        <f t="shared" si="75"/>
        <v>#DIV/0!</v>
      </c>
      <c r="J118" s="92">
        <f t="shared" si="75"/>
        <v>3.4058288327738044E-2</v>
      </c>
      <c r="K118" s="92" t="e">
        <f t="shared" si="75"/>
        <v>#DIV/0!</v>
      </c>
      <c r="L118" s="92" t="e">
        <f t="shared" si="75"/>
        <v>#DIV/0!</v>
      </c>
      <c r="M118" s="92" t="e">
        <f t="shared" si="75"/>
        <v>#DIV/0!</v>
      </c>
      <c r="N118" s="92" t="e">
        <f t="shared" si="75"/>
        <v>#DIV/0!</v>
      </c>
      <c r="O118" s="92" t="e">
        <f t="shared" si="75"/>
        <v>#DIV/0!</v>
      </c>
      <c r="P118" s="92" t="e">
        <f t="shared" si="75"/>
        <v>#DIV/0!</v>
      </c>
      <c r="Q118" s="92">
        <f t="shared" si="75"/>
        <v>0.10462287104622871</v>
      </c>
      <c r="R118" s="92" t="e">
        <f t="shared" si="75"/>
        <v>#DIV/0!</v>
      </c>
      <c r="S118" s="92" t="e">
        <f t="shared" si="75"/>
        <v>#DIV/0!</v>
      </c>
      <c r="T118" s="92" t="e">
        <f t="shared" si="75"/>
        <v>#DIV/0!</v>
      </c>
      <c r="U118" s="92" t="e">
        <f t="shared" si="75"/>
        <v>#DIV/0!</v>
      </c>
      <c r="V118" s="92" t="e">
        <f t="shared" si="75"/>
        <v>#DIV/0!</v>
      </c>
      <c r="W118" s="92" t="e">
        <f t="shared" si="75"/>
        <v>#DIV/0!</v>
      </c>
      <c r="X118" s="92">
        <f t="shared" si="75"/>
        <v>0.10809451985922575</v>
      </c>
      <c r="Y118" s="92" t="e">
        <f t="shared" si="75"/>
        <v>#DIV/0!</v>
      </c>
      <c r="Z118" s="92" t="e">
        <f t="shared" si="75"/>
        <v>#DIV/0!</v>
      </c>
      <c r="AA118" s="92" t="e">
        <f t="shared" si="75"/>
        <v>#DIV/0!</v>
      </c>
      <c r="AB118" s="92" t="e">
        <f t="shared" si="75"/>
        <v>#DIV/0!</v>
      </c>
      <c r="AC118" s="92" t="e">
        <f t="shared" si="75"/>
        <v>#DIV/0!</v>
      </c>
      <c r="AD118" s="92" t="e">
        <f t="shared" si="75"/>
        <v>#DIV/0!</v>
      </c>
      <c r="AE118" s="92" t="e">
        <f t="shared" si="75"/>
        <v>#DIV/0!</v>
      </c>
      <c r="AF118" s="92" t="e">
        <f t="shared" si="75"/>
        <v>#DIV/0!</v>
      </c>
      <c r="AG118" s="92" t="e">
        <f t="shared" si="75"/>
        <v>#DIV/0!</v>
      </c>
      <c r="AH118" s="92" t="e">
        <f t="shared" si="75"/>
        <v>#DIV/0!</v>
      </c>
      <c r="AI118" s="92" t="e">
        <f t="shared" si="75"/>
        <v>#DIV/0!</v>
      </c>
      <c r="AJ118" s="126"/>
      <c r="AK118" s="128">
        <f>AK111/AK102*100</f>
        <v>8.1976620267899591E-2</v>
      </c>
      <c r="AM118" s="127"/>
    </row>
    <row r="119" spans="1:15516" s="1" customFormat="1">
      <c r="A119" s="3"/>
      <c r="B119" s="58">
        <v>7</v>
      </c>
      <c r="C119" s="40" t="s">
        <v>140</v>
      </c>
      <c r="D119" s="59"/>
      <c r="E119" s="59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112"/>
      <c r="AD119" s="60"/>
      <c r="AE119" s="60"/>
      <c r="AF119" s="60"/>
      <c r="AG119" s="60"/>
      <c r="AH119" s="112"/>
      <c r="AI119" s="112"/>
      <c r="AJ119" s="116"/>
      <c r="AK119" s="233" t="s">
        <v>64</v>
      </c>
      <c r="AL119" s="3"/>
      <c r="AM119" s="3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263">
        <v>284608</v>
      </c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3"/>
      <c r="ANB119" s="3"/>
      <c r="ANC119" s="3"/>
      <c r="AND119" s="3"/>
      <c r="ANE119" s="3"/>
      <c r="ANF119" s="3"/>
      <c r="ANG119" s="3"/>
      <c r="ANH119" s="3"/>
      <c r="ANI119" s="3"/>
      <c r="ANJ119" s="3"/>
      <c r="ANK119" s="3"/>
      <c r="ANL119" s="3"/>
      <c r="ANM119" s="3"/>
      <c r="ANN119" s="3"/>
      <c r="ANO119" s="3"/>
      <c r="ANP119" s="3"/>
      <c r="ANQ119" s="3"/>
      <c r="ANR119" s="3"/>
      <c r="ANS119" s="3"/>
      <c r="ANT119" s="3"/>
      <c r="ANU119" s="3"/>
      <c r="ANV119" s="3"/>
      <c r="ANW119" s="3"/>
      <c r="ANX119" s="3"/>
      <c r="ANY119" s="3"/>
      <c r="ANZ119" s="3"/>
      <c r="AOA119" s="3"/>
      <c r="AOB119" s="3"/>
      <c r="AOC119" s="3"/>
      <c r="AOD119" s="3"/>
      <c r="AOE119" s="3"/>
      <c r="AOF119" s="3"/>
      <c r="AOG119" s="3"/>
      <c r="AOH119" s="3"/>
      <c r="AOI119" s="3"/>
      <c r="AOJ119" s="3"/>
      <c r="AOK119" s="3"/>
      <c r="AOL119" s="3"/>
      <c r="AOM119" s="3"/>
      <c r="AON119" s="3"/>
      <c r="AOO119" s="3"/>
      <c r="AOP119" s="3"/>
      <c r="AOQ119" s="3"/>
      <c r="AOR119" s="3"/>
      <c r="AOS119" s="3"/>
      <c r="AOT119" s="3"/>
      <c r="AOU119" s="3"/>
      <c r="AOV119" s="3"/>
      <c r="AOW119" s="3"/>
      <c r="AOX119" s="3"/>
      <c r="AOY119" s="3"/>
      <c r="AOZ119" s="3"/>
      <c r="APA119" s="3"/>
      <c r="APB119" s="3"/>
      <c r="APC119" s="3"/>
      <c r="APD119" s="3"/>
      <c r="APE119" s="3"/>
      <c r="APF119" s="3"/>
      <c r="APG119" s="3"/>
      <c r="APH119" s="3"/>
      <c r="API119" s="3"/>
      <c r="APJ119" s="3"/>
      <c r="APK119" s="3"/>
      <c r="APL119" s="3"/>
      <c r="APM119" s="3"/>
      <c r="APN119" s="3"/>
      <c r="APO119" s="3"/>
      <c r="APP119" s="3"/>
      <c r="APQ119" s="3"/>
      <c r="APR119" s="3"/>
      <c r="APS119" s="3"/>
      <c r="APT119" s="3"/>
      <c r="APU119" s="3"/>
      <c r="APV119" s="3"/>
      <c r="APW119" s="3"/>
      <c r="APX119" s="3"/>
      <c r="APY119" s="3"/>
      <c r="APZ119" s="3"/>
      <c r="AQA119" s="3"/>
      <c r="AQB119" s="3"/>
      <c r="AQC119" s="3"/>
      <c r="AQD119" s="3"/>
      <c r="AQE119" s="3"/>
      <c r="AQF119" s="3"/>
      <c r="AQG119" s="3"/>
      <c r="AQH119" s="3"/>
      <c r="AQI119" s="3"/>
      <c r="AQJ119" s="3"/>
      <c r="AQK119" s="3"/>
      <c r="AQL119" s="3"/>
      <c r="AQM119" s="3"/>
      <c r="AQN119" s="3"/>
      <c r="AQO119" s="3"/>
      <c r="AQP119" s="3"/>
      <c r="AQQ119" s="3"/>
      <c r="AQR119" s="3"/>
      <c r="AQS119" s="3"/>
      <c r="AQT119" s="3"/>
      <c r="AQU119" s="3"/>
      <c r="AQV119" s="3"/>
      <c r="AQW119" s="3"/>
      <c r="AQX119" s="3"/>
      <c r="AQY119" s="3"/>
      <c r="AQZ119" s="3"/>
      <c r="ARA119" s="3"/>
      <c r="ARB119" s="3"/>
      <c r="ARC119" s="3"/>
      <c r="ARD119" s="3"/>
      <c r="ARE119" s="3"/>
      <c r="ARF119" s="3"/>
      <c r="ARG119" s="3"/>
      <c r="ARH119" s="3"/>
      <c r="ARI119" s="3"/>
      <c r="ARJ119" s="3"/>
      <c r="ARK119" s="3"/>
      <c r="ARL119" s="3"/>
      <c r="ARM119" s="3"/>
      <c r="ARN119" s="3"/>
      <c r="ARO119" s="3"/>
      <c r="ARP119" s="3"/>
      <c r="ARQ119" s="3"/>
      <c r="ARR119" s="3"/>
      <c r="ARS119" s="3"/>
      <c r="ART119" s="3"/>
      <c r="ARU119" s="3"/>
      <c r="ARV119" s="3"/>
      <c r="ARW119" s="3"/>
      <c r="ARX119" s="3"/>
      <c r="ARY119" s="3"/>
      <c r="ARZ119" s="3"/>
      <c r="ASA119" s="3"/>
      <c r="ASB119" s="3"/>
      <c r="ASC119" s="3"/>
      <c r="ASD119" s="3"/>
      <c r="ASE119" s="3"/>
      <c r="ASF119" s="3"/>
      <c r="ASG119" s="3"/>
      <c r="ASH119" s="3"/>
      <c r="ASI119" s="3"/>
      <c r="ASJ119" s="3"/>
      <c r="ASK119" s="3"/>
      <c r="ASL119" s="3"/>
      <c r="ASM119" s="3"/>
      <c r="ASN119" s="3"/>
      <c r="ASO119" s="3"/>
      <c r="ASP119" s="3"/>
      <c r="ASQ119" s="3"/>
      <c r="ASR119" s="3"/>
      <c r="ASS119" s="3"/>
      <c r="AST119" s="3"/>
      <c r="ASU119" s="3"/>
      <c r="ASV119" s="3"/>
      <c r="ASW119" s="3"/>
      <c r="ASX119" s="3"/>
      <c r="ASY119" s="3"/>
      <c r="ASZ119" s="3"/>
      <c r="ATA119" s="3"/>
      <c r="ATB119" s="3"/>
      <c r="ATC119" s="3"/>
      <c r="ATD119" s="3"/>
      <c r="ATE119" s="3"/>
      <c r="ATF119" s="3"/>
      <c r="ATG119" s="3"/>
      <c r="ATH119" s="3"/>
      <c r="ATI119" s="3"/>
      <c r="ATJ119" s="3"/>
      <c r="ATK119" s="3"/>
      <c r="ATL119" s="3"/>
      <c r="ATM119" s="3"/>
      <c r="ATN119" s="3"/>
      <c r="ATO119" s="3"/>
      <c r="ATP119" s="3"/>
      <c r="ATQ119" s="3"/>
      <c r="ATR119" s="3"/>
      <c r="ATS119" s="3"/>
      <c r="ATT119" s="3"/>
      <c r="ATU119" s="3"/>
      <c r="ATV119" s="3"/>
      <c r="ATW119" s="3"/>
      <c r="ATX119" s="3"/>
      <c r="ATY119" s="3"/>
      <c r="ATZ119" s="3"/>
      <c r="AUA119" s="3"/>
      <c r="AUB119" s="3"/>
      <c r="AUC119" s="3"/>
      <c r="AUD119" s="3"/>
      <c r="AUE119" s="3"/>
      <c r="AUF119" s="3"/>
      <c r="AUG119" s="3"/>
      <c r="AUH119" s="3"/>
      <c r="AUI119" s="3"/>
      <c r="AUJ119" s="3"/>
      <c r="AUK119" s="3"/>
      <c r="AUL119" s="3"/>
      <c r="AUM119" s="3"/>
      <c r="AUN119" s="3"/>
      <c r="AUO119" s="3"/>
      <c r="AUP119" s="3"/>
      <c r="AUQ119" s="3"/>
      <c r="AUR119" s="3"/>
      <c r="AUS119" s="3"/>
      <c r="AUT119" s="3"/>
      <c r="AUU119" s="3"/>
      <c r="AUV119" s="3"/>
      <c r="AUW119" s="3"/>
      <c r="AUX119" s="3"/>
      <c r="AUY119" s="3"/>
      <c r="AUZ119" s="3"/>
      <c r="AVA119" s="3"/>
      <c r="AVB119" s="3"/>
      <c r="AVC119" s="3"/>
      <c r="AVD119" s="3"/>
      <c r="AVE119" s="3"/>
      <c r="AVF119" s="3"/>
      <c r="AVG119" s="3"/>
      <c r="AVH119" s="3"/>
      <c r="AVI119" s="3"/>
      <c r="AVJ119" s="3"/>
      <c r="AVK119" s="3"/>
      <c r="AVL119" s="3"/>
      <c r="AVM119" s="3"/>
      <c r="AVN119" s="3"/>
      <c r="AVO119" s="3"/>
      <c r="AVP119" s="3"/>
      <c r="AVQ119" s="3"/>
      <c r="AVR119" s="3"/>
      <c r="AVS119" s="3"/>
      <c r="AVT119" s="3"/>
      <c r="AVU119" s="3"/>
      <c r="AVV119" s="3"/>
      <c r="AVW119" s="3"/>
      <c r="AVX119" s="3"/>
      <c r="AVY119" s="3"/>
      <c r="AVZ119" s="3"/>
      <c r="AWA119" s="3"/>
      <c r="AWB119" s="3"/>
      <c r="AWC119" s="3"/>
      <c r="AWD119" s="3"/>
      <c r="AWE119" s="3"/>
      <c r="AWF119" s="3"/>
      <c r="AWG119" s="3"/>
      <c r="AWH119" s="3"/>
      <c r="AWI119" s="3"/>
      <c r="AWJ119" s="3"/>
      <c r="AWK119" s="3"/>
      <c r="AWL119" s="3"/>
      <c r="AWM119" s="3"/>
      <c r="AWN119" s="3"/>
      <c r="AWO119" s="3"/>
      <c r="AWP119" s="3"/>
      <c r="AWQ119" s="3"/>
      <c r="AWR119" s="3"/>
      <c r="AWS119" s="3"/>
      <c r="AWT119" s="3"/>
      <c r="AWU119" s="3"/>
      <c r="AWV119" s="3"/>
      <c r="AWW119" s="3"/>
      <c r="AWX119" s="3"/>
      <c r="AWY119" s="3"/>
      <c r="AWZ119" s="3"/>
      <c r="AXA119" s="3"/>
      <c r="AXB119" s="3"/>
      <c r="AXC119" s="3"/>
      <c r="AXD119" s="3"/>
      <c r="AXE119" s="3"/>
      <c r="AXF119" s="3"/>
      <c r="AXG119" s="3"/>
      <c r="AXH119" s="3"/>
      <c r="AXI119" s="3"/>
      <c r="AXJ119" s="3"/>
      <c r="AXK119" s="3"/>
      <c r="AXL119" s="3"/>
      <c r="AXM119" s="3"/>
      <c r="AXN119" s="3"/>
      <c r="AXO119" s="3"/>
      <c r="AXP119" s="3"/>
      <c r="AXQ119" s="3"/>
      <c r="AXR119" s="3"/>
      <c r="AXS119" s="3"/>
      <c r="AXT119" s="3"/>
      <c r="AXU119" s="3"/>
      <c r="AXV119" s="3"/>
      <c r="AXW119" s="3"/>
      <c r="AXX119" s="3"/>
      <c r="AXY119" s="3"/>
      <c r="AXZ119" s="3"/>
      <c r="AYA119" s="3"/>
      <c r="AYB119" s="3"/>
      <c r="AYC119" s="3"/>
      <c r="AYD119" s="3"/>
      <c r="AYE119" s="3"/>
      <c r="AYF119" s="3"/>
      <c r="AYG119" s="3"/>
      <c r="AYH119" s="3"/>
      <c r="AYI119" s="3"/>
      <c r="AYJ119" s="3"/>
      <c r="AYK119" s="3"/>
      <c r="AYL119" s="3"/>
      <c r="AYM119" s="3"/>
      <c r="AYN119" s="3"/>
      <c r="AYO119" s="3"/>
      <c r="AYP119" s="3"/>
      <c r="AYQ119" s="3"/>
      <c r="AYR119" s="3"/>
      <c r="AYS119" s="3"/>
      <c r="AYT119" s="3"/>
      <c r="AYU119" s="3"/>
      <c r="AYV119" s="3"/>
      <c r="AYW119" s="3"/>
      <c r="AYX119" s="3"/>
      <c r="AYY119" s="3"/>
      <c r="AYZ119" s="3"/>
      <c r="AZA119" s="3"/>
      <c r="AZB119" s="3"/>
      <c r="AZC119" s="3"/>
      <c r="AZD119" s="3"/>
      <c r="AZE119" s="3"/>
      <c r="AZF119" s="3"/>
      <c r="AZG119" s="3"/>
      <c r="AZH119" s="3"/>
      <c r="AZI119" s="3"/>
      <c r="AZJ119" s="3"/>
      <c r="AZK119" s="3"/>
      <c r="AZL119" s="3"/>
      <c r="AZM119" s="3"/>
      <c r="AZN119" s="3"/>
      <c r="AZO119" s="3"/>
      <c r="AZP119" s="3"/>
      <c r="AZQ119" s="3"/>
      <c r="AZR119" s="3"/>
      <c r="AZS119" s="3"/>
      <c r="AZT119" s="3"/>
      <c r="AZU119" s="3"/>
      <c r="AZV119" s="3"/>
      <c r="AZW119" s="3"/>
      <c r="AZX119" s="3"/>
      <c r="AZY119" s="3"/>
      <c r="AZZ119" s="3"/>
      <c r="BAA119" s="3"/>
      <c r="BAB119" s="3"/>
      <c r="BAC119" s="3"/>
      <c r="BAD119" s="3"/>
      <c r="BAE119" s="3"/>
      <c r="BAF119" s="3"/>
      <c r="BAG119" s="3"/>
      <c r="BAH119" s="3"/>
      <c r="BAI119" s="3"/>
      <c r="BAJ119" s="3"/>
      <c r="BAK119" s="3"/>
      <c r="BAL119" s="3"/>
      <c r="BAM119" s="3"/>
      <c r="BAN119" s="3"/>
      <c r="BAO119" s="3"/>
      <c r="BAP119" s="3"/>
      <c r="BAQ119" s="3"/>
      <c r="BAR119" s="3"/>
      <c r="BAS119" s="3"/>
      <c r="BAT119" s="3"/>
      <c r="BAU119" s="3"/>
      <c r="BAV119" s="3"/>
      <c r="BAW119" s="3"/>
      <c r="BAX119" s="3"/>
      <c r="BAY119" s="3"/>
      <c r="BAZ119" s="3"/>
      <c r="BBA119" s="3"/>
      <c r="BBB119" s="3"/>
      <c r="BBC119" s="3"/>
      <c r="BBD119" s="3"/>
      <c r="BBE119" s="3"/>
      <c r="BBF119" s="3"/>
      <c r="BBG119" s="3"/>
      <c r="BBH119" s="3"/>
      <c r="BBI119" s="3"/>
      <c r="BBJ119" s="3"/>
      <c r="BBK119" s="3"/>
      <c r="BBL119" s="3"/>
      <c r="BBM119" s="3"/>
      <c r="BBN119" s="3"/>
      <c r="BBO119" s="3"/>
      <c r="BBP119" s="3"/>
      <c r="BBQ119" s="3"/>
      <c r="BBR119" s="3"/>
      <c r="BBS119" s="3"/>
      <c r="BBT119" s="3"/>
      <c r="BBU119" s="3"/>
      <c r="BBV119" s="3"/>
      <c r="BBW119" s="3"/>
      <c r="BBX119" s="3"/>
      <c r="BBY119" s="3"/>
      <c r="BBZ119" s="3"/>
      <c r="BCA119" s="3"/>
      <c r="BCB119" s="3"/>
      <c r="BCC119" s="3"/>
      <c r="BCD119" s="3"/>
      <c r="BCE119" s="3"/>
      <c r="BCF119" s="3"/>
      <c r="BCG119" s="3"/>
      <c r="BCH119" s="3"/>
      <c r="BCI119" s="3"/>
      <c r="BCJ119" s="3"/>
      <c r="BCK119" s="3"/>
      <c r="BCL119" s="3"/>
      <c r="BCM119" s="3"/>
      <c r="BCN119" s="3"/>
      <c r="BCO119" s="3"/>
      <c r="BCP119" s="3"/>
      <c r="BCQ119" s="3"/>
      <c r="BCR119" s="3"/>
      <c r="BCS119" s="3"/>
      <c r="BCT119" s="3"/>
      <c r="BCU119" s="3"/>
      <c r="BCV119" s="3"/>
      <c r="BCW119" s="3"/>
      <c r="BCX119" s="3"/>
      <c r="BCY119" s="3"/>
      <c r="BCZ119" s="3"/>
      <c r="BDA119" s="3"/>
      <c r="BDB119" s="3"/>
      <c r="BDC119" s="3"/>
      <c r="BDD119" s="3"/>
      <c r="BDE119" s="3"/>
      <c r="BDF119" s="3"/>
      <c r="BDG119" s="3"/>
      <c r="BDH119" s="3"/>
      <c r="BDI119" s="3"/>
      <c r="BDJ119" s="3"/>
      <c r="BDK119" s="3"/>
      <c r="BDL119" s="3"/>
      <c r="BDM119" s="3"/>
      <c r="BDN119" s="3"/>
      <c r="BDO119" s="3"/>
      <c r="BDP119" s="3"/>
      <c r="BDQ119" s="3"/>
      <c r="BDR119" s="3"/>
      <c r="BDS119" s="3"/>
      <c r="BDT119" s="3"/>
      <c r="BDU119" s="3"/>
      <c r="BDV119" s="3"/>
      <c r="BDW119" s="3"/>
      <c r="BDX119" s="3"/>
      <c r="BDY119" s="3"/>
      <c r="BDZ119" s="3"/>
      <c r="BEA119" s="3"/>
      <c r="BEB119" s="3"/>
      <c r="BEC119" s="3"/>
      <c r="BED119" s="3"/>
      <c r="BEE119" s="3"/>
      <c r="BEF119" s="3"/>
      <c r="BEG119" s="3"/>
      <c r="BEH119" s="3"/>
      <c r="BEI119" s="3"/>
      <c r="BEJ119" s="3"/>
      <c r="BEK119" s="3"/>
      <c r="BEL119" s="3"/>
      <c r="BEM119" s="3"/>
      <c r="BEN119" s="3"/>
      <c r="BEO119" s="3"/>
      <c r="BEP119" s="3"/>
      <c r="BEQ119" s="3"/>
      <c r="BER119" s="3"/>
      <c r="BES119" s="3"/>
      <c r="BET119" s="3"/>
      <c r="BEU119" s="3"/>
      <c r="BEV119" s="3"/>
      <c r="BEW119" s="3"/>
      <c r="BEX119" s="3"/>
      <c r="BEY119" s="3"/>
      <c r="BEZ119" s="3"/>
      <c r="BFA119" s="3"/>
      <c r="BFB119" s="3"/>
      <c r="BFC119" s="3"/>
      <c r="BFD119" s="3"/>
      <c r="BFE119" s="3"/>
      <c r="BFF119" s="3"/>
      <c r="BFG119" s="3"/>
      <c r="BFH119" s="3"/>
      <c r="BFI119" s="3"/>
      <c r="BFJ119" s="3"/>
      <c r="BFK119" s="3"/>
      <c r="BFL119" s="3"/>
      <c r="BFM119" s="3"/>
      <c r="BFN119" s="3"/>
      <c r="BFO119" s="3"/>
      <c r="BFP119" s="3"/>
      <c r="BFQ119" s="3"/>
      <c r="BFR119" s="3"/>
      <c r="BFS119" s="3"/>
      <c r="BFT119" s="3"/>
      <c r="BFU119" s="3"/>
      <c r="BFV119" s="3"/>
      <c r="BFW119" s="3"/>
      <c r="BFX119" s="3"/>
      <c r="BFY119" s="3"/>
      <c r="BFZ119" s="3"/>
      <c r="BGA119" s="3"/>
      <c r="BGB119" s="3"/>
      <c r="BGC119" s="3"/>
      <c r="BGD119" s="3"/>
      <c r="BGE119" s="3"/>
      <c r="BGF119" s="3"/>
      <c r="BGG119" s="3"/>
      <c r="BGH119" s="3"/>
      <c r="BGI119" s="3"/>
      <c r="BGJ119" s="3"/>
      <c r="BGK119" s="3"/>
      <c r="BGL119" s="3"/>
      <c r="BGM119" s="3"/>
      <c r="BGN119" s="3"/>
      <c r="BGO119" s="3"/>
      <c r="BGP119" s="3"/>
      <c r="BGQ119" s="3"/>
      <c r="BGR119" s="3"/>
      <c r="BGS119" s="3"/>
      <c r="BGT119" s="3"/>
      <c r="BGU119" s="3"/>
      <c r="BGV119" s="3"/>
      <c r="BGW119" s="3"/>
      <c r="BGX119" s="3"/>
      <c r="BGY119" s="3"/>
      <c r="BGZ119" s="3"/>
      <c r="BHA119" s="3"/>
      <c r="BHB119" s="3"/>
      <c r="BHC119" s="3"/>
      <c r="BHD119" s="3"/>
      <c r="BHE119" s="3"/>
      <c r="BHF119" s="3"/>
      <c r="BHG119" s="3"/>
      <c r="BHH119" s="3"/>
      <c r="BHI119" s="3"/>
      <c r="BHJ119" s="3"/>
      <c r="BHK119" s="3"/>
      <c r="BHL119" s="3"/>
      <c r="BHM119" s="3"/>
      <c r="BHN119" s="3"/>
      <c r="BHO119" s="3"/>
      <c r="BHP119" s="3"/>
      <c r="BHQ119" s="3"/>
      <c r="BHR119" s="3"/>
      <c r="BHS119" s="3"/>
      <c r="BHT119" s="3"/>
      <c r="BHU119" s="3"/>
      <c r="BHV119" s="3"/>
      <c r="BHW119" s="3"/>
      <c r="BHX119" s="3"/>
      <c r="BHY119" s="3"/>
      <c r="BHZ119" s="3"/>
      <c r="BIA119" s="3"/>
      <c r="BIB119" s="3"/>
      <c r="BIC119" s="3"/>
      <c r="BID119" s="3"/>
      <c r="BIE119" s="3"/>
      <c r="BIF119" s="3"/>
      <c r="BIG119" s="3"/>
      <c r="BIH119" s="3"/>
      <c r="BII119" s="3"/>
      <c r="BIJ119" s="3"/>
      <c r="BIK119" s="3"/>
      <c r="BIL119" s="3"/>
      <c r="BIM119" s="3"/>
      <c r="BIN119" s="3"/>
      <c r="BIO119" s="3"/>
      <c r="BIP119" s="3"/>
      <c r="BIQ119" s="3"/>
      <c r="BIR119" s="3"/>
      <c r="BIS119" s="3"/>
      <c r="BIT119" s="3"/>
      <c r="BIU119" s="3"/>
      <c r="BIV119" s="3"/>
      <c r="BIW119" s="3"/>
      <c r="BIX119" s="3"/>
      <c r="BIY119" s="3"/>
      <c r="BIZ119" s="3"/>
      <c r="BJA119" s="3"/>
      <c r="BJB119" s="3"/>
      <c r="BJC119" s="3"/>
      <c r="BJD119" s="3"/>
      <c r="BJE119" s="3"/>
      <c r="BJF119" s="3"/>
      <c r="BJG119" s="3"/>
      <c r="BJH119" s="3"/>
      <c r="BJI119" s="3"/>
      <c r="BJJ119" s="3"/>
      <c r="BJK119" s="3"/>
      <c r="BJL119" s="3"/>
      <c r="BJM119" s="3"/>
      <c r="BJN119" s="3"/>
      <c r="BJO119" s="3"/>
      <c r="BJP119" s="3"/>
      <c r="BJQ119" s="3"/>
      <c r="BJR119" s="3"/>
      <c r="BJS119" s="3"/>
      <c r="BJT119" s="3"/>
      <c r="BJU119" s="3"/>
      <c r="BJV119" s="3"/>
      <c r="BJW119" s="3"/>
      <c r="BJX119" s="3"/>
      <c r="BJY119" s="3"/>
      <c r="BJZ119" s="3"/>
      <c r="BKA119" s="3"/>
      <c r="BKB119" s="3"/>
      <c r="BKC119" s="3"/>
      <c r="BKD119" s="3"/>
      <c r="BKE119" s="3"/>
      <c r="BKF119" s="3"/>
      <c r="BKG119" s="3"/>
      <c r="BKH119" s="3"/>
      <c r="BKI119" s="3"/>
      <c r="BKJ119" s="3"/>
      <c r="BKK119" s="3"/>
      <c r="BKL119" s="3"/>
      <c r="BKM119" s="3"/>
      <c r="BKN119" s="3"/>
      <c r="BKO119" s="3"/>
      <c r="BKP119" s="3"/>
      <c r="BKQ119" s="3"/>
      <c r="BKR119" s="3"/>
      <c r="BKS119" s="3"/>
      <c r="BKT119" s="3"/>
      <c r="BKU119" s="3"/>
      <c r="BKV119" s="3"/>
      <c r="BKW119" s="3"/>
      <c r="BKX119" s="3"/>
      <c r="BKY119" s="3"/>
      <c r="BKZ119" s="3"/>
      <c r="BLA119" s="3"/>
      <c r="BLB119" s="3"/>
      <c r="BLC119" s="3"/>
      <c r="BLD119" s="3"/>
      <c r="BLE119" s="3"/>
      <c r="BLF119" s="3"/>
      <c r="BLG119" s="3"/>
      <c r="BLH119" s="3"/>
      <c r="BLI119" s="3"/>
      <c r="BLJ119" s="3"/>
      <c r="BLK119" s="3"/>
      <c r="BLL119" s="3"/>
      <c r="BLM119" s="3"/>
      <c r="BLN119" s="3"/>
      <c r="BLO119" s="3"/>
      <c r="BLP119" s="3"/>
      <c r="BLQ119" s="3"/>
      <c r="BLR119" s="3"/>
      <c r="BLS119" s="3"/>
      <c r="BLT119" s="3"/>
      <c r="BLU119" s="3"/>
      <c r="BLV119" s="3"/>
      <c r="BLW119" s="3"/>
      <c r="BLX119" s="3"/>
      <c r="BLY119" s="3"/>
      <c r="BLZ119" s="3"/>
      <c r="BMA119" s="3"/>
      <c r="BMB119" s="3"/>
      <c r="BMC119" s="3"/>
      <c r="BMD119" s="3"/>
      <c r="BME119" s="3"/>
      <c r="BMF119" s="3"/>
      <c r="BMG119" s="3"/>
      <c r="BMH119" s="3"/>
      <c r="BMI119" s="3"/>
      <c r="BMJ119" s="3"/>
      <c r="BMK119" s="3"/>
      <c r="BML119" s="3"/>
      <c r="BMM119" s="3"/>
      <c r="BMN119" s="3"/>
      <c r="BMO119" s="3"/>
      <c r="BMP119" s="3"/>
      <c r="BMQ119" s="3"/>
      <c r="BMR119" s="3"/>
      <c r="BMS119" s="3"/>
      <c r="BMT119" s="3"/>
      <c r="BMU119" s="3"/>
      <c r="BMV119" s="3"/>
      <c r="BMW119" s="3"/>
      <c r="BMX119" s="3"/>
      <c r="BMY119" s="3"/>
      <c r="BMZ119" s="3"/>
      <c r="BNA119" s="3"/>
      <c r="BNB119" s="3"/>
      <c r="BNC119" s="3"/>
      <c r="BND119" s="3"/>
      <c r="BNE119" s="3"/>
      <c r="BNF119" s="3"/>
      <c r="BNG119" s="3"/>
      <c r="BNH119" s="3"/>
      <c r="BNI119" s="3"/>
      <c r="BNJ119" s="3"/>
      <c r="BNK119" s="3"/>
      <c r="BNL119" s="3"/>
      <c r="BNM119" s="3"/>
      <c r="BNN119" s="3"/>
      <c r="BNO119" s="3"/>
      <c r="BNP119" s="3"/>
      <c r="BNQ119" s="3"/>
      <c r="BNR119" s="3"/>
      <c r="BNS119" s="3"/>
      <c r="BNT119" s="3"/>
      <c r="BNU119" s="3"/>
      <c r="BNV119" s="3"/>
      <c r="BNW119" s="3"/>
      <c r="BNX119" s="3"/>
      <c r="BNY119" s="3"/>
      <c r="BNZ119" s="3"/>
      <c r="BOA119" s="3"/>
      <c r="BOB119" s="3"/>
      <c r="BOC119" s="3"/>
      <c r="BOD119" s="3"/>
      <c r="BOE119" s="3"/>
      <c r="BOF119" s="3"/>
      <c r="BOG119" s="3"/>
      <c r="BOH119" s="3"/>
      <c r="BOI119" s="3"/>
      <c r="BOJ119" s="3"/>
      <c r="BOK119" s="3"/>
      <c r="BOL119" s="3"/>
      <c r="BOM119" s="3"/>
      <c r="BON119" s="3"/>
      <c r="BOO119" s="3"/>
      <c r="BOP119" s="3"/>
      <c r="BOQ119" s="3"/>
      <c r="BOR119" s="3"/>
      <c r="BOS119" s="3"/>
      <c r="BOT119" s="3"/>
      <c r="BOU119" s="3"/>
      <c r="BOV119" s="3"/>
      <c r="BOW119" s="3"/>
      <c r="BOX119" s="3"/>
      <c r="BOY119" s="3"/>
      <c r="BOZ119" s="3"/>
      <c r="BPA119" s="3"/>
      <c r="BPB119" s="3"/>
      <c r="BPC119" s="3"/>
      <c r="BPD119" s="3"/>
      <c r="BPE119" s="3"/>
      <c r="BPF119" s="3"/>
      <c r="BPG119" s="3"/>
      <c r="BPH119" s="3"/>
      <c r="BPI119" s="3"/>
      <c r="BPJ119" s="3"/>
      <c r="BPK119" s="3"/>
      <c r="BPL119" s="3"/>
      <c r="BPM119" s="3"/>
      <c r="BPN119" s="3"/>
      <c r="BPO119" s="3"/>
      <c r="BPP119" s="3"/>
      <c r="BPQ119" s="3"/>
      <c r="BPR119" s="3"/>
      <c r="BPS119" s="3"/>
      <c r="BPT119" s="3"/>
      <c r="BPU119" s="3"/>
      <c r="BPV119" s="3"/>
      <c r="BPW119" s="3"/>
      <c r="BPX119" s="3"/>
      <c r="BPY119" s="3"/>
      <c r="BPZ119" s="3"/>
      <c r="BQA119" s="3"/>
      <c r="BQB119" s="3"/>
      <c r="BQC119" s="3"/>
      <c r="BQD119" s="3"/>
      <c r="BQE119" s="3"/>
      <c r="BQF119" s="3"/>
      <c r="BQG119" s="3"/>
      <c r="BQH119" s="3"/>
      <c r="BQI119" s="3"/>
      <c r="BQJ119" s="3"/>
      <c r="BQK119" s="3"/>
      <c r="BQL119" s="3"/>
      <c r="BQM119" s="3"/>
      <c r="BQN119" s="3"/>
      <c r="BQO119" s="3"/>
      <c r="BQP119" s="3"/>
      <c r="BQQ119" s="3"/>
      <c r="BQR119" s="3"/>
      <c r="BQS119" s="3"/>
      <c r="BQT119" s="3"/>
      <c r="BQU119" s="3"/>
      <c r="BQV119" s="3"/>
      <c r="BQW119" s="3"/>
      <c r="BQX119" s="3"/>
      <c r="BQY119" s="3"/>
      <c r="BQZ119" s="3"/>
      <c r="BRA119" s="3"/>
      <c r="BRB119" s="3"/>
      <c r="BRC119" s="3"/>
      <c r="BRD119" s="3"/>
      <c r="BRE119" s="3"/>
      <c r="BRF119" s="3"/>
      <c r="BRG119" s="3"/>
      <c r="BRH119" s="3"/>
      <c r="BRI119" s="3"/>
      <c r="BRJ119" s="3"/>
      <c r="BRK119" s="3"/>
      <c r="BRL119" s="3"/>
      <c r="BRM119" s="3"/>
      <c r="BRN119" s="3"/>
      <c r="BRO119" s="3"/>
      <c r="BRP119" s="3"/>
      <c r="BRQ119" s="3"/>
      <c r="BRR119" s="3"/>
      <c r="BRS119" s="3"/>
      <c r="BRT119" s="3"/>
      <c r="BRU119" s="3"/>
      <c r="BRV119" s="3"/>
      <c r="BRW119" s="3"/>
      <c r="BRX119" s="3"/>
      <c r="BRY119" s="3"/>
      <c r="BRZ119" s="3"/>
      <c r="BSA119" s="3"/>
      <c r="BSB119" s="3"/>
      <c r="BSC119" s="3"/>
      <c r="BSD119" s="3"/>
      <c r="BSE119" s="3"/>
      <c r="BSF119" s="3"/>
      <c r="BSG119" s="3"/>
      <c r="BSH119" s="3"/>
      <c r="BSI119" s="3"/>
      <c r="BSJ119" s="3"/>
      <c r="BSK119" s="3"/>
      <c r="BSL119" s="3"/>
      <c r="BSM119" s="3"/>
      <c r="BSN119" s="3"/>
      <c r="BSO119" s="3"/>
      <c r="BSP119" s="3"/>
      <c r="BSQ119" s="3"/>
      <c r="BSR119" s="3"/>
      <c r="BSS119" s="3"/>
      <c r="BST119" s="3"/>
      <c r="BSU119" s="3"/>
      <c r="BSV119" s="3"/>
      <c r="BSW119" s="3"/>
      <c r="BSX119" s="3"/>
      <c r="BSY119" s="3"/>
      <c r="BSZ119" s="3"/>
      <c r="BTA119" s="3"/>
      <c r="BTB119" s="3"/>
      <c r="BTC119" s="3"/>
      <c r="BTD119" s="3"/>
      <c r="BTE119" s="3"/>
      <c r="BTF119" s="3"/>
      <c r="BTG119" s="3"/>
      <c r="BTH119" s="3"/>
      <c r="BTI119" s="3"/>
      <c r="BTJ119" s="3"/>
      <c r="BTK119" s="3"/>
      <c r="BTL119" s="3"/>
      <c r="BTM119" s="3"/>
      <c r="BTN119" s="3"/>
      <c r="BTO119" s="3"/>
      <c r="BTP119" s="3"/>
      <c r="BTQ119" s="3"/>
      <c r="BTR119" s="3"/>
      <c r="BTS119" s="3"/>
      <c r="BTT119" s="3"/>
      <c r="BTU119" s="3"/>
      <c r="BTV119" s="3"/>
      <c r="BTW119" s="3"/>
      <c r="BTX119" s="3"/>
      <c r="BTY119" s="3"/>
      <c r="BTZ119" s="3"/>
      <c r="BUA119" s="3"/>
      <c r="BUB119" s="3"/>
      <c r="BUC119" s="3"/>
      <c r="BUD119" s="3"/>
      <c r="BUE119" s="3"/>
      <c r="BUF119" s="3"/>
      <c r="BUG119" s="3"/>
      <c r="BUH119" s="3"/>
      <c r="BUI119" s="3"/>
      <c r="BUJ119" s="3"/>
      <c r="BUK119" s="3"/>
      <c r="BUL119" s="3"/>
      <c r="BUM119" s="3"/>
      <c r="BUN119" s="3"/>
      <c r="BUO119" s="3"/>
      <c r="BUP119" s="3"/>
      <c r="BUQ119" s="3"/>
      <c r="BUR119" s="3"/>
      <c r="BUS119" s="3"/>
      <c r="BUT119" s="3"/>
      <c r="BUU119" s="3"/>
      <c r="BUV119" s="3"/>
      <c r="BUW119" s="3"/>
      <c r="BUX119" s="3"/>
      <c r="BUY119" s="3"/>
      <c r="BUZ119" s="3"/>
      <c r="BVA119" s="3"/>
      <c r="BVB119" s="3"/>
      <c r="BVC119" s="3"/>
      <c r="BVD119" s="3"/>
      <c r="BVE119" s="3"/>
      <c r="BVF119" s="3"/>
      <c r="BVG119" s="3"/>
      <c r="BVH119" s="3"/>
      <c r="BVI119" s="3"/>
      <c r="BVJ119" s="3"/>
      <c r="BVK119" s="3"/>
      <c r="BVL119" s="3"/>
      <c r="BVM119" s="3"/>
      <c r="BVN119" s="3"/>
      <c r="BVO119" s="3"/>
      <c r="BVP119" s="3"/>
      <c r="BVQ119" s="3"/>
      <c r="BVR119" s="3"/>
      <c r="BVS119" s="3"/>
      <c r="BVT119" s="3"/>
      <c r="BVU119" s="3"/>
      <c r="BVV119" s="3"/>
      <c r="BVW119" s="3"/>
      <c r="BVX119" s="3"/>
      <c r="BVY119" s="3"/>
      <c r="BVZ119" s="3"/>
      <c r="BWA119" s="3"/>
      <c r="BWB119" s="3"/>
      <c r="BWC119" s="3"/>
      <c r="BWD119" s="3"/>
      <c r="BWE119" s="3"/>
      <c r="BWF119" s="3"/>
      <c r="BWG119" s="3"/>
      <c r="BWH119" s="3"/>
      <c r="BWI119" s="3"/>
      <c r="BWJ119" s="3"/>
      <c r="BWK119" s="3"/>
      <c r="BWL119" s="3"/>
      <c r="BWM119" s="3"/>
      <c r="BWN119" s="3"/>
      <c r="BWO119" s="3"/>
      <c r="BWP119" s="3"/>
      <c r="BWQ119" s="3"/>
      <c r="BWR119" s="3"/>
      <c r="BWS119" s="3"/>
      <c r="BWT119" s="3"/>
      <c r="BWU119" s="3"/>
      <c r="BWV119" s="3"/>
      <c r="BWW119" s="3"/>
      <c r="BWX119" s="3"/>
      <c r="BWY119" s="3"/>
      <c r="BWZ119" s="3"/>
      <c r="BXA119" s="3"/>
      <c r="BXB119" s="3"/>
      <c r="BXC119" s="3"/>
      <c r="BXD119" s="3"/>
      <c r="BXE119" s="3"/>
      <c r="BXF119" s="3"/>
      <c r="BXG119" s="3"/>
      <c r="BXH119" s="3"/>
      <c r="BXI119" s="3"/>
      <c r="BXJ119" s="3"/>
      <c r="BXK119" s="3"/>
      <c r="BXL119" s="3"/>
      <c r="BXM119" s="3"/>
      <c r="BXN119" s="3"/>
      <c r="BXO119" s="3"/>
      <c r="BXP119" s="3"/>
      <c r="BXQ119" s="3"/>
      <c r="BXR119" s="3"/>
      <c r="BXS119" s="3"/>
      <c r="BXT119" s="3"/>
      <c r="BXU119" s="3"/>
      <c r="BXV119" s="3"/>
      <c r="BXW119" s="3"/>
      <c r="BXX119" s="3"/>
      <c r="BXY119" s="3"/>
      <c r="BXZ119" s="3"/>
      <c r="BYA119" s="3"/>
      <c r="BYB119" s="3"/>
      <c r="BYC119" s="3"/>
      <c r="BYD119" s="3"/>
      <c r="BYE119" s="3"/>
      <c r="BYF119" s="3"/>
      <c r="BYG119" s="3"/>
      <c r="BYH119" s="3"/>
      <c r="BYI119" s="3"/>
      <c r="BYJ119" s="3"/>
      <c r="BYK119" s="3"/>
      <c r="BYL119" s="3"/>
      <c r="BYM119" s="3"/>
      <c r="BYN119" s="3"/>
      <c r="BYO119" s="3"/>
      <c r="BYP119" s="3"/>
      <c r="BYQ119" s="3"/>
      <c r="BYR119" s="3"/>
      <c r="BYS119" s="3"/>
      <c r="BYT119" s="3"/>
      <c r="BYU119" s="3"/>
      <c r="BYV119" s="3"/>
      <c r="BYW119" s="3"/>
      <c r="BYX119" s="3"/>
      <c r="BYY119" s="3"/>
      <c r="BYZ119" s="3"/>
      <c r="BZA119" s="3"/>
      <c r="BZB119" s="3"/>
      <c r="BZC119" s="3"/>
      <c r="BZD119" s="3"/>
      <c r="BZE119" s="3"/>
      <c r="BZF119" s="3"/>
      <c r="BZG119" s="3"/>
      <c r="BZH119" s="3"/>
      <c r="BZI119" s="3"/>
      <c r="BZJ119" s="3"/>
      <c r="BZK119" s="3"/>
      <c r="BZL119" s="3"/>
      <c r="BZM119" s="3"/>
      <c r="BZN119" s="3"/>
      <c r="BZO119" s="3"/>
      <c r="BZP119" s="3"/>
      <c r="BZQ119" s="3"/>
      <c r="BZR119" s="3"/>
      <c r="BZS119" s="3"/>
      <c r="BZT119" s="3"/>
      <c r="BZU119" s="3"/>
      <c r="BZV119" s="3"/>
      <c r="BZW119" s="3"/>
      <c r="BZX119" s="3"/>
      <c r="BZY119" s="3"/>
      <c r="BZZ119" s="3"/>
      <c r="CAA119" s="3"/>
      <c r="CAB119" s="3"/>
      <c r="CAC119" s="3"/>
      <c r="CAD119" s="3"/>
      <c r="CAE119" s="3"/>
      <c r="CAF119" s="3"/>
      <c r="CAG119" s="3"/>
      <c r="CAH119" s="3"/>
      <c r="CAI119" s="3"/>
      <c r="CAJ119" s="3"/>
      <c r="CAK119" s="3"/>
      <c r="CAL119" s="3"/>
      <c r="CAM119" s="3"/>
      <c r="CAN119" s="3"/>
      <c r="CAO119" s="3"/>
      <c r="CAP119" s="3"/>
      <c r="CAQ119" s="3"/>
      <c r="CAR119" s="3"/>
      <c r="CAS119" s="3"/>
      <c r="CAT119" s="3"/>
      <c r="CAU119" s="3"/>
      <c r="CAV119" s="3"/>
      <c r="CAW119" s="3"/>
      <c r="CAX119" s="3"/>
      <c r="CAY119" s="3"/>
      <c r="CAZ119" s="3"/>
      <c r="CBA119" s="3"/>
      <c r="CBB119" s="3"/>
      <c r="CBC119" s="3"/>
      <c r="CBD119" s="3"/>
      <c r="CBE119" s="3"/>
      <c r="CBF119" s="3"/>
      <c r="CBG119" s="3"/>
      <c r="CBH119" s="3"/>
      <c r="CBI119" s="3"/>
      <c r="CBJ119" s="3"/>
      <c r="CBK119" s="3"/>
      <c r="CBL119" s="3"/>
      <c r="CBM119" s="3"/>
      <c r="CBN119" s="3"/>
      <c r="CBO119" s="3"/>
      <c r="CBP119" s="3"/>
      <c r="CBQ119" s="3"/>
      <c r="CBR119" s="3"/>
      <c r="CBS119" s="3"/>
      <c r="CBT119" s="3"/>
      <c r="CBU119" s="3"/>
      <c r="CBV119" s="3"/>
      <c r="CBW119" s="3"/>
      <c r="CBX119" s="3"/>
      <c r="CBY119" s="3"/>
      <c r="CBZ119" s="3"/>
      <c r="CCA119" s="3"/>
      <c r="CCB119" s="3"/>
      <c r="CCC119" s="3"/>
      <c r="CCD119" s="3"/>
      <c r="CCE119" s="3"/>
      <c r="CCF119" s="3"/>
      <c r="CCG119" s="3"/>
      <c r="CCH119" s="3"/>
      <c r="CCI119" s="3"/>
      <c r="CCJ119" s="3"/>
      <c r="CCK119" s="3"/>
      <c r="CCL119" s="3"/>
      <c r="CCM119" s="3"/>
      <c r="CCN119" s="3"/>
      <c r="CCO119" s="3"/>
      <c r="CCP119" s="3"/>
      <c r="CCQ119" s="3"/>
      <c r="CCR119" s="3"/>
      <c r="CCS119" s="3"/>
      <c r="CCT119" s="3"/>
      <c r="CCU119" s="3"/>
      <c r="CCV119" s="3"/>
      <c r="CCW119" s="3"/>
      <c r="CCX119" s="3"/>
      <c r="CCY119" s="3"/>
      <c r="CCZ119" s="3"/>
      <c r="CDA119" s="3"/>
      <c r="CDB119" s="3"/>
      <c r="CDC119" s="3"/>
      <c r="CDD119" s="3"/>
      <c r="CDE119" s="3"/>
      <c r="CDF119" s="3"/>
      <c r="CDG119" s="3"/>
      <c r="CDH119" s="3"/>
      <c r="CDI119" s="3"/>
      <c r="CDJ119" s="3"/>
      <c r="CDK119" s="3"/>
      <c r="CDL119" s="3"/>
      <c r="CDM119" s="3"/>
      <c r="CDN119" s="3"/>
      <c r="CDO119" s="3"/>
      <c r="CDP119" s="3"/>
      <c r="CDQ119" s="3"/>
      <c r="CDR119" s="3"/>
      <c r="CDS119" s="3"/>
      <c r="CDT119" s="3"/>
      <c r="CDU119" s="3"/>
      <c r="CDV119" s="3"/>
      <c r="CDW119" s="3"/>
      <c r="CDX119" s="3"/>
      <c r="CDY119" s="3"/>
      <c r="CDZ119" s="3"/>
      <c r="CEA119" s="3"/>
      <c r="CEB119" s="3"/>
      <c r="CEC119" s="3"/>
      <c r="CED119" s="3"/>
      <c r="CEE119" s="3"/>
      <c r="CEF119" s="3"/>
      <c r="CEG119" s="3"/>
      <c r="CEH119" s="3"/>
      <c r="CEI119" s="3"/>
      <c r="CEJ119" s="3"/>
      <c r="CEK119" s="3"/>
      <c r="CEL119" s="3"/>
      <c r="CEM119" s="3"/>
      <c r="CEN119" s="3"/>
      <c r="CEO119" s="3"/>
      <c r="CEP119" s="3"/>
      <c r="CEQ119" s="3"/>
      <c r="CER119" s="3"/>
      <c r="CES119" s="3"/>
      <c r="CET119" s="3"/>
      <c r="CEU119" s="3"/>
      <c r="CEV119" s="3"/>
      <c r="CEW119" s="3"/>
      <c r="CEX119" s="3"/>
      <c r="CEY119" s="3"/>
      <c r="CEZ119" s="3"/>
      <c r="CFA119" s="3"/>
      <c r="CFB119" s="3"/>
      <c r="CFC119" s="3"/>
      <c r="CFD119" s="3"/>
      <c r="CFE119" s="3"/>
      <c r="CFF119" s="3"/>
      <c r="CFG119" s="3"/>
      <c r="CFH119" s="3"/>
      <c r="CFI119" s="3"/>
      <c r="CFJ119" s="3"/>
      <c r="CFK119" s="3"/>
      <c r="CFL119" s="3"/>
      <c r="CFM119" s="3"/>
      <c r="CFN119" s="3"/>
      <c r="CFO119" s="3"/>
      <c r="CFP119" s="3"/>
      <c r="CFQ119" s="3"/>
      <c r="CFR119" s="3"/>
      <c r="CFS119" s="3"/>
      <c r="CFT119" s="3"/>
      <c r="CFU119" s="3"/>
      <c r="CFV119" s="3"/>
      <c r="CFW119" s="3"/>
      <c r="CFX119" s="3"/>
      <c r="CFY119" s="3"/>
      <c r="CFZ119" s="3"/>
      <c r="CGA119" s="3"/>
      <c r="CGB119" s="3"/>
      <c r="CGC119" s="3"/>
      <c r="CGD119" s="3"/>
      <c r="CGE119" s="3"/>
      <c r="CGF119" s="3"/>
      <c r="CGG119" s="3"/>
      <c r="CGH119" s="3"/>
      <c r="CGI119" s="3"/>
      <c r="CGJ119" s="3"/>
      <c r="CGK119" s="3"/>
      <c r="CGL119" s="3"/>
      <c r="CGM119" s="3"/>
      <c r="CGN119" s="3"/>
      <c r="CGO119" s="3"/>
      <c r="CGP119" s="3"/>
      <c r="CGQ119" s="3"/>
      <c r="CGR119" s="3"/>
      <c r="CGS119" s="3"/>
      <c r="CGT119" s="3"/>
      <c r="CGU119" s="3"/>
      <c r="CGV119" s="3"/>
      <c r="CGW119" s="3"/>
      <c r="CGX119" s="3"/>
      <c r="CGY119" s="3"/>
      <c r="CGZ119" s="3"/>
      <c r="CHA119" s="3"/>
      <c r="CHB119" s="3"/>
      <c r="CHC119" s="3"/>
      <c r="CHD119" s="3"/>
      <c r="CHE119" s="3"/>
      <c r="CHF119" s="3"/>
      <c r="CHG119" s="3"/>
      <c r="CHH119" s="3"/>
      <c r="CHI119" s="3"/>
      <c r="CHJ119" s="3"/>
      <c r="CHK119" s="3"/>
      <c r="CHL119" s="3"/>
      <c r="CHM119" s="3"/>
      <c r="CHN119" s="3"/>
      <c r="CHO119" s="3"/>
      <c r="CHP119" s="3"/>
      <c r="CHQ119" s="3"/>
      <c r="CHR119" s="3"/>
      <c r="CHS119" s="3"/>
      <c r="CHT119" s="3"/>
      <c r="CHU119" s="3"/>
      <c r="CHV119" s="3"/>
      <c r="CHW119" s="3"/>
      <c r="CHX119" s="3"/>
      <c r="CHY119" s="3"/>
      <c r="CHZ119" s="3"/>
      <c r="CIA119" s="3"/>
      <c r="CIB119" s="3"/>
      <c r="CIC119" s="3"/>
      <c r="CID119" s="3"/>
      <c r="CIE119" s="3"/>
      <c r="CIF119" s="3"/>
      <c r="CIG119" s="3"/>
      <c r="CIH119" s="3"/>
      <c r="CII119" s="3"/>
      <c r="CIJ119" s="3"/>
      <c r="CIK119" s="3"/>
      <c r="CIL119" s="3"/>
      <c r="CIM119" s="3"/>
      <c r="CIN119" s="3"/>
      <c r="CIO119" s="3"/>
      <c r="CIP119" s="3"/>
      <c r="CIQ119" s="3"/>
      <c r="CIR119" s="3"/>
      <c r="CIS119" s="3"/>
      <c r="CIT119" s="3"/>
      <c r="CIU119" s="3"/>
      <c r="CIV119" s="3"/>
      <c r="CIW119" s="3"/>
      <c r="CIX119" s="3"/>
      <c r="CIY119" s="3"/>
      <c r="CIZ119" s="3"/>
      <c r="CJA119" s="3"/>
      <c r="CJB119" s="3"/>
      <c r="CJC119" s="3"/>
      <c r="CJD119" s="3"/>
      <c r="CJE119" s="3"/>
      <c r="CJF119" s="3"/>
      <c r="CJG119" s="3"/>
      <c r="CJH119" s="3"/>
      <c r="CJI119" s="3"/>
      <c r="CJJ119" s="3"/>
      <c r="CJK119" s="3"/>
      <c r="CJL119" s="3"/>
      <c r="CJM119" s="3"/>
      <c r="CJN119" s="3"/>
      <c r="CJO119" s="3"/>
      <c r="CJP119" s="3"/>
      <c r="CJQ119" s="3"/>
      <c r="CJR119" s="3"/>
      <c r="CJS119" s="3"/>
      <c r="CJT119" s="3"/>
      <c r="CJU119" s="3"/>
      <c r="CJV119" s="3"/>
      <c r="CJW119" s="3"/>
      <c r="CJX119" s="3"/>
      <c r="CJY119" s="3"/>
      <c r="CJZ119" s="3"/>
      <c r="CKA119" s="3"/>
      <c r="CKB119" s="3"/>
      <c r="CKC119" s="3"/>
      <c r="CKD119" s="3"/>
      <c r="CKE119" s="3"/>
      <c r="CKF119" s="3"/>
      <c r="CKG119" s="3"/>
      <c r="CKH119" s="3"/>
      <c r="CKI119" s="3"/>
      <c r="CKJ119" s="3"/>
      <c r="CKK119" s="3"/>
      <c r="CKL119" s="3"/>
      <c r="CKM119" s="3"/>
      <c r="CKN119" s="3"/>
      <c r="CKO119" s="3"/>
      <c r="CKP119" s="3"/>
      <c r="CKQ119" s="3"/>
      <c r="CKR119" s="3"/>
      <c r="CKS119" s="3"/>
      <c r="CKT119" s="3"/>
      <c r="CKU119" s="3"/>
      <c r="CKV119" s="3"/>
      <c r="CKW119" s="3"/>
      <c r="CKX119" s="3"/>
      <c r="CKY119" s="3"/>
      <c r="CKZ119" s="3"/>
      <c r="CLA119" s="3"/>
      <c r="CLB119" s="3"/>
      <c r="CLC119" s="3"/>
      <c r="CLD119" s="3"/>
      <c r="CLE119" s="3"/>
      <c r="CLF119" s="3"/>
      <c r="CLG119" s="3"/>
      <c r="CLH119" s="3"/>
      <c r="CLI119" s="3"/>
      <c r="CLJ119" s="3"/>
      <c r="CLK119" s="3"/>
      <c r="CLL119" s="3"/>
      <c r="CLM119" s="3"/>
      <c r="CLN119" s="3"/>
      <c r="CLO119" s="3"/>
      <c r="CLP119" s="3"/>
      <c r="CLQ119" s="3"/>
      <c r="CLR119" s="3"/>
      <c r="CLS119" s="3"/>
      <c r="CLT119" s="3"/>
      <c r="CLU119" s="3"/>
      <c r="CLV119" s="3"/>
      <c r="CLW119" s="3"/>
      <c r="CLX119" s="3"/>
      <c r="CLY119" s="3"/>
      <c r="CLZ119" s="3"/>
      <c r="CMA119" s="3"/>
      <c r="CMB119" s="3"/>
      <c r="CMC119" s="3"/>
      <c r="CMD119" s="3"/>
      <c r="CME119" s="3"/>
      <c r="CMF119" s="3"/>
      <c r="CMG119" s="3"/>
      <c r="CMH119" s="3"/>
      <c r="CMI119" s="3"/>
      <c r="CMJ119" s="3"/>
      <c r="CMK119" s="3"/>
      <c r="CML119" s="3"/>
      <c r="CMM119" s="3"/>
      <c r="CMN119" s="3"/>
      <c r="CMO119" s="3"/>
      <c r="CMP119" s="3"/>
      <c r="CMQ119" s="3"/>
      <c r="CMR119" s="3"/>
      <c r="CMS119" s="3"/>
      <c r="CMT119" s="3"/>
      <c r="CMU119" s="3"/>
      <c r="CMV119" s="3"/>
      <c r="CMW119" s="3"/>
      <c r="CMX119" s="3"/>
      <c r="CMY119" s="3"/>
      <c r="CMZ119" s="3"/>
      <c r="CNA119" s="3"/>
      <c r="CNB119" s="3"/>
      <c r="CNC119" s="3"/>
      <c r="CND119" s="3"/>
      <c r="CNE119" s="3"/>
      <c r="CNF119" s="3"/>
      <c r="CNG119" s="3"/>
      <c r="CNH119" s="3"/>
      <c r="CNI119" s="3"/>
      <c r="CNJ119" s="3"/>
      <c r="CNK119" s="3"/>
      <c r="CNL119" s="3"/>
      <c r="CNM119" s="3"/>
      <c r="CNN119" s="3"/>
      <c r="CNO119" s="3"/>
      <c r="CNP119" s="3"/>
      <c r="CNQ119" s="3"/>
      <c r="CNR119" s="3"/>
      <c r="CNS119" s="3"/>
      <c r="CNT119" s="3"/>
      <c r="CNU119" s="3"/>
      <c r="CNV119" s="3"/>
      <c r="CNW119" s="3"/>
      <c r="CNX119" s="3"/>
      <c r="CNY119" s="3"/>
      <c r="CNZ119" s="3"/>
      <c r="COA119" s="3"/>
      <c r="COB119" s="3"/>
      <c r="COC119" s="3"/>
      <c r="COD119" s="3"/>
      <c r="COE119" s="3"/>
      <c r="COF119" s="3"/>
      <c r="COG119" s="3"/>
      <c r="COH119" s="3"/>
      <c r="COI119" s="3"/>
      <c r="COJ119" s="3"/>
      <c r="COK119" s="3"/>
      <c r="COL119" s="3"/>
      <c r="COM119" s="3"/>
      <c r="CON119" s="3"/>
      <c r="COO119" s="3"/>
      <c r="COP119" s="3"/>
      <c r="COQ119" s="3"/>
      <c r="COR119" s="3"/>
      <c r="COS119" s="3"/>
      <c r="COT119" s="3"/>
      <c r="COU119" s="3"/>
      <c r="COV119" s="3"/>
      <c r="COW119" s="3"/>
      <c r="COX119" s="3"/>
      <c r="COY119" s="3"/>
      <c r="COZ119" s="3"/>
      <c r="CPA119" s="3"/>
      <c r="CPB119" s="3"/>
      <c r="CPC119" s="3"/>
      <c r="CPD119" s="3"/>
      <c r="CPE119" s="3"/>
      <c r="CPF119" s="3"/>
      <c r="CPG119" s="3"/>
      <c r="CPH119" s="3"/>
      <c r="CPI119" s="3"/>
      <c r="CPJ119" s="3"/>
      <c r="CPK119" s="3"/>
      <c r="CPL119" s="3"/>
      <c r="CPM119" s="3"/>
      <c r="CPN119" s="3"/>
      <c r="CPO119" s="3"/>
      <c r="CPP119" s="3"/>
      <c r="CPQ119" s="3"/>
      <c r="CPR119" s="3"/>
      <c r="CPS119" s="3"/>
      <c r="CPT119" s="3"/>
      <c r="CPU119" s="3"/>
      <c r="CPV119" s="3"/>
      <c r="CPW119" s="3"/>
      <c r="CPX119" s="3"/>
      <c r="CPY119" s="3"/>
      <c r="CPZ119" s="3"/>
      <c r="CQA119" s="3"/>
      <c r="CQB119" s="3"/>
      <c r="CQC119" s="3"/>
      <c r="CQD119" s="3"/>
      <c r="CQE119" s="3"/>
      <c r="CQF119" s="3"/>
      <c r="CQG119" s="3"/>
      <c r="CQH119" s="3"/>
      <c r="CQI119" s="3"/>
      <c r="CQJ119" s="3"/>
      <c r="CQK119" s="3"/>
      <c r="CQL119" s="3"/>
      <c r="CQM119" s="3"/>
      <c r="CQN119" s="3"/>
      <c r="CQO119" s="3"/>
      <c r="CQP119" s="3"/>
      <c r="CQQ119" s="3"/>
      <c r="CQR119" s="3"/>
      <c r="CQS119" s="3"/>
      <c r="CQT119" s="3"/>
      <c r="CQU119" s="3"/>
      <c r="CQV119" s="3"/>
      <c r="CQW119" s="3"/>
      <c r="CQX119" s="3"/>
      <c r="CQY119" s="3"/>
      <c r="CQZ119" s="3"/>
      <c r="CRA119" s="3"/>
      <c r="CRB119" s="3"/>
      <c r="CRC119" s="3"/>
      <c r="CRD119" s="3"/>
      <c r="CRE119" s="3"/>
      <c r="CRF119" s="3"/>
      <c r="CRG119" s="3"/>
      <c r="CRH119" s="3"/>
      <c r="CRI119" s="3"/>
      <c r="CRJ119" s="3"/>
      <c r="CRK119" s="3"/>
      <c r="CRL119" s="3"/>
      <c r="CRM119" s="3"/>
      <c r="CRN119" s="3"/>
      <c r="CRO119" s="3"/>
      <c r="CRP119" s="3"/>
      <c r="CRQ119" s="3"/>
      <c r="CRR119" s="3"/>
      <c r="CRS119" s="3"/>
      <c r="CRT119" s="3"/>
      <c r="CRU119" s="3"/>
      <c r="CRV119" s="3"/>
      <c r="CRW119" s="3"/>
      <c r="CRX119" s="3"/>
      <c r="CRY119" s="3"/>
      <c r="CRZ119" s="3"/>
      <c r="CSA119" s="3"/>
      <c r="CSB119" s="3"/>
      <c r="CSC119" s="3"/>
      <c r="CSD119" s="3"/>
      <c r="CSE119" s="3"/>
      <c r="CSF119" s="3"/>
      <c r="CSG119" s="3"/>
      <c r="CSH119" s="3"/>
      <c r="CSI119" s="3"/>
      <c r="CSJ119" s="3"/>
      <c r="CSK119" s="3"/>
      <c r="CSL119" s="3"/>
      <c r="CSM119" s="3"/>
      <c r="CSN119" s="3"/>
      <c r="CSO119" s="3"/>
      <c r="CSP119" s="3"/>
      <c r="CSQ119" s="3"/>
      <c r="CSR119" s="3"/>
      <c r="CSS119" s="3"/>
      <c r="CST119" s="3"/>
      <c r="CSU119" s="3"/>
      <c r="CSV119" s="3"/>
      <c r="CSW119" s="3"/>
      <c r="CSX119" s="3"/>
      <c r="CSY119" s="3"/>
      <c r="CSZ119" s="3"/>
      <c r="CTA119" s="3"/>
      <c r="CTB119" s="3"/>
      <c r="CTC119" s="3"/>
      <c r="CTD119" s="3"/>
      <c r="CTE119" s="3"/>
      <c r="CTF119" s="3"/>
      <c r="CTG119" s="3"/>
      <c r="CTH119" s="3"/>
      <c r="CTI119" s="3"/>
      <c r="CTJ119" s="3"/>
      <c r="CTK119" s="3"/>
      <c r="CTL119" s="3"/>
      <c r="CTM119" s="3"/>
      <c r="CTN119" s="3"/>
      <c r="CTO119" s="3"/>
      <c r="CTP119" s="3"/>
      <c r="CTQ119" s="3"/>
      <c r="CTR119" s="3"/>
      <c r="CTS119" s="3"/>
      <c r="CTT119" s="3"/>
      <c r="CTU119" s="3"/>
      <c r="CTV119" s="3"/>
      <c r="CTW119" s="3"/>
      <c r="CTX119" s="3"/>
      <c r="CTY119" s="3"/>
      <c r="CTZ119" s="3"/>
      <c r="CUA119" s="3"/>
      <c r="CUB119" s="3"/>
      <c r="CUC119" s="3"/>
      <c r="CUD119" s="3"/>
      <c r="CUE119" s="3"/>
      <c r="CUF119" s="3"/>
      <c r="CUG119" s="3"/>
      <c r="CUH119" s="3"/>
      <c r="CUI119" s="3"/>
      <c r="CUJ119" s="3"/>
      <c r="CUK119" s="3"/>
      <c r="CUL119" s="3"/>
      <c r="CUM119" s="3"/>
      <c r="CUN119" s="3"/>
      <c r="CUO119" s="3"/>
      <c r="CUP119" s="3"/>
      <c r="CUQ119" s="3"/>
      <c r="CUR119" s="3"/>
      <c r="CUS119" s="3"/>
      <c r="CUT119" s="3"/>
      <c r="CUU119" s="3"/>
      <c r="CUV119" s="3"/>
      <c r="CUW119" s="3"/>
      <c r="CUX119" s="3"/>
      <c r="CUY119" s="3"/>
      <c r="CUZ119" s="3"/>
      <c r="CVA119" s="3"/>
      <c r="CVB119" s="3"/>
      <c r="CVC119" s="3"/>
      <c r="CVD119" s="3"/>
      <c r="CVE119" s="3"/>
      <c r="CVF119" s="3"/>
      <c r="CVG119" s="3"/>
      <c r="CVH119" s="3"/>
      <c r="CVI119" s="3"/>
      <c r="CVJ119" s="3"/>
      <c r="CVK119" s="3"/>
      <c r="CVL119" s="3"/>
      <c r="CVM119" s="3"/>
      <c r="CVN119" s="3"/>
      <c r="CVO119" s="3"/>
      <c r="CVP119" s="3"/>
      <c r="CVQ119" s="3"/>
      <c r="CVR119" s="3"/>
      <c r="CVS119" s="3"/>
      <c r="CVT119" s="3"/>
      <c r="CVU119" s="3"/>
      <c r="CVV119" s="3"/>
      <c r="CVW119" s="3"/>
      <c r="CVX119" s="3"/>
      <c r="CVY119" s="3"/>
      <c r="CVZ119" s="3"/>
      <c r="CWA119" s="3"/>
      <c r="CWB119" s="3"/>
      <c r="CWC119" s="3"/>
      <c r="CWD119" s="3"/>
      <c r="CWE119" s="3"/>
      <c r="CWF119" s="3"/>
      <c r="CWG119" s="3"/>
      <c r="CWH119" s="3"/>
      <c r="CWI119" s="3"/>
      <c r="CWJ119" s="3"/>
      <c r="CWK119" s="3"/>
      <c r="CWL119" s="3"/>
      <c r="CWM119" s="3"/>
      <c r="CWN119" s="3"/>
      <c r="CWO119" s="3"/>
      <c r="CWP119" s="3"/>
      <c r="CWQ119" s="3"/>
      <c r="CWR119" s="3"/>
      <c r="CWS119" s="3"/>
      <c r="CWT119" s="3"/>
      <c r="CWU119" s="3"/>
      <c r="CWV119" s="3"/>
      <c r="CWW119" s="3"/>
      <c r="CWX119" s="3"/>
      <c r="CWY119" s="3"/>
      <c r="CWZ119" s="3"/>
      <c r="CXA119" s="3"/>
      <c r="CXB119" s="3"/>
      <c r="CXC119" s="3"/>
      <c r="CXD119" s="3"/>
      <c r="CXE119" s="3"/>
      <c r="CXF119" s="3"/>
      <c r="CXG119" s="3"/>
      <c r="CXH119" s="3"/>
      <c r="CXI119" s="3"/>
      <c r="CXJ119" s="3"/>
      <c r="CXK119" s="3"/>
      <c r="CXL119" s="3"/>
      <c r="CXM119" s="3"/>
      <c r="CXN119" s="3"/>
      <c r="CXO119" s="3"/>
      <c r="CXP119" s="3"/>
      <c r="CXQ119" s="3"/>
      <c r="CXR119" s="3"/>
      <c r="CXS119" s="3"/>
      <c r="CXT119" s="3"/>
      <c r="CXU119" s="3"/>
      <c r="CXV119" s="3"/>
      <c r="CXW119" s="3"/>
      <c r="CXX119" s="3"/>
      <c r="CXY119" s="3"/>
      <c r="CXZ119" s="3"/>
      <c r="CYA119" s="3"/>
      <c r="CYB119" s="3"/>
      <c r="CYC119" s="3"/>
      <c r="CYD119" s="3"/>
      <c r="CYE119" s="3"/>
      <c r="CYF119" s="3"/>
      <c r="CYG119" s="3"/>
      <c r="CYH119" s="3"/>
      <c r="CYI119" s="3"/>
      <c r="CYJ119" s="3"/>
      <c r="CYK119" s="3"/>
      <c r="CYL119" s="3"/>
      <c r="CYM119" s="3"/>
      <c r="CYN119" s="3"/>
      <c r="CYO119" s="3"/>
      <c r="CYP119" s="3"/>
      <c r="CYQ119" s="3"/>
      <c r="CYR119" s="3"/>
      <c r="CYS119" s="3"/>
      <c r="CYT119" s="3"/>
      <c r="CYU119" s="3"/>
      <c r="CYV119" s="3"/>
      <c r="CYW119" s="3"/>
      <c r="CYX119" s="3"/>
      <c r="CYY119" s="3"/>
      <c r="CYZ119" s="3"/>
      <c r="CZA119" s="3"/>
      <c r="CZB119" s="3"/>
      <c r="CZC119" s="3"/>
      <c r="CZD119" s="3"/>
      <c r="CZE119" s="3"/>
      <c r="CZF119" s="3"/>
      <c r="CZG119" s="3"/>
      <c r="CZH119" s="3"/>
      <c r="CZI119" s="3"/>
      <c r="CZJ119" s="3"/>
      <c r="CZK119" s="3"/>
      <c r="CZL119" s="3"/>
      <c r="CZM119" s="3"/>
      <c r="CZN119" s="3"/>
      <c r="CZO119" s="3"/>
      <c r="CZP119" s="3"/>
      <c r="CZQ119" s="3"/>
      <c r="CZR119" s="3"/>
      <c r="CZS119" s="3"/>
      <c r="CZT119" s="3"/>
      <c r="CZU119" s="3"/>
      <c r="CZV119" s="3"/>
      <c r="CZW119" s="3"/>
      <c r="CZX119" s="3"/>
      <c r="CZY119" s="3"/>
      <c r="CZZ119" s="3"/>
      <c r="DAA119" s="3"/>
      <c r="DAB119" s="3"/>
      <c r="DAC119" s="3"/>
      <c r="DAD119" s="3"/>
      <c r="DAE119" s="3"/>
      <c r="DAF119" s="3"/>
      <c r="DAG119" s="3"/>
      <c r="DAH119" s="3"/>
      <c r="DAI119" s="3"/>
      <c r="DAJ119" s="3"/>
      <c r="DAK119" s="3"/>
      <c r="DAL119" s="3"/>
      <c r="DAM119" s="3"/>
      <c r="DAN119" s="3"/>
      <c r="DAO119" s="3"/>
      <c r="DAP119" s="3"/>
      <c r="DAQ119" s="3"/>
      <c r="DAR119" s="3"/>
      <c r="DAS119" s="3"/>
      <c r="DAT119" s="3"/>
      <c r="DAU119" s="3"/>
      <c r="DAV119" s="3"/>
      <c r="DAW119" s="3"/>
      <c r="DAX119" s="3"/>
      <c r="DAY119" s="3"/>
      <c r="DAZ119" s="3"/>
      <c r="DBA119" s="3"/>
      <c r="DBB119" s="3"/>
      <c r="DBC119" s="3"/>
      <c r="DBD119" s="3"/>
      <c r="DBE119" s="3"/>
      <c r="DBF119" s="3"/>
      <c r="DBG119" s="3"/>
      <c r="DBH119" s="3"/>
      <c r="DBI119" s="3"/>
      <c r="DBJ119" s="3"/>
      <c r="DBK119" s="3"/>
      <c r="DBL119" s="3"/>
      <c r="DBM119" s="3"/>
      <c r="DBN119" s="3"/>
      <c r="DBO119" s="3"/>
      <c r="DBP119" s="3"/>
      <c r="DBQ119" s="3"/>
      <c r="DBR119" s="3"/>
      <c r="DBS119" s="3"/>
      <c r="DBT119" s="3"/>
      <c r="DBU119" s="3"/>
      <c r="DBV119" s="3"/>
      <c r="DBW119" s="3"/>
      <c r="DBX119" s="3"/>
      <c r="DBY119" s="3"/>
      <c r="DBZ119" s="3"/>
      <c r="DCA119" s="3"/>
      <c r="DCB119" s="3"/>
      <c r="DCC119" s="3"/>
      <c r="DCD119" s="3"/>
      <c r="DCE119" s="3"/>
      <c r="DCF119" s="3"/>
      <c r="DCG119" s="3"/>
      <c r="DCH119" s="3"/>
      <c r="DCI119" s="3"/>
      <c r="DCJ119" s="3"/>
      <c r="DCK119" s="3"/>
      <c r="DCL119" s="3"/>
      <c r="DCM119" s="3"/>
      <c r="DCN119" s="3"/>
      <c r="DCO119" s="3"/>
      <c r="DCP119" s="3"/>
      <c r="DCQ119" s="3"/>
      <c r="DCR119" s="3"/>
      <c r="DCS119" s="3"/>
      <c r="DCT119" s="3"/>
      <c r="DCU119" s="3"/>
      <c r="DCV119" s="3"/>
      <c r="DCW119" s="3"/>
      <c r="DCX119" s="3"/>
      <c r="DCY119" s="3"/>
      <c r="DCZ119" s="3"/>
      <c r="DDA119" s="3"/>
      <c r="DDB119" s="3"/>
      <c r="DDC119" s="3"/>
      <c r="DDD119" s="3"/>
      <c r="DDE119" s="3"/>
      <c r="DDF119" s="3"/>
      <c r="DDG119" s="3"/>
      <c r="DDH119" s="3"/>
      <c r="DDI119" s="3"/>
      <c r="DDJ119" s="3"/>
      <c r="DDK119" s="3"/>
      <c r="DDL119" s="3"/>
      <c r="DDM119" s="3"/>
      <c r="DDN119" s="3"/>
      <c r="DDO119" s="3"/>
      <c r="DDP119" s="3"/>
      <c r="DDQ119" s="3"/>
      <c r="DDR119" s="3"/>
      <c r="DDS119" s="3"/>
      <c r="DDT119" s="3"/>
      <c r="DDU119" s="3"/>
      <c r="DDV119" s="3"/>
      <c r="DDW119" s="3"/>
      <c r="DDX119" s="3"/>
      <c r="DDY119" s="3"/>
      <c r="DDZ119" s="3"/>
      <c r="DEA119" s="3"/>
      <c r="DEB119" s="3"/>
      <c r="DEC119" s="3"/>
      <c r="DED119" s="3"/>
      <c r="DEE119" s="3"/>
      <c r="DEF119" s="3"/>
      <c r="DEG119" s="3"/>
      <c r="DEH119" s="3"/>
      <c r="DEI119" s="3"/>
      <c r="DEJ119" s="3"/>
      <c r="DEK119" s="3"/>
      <c r="DEL119" s="3"/>
      <c r="DEM119" s="3"/>
      <c r="DEN119" s="3"/>
      <c r="DEO119" s="3"/>
      <c r="DEP119" s="3"/>
      <c r="DEQ119" s="3"/>
      <c r="DER119" s="3"/>
      <c r="DES119" s="3"/>
      <c r="DET119" s="3"/>
      <c r="DEU119" s="3"/>
      <c r="DEV119" s="3"/>
      <c r="DEW119" s="3"/>
      <c r="DEX119" s="3"/>
      <c r="DEY119" s="3"/>
      <c r="DEZ119" s="3"/>
      <c r="DFA119" s="3"/>
      <c r="DFB119" s="3"/>
      <c r="DFC119" s="3"/>
      <c r="DFD119" s="3"/>
      <c r="DFE119" s="3"/>
      <c r="DFF119" s="3"/>
      <c r="DFG119" s="3"/>
      <c r="DFH119" s="3"/>
      <c r="DFI119" s="3"/>
      <c r="DFJ119" s="3"/>
      <c r="DFK119" s="3"/>
      <c r="DFL119" s="3"/>
      <c r="DFM119" s="3"/>
      <c r="DFN119" s="3"/>
      <c r="DFO119" s="3"/>
      <c r="DFP119" s="3"/>
      <c r="DFQ119" s="3"/>
      <c r="DFR119" s="3"/>
      <c r="DFS119" s="3"/>
      <c r="DFT119" s="3"/>
      <c r="DFU119" s="3"/>
      <c r="DFV119" s="3"/>
      <c r="DFW119" s="3"/>
      <c r="DFX119" s="3"/>
      <c r="DFY119" s="3"/>
      <c r="DFZ119" s="3"/>
      <c r="DGA119" s="3"/>
      <c r="DGB119" s="3"/>
      <c r="DGC119" s="3"/>
      <c r="DGD119" s="3"/>
      <c r="DGE119" s="3"/>
      <c r="DGF119" s="3"/>
      <c r="DGG119" s="3"/>
      <c r="DGH119" s="3"/>
      <c r="DGI119" s="3"/>
      <c r="DGJ119" s="3"/>
      <c r="DGK119" s="3"/>
      <c r="DGL119" s="3"/>
      <c r="DGM119" s="3"/>
      <c r="DGN119" s="3"/>
      <c r="DGO119" s="3"/>
      <c r="DGP119" s="3"/>
      <c r="DGQ119" s="3"/>
      <c r="DGR119" s="3"/>
      <c r="DGS119" s="3"/>
      <c r="DGT119" s="3"/>
      <c r="DGU119" s="3"/>
      <c r="DGV119" s="3"/>
      <c r="DGW119" s="3"/>
      <c r="DGX119" s="3"/>
      <c r="DGY119" s="3"/>
      <c r="DGZ119" s="3"/>
      <c r="DHA119" s="3"/>
      <c r="DHB119" s="3"/>
      <c r="DHC119" s="3"/>
      <c r="DHD119" s="3"/>
      <c r="DHE119" s="3"/>
      <c r="DHF119" s="3"/>
      <c r="DHG119" s="3"/>
      <c r="DHH119" s="3"/>
      <c r="DHI119" s="3"/>
      <c r="DHJ119" s="3"/>
      <c r="DHK119" s="3"/>
      <c r="DHL119" s="3"/>
      <c r="DHM119" s="3"/>
      <c r="DHN119" s="3"/>
      <c r="DHO119" s="3"/>
      <c r="DHP119" s="3"/>
      <c r="DHQ119" s="3"/>
      <c r="DHR119" s="3"/>
      <c r="DHS119" s="3"/>
      <c r="DHT119" s="3"/>
      <c r="DHU119" s="3"/>
      <c r="DHV119" s="3"/>
      <c r="DHW119" s="3"/>
      <c r="DHX119" s="3"/>
      <c r="DHY119" s="3"/>
      <c r="DHZ119" s="3"/>
      <c r="DIA119" s="3"/>
      <c r="DIB119" s="3"/>
      <c r="DIC119" s="3"/>
      <c r="DID119" s="3"/>
      <c r="DIE119" s="3"/>
      <c r="DIF119" s="3"/>
      <c r="DIG119" s="3"/>
      <c r="DIH119" s="3"/>
      <c r="DII119" s="3"/>
      <c r="DIJ119" s="3"/>
      <c r="DIK119" s="3"/>
      <c r="DIL119" s="3"/>
      <c r="DIM119" s="3"/>
      <c r="DIN119" s="3"/>
      <c r="DIO119" s="3"/>
      <c r="DIP119" s="3"/>
      <c r="DIQ119" s="3"/>
      <c r="DIR119" s="3"/>
      <c r="DIS119" s="3"/>
      <c r="DIT119" s="3"/>
      <c r="DIU119" s="3"/>
      <c r="DIV119" s="3"/>
      <c r="DIW119" s="3"/>
      <c r="DIX119" s="3"/>
      <c r="DIY119" s="3"/>
      <c r="DIZ119" s="3"/>
      <c r="DJA119" s="3"/>
      <c r="DJB119" s="3"/>
      <c r="DJC119" s="3"/>
      <c r="DJD119" s="3"/>
      <c r="DJE119" s="3"/>
      <c r="DJF119" s="3"/>
      <c r="DJG119" s="3"/>
      <c r="DJH119" s="3"/>
      <c r="DJI119" s="3"/>
      <c r="DJJ119" s="3"/>
      <c r="DJK119" s="3"/>
      <c r="DJL119" s="3"/>
      <c r="DJM119" s="3"/>
      <c r="DJN119" s="3"/>
      <c r="DJO119" s="3"/>
      <c r="DJP119" s="3"/>
      <c r="DJQ119" s="3"/>
      <c r="DJR119" s="3"/>
      <c r="DJS119" s="3"/>
      <c r="DJT119" s="3"/>
      <c r="DJU119" s="3"/>
      <c r="DJV119" s="3"/>
      <c r="DJW119" s="3"/>
      <c r="DJX119" s="3"/>
      <c r="DJY119" s="3"/>
      <c r="DJZ119" s="3"/>
      <c r="DKA119" s="3"/>
      <c r="DKB119" s="3"/>
      <c r="DKC119" s="3"/>
      <c r="DKD119" s="3"/>
      <c r="DKE119" s="3"/>
      <c r="DKF119" s="3"/>
      <c r="DKG119" s="3"/>
      <c r="DKH119" s="3"/>
      <c r="DKI119" s="3"/>
      <c r="DKJ119" s="3"/>
      <c r="DKK119" s="3"/>
      <c r="DKL119" s="3"/>
      <c r="DKM119" s="3"/>
      <c r="DKN119" s="3"/>
      <c r="DKO119" s="3"/>
      <c r="DKP119" s="3"/>
      <c r="DKQ119" s="3"/>
      <c r="DKR119" s="3"/>
      <c r="DKS119" s="3"/>
      <c r="DKT119" s="3"/>
      <c r="DKU119" s="3"/>
      <c r="DKV119" s="3"/>
      <c r="DKW119" s="3"/>
      <c r="DKX119" s="3"/>
      <c r="DKY119" s="3"/>
      <c r="DKZ119" s="3"/>
      <c r="DLA119" s="3"/>
      <c r="DLB119" s="3"/>
      <c r="DLC119" s="3"/>
      <c r="DLD119" s="3"/>
      <c r="DLE119" s="3"/>
      <c r="DLF119" s="3"/>
      <c r="DLG119" s="3"/>
      <c r="DLH119" s="3"/>
      <c r="DLI119" s="3"/>
      <c r="DLJ119" s="3"/>
      <c r="DLK119" s="3"/>
      <c r="DLL119" s="3"/>
      <c r="DLM119" s="3"/>
      <c r="DLN119" s="3"/>
      <c r="DLO119" s="3"/>
      <c r="DLP119" s="3"/>
      <c r="DLQ119" s="3"/>
      <c r="DLR119" s="3"/>
      <c r="DLS119" s="3"/>
      <c r="DLT119" s="3"/>
      <c r="DLU119" s="3"/>
      <c r="DLV119" s="3"/>
      <c r="DLW119" s="3"/>
      <c r="DLX119" s="3"/>
      <c r="DLY119" s="3"/>
      <c r="DLZ119" s="3"/>
      <c r="DMA119" s="3"/>
      <c r="DMB119" s="3"/>
      <c r="DMC119" s="3"/>
      <c r="DMD119" s="3"/>
      <c r="DME119" s="3"/>
      <c r="DMF119" s="3"/>
      <c r="DMG119" s="3"/>
      <c r="DMH119" s="3"/>
      <c r="DMI119" s="3"/>
      <c r="DMJ119" s="3"/>
      <c r="DMK119" s="3"/>
      <c r="DML119" s="3"/>
      <c r="DMM119" s="3"/>
      <c r="DMN119" s="3"/>
      <c r="DMO119" s="3"/>
      <c r="DMP119" s="3"/>
      <c r="DMQ119" s="3"/>
      <c r="DMR119" s="3"/>
      <c r="DMS119" s="3"/>
      <c r="DMT119" s="3"/>
      <c r="DMU119" s="3"/>
      <c r="DMV119" s="3"/>
      <c r="DMW119" s="3"/>
      <c r="DMX119" s="3"/>
      <c r="DMY119" s="3"/>
      <c r="DMZ119" s="3"/>
      <c r="DNA119" s="3"/>
      <c r="DNB119" s="3"/>
      <c r="DNC119" s="3"/>
      <c r="DND119" s="3"/>
      <c r="DNE119" s="3"/>
      <c r="DNF119" s="3"/>
      <c r="DNG119" s="3"/>
      <c r="DNH119" s="3"/>
      <c r="DNI119" s="3"/>
      <c r="DNJ119" s="3"/>
      <c r="DNK119" s="3"/>
      <c r="DNL119" s="3"/>
      <c r="DNM119" s="3"/>
      <c r="DNN119" s="3"/>
      <c r="DNO119" s="3"/>
      <c r="DNP119" s="3"/>
      <c r="DNQ119" s="3"/>
      <c r="DNR119" s="3"/>
      <c r="DNS119" s="3"/>
      <c r="DNT119" s="3"/>
      <c r="DNU119" s="3"/>
      <c r="DNV119" s="3"/>
      <c r="DNW119" s="3"/>
      <c r="DNX119" s="3"/>
      <c r="DNY119" s="3"/>
      <c r="DNZ119" s="3"/>
      <c r="DOA119" s="3"/>
      <c r="DOB119" s="3"/>
      <c r="DOC119" s="3"/>
      <c r="DOD119" s="3"/>
      <c r="DOE119" s="3"/>
      <c r="DOF119" s="3"/>
      <c r="DOG119" s="3"/>
      <c r="DOH119" s="3"/>
      <c r="DOI119" s="3"/>
      <c r="DOJ119" s="3"/>
      <c r="DOK119" s="3"/>
      <c r="DOL119" s="3"/>
      <c r="DOM119" s="3"/>
      <c r="DON119" s="3"/>
      <c r="DOO119" s="3"/>
      <c r="DOP119" s="3"/>
      <c r="DOQ119" s="3"/>
      <c r="DOR119" s="3"/>
      <c r="DOS119" s="3"/>
      <c r="DOT119" s="3"/>
      <c r="DOU119" s="3"/>
      <c r="DOV119" s="3"/>
      <c r="DOW119" s="3"/>
      <c r="DOX119" s="3"/>
      <c r="DOY119" s="3"/>
      <c r="DOZ119" s="3"/>
      <c r="DPA119" s="3"/>
      <c r="DPB119" s="3"/>
      <c r="DPC119" s="3"/>
      <c r="DPD119" s="3"/>
      <c r="DPE119" s="3"/>
      <c r="DPF119" s="3"/>
      <c r="DPG119" s="3"/>
      <c r="DPH119" s="3"/>
      <c r="DPI119" s="3"/>
      <c r="DPJ119" s="3"/>
      <c r="DPK119" s="3"/>
      <c r="DPL119" s="3"/>
      <c r="DPM119" s="3"/>
      <c r="DPN119" s="3"/>
      <c r="DPO119" s="3"/>
      <c r="DPP119" s="3"/>
      <c r="DPQ119" s="3"/>
      <c r="DPR119" s="3"/>
      <c r="DPS119" s="3"/>
      <c r="DPT119" s="3"/>
      <c r="DPU119" s="3"/>
      <c r="DPV119" s="3"/>
      <c r="DPW119" s="3"/>
      <c r="DPX119" s="3"/>
      <c r="DPY119" s="3"/>
      <c r="DPZ119" s="3"/>
      <c r="DQA119" s="3"/>
      <c r="DQB119" s="3"/>
      <c r="DQC119" s="3"/>
      <c r="DQD119" s="3"/>
      <c r="DQE119" s="3"/>
      <c r="DQF119" s="3"/>
      <c r="DQG119" s="3"/>
      <c r="DQH119" s="3"/>
      <c r="DQI119" s="3"/>
      <c r="DQJ119" s="3"/>
      <c r="DQK119" s="3"/>
      <c r="DQL119" s="3"/>
      <c r="DQM119" s="3"/>
      <c r="DQN119" s="3"/>
      <c r="DQO119" s="3"/>
      <c r="DQP119" s="3"/>
      <c r="DQQ119" s="3"/>
      <c r="DQR119" s="3"/>
      <c r="DQS119" s="3"/>
      <c r="DQT119" s="3"/>
      <c r="DQU119" s="3"/>
      <c r="DQV119" s="3"/>
      <c r="DQW119" s="3"/>
      <c r="DQX119" s="3"/>
      <c r="DQY119" s="3"/>
      <c r="DQZ119" s="3"/>
      <c r="DRA119" s="3"/>
      <c r="DRB119" s="3"/>
      <c r="DRC119" s="3"/>
      <c r="DRD119" s="3"/>
      <c r="DRE119" s="3"/>
      <c r="DRF119" s="3"/>
      <c r="DRG119" s="3"/>
      <c r="DRH119" s="3"/>
      <c r="DRI119" s="3"/>
      <c r="DRJ119" s="3"/>
      <c r="DRK119" s="3"/>
      <c r="DRL119" s="3"/>
      <c r="DRM119" s="3"/>
      <c r="DRN119" s="3"/>
      <c r="DRO119" s="3"/>
      <c r="DRP119" s="3"/>
      <c r="DRQ119" s="3"/>
      <c r="DRR119" s="3"/>
      <c r="DRS119" s="3"/>
      <c r="DRT119" s="3"/>
      <c r="DRU119" s="3"/>
      <c r="DRV119" s="3"/>
      <c r="DRW119" s="3"/>
      <c r="DRX119" s="3"/>
      <c r="DRY119" s="3"/>
      <c r="DRZ119" s="3"/>
      <c r="DSA119" s="3"/>
      <c r="DSB119" s="3"/>
      <c r="DSC119" s="3"/>
      <c r="DSD119" s="3"/>
      <c r="DSE119" s="3"/>
      <c r="DSF119" s="3"/>
      <c r="DSG119" s="3"/>
      <c r="DSH119" s="3"/>
      <c r="DSI119" s="3"/>
      <c r="DSJ119" s="3"/>
      <c r="DSK119" s="3"/>
      <c r="DSL119" s="3"/>
      <c r="DSM119" s="3"/>
      <c r="DSN119" s="3"/>
      <c r="DSO119" s="3"/>
      <c r="DSP119" s="3"/>
      <c r="DSQ119" s="3"/>
      <c r="DSR119" s="3"/>
      <c r="DSS119" s="3"/>
      <c r="DST119" s="3"/>
      <c r="DSU119" s="3"/>
      <c r="DSV119" s="3"/>
      <c r="DSW119" s="3"/>
      <c r="DSX119" s="3"/>
      <c r="DSY119" s="3"/>
      <c r="DSZ119" s="3"/>
      <c r="DTA119" s="3"/>
      <c r="DTB119" s="3"/>
      <c r="DTC119" s="3"/>
      <c r="DTD119" s="3"/>
      <c r="DTE119" s="3"/>
      <c r="DTF119" s="3"/>
      <c r="DTG119" s="3"/>
      <c r="DTH119" s="3"/>
      <c r="DTI119" s="3"/>
      <c r="DTJ119" s="3"/>
      <c r="DTK119" s="3"/>
      <c r="DTL119" s="3"/>
      <c r="DTM119" s="3"/>
      <c r="DTN119" s="3"/>
      <c r="DTO119" s="3"/>
      <c r="DTP119" s="3"/>
      <c r="DTQ119" s="3"/>
      <c r="DTR119" s="3"/>
      <c r="DTS119" s="3"/>
      <c r="DTT119" s="3"/>
      <c r="DTU119" s="3"/>
      <c r="DTV119" s="3"/>
      <c r="DTW119" s="3"/>
      <c r="DTX119" s="3"/>
      <c r="DTY119" s="3"/>
      <c r="DTZ119" s="3"/>
      <c r="DUA119" s="3"/>
      <c r="DUB119" s="3"/>
      <c r="DUC119" s="3"/>
      <c r="DUD119" s="3"/>
      <c r="DUE119" s="3"/>
      <c r="DUF119" s="3"/>
      <c r="DUG119" s="3"/>
      <c r="DUH119" s="3"/>
      <c r="DUI119" s="3"/>
      <c r="DUJ119" s="3"/>
      <c r="DUK119" s="3"/>
      <c r="DUL119" s="3"/>
      <c r="DUM119" s="3"/>
      <c r="DUN119" s="3"/>
      <c r="DUO119" s="3"/>
      <c r="DUP119" s="3"/>
      <c r="DUQ119" s="3"/>
      <c r="DUR119" s="3"/>
      <c r="DUS119" s="3"/>
      <c r="DUT119" s="3"/>
      <c r="DUU119" s="3"/>
      <c r="DUV119" s="3"/>
      <c r="DUW119" s="3"/>
      <c r="DUX119" s="3"/>
      <c r="DUY119" s="3"/>
      <c r="DUZ119" s="3"/>
      <c r="DVA119" s="3"/>
      <c r="DVB119" s="3"/>
      <c r="DVC119" s="3"/>
      <c r="DVD119" s="3"/>
      <c r="DVE119" s="3"/>
      <c r="DVF119" s="3"/>
      <c r="DVG119" s="3"/>
      <c r="DVH119" s="3"/>
      <c r="DVI119" s="3"/>
      <c r="DVJ119" s="3"/>
      <c r="DVK119" s="3"/>
      <c r="DVL119" s="3"/>
      <c r="DVM119" s="3"/>
      <c r="DVN119" s="3"/>
      <c r="DVO119" s="3"/>
      <c r="DVP119" s="3"/>
      <c r="DVQ119" s="3"/>
      <c r="DVR119" s="3"/>
      <c r="DVS119" s="3"/>
      <c r="DVT119" s="3"/>
      <c r="DVU119" s="3"/>
      <c r="DVV119" s="3"/>
      <c r="DVW119" s="3"/>
      <c r="DVX119" s="3"/>
      <c r="DVY119" s="3"/>
      <c r="DVZ119" s="3"/>
      <c r="DWA119" s="3"/>
      <c r="DWB119" s="3"/>
      <c r="DWC119" s="3"/>
      <c r="DWD119" s="3"/>
      <c r="DWE119" s="3"/>
      <c r="DWF119" s="3"/>
      <c r="DWG119" s="3"/>
      <c r="DWH119" s="3"/>
      <c r="DWI119" s="3"/>
      <c r="DWJ119" s="3"/>
      <c r="DWK119" s="3"/>
      <c r="DWL119" s="3"/>
      <c r="DWM119" s="3"/>
      <c r="DWN119" s="3"/>
      <c r="DWO119" s="3"/>
      <c r="DWP119" s="3"/>
      <c r="DWQ119" s="3"/>
      <c r="DWR119" s="3"/>
      <c r="DWS119" s="3"/>
      <c r="DWT119" s="3"/>
      <c r="DWU119" s="3"/>
      <c r="DWV119" s="3"/>
      <c r="DWW119" s="3"/>
      <c r="DWX119" s="3"/>
      <c r="DWY119" s="3"/>
      <c r="DWZ119" s="3"/>
      <c r="DXA119" s="3"/>
      <c r="DXB119" s="3"/>
      <c r="DXC119" s="3"/>
      <c r="DXD119" s="3"/>
      <c r="DXE119" s="3"/>
      <c r="DXF119" s="3"/>
      <c r="DXG119" s="3"/>
      <c r="DXH119" s="3"/>
      <c r="DXI119" s="3"/>
      <c r="DXJ119" s="3"/>
      <c r="DXK119" s="3"/>
      <c r="DXL119" s="3"/>
      <c r="DXM119" s="3"/>
      <c r="DXN119" s="3"/>
      <c r="DXO119" s="3"/>
      <c r="DXP119" s="3"/>
      <c r="DXQ119" s="3"/>
      <c r="DXR119" s="3"/>
      <c r="DXS119" s="3"/>
      <c r="DXT119" s="3"/>
      <c r="DXU119" s="3"/>
      <c r="DXV119" s="3"/>
      <c r="DXW119" s="3"/>
      <c r="DXX119" s="3"/>
      <c r="DXY119" s="3"/>
      <c r="DXZ119" s="3"/>
      <c r="DYA119" s="3"/>
      <c r="DYB119" s="3"/>
      <c r="DYC119" s="3"/>
      <c r="DYD119" s="3"/>
      <c r="DYE119" s="3"/>
      <c r="DYF119" s="3"/>
      <c r="DYG119" s="3"/>
      <c r="DYH119" s="3"/>
      <c r="DYI119" s="3"/>
      <c r="DYJ119" s="3"/>
      <c r="DYK119" s="3"/>
      <c r="DYL119" s="3"/>
      <c r="DYM119" s="3"/>
      <c r="DYN119" s="3"/>
      <c r="DYO119" s="3"/>
      <c r="DYP119" s="3"/>
      <c r="DYQ119" s="3"/>
      <c r="DYR119" s="3"/>
      <c r="DYS119" s="3"/>
      <c r="DYT119" s="3"/>
      <c r="DYU119" s="3"/>
      <c r="DYV119" s="3"/>
      <c r="DYW119" s="3"/>
      <c r="DYX119" s="3"/>
      <c r="DYY119" s="3"/>
      <c r="DYZ119" s="3"/>
      <c r="DZA119" s="3"/>
      <c r="DZB119" s="3"/>
      <c r="DZC119" s="3"/>
      <c r="DZD119" s="3"/>
      <c r="DZE119" s="3"/>
      <c r="DZF119" s="3"/>
      <c r="DZG119" s="3"/>
      <c r="DZH119" s="3"/>
      <c r="DZI119" s="3"/>
      <c r="DZJ119" s="3"/>
      <c r="DZK119" s="3"/>
      <c r="DZL119" s="3"/>
      <c r="DZM119" s="3"/>
      <c r="DZN119" s="3"/>
      <c r="DZO119" s="3"/>
      <c r="DZP119" s="3"/>
      <c r="DZQ119" s="3"/>
      <c r="DZR119" s="3"/>
      <c r="DZS119" s="3"/>
      <c r="DZT119" s="3"/>
      <c r="DZU119" s="3"/>
      <c r="DZV119" s="3"/>
      <c r="DZW119" s="3"/>
      <c r="DZX119" s="3"/>
      <c r="DZY119" s="3"/>
      <c r="DZZ119" s="3"/>
      <c r="EAA119" s="3"/>
      <c r="EAB119" s="3"/>
      <c r="EAC119" s="3"/>
      <c r="EAD119" s="3"/>
      <c r="EAE119" s="3"/>
      <c r="EAF119" s="3"/>
      <c r="EAG119" s="3"/>
      <c r="EAH119" s="3"/>
      <c r="EAI119" s="3"/>
      <c r="EAJ119" s="3"/>
      <c r="EAK119" s="3"/>
      <c r="EAL119" s="3"/>
      <c r="EAM119" s="3"/>
      <c r="EAN119" s="3"/>
      <c r="EAO119" s="3"/>
      <c r="EAP119" s="3"/>
      <c r="EAQ119" s="3"/>
      <c r="EAR119" s="3"/>
      <c r="EAS119" s="3"/>
      <c r="EAT119" s="3"/>
      <c r="EAU119" s="3"/>
      <c r="EAV119" s="3"/>
      <c r="EAW119" s="3"/>
      <c r="EAX119" s="3"/>
      <c r="EAY119" s="3"/>
      <c r="EAZ119" s="3"/>
      <c r="EBA119" s="3"/>
      <c r="EBB119" s="3"/>
      <c r="EBC119" s="3"/>
      <c r="EBD119" s="3"/>
      <c r="EBE119" s="3"/>
      <c r="EBF119" s="3"/>
      <c r="EBG119" s="3"/>
      <c r="EBH119" s="3"/>
      <c r="EBI119" s="3"/>
      <c r="EBJ119" s="3"/>
      <c r="EBK119" s="3"/>
      <c r="EBL119" s="3"/>
      <c r="EBM119" s="3"/>
      <c r="EBN119" s="3"/>
      <c r="EBO119" s="3"/>
      <c r="EBP119" s="3"/>
      <c r="EBQ119" s="3"/>
      <c r="EBR119" s="3"/>
      <c r="EBS119" s="3"/>
      <c r="EBT119" s="3"/>
      <c r="EBU119" s="3"/>
      <c r="EBV119" s="3"/>
      <c r="EBW119" s="3"/>
      <c r="EBX119" s="3"/>
      <c r="EBY119" s="3"/>
      <c r="EBZ119" s="3"/>
      <c r="ECA119" s="3"/>
      <c r="ECB119" s="3"/>
      <c r="ECC119" s="3"/>
      <c r="ECD119" s="3"/>
      <c r="ECE119" s="3"/>
      <c r="ECF119" s="3"/>
      <c r="ECG119" s="3"/>
      <c r="ECH119" s="3"/>
      <c r="ECI119" s="3"/>
      <c r="ECJ119" s="3"/>
      <c r="ECK119" s="3"/>
      <c r="ECL119" s="3"/>
      <c r="ECM119" s="3"/>
      <c r="ECN119" s="3"/>
      <c r="ECO119" s="3"/>
      <c r="ECP119" s="3"/>
      <c r="ECQ119" s="3"/>
      <c r="ECR119" s="3"/>
      <c r="ECS119" s="3"/>
      <c r="ECT119" s="3"/>
      <c r="ECU119" s="3"/>
      <c r="ECV119" s="3"/>
      <c r="ECW119" s="3"/>
      <c r="ECX119" s="3"/>
      <c r="ECY119" s="3"/>
      <c r="ECZ119" s="3"/>
      <c r="EDA119" s="3"/>
      <c r="EDB119" s="3"/>
      <c r="EDC119" s="3"/>
      <c r="EDD119" s="3"/>
      <c r="EDE119" s="3"/>
      <c r="EDF119" s="3"/>
      <c r="EDG119" s="3"/>
      <c r="EDH119" s="3"/>
      <c r="EDI119" s="3"/>
      <c r="EDJ119" s="3"/>
      <c r="EDK119" s="3"/>
      <c r="EDL119" s="3"/>
      <c r="EDM119" s="3"/>
      <c r="EDN119" s="3"/>
      <c r="EDO119" s="3"/>
      <c r="EDP119" s="3"/>
      <c r="EDQ119" s="3"/>
      <c r="EDR119" s="3"/>
      <c r="EDS119" s="3"/>
      <c r="EDT119" s="3"/>
      <c r="EDU119" s="3"/>
      <c r="EDV119" s="3"/>
      <c r="EDW119" s="3"/>
      <c r="EDX119" s="3"/>
      <c r="EDY119" s="3"/>
      <c r="EDZ119" s="3"/>
      <c r="EEA119" s="3"/>
      <c r="EEB119" s="3"/>
      <c r="EEC119" s="3"/>
      <c r="EED119" s="3"/>
      <c r="EEE119" s="3"/>
      <c r="EEF119" s="3"/>
      <c r="EEG119" s="3"/>
      <c r="EEH119" s="3"/>
      <c r="EEI119" s="3"/>
      <c r="EEJ119" s="3"/>
      <c r="EEK119" s="3"/>
      <c r="EEL119" s="3"/>
      <c r="EEM119" s="3"/>
      <c r="EEN119" s="3"/>
      <c r="EEO119" s="3"/>
      <c r="EEP119" s="3"/>
      <c r="EEQ119" s="3"/>
      <c r="EER119" s="3"/>
      <c r="EES119" s="3"/>
      <c r="EET119" s="3"/>
      <c r="EEU119" s="3"/>
      <c r="EEV119" s="3"/>
      <c r="EEW119" s="3"/>
      <c r="EEX119" s="3"/>
      <c r="EEY119" s="3"/>
      <c r="EEZ119" s="3"/>
      <c r="EFA119" s="3"/>
      <c r="EFB119" s="3"/>
      <c r="EFC119" s="3"/>
      <c r="EFD119" s="3"/>
      <c r="EFE119" s="3"/>
      <c r="EFF119" s="3"/>
      <c r="EFG119" s="3"/>
      <c r="EFH119" s="3"/>
      <c r="EFI119" s="3"/>
      <c r="EFJ119" s="3"/>
      <c r="EFK119" s="3"/>
      <c r="EFL119" s="3"/>
      <c r="EFM119" s="3"/>
      <c r="EFN119" s="3"/>
      <c r="EFO119" s="3"/>
      <c r="EFP119" s="3"/>
      <c r="EFQ119" s="3"/>
      <c r="EFR119" s="3"/>
      <c r="EFS119" s="3"/>
      <c r="EFT119" s="3"/>
      <c r="EFU119" s="3"/>
      <c r="EFV119" s="3"/>
      <c r="EFW119" s="3"/>
      <c r="EFX119" s="3"/>
      <c r="EFY119" s="3"/>
      <c r="EFZ119" s="3"/>
      <c r="EGA119" s="3"/>
      <c r="EGB119" s="3"/>
      <c r="EGC119" s="3"/>
      <c r="EGD119" s="3"/>
      <c r="EGE119" s="3"/>
      <c r="EGF119" s="3"/>
      <c r="EGG119" s="3"/>
      <c r="EGH119" s="3"/>
      <c r="EGI119" s="3"/>
      <c r="EGJ119" s="3"/>
      <c r="EGK119" s="3"/>
      <c r="EGL119" s="3"/>
      <c r="EGM119" s="3"/>
      <c r="EGN119" s="3"/>
      <c r="EGO119" s="3"/>
      <c r="EGP119" s="3"/>
      <c r="EGQ119" s="3"/>
      <c r="EGR119" s="3"/>
      <c r="EGS119" s="3"/>
      <c r="EGT119" s="3"/>
      <c r="EGU119" s="3"/>
      <c r="EGV119" s="3"/>
      <c r="EGW119" s="3"/>
      <c r="EGX119" s="3"/>
      <c r="EGY119" s="3"/>
      <c r="EGZ119" s="3"/>
      <c r="EHA119" s="3"/>
      <c r="EHB119" s="3"/>
      <c r="EHC119" s="3"/>
      <c r="EHD119" s="3"/>
      <c r="EHE119" s="3"/>
      <c r="EHF119" s="3"/>
      <c r="EHG119" s="3"/>
      <c r="EHH119" s="3"/>
      <c r="EHI119" s="3"/>
      <c r="EHJ119" s="3"/>
      <c r="EHK119" s="3"/>
      <c r="EHL119" s="3"/>
      <c r="EHM119" s="3"/>
      <c r="EHN119" s="3"/>
      <c r="EHO119" s="3"/>
      <c r="EHP119" s="3"/>
      <c r="EHQ119" s="3"/>
      <c r="EHR119" s="3"/>
      <c r="EHS119" s="3"/>
      <c r="EHT119" s="3"/>
      <c r="EHU119" s="3"/>
      <c r="EHV119" s="3"/>
      <c r="EHW119" s="3"/>
      <c r="EHX119" s="3"/>
      <c r="EHY119" s="3"/>
      <c r="EHZ119" s="3"/>
      <c r="EIA119" s="3"/>
      <c r="EIB119" s="3"/>
      <c r="EIC119" s="3"/>
      <c r="EID119" s="3"/>
      <c r="EIE119" s="3"/>
      <c r="EIF119" s="3"/>
      <c r="EIG119" s="3"/>
      <c r="EIH119" s="3"/>
      <c r="EII119" s="3"/>
      <c r="EIJ119" s="3"/>
      <c r="EIK119" s="3"/>
      <c r="EIL119" s="3"/>
      <c r="EIM119" s="3"/>
      <c r="EIN119" s="3"/>
      <c r="EIO119" s="3"/>
      <c r="EIP119" s="3"/>
      <c r="EIQ119" s="3"/>
      <c r="EIR119" s="3"/>
      <c r="EIS119" s="3"/>
      <c r="EIT119" s="3"/>
      <c r="EIU119" s="3"/>
      <c r="EIV119" s="3"/>
      <c r="EIW119" s="3"/>
      <c r="EIX119" s="3"/>
      <c r="EIY119" s="3"/>
      <c r="EIZ119" s="3"/>
      <c r="EJA119" s="3"/>
      <c r="EJB119" s="3"/>
      <c r="EJC119" s="3"/>
      <c r="EJD119" s="3"/>
      <c r="EJE119" s="3"/>
      <c r="EJF119" s="3"/>
      <c r="EJG119" s="3"/>
      <c r="EJH119" s="3"/>
      <c r="EJI119" s="3"/>
      <c r="EJJ119" s="3"/>
      <c r="EJK119" s="3"/>
      <c r="EJL119" s="3"/>
      <c r="EJM119" s="3"/>
      <c r="EJN119" s="3"/>
      <c r="EJO119" s="3"/>
      <c r="EJP119" s="3"/>
      <c r="EJQ119" s="3"/>
      <c r="EJR119" s="3"/>
      <c r="EJS119" s="3"/>
      <c r="EJT119" s="3"/>
      <c r="EJU119" s="3"/>
      <c r="EJV119" s="3"/>
      <c r="EJW119" s="3"/>
      <c r="EJX119" s="3"/>
      <c r="EJY119" s="3"/>
      <c r="EJZ119" s="3"/>
      <c r="EKA119" s="3"/>
      <c r="EKB119" s="3"/>
      <c r="EKC119" s="3"/>
      <c r="EKD119" s="3"/>
      <c r="EKE119" s="3"/>
      <c r="EKF119" s="3"/>
      <c r="EKG119" s="3"/>
      <c r="EKH119" s="3"/>
      <c r="EKI119" s="3"/>
      <c r="EKJ119" s="3"/>
      <c r="EKK119" s="3"/>
      <c r="EKL119" s="3"/>
      <c r="EKM119" s="3"/>
      <c r="EKN119" s="3"/>
      <c r="EKO119" s="3"/>
      <c r="EKP119" s="3"/>
      <c r="EKQ119" s="3"/>
      <c r="EKR119" s="3"/>
      <c r="EKS119" s="3"/>
      <c r="EKT119" s="3"/>
      <c r="EKU119" s="3"/>
      <c r="EKV119" s="3"/>
      <c r="EKW119" s="3"/>
      <c r="EKX119" s="3"/>
      <c r="EKY119" s="3"/>
      <c r="EKZ119" s="3"/>
      <c r="ELA119" s="3"/>
      <c r="ELB119" s="3"/>
      <c r="ELC119" s="3"/>
      <c r="ELD119" s="3"/>
      <c r="ELE119" s="3"/>
      <c r="ELF119" s="3"/>
      <c r="ELG119" s="3"/>
      <c r="ELH119" s="3"/>
      <c r="ELI119" s="3"/>
      <c r="ELJ119" s="3"/>
      <c r="ELK119" s="3"/>
      <c r="ELL119" s="3"/>
      <c r="ELM119" s="3"/>
      <c r="ELN119" s="3"/>
      <c r="ELO119" s="3"/>
      <c r="ELP119" s="3"/>
      <c r="ELQ119" s="3"/>
      <c r="ELR119" s="3"/>
      <c r="ELS119" s="3"/>
      <c r="ELT119" s="3"/>
      <c r="ELU119" s="3"/>
      <c r="ELV119" s="3"/>
      <c r="ELW119" s="3"/>
      <c r="ELX119" s="3"/>
      <c r="ELY119" s="3"/>
      <c r="ELZ119" s="3"/>
      <c r="EMA119" s="3"/>
      <c r="EMB119" s="3"/>
      <c r="EMC119" s="3"/>
      <c r="EMD119" s="3"/>
      <c r="EME119" s="3"/>
      <c r="EMF119" s="3"/>
      <c r="EMG119" s="3"/>
      <c r="EMH119" s="3"/>
      <c r="EMI119" s="3"/>
      <c r="EMJ119" s="3"/>
      <c r="EMK119" s="3"/>
      <c r="EML119" s="3"/>
      <c r="EMM119" s="3"/>
      <c r="EMN119" s="3"/>
      <c r="EMO119" s="3"/>
      <c r="EMP119" s="3"/>
      <c r="EMQ119" s="3"/>
      <c r="EMR119" s="3"/>
      <c r="EMS119" s="3"/>
      <c r="EMT119" s="3"/>
      <c r="EMU119" s="3"/>
      <c r="EMV119" s="3"/>
      <c r="EMW119" s="3"/>
      <c r="EMX119" s="3"/>
      <c r="EMY119" s="3"/>
      <c r="EMZ119" s="3"/>
      <c r="ENA119" s="3"/>
      <c r="ENB119" s="3"/>
      <c r="ENC119" s="3"/>
      <c r="END119" s="3"/>
      <c r="ENE119" s="3"/>
      <c r="ENF119" s="3"/>
      <c r="ENG119" s="3"/>
      <c r="ENH119" s="3"/>
      <c r="ENI119" s="3"/>
      <c r="ENJ119" s="3"/>
      <c r="ENK119" s="3"/>
      <c r="ENL119" s="3"/>
      <c r="ENM119" s="3"/>
      <c r="ENN119" s="3"/>
      <c r="ENO119" s="3"/>
      <c r="ENP119" s="3"/>
      <c r="ENQ119" s="3"/>
      <c r="ENR119" s="3"/>
      <c r="ENS119" s="3"/>
      <c r="ENT119" s="3"/>
      <c r="ENU119" s="3"/>
      <c r="ENV119" s="3"/>
      <c r="ENW119" s="3"/>
      <c r="ENX119" s="3"/>
      <c r="ENY119" s="3"/>
      <c r="ENZ119" s="3"/>
      <c r="EOA119" s="3"/>
      <c r="EOB119" s="3"/>
      <c r="EOC119" s="3"/>
      <c r="EOD119" s="3"/>
      <c r="EOE119" s="3"/>
      <c r="EOF119" s="3"/>
      <c r="EOG119" s="3"/>
      <c r="EOH119" s="3"/>
      <c r="EOI119" s="3"/>
      <c r="EOJ119" s="3"/>
      <c r="EOK119" s="3"/>
      <c r="EOL119" s="3"/>
      <c r="EOM119" s="3"/>
      <c r="EON119" s="3"/>
      <c r="EOO119" s="3"/>
      <c r="EOP119" s="3"/>
      <c r="EOQ119" s="3"/>
      <c r="EOR119" s="3"/>
      <c r="EOS119" s="3"/>
      <c r="EOT119" s="3"/>
      <c r="EOU119" s="3"/>
      <c r="EOV119" s="3"/>
      <c r="EOW119" s="3"/>
      <c r="EOX119" s="3"/>
      <c r="EOY119" s="3"/>
      <c r="EOZ119" s="3"/>
      <c r="EPA119" s="3"/>
      <c r="EPB119" s="3"/>
      <c r="EPC119" s="3"/>
      <c r="EPD119" s="3"/>
      <c r="EPE119" s="3"/>
      <c r="EPF119" s="3"/>
      <c r="EPG119" s="3"/>
      <c r="EPH119" s="3"/>
      <c r="EPI119" s="3"/>
      <c r="EPJ119" s="3"/>
      <c r="EPK119" s="3"/>
      <c r="EPL119" s="3"/>
      <c r="EPM119" s="3"/>
      <c r="EPN119" s="3"/>
      <c r="EPO119" s="3"/>
      <c r="EPP119" s="3"/>
      <c r="EPQ119" s="3"/>
      <c r="EPR119" s="3"/>
      <c r="EPS119" s="3"/>
      <c r="EPT119" s="3"/>
      <c r="EPU119" s="3"/>
      <c r="EPV119" s="3"/>
      <c r="EPW119" s="3"/>
      <c r="EPX119" s="3"/>
      <c r="EPY119" s="3"/>
      <c r="EPZ119" s="3"/>
      <c r="EQA119" s="3"/>
      <c r="EQB119" s="3"/>
      <c r="EQC119" s="3"/>
      <c r="EQD119" s="3"/>
      <c r="EQE119" s="3"/>
      <c r="EQF119" s="3"/>
      <c r="EQG119" s="3"/>
      <c r="EQH119" s="3"/>
      <c r="EQI119" s="3"/>
      <c r="EQJ119" s="3"/>
      <c r="EQK119" s="3"/>
      <c r="EQL119" s="3"/>
      <c r="EQM119" s="3"/>
      <c r="EQN119" s="3"/>
      <c r="EQO119" s="3"/>
      <c r="EQP119" s="3"/>
      <c r="EQQ119" s="3"/>
      <c r="EQR119" s="3"/>
      <c r="EQS119" s="3"/>
      <c r="EQT119" s="3"/>
      <c r="EQU119" s="3"/>
      <c r="EQV119" s="3"/>
      <c r="EQW119" s="3"/>
      <c r="EQX119" s="3"/>
      <c r="EQY119" s="3"/>
      <c r="EQZ119" s="3"/>
      <c r="ERA119" s="3"/>
      <c r="ERB119" s="3"/>
      <c r="ERC119" s="3"/>
      <c r="ERD119" s="3"/>
      <c r="ERE119" s="3"/>
      <c r="ERF119" s="3"/>
      <c r="ERG119" s="3"/>
      <c r="ERH119" s="3"/>
      <c r="ERI119" s="3"/>
      <c r="ERJ119" s="3"/>
      <c r="ERK119" s="3"/>
      <c r="ERL119" s="3"/>
      <c r="ERM119" s="3"/>
      <c r="ERN119" s="3"/>
      <c r="ERO119" s="3"/>
      <c r="ERP119" s="3"/>
      <c r="ERQ119" s="3"/>
      <c r="ERR119" s="3"/>
      <c r="ERS119" s="3"/>
      <c r="ERT119" s="3"/>
      <c r="ERU119" s="3"/>
      <c r="ERV119" s="3"/>
      <c r="ERW119" s="3"/>
      <c r="ERX119" s="3"/>
      <c r="ERY119" s="3"/>
      <c r="ERZ119" s="3"/>
      <c r="ESA119" s="3"/>
      <c r="ESB119" s="3"/>
      <c r="ESC119" s="3"/>
      <c r="ESD119" s="3"/>
      <c r="ESE119" s="3"/>
      <c r="ESF119" s="3"/>
      <c r="ESG119" s="3"/>
      <c r="ESH119" s="3"/>
      <c r="ESI119" s="3"/>
      <c r="ESJ119" s="3"/>
      <c r="ESK119" s="3"/>
      <c r="ESL119" s="3"/>
      <c r="ESM119" s="3"/>
      <c r="ESN119" s="3"/>
      <c r="ESO119" s="3"/>
      <c r="ESP119" s="3"/>
      <c r="ESQ119" s="3"/>
      <c r="ESR119" s="3"/>
      <c r="ESS119" s="3"/>
      <c r="EST119" s="3"/>
      <c r="ESU119" s="3"/>
      <c r="ESV119" s="3"/>
      <c r="ESW119" s="3"/>
      <c r="ESX119" s="3"/>
      <c r="ESY119" s="3"/>
      <c r="ESZ119" s="3"/>
      <c r="ETA119" s="3"/>
      <c r="ETB119" s="3"/>
      <c r="ETC119" s="3"/>
      <c r="ETD119" s="3"/>
      <c r="ETE119" s="3"/>
      <c r="ETF119" s="3"/>
      <c r="ETG119" s="3"/>
      <c r="ETH119" s="3"/>
      <c r="ETI119" s="3"/>
      <c r="ETJ119" s="3"/>
      <c r="ETK119" s="3"/>
      <c r="ETL119" s="3"/>
      <c r="ETM119" s="3"/>
      <c r="ETN119" s="3"/>
      <c r="ETO119" s="3"/>
      <c r="ETP119" s="3"/>
      <c r="ETQ119" s="3"/>
      <c r="ETR119" s="3"/>
      <c r="ETS119" s="3"/>
      <c r="ETT119" s="3"/>
      <c r="ETU119" s="3"/>
      <c r="ETV119" s="3"/>
      <c r="ETW119" s="3"/>
      <c r="ETX119" s="3"/>
      <c r="ETY119" s="3"/>
      <c r="ETZ119" s="3"/>
      <c r="EUA119" s="3"/>
      <c r="EUB119" s="3"/>
      <c r="EUC119" s="3"/>
      <c r="EUD119" s="3"/>
      <c r="EUE119" s="3"/>
      <c r="EUF119" s="3"/>
      <c r="EUG119" s="3"/>
      <c r="EUH119" s="3"/>
      <c r="EUI119" s="3"/>
      <c r="EUJ119" s="3"/>
      <c r="EUK119" s="3"/>
      <c r="EUL119" s="3"/>
      <c r="EUM119" s="3"/>
      <c r="EUN119" s="3"/>
      <c r="EUO119" s="3"/>
      <c r="EUP119" s="3"/>
      <c r="EUQ119" s="3"/>
      <c r="EUR119" s="3"/>
      <c r="EUS119" s="3"/>
      <c r="EUT119" s="3"/>
      <c r="EUU119" s="3"/>
      <c r="EUV119" s="3"/>
      <c r="EUW119" s="3"/>
      <c r="EUX119" s="3"/>
      <c r="EUY119" s="3"/>
      <c r="EUZ119" s="3"/>
      <c r="EVA119" s="3"/>
      <c r="EVB119" s="3"/>
      <c r="EVC119" s="3"/>
      <c r="EVD119" s="3"/>
      <c r="EVE119" s="3"/>
      <c r="EVF119" s="3"/>
      <c r="EVG119" s="3"/>
      <c r="EVH119" s="3"/>
      <c r="EVI119" s="3"/>
      <c r="EVJ119" s="3"/>
      <c r="EVK119" s="3"/>
      <c r="EVL119" s="3"/>
      <c r="EVM119" s="3"/>
      <c r="EVN119" s="3"/>
      <c r="EVO119" s="3"/>
      <c r="EVP119" s="3"/>
      <c r="EVQ119" s="3"/>
      <c r="EVR119" s="3"/>
      <c r="EVS119" s="3"/>
      <c r="EVT119" s="3"/>
      <c r="EVU119" s="3"/>
      <c r="EVV119" s="3"/>
      <c r="EVW119" s="3"/>
      <c r="EVX119" s="3"/>
      <c r="EVY119" s="3"/>
      <c r="EVZ119" s="3"/>
      <c r="EWA119" s="3"/>
      <c r="EWB119" s="3"/>
      <c r="EWC119" s="3"/>
      <c r="EWD119" s="3"/>
      <c r="EWE119" s="3"/>
      <c r="EWF119" s="3"/>
      <c r="EWG119" s="3"/>
      <c r="EWH119" s="3"/>
      <c r="EWI119" s="3"/>
      <c r="EWJ119" s="3"/>
      <c r="EWK119" s="3"/>
      <c r="EWL119" s="3"/>
      <c r="EWM119" s="3"/>
      <c r="EWN119" s="3"/>
      <c r="EWO119" s="3"/>
      <c r="EWP119" s="3"/>
      <c r="EWQ119" s="3"/>
      <c r="EWR119" s="3"/>
      <c r="EWS119" s="3"/>
      <c r="EWT119" s="3"/>
      <c r="EWU119" s="3"/>
      <c r="EWV119" s="3"/>
      <c r="EWW119" s="3"/>
      <c r="EWX119" s="3"/>
      <c r="EWY119" s="3"/>
      <c r="EWZ119" s="3"/>
      <c r="EXA119" s="3"/>
      <c r="EXB119" s="3"/>
      <c r="EXC119" s="3"/>
      <c r="EXD119" s="3"/>
      <c r="EXE119" s="3"/>
      <c r="EXF119" s="3"/>
      <c r="EXG119" s="3"/>
      <c r="EXH119" s="3"/>
      <c r="EXI119" s="3"/>
      <c r="EXJ119" s="3"/>
      <c r="EXK119" s="3"/>
      <c r="EXL119" s="3"/>
      <c r="EXM119" s="3"/>
      <c r="EXN119" s="3"/>
      <c r="EXO119" s="3"/>
      <c r="EXP119" s="3"/>
      <c r="EXQ119" s="3"/>
      <c r="EXR119" s="3"/>
      <c r="EXS119" s="3"/>
      <c r="EXT119" s="3"/>
      <c r="EXU119" s="3"/>
      <c r="EXV119" s="3"/>
      <c r="EXW119" s="3"/>
      <c r="EXX119" s="3"/>
      <c r="EXY119" s="3"/>
      <c r="EXZ119" s="3"/>
      <c r="EYA119" s="3"/>
      <c r="EYB119" s="3"/>
      <c r="EYC119" s="3"/>
      <c r="EYD119" s="3"/>
      <c r="EYE119" s="3"/>
      <c r="EYF119" s="3"/>
      <c r="EYG119" s="3"/>
      <c r="EYH119" s="3"/>
      <c r="EYI119" s="3"/>
      <c r="EYJ119" s="3"/>
      <c r="EYK119" s="3"/>
      <c r="EYL119" s="3"/>
      <c r="EYM119" s="3"/>
      <c r="EYN119" s="3"/>
      <c r="EYO119" s="3"/>
      <c r="EYP119" s="3"/>
      <c r="EYQ119" s="3"/>
      <c r="EYR119" s="3"/>
      <c r="EYS119" s="3"/>
      <c r="EYT119" s="3"/>
      <c r="EYU119" s="3"/>
      <c r="EYV119" s="3"/>
      <c r="EYW119" s="3"/>
      <c r="EYX119" s="3"/>
      <c r="EYY119" s="3"/>
      <c r="EYZ119" s="3"/>
      <c r="EZA119" s="3"/>
      <c r="EZB119" s="3"/>
      <c r="EZC119" s="3"/>
      <c r="EZD119" s="3"/>
      <c r="EZE119" s="3"/>
      <c r="EZF119" s="3"/>
      <c r="EZG119" s="3"/>
      <c r="EZH119" s="3"/>
      <c r="EZI119" s="3"/>
      <c r="EZJ119" s="3"/>
      <c r="EZK119" s="3"/>
      <c r="EZL119" s="3"/>
      <c r="EZM119" s="3"/>
      <c r="EZN119" s="3"/>
      <c r="EZO119" s="3"/>
      <c r="EZP119" s="3"/>
      <c r="EZQ119" s="3"/>
      <c r="EZR119" s="3"/>
      <c r="EZS119" s="3"/>
      <c r="EZT119" s="3"/>
      <c r="EZU119" s="3"/>
      <c r="EZV119" s="3"/>
      <c r="EZW119" s="3"/>
      <c r="EZX119" s="3"/>
      <c r="EZY119" s="3"/>
      <c r="EZZ119" s="3"/>
      <c r="FAA119" s="3"/>
      <c r="FAB119" s="3"/>
      <c r="FAC119" s="3"/>
      <c r="FAD119" s="3"/>
      <c r="FAE119" s="3"/>
      <c r="FAF119" s="3"/>
      <c r="FAG119" s="3"/>
      <c r="FAH119" s="3"/>
      <c r="FAI119" s="3"/>
      <c r="FAJ119" s="3"/>
      <c r="FAK119" s="3"/>
      <c r="FAL119" s="3"/>
      <c r="FAM119" s="3"/>
      <c r="FAN119" s="3"/>
      <c r="FAO119" s="3"/>
      <c r="FAP119" s="3"/>
      <c r="FAQ119" s="3"/>
      <c r="FAR119" s="3"/>
      <c r="FAS119" s="3"/>
      <c r="FAT119" s="3"/>
      <c r="FAU119" s="3"/>
      <c r="FAV119" s="3"/>
      <c r="FAW119" s="3"/>
      <c r="FAX119" s="3"/>
      <c r="FAY119" s="3"/>
      <c r="FAZ119" s="3"/>
      <c r="FBA119" s="3"/>
      <c r="FBB119" s="3"/>
      <c r="FBC119" s="3"/>
      <c r="FBD119" s="3"/>
      <c r="FBE119" s="3"/>
      <c r="FBF119" s="3"/>
      <c r="FBG119" s="3"/>
      <c r="FBH119" s="3"/>
      <c r="FBI119" s="3"/>
      <c r="FBJ119" s="3"/>
      <c r="FBK119" s="3"/>
      <c r="FBL119" s="3"/>
      <c r="FBM119" s="3"/>
      <c r="FBN119" s="3"/>
      <c r="FBO119" s="3"/>
      <c r="FBP119" s="3"/>
      <c r="FBQ119" s="3"/>
      <c r="FBR119" s="3"/>
      <c r="FBS119" s="3"/>
      <c r="FBT119" s="3"/>
      <c r="FBU119" s="3"/>
      <c r="FBV119" s="3"/>
      <c r="FBW119" s="3"/>
      <c r="FBX119" s="3"/>
      <c r="FBY119" s="3"/>
      <c r="FBZ119" s="3"/>
      <c r="FCA119" s="3"/>
      <c r="FCB119" s="3"/>
      <c r="FCC119" s="3"/>
      <c r="FCD119" s="3"/>
      <c r="FCE119" s="3"/>
      <c r="FCF119" s="3"/>
      <c r="FCG119" s="3"/>
      <c r="FCH119" s="3"/>
      <c r="FCI119" s="3"/>
      <c r="FCJ119" s="3"/>
      <c r="FCK119" s="3"/>
      <c r="FCL119" s="3"/>
      <c r="FCM119" s="3"/>
      <c r="FCN119" s="3"/>
      <c r="FCO119" s="3"/>
      <c r="FCP119" s="3"/>
      <c r="FCQ119" s="3"/>
      <c r="FCR119" s="3"/>
      <c r="FCS119" s="3"/>
      <c r="FCT119" s="3"/>
      <c r="FCU119" s="3"/>
      <c r="FCV119" s="3"/>
      <c r="FCW119" s="3"/>
      <c r="FCX119" s="3"/>
      <c r="FCY119" s="3"/>
      <c r="FCZ119" s="3"/>
      <c r="FDA119" s="3"/>
      <c r="FDB119" s="3"/>
      <c r="FDC119" s="3"/>
      <c r="FDD119" s="3"/>
      <c r="FDE119" s="3"/>
      <c r="FDF119" s="3"/>
      <c r="FDG119" s="3"/>
      <c r="FDH119" s="3"/>
      <c r="FDI119" s="3"/>
      <c r="FDJ119" s="3"/>
      <c r="FDK119" s="3"/>
      <c r="FDL119" s="3"/>
      <c r="FDM119" s="3"/>
      <c r="FDN119" s="3"/>
      <c r="FDO119" s="3"/>
      <c r="FDP119" s="3"/>
      <c r="FDQ119" s="3"/>
      <c r="FDR119" s="3"/>
      <c r="FDS119" s="3"/>
      <c r="FDT119" s="3"/>
      <c r="FDU119" s="3"/>
      <c r="FDV119" s="3"/>
      <c r="FDW119" s="3"/>
      <c r="FDX119" s="3"/>
      <c r="FDY119" s="3"/>
      <c r="FDZ119" s="3"/>
      <c r="FEA119" s="3"/>
      <c r="FEB119" s="3"/>
      <c r="FEC119" s="3"/>
      <c r="FED119" s="3"/>
      <c r="FEE119" s="3"/>
      <c r="FEF119" s="3"/>
      <c r="FEG119" s="3"/>
      <c r="FEH119" s="3"/>
      <c r="FEI119" s="3"/>
      <c r="FEJ119" s="3"/>
      <c r="FEK119" s="3"/>
      <c r="FEL119" s="3"/>
      <c r="FEM119" s="3"/>
      <c r="FEN119" s="3"/>
      <c r="FEO119" s="3"/>
      <c r="FEP119" s="3"/>
      <c r="FEQ119" s="3"/>
      <c r="FER119" s="3"/>
      <c r="FES119" s="3"/>
      <c r="FET119" s="3"/>
      <c r="FEU119" s="3"/>
      <c r="FEV119" s="3"/>
      <c r="FEW119" s="3"/>
      <c r="FEX119" s="3"/>
      <c r="FEY119" s="3"/>
      <c r="FEZ119" s="3"/>
      <c r="FFA119" s="3"/>
      <c r="FFB119" s="3"/>
      <c r="FFC119" s="3"/>
      <c r="FFD119" s="3"/>
      <c r="FFE119" s="3"/>
      <c r="FFF119" s="3"/>
      <c r="FFG119" s="3"/>
      <c r="FFH119" s="3"/>
      <c r="FFI119" s="3"/>
      <c r="FFJ119" s="3"/>
      <c r="FFK119" s="3"/>
      <c r="FFL119" s="3"/>
      <c r="FFM119" s="3"/>
      <c r="FFN119" s="3"/>
      <c r="FFO119" s="3"/>
      <c r="FFP119" s="3"/>
      <c r="FFQ119" s="3"/>
      <c r="FFR119" s="3"/>
      <c r="FFS119" s="3"/>
      <c r="FFT119" s="3"/>
      <c r="FFU119" s="3"/>
      <c r="FFV119" s="3"/>
      <c r="FFW119" s="3"/>
      <c r="FFX119" s="3"/>
      <c r="FFY119" s="3"/>
      <c r="FFZ119" s="3"/>
      <c r="FGA119" s="3"/>
      <c r="FGB119" s="3"/>
      <c r="FGC119" s="3"/>
      <c r="FGD119" s="3"/>
      <c r="FGE119" s="3"/>
      <c r="FGF119" s="3"/>
      <c r="FGG119" s="3"/>
      <c r="FGH119" s="3"/>
      <c r="FGI119" s="3"/>
      <c r="FGJ119" s="3"/>
      <c r="FGK119" s="3"/>
      <c r="FGL119" s="3"/>
      <c r="FGM119" s="3"/>
      <c r="FGN119" s="3"/>
      <c r="FGO119" s="3"/>
      <c r="FGP119" s="3"/>
      <c r="FGQ119" s="3"/>
      <c r="FGR119" s="3"/>
      <c r="FGS119" s="3"/>
      <c r="FGT119" s="3"/>
      <c r="FGU119" s="3"/>
      <c r="FGV119" s="3"/>
      <c r="FGW119" s="3"/>
      <c r="FGX119" s="3"/>
      <c r="FGY119" s="3"/>
      <c r="FGZ119" s="3"/>
      <c r="FHA119" s="3"/>
      <c r="FHB119" s="3"/>
      <c r="FHC119" s="3"/>
      <c r="FHD119" s="3"/>
      <c r="FHE119" s="3"/>
      <c r="FHF119" s="3"/>
      <c r="FHG119" s="3"/>
      <c r="FHH119" s="3"/>
      <c r="FHI119" s="3"/>
      <c r="FHJ119" s="3"/>
      <c r="FHK119" s="3"/>
      <c r="FHL119" s="3"/>
      <c r="FHM119" s="3"/>
      <c r="FHN119" s="3"/>
      <c r="FHO119" s="3"/>
      <c r="FHP119" s="3"/>
      <c r="FHQ119" s="3"/>
      <c r="FHR119" s="3"/>
      <c r="FHS119" s="3"/>
      <c r="FHT119" s="3"/>
      <c r="FHU119" s="3"/>
      <c r="FHV119" s="3"/>
      <c r="FHW119" s="3"/>
      <c r="FHX119" s="3"/>
      <c r="FHY119" s="3"/>
      <c r="FHZ119" s="3"/>
      <c r="FIA119" s="3"/>
      <c r="FIB119" s="3"/>
      <c r="FIC119" s="3"/>
      <c r="FID119" s="3"/>
      <c r="FIE119" s="3"/>
      <c r="FIF119" s="3"/>
      <c r="FIG119" s="3"/>
      <c r="FIH119" s="3"/>
      <c r="FII119" s="3"/>
      <c r="FIJ119" s="3"/>
      <c r="FIK119" s="3"/>
      <c r="FIL119" s="3"/>
      <c r="FIM119" s="3"/>
      <c r="FIN119" s="3"/>
      <c r="FIO119" s="3"/>
      <c r="FIP119" s="3"/>
      <c r="FIQ119" s="3"/>
      <c r="FIR119" s="3"/>
      <c r="FIS119" s="3"/>
      <c r="FIT119" s="3"/>
      <c r="FIU119" s="3"/>
      <c r="FIV119" s="3"/>
      <c r="FIW119" s="3"/>
      <c r="FIX119" s="3"/>
      <c r="FIY119" s="3"/>
      <c r="FIZ119" s="3"/>
      <c r="FJA119" s="3"/>
      <c r="FJB119" s="3"/>
      <c r="FJC119" s="3"/>
      <c r="FJD119" s="3"/>
      <c r="FJE119" s="3"/>
      <c r="FJF119" s="3"/>
      <c r="FJG119" s="3"/>
      <c r="FJH119" s="3"/>
      <c r="FJI119" s="3"/>
      <c r="FJJ119" s="3"/>
      <c r="FJK119" s="3"/>
      <c r="FJL119" s="3"/>
      <c r="FJM119" s="3"/>
      <c r="FJN119" s="3"/>
      <c r="FJO119" s="3"/>
      <c r="FJP119" s="3"/>
      <c r="FJQ119" s="3"/>
      <c r="FJR119" s="3"/>
      <c r="FJS119" s="3"/>
      <c r="FJT119" s="3"/>
      <c r="FJU119" s="3"/>
      <c r="FJV119" s="3"/>
      <c r="FJW119" s="3"/>
      <c r="FJX119" s="3"/>
      <c r="FJY119" s="3"/>
      <c r="FJZ119" s="3"/>
      <c r="FKA119" s="3"/>
      <c r="FKB119" s="3"/>
      <c r="FKC119" s="3"/>
      <c r="FKD119" s="3"/>
      <c r="FKE119" s="3"/>
      <c r="FKF119" s="3"/>
      <c r="FKG119" s="3"/>
      <c r="FKH119" s="3"/>
      <c r="FKI119" s="3"/>
      <c r="FKJ119" s="3"/>
      <c r="FKK119" s="3"/>
      <c r="FKL119" s="3"/>
      <c r="FKM119" s="3"/>
      <c r="FKN119" s="3"/>
      <c r="FKO119" s="3"/>
      <c r="FKP119" s="3"/>
      <c r="FKQ119" s="3"/>
      <c r="FKR119" s="3"/>
      <c r="FKS119" s="3"/>
      <c r="FKT119" s="3"/>
      <c r="FKU119" s="3"/>
      <c r="FKV119" s="3"/>
      <c r="FKW119" s="3"/>
      <c r="FKX119" s="3"/>
      <c r="FKY119" s="3"/>
      <c r="FKZ119" s="3"/>
      <c r="FLA119" s="3"/>
      <c r="FLB119" s="3"/>
      <c r="FLC119" s="3"/>
      <c r="FLD119" s="3"/>
      <c r="FLE119" s="3"/>
      <c r="FLF119" s="3"/>
      <c r="FLG119" s="3"/>
      <c r="FLH119" s="3"/>
      <c r="FLI119" s="3"/>
      <c r="FLJ119" s="3"/>
      <c r="FLK119" s="3"/>
      <c r="FLL119" s="3"/>
      <c r="FLM119" s="3"/>
      <c r="FLN119" s="3"/>
      <c r="FLO119" s="3"/>
      <c r="FLP119" s="3"/>
      <c r="FLQ119" s="3"/>
      <c r="FLR119" s="3"/>
      <c r="FLS119" s="3"/>
      <c r="FLT119" s="3"/>
      <c r="FLU119" s="3"/>
      <c r="FLV119" s="3"/>
      <c r="FLW119" s="3"/>
      <c r="FLX119" s="3"/>
      <c r="FLY119" s="3"/>
      <c r="FLZ119" s="3"/>
      <c r="FMA119" s="3"/>
      <c r="FMB119" s="3"/>
      <c r="FMC119" s="3"/>
      <c r="FMD119" s="3"/>
      <c r="FME119" s="3"/>
      <c r="FMF119" s="3"/>
      <c r="FMG119" s="3"/>
      <c r="FMH119" s="3"/>
      <c r="FMI119" s="3"/>
      <c r="FMJ119" s="3"/>
      <c r="FMK119" s="3"/>
      <c r="FML119" s="3"/>
      <c r="FMM119" s="3"/>
      <c r="FMN119" s="3"/>
      <c r="FMO119" s="3"/>
      <c r="FMP119" s="3"/>
      <c r="FMQ119" s="3"/>
      <c r="FMR119" s="3"/>
      <c r="FMS119" s="3"/>
      <c r="FMT119" s="3"/>
      <c r="FMU119" s="3"/>
      <c r="FMV119" s="3"/>
      <c r="FMW119" s="3"/>
      <c r="FMX119" s="3"/>
      <c r="FMY119" s="3"/>
      <c r="FMZ119" s="3"/>
      <c r="FNA119" s="3"/>
      <c r="FNB119" s="3"/>
      <c r="FNC119" s="3"/>
      <c r="FND119" s="3"/>
      <c r="FNE119" s="3"/>
      <c r="FNF119" s="3"/>
      <c r="FNG119" s="3"/>
      <c r="FNH119" s="3"/>
      <c r="FNI119" s="3"/>
      <c r="FNJ119" s="3"/>
      <c r="FNK119" s="3"/>
      <c r="FNL119" s="3"/>
      <c r="FNM119" s="3"/>
      <c r="FNN119" s="3"/>
      <c r="FNO119" s="3"/>
      <c r="FNP119" s="3"/>
      <c r="FNQ119" s="3"/>
      <c r="FNR119" s="3"/>
      <c r="FNS119" s="3"/>
      <c r="FNT119" s="3"/>
      <c r="FNU119" s="3"/>
      <c r="FNV119" s="3"/>
      <c r="FNW119" s="3"/>
      <c r="FNX119" s="3"/>
      <c r="FNY119" s="3"/>
      <c r="FNZ119" s="3"/>
      <c r="FOA119" s="3"/>
      <c r="FOB119" s="3"/>
      <c r="FOC119" s="3"/>
      <c r="FOD119" s="3"/>
      <c r="FOE119" s="3"/>
      <c r="FOF119" s="3"/>
      <c r="FOG119" s="3"/>
      <c r="FOH119" s="3"/>
      <c r="FOI119" s="3"/>
      <c r="FOJ119" s="3"/>
      <c r="FOK119" s="3"/>
      <c r="FOL119" s="3"/>
      <c r="FOM119" s="3"/>
      <c r="FON119" s="3"/>
      <c r="FOO119" s="3"/>
      <c r="FOP119" s="3"/>
      <c r="FOQ119" s="3"/>
      <c r="FOR119" s="3"/>
      <c r="FOS119" s="3"/>
      <c r="FOT119" s="3"/>
      <c r="FOU119" s="3"/>
      <c r="FOV119" s="3"/>
      <c r="FOW119" s="3"/>
      <c r="FOX119" s="3"/>
      <c r="FOY119" s="3"/>
      <c r="FOZ119" s="3"/>
      <c r="FPA119" s="3"/>
      <c r="FPB119" s="3"/>
      <c r="FPC119" s="3"/>
      <c r="FPD119" s="3"/>
      <c r="FPE119" s="3"/>
      <c r="FPF119" s="3"/>
      <c r="FPG119" s="3"/>
      <c r="FPH119" s="3"/>
      <c r="FPI119" s="3"/>
      <c r="FPJ119" s="3"/>
      <c r="FPK119" s="3"/>
      <c r="FPL119" s="3"/>
      <c r="FPM119" s="3"/>
      <c r="FPN119" s="3"/>
      <c r="FPO119" s="3"/>
      <c r="FPP119" s="3"/>
      <c r="FPQ119" s="3"/>
      <c r="FPR119" s="3"/>
      <c r="FPS119" s="3"/>
      <c r="FPT119" s="3"/>
      <c r="FPU119" s="3"/>
      <c r="FPV119" s="3"/>
      <c r="FPW119" s="3"/>
      <c r="FPX119" s="3"/>
      <c r="FPY119" s="3"/>
      <c r="FPZ119" s="3"/>
      <c r="FQA119" s="3"/>
      <c r="FQB119" s="3"/>
      <c r="FQC119" s="3"/>
      <c r="FQD119" s="3"/>
      <c r="FQE119" s="3"/>
      <c r="FQF119" s="3"/>
      <c r="FQG119" s="3"/>
      <c r="FQH119" s="3"/>
      <c r="FQI119" s="3"/>
      <c r="FQJ119" s="3"/>
      <c r="FQK119" s="3"/>
      <c r="FQL119" s="3"/>
      <c r="FQM119" s="3"/>
      <c r="FQN119" s="3"/>
      <c r="FQO119" s="3"/>
      <c r="FQP119" s="3"/>
      <c r="FQQ119" s="3"/>
      <c r="FQR119" s="3"/>
      <c r="FQS119" s="3"/>
      <c r="FQT119" s="3"/>
      <c r="FQU119" s="3"/>
      <c r="FQV119" s="3"/>
      <c r="FQW119" s="3"/>
      <c r="FQX119" s="3"/>
      <c r="FQY119" s="3"/>
      <c r="FQZ119" s="3"/>
      <c r="FRA119" s="3"/>
      <c r="FRB119" s="3"/>
      <c r="FRC119" s="3"/>
      <c r="FRD119" s="3"/>
      <c r="FRE119" s="3"/>
      <c r="FRF119" s="3"/>
      <c r="FRG119" s="3"/>
      <c r="FRH119" s="3"/>
      <c r="FRI119" s="3"/>
      <c r="FRJ119" s="3"/>
      <c r="FRK119" s="3"/>
      <c r="FRL119" s="3"/>
      <c r="FRM119" s="3"/>
      <c r="FRN119" s="3"/>
      <c r="FRO119" s="3"/>
      <c r="FRP119" s="3"/>
      <c r="FRQ119" s="3"/>
      <c r="FRR119" s="3"/>
      <c r="FRS119" s="3"/>
      <c r="FRT119" s="3"/>
      <c r="FRU119" s="3"/>
      <c r="FRV119" s="3"/>
      <c r="FRW119" s="3"/>
      <c r="FRX119" s="3"/>
      <c r="FRY119" s="3"/>
      <c r="FRZ119" s="3"/>
      <c r="FSA119" s="3"/>
      <c r="FSB119" s="3"/>
      <c r="FSC119" s="3"/>
      <c r="FSD119" s="3"/>
      <c r="FSE119" s="3"/>
      <c r="FSF119" s="3"/>
      <c r="FSG119" s="3"/>
      <c r="FSH119" s="3"/>
      <c r="FSI119" s="3"/>
      <c r="FSJ119" s="3"/>
      <c r="FSK119" s="3"/>
      <c r="FSL119" s="3"/>
      <c r="FSM119" s="3"/>
      <c r="FSN119" s="3"/>
      <c r="FSO119" s="3"/>
      <c r="FSP119" s="3"/>
      <c r="FSQ119" s="3"/>
      <c r="FSR119" s="3"/>
      <c r="FSS119" s="3"/>
      <c r="FST119" s="3"/>
      <c r="FSU119" s="3"/>
      <c r="FSV119" s="3"/>
      <c r="FSW119" s="3"/>
      <c r="FSX119" s="3"/>
      <c r="FSY119" s="3"/>
      <c r="FSZ119" s="3"/>
      <c r="FTA119" s="3"/>
      <c r="FTB119" s="3"/>
      <c r="FTC119" s="3"/>
      <c r="FTD119" s="3"/>
      <c r="FTE119" s="3"/>
      <c r="FTF119" s="3"/>
      <c r="FTG119" s="3"/>
      <c r="FTH119" s="3"/>
      <c r="FTI119" s="3"/>
      <c r="FTJ119" s="3"/>
      <c r="FTK119" s="3"/>
      <c r="FTL119" s="3"/>
      <c r="FTM119" s="3"/>
      <c r="FTN119" s="3"/>
      <c r="FTO119" s="3"/>
      <c r="FTP119" s="3"/>
      <c r="FTQ119" s="3"/>
      <c r="FTR119" s="3"/>
      <c r="FTS119" s="3"/>
      <c r="FTT119" s="3"/>
      <c r="FTU119" s="3"/>
      <c r="FTV119" s="3"/>
      <c r="FTW119" s="3"/>
      <c r="FTX119" s="3"/>
      <c r="FTY119" s="3"/>
      <c r="FTZ119" s="3"/>
      <c r="FUA119" s="3"/>
      <c r="FUB119" s="3"/>
      <c r="FUC119" s="3"/>
      <c r="FUD119" s="3"/>
      <c r="FUE119" s="3"/>
      <c r="FUF119" s="3"/>
      <c r="FUG119" s="3"/>
      <c r="FUH119" s="3"/>
      <c r="FUI119" s="3"/>
      <c r="FUJ119" s="3"/>
      <c r="FUK119" s="3"/>
      <c r="FUL119" s="3"/>
      <c r="FUM119" s="3"/>
      <c r="FUN119" s="3"/>
      <c r="FUO119" s="3"/>
      <c r="FUP119" s="3"/>
      <c r="FUQ119" s="3"/>
      <c r="FUR119" s="3"/>
      <c r="FUS119" s="3"/>
      <c r="FUT119" s="3"/>
      <c r="FUU119" s="3"/>
      <c r="FUV119" s="3"/>
      <c r="FUW119" s="3"/>
      <c r="FUX119" s="3"/>
      <c r="FUY119" s="3"/>
      <c r="FUZ119" s="3"/>
      <c r="FVA119" s="3"/>
      <c r="FVB119" s="3"/>
      <c r="FVC119" s="3"/>
      <c r="FVD119" s="3"/>
      <c r="FVE119" s="3"/>
      <c r="FVF119" s="3"/>
      <c r="FVG119" s="3"/>
      <c r="FVH119" s="3"/>
      <c r="FVI119" s="3"/>
      <c r="FVJ119" s="3"/>
      <c r="FVK119" s="3"/>
      <c r="FVL119" s="3"/>
      <c r="FVM119" s="3"/>
      <c r="FVN119" s="3"/>
      <c r="FVO119" s="3"/>
      <c r="FVP119" s="3"/>
      <c r="FVQ119" s="3"/>
      <c r="FVR119" s="3"/>
      <c r="FVS119" s="3"/>
      <c r="FVT119" s="3"/>
      <c r="FVU119" s="3"/>
      <c r="FVV119" s="3"/>
      <c r="FVW119" s="3"/>
      <c r="FVX119" s="3"/>
      <c r="FVY119" s="3"/>
      <c r="FVZ119" s="3"/>
      <c r="FWA119" s="3"/>
      <c r="FWB119" s="3"/>
      <c r="FWC119" s="3"/>
      <c r="FWD119" s="3"/>
      <c r="FWE119" s="3"/>
      <c r="FWF119" s="3"/>
      <c r="FWG119" s="3"/>
      <c r="FWH119" s="3"/>
      <c r="FWI119" s="3"/>
      <c r="FWJ119" s="3"/>
      <c r="FWK119" s="3"/>
      <c r="FWL119" s="3"/>
      <c r="FWM119" s="3"/>
      <c r="FWN119" s="3"/>
      <c r="FWO119" s="3"/>
      <c r="FWP119" s="3"/>
      <c r="FWQ119" s="3"/>
      <c r="FWR119" s="3"/>
      <c r="FWS119" s="3"/>
      <c r="FWT119" s="3"/>
      <c r="FWU119" s="3"/>
      <c r="FWV119" s="3"/>
      <c r="FWW119" s="3"/>
      <c r="FWX119" s="3"/>
      <c r="FWY119" s="3"/>
      <c r="FWZ119" s="3"/>
      <c r="FXA119" s="3"/>
      <c r="FXB119" s="3"/>
      <c r="FXC119" s="3"/>
      <c r="FXD119" s="3"/>
      <c r="FXE119" s="3"/>
      <c r="FXF119" s="3"/>
      <c r="FXG119" s="3"/>
      <c r="FXH119" s="3"/>
      <c r="FXI119" s="3"/>
      <c r="FXJ119" s="3"/>
      <c r="FXK119" s="3"/>
      <c r="FXL119" s="3"/>
      <c r="FXM119" s="3"/>
      <c r="FXN119" s="3"/>
      <c r="FXO119" s="3"/>
      <c r="FXP119" s="3"/>
      <c r="FXQ119" s="3"/>
      <c r="FXR119" s="3"/>
      <c r="FXS119" s="3"/>
      <c r="FXT119" s="3"/>
      <c r="FXU119" s="3"/>
      <c r="FXV119" s="3"/>
      <c r="FXW119" s="3"/>
      <c r="FXX119" s="3"/>
      <c r="FXY119" s="3"/>
      <c r="FXZ119" s="3"/>
      <c r="FYA119" s="3"/>
      <c r="FYB119" s="3"/>
      <c r="FYC119" s="3"/>
      <c r="FYD119" s="3"/>
      <c r="FYE119" s="3"/>
      <c r="FYF119" s="3"/>
      <c r="FYG119" s="3"/>
      <c r="FYH119" s="3"/>
      <c r="FYI119" s="3"/>
      <c r="FYJ119" s="3"/>
      <c r="FYK119" s="3"/>
      <c r="FYL119" s="3"/>
      <c r="FYM119" s="3"/>
      <c r="FYN119" s="3"/>
      <c r="FYO119" s="3"/>
      <c r="FYP119" s="3"/>
      <c r="FYQ119" s="3"/>
      <c r="FYR119" s="3"/>
      <c r="FYS119" s="3"/>
      <c r="FYT119" s="3"/>
      <c r="FYU119" s="3"/>
      <c r="FYV119" s="3"/>
      <c r="FYW119" s="3"/>
      <c r="FYX119" s="3"/>
      <c r="FYY119" s="3"/>
      <c r="FYZ119" s="3"/>
      <c r="FZA119" s="3"/>
      <c r="FZB119" s="3"/>
      <c r="FZC119" s="3"/>
      <c r="FZD119" s="3"/>
      <c r="FZE119" s="3"/>
      <c r="FZF119" s="3"/>
      <c r="FZG119" s="3"/>
      <c r="FZH119" s="3"/>
      <c r="FZI119" s="3"/>
      <c r="FZJ119" s="3"/>
      <c r="FZK119" s="3"/>
      <c r="FZL119" s="3"/>
      <c r="FZM119" s="3"/>
      <c r="FZN119" s="3"/>
      <c r="FZO119" s="3"/>
      <c r="FZP119" s="3"/>
      <c r="FZQ119" s="3"/>
      <c r="FZR119" s="3"/>
      <c r="FZS119" s="3"/>
      <c r="FZT119" s="3"/>
      <c r="FZU119" s="3"/>
      <c r="FZV119" s="3"/>
      <c r="FZW119" s="3"/>
      <c r="FZX119" s="3"/>
      <c r="FZY119" s="3"/>
      <c r="FZZ119" s="3"/>
      <c r="GAA119" s="3"/>
      <c r="GAB119" s="3"/>
      <c r="GAC119" s="3"/>
      <c r="GAD119" s="3"/>
      <c r="GAE119" s="3"/>
      <c r="GAF119" s="3"/>
      <c r="GAG119" s="3"/>
      <c r="GAH119" s="3"/>
      <c r="GAI119" s="3"/>
      <c r="GAJ119" s="3"/>
      <c r="GAK119" s="3"/>
      <c r="GAL119" s="3"/>
      <c r="GAM119" s="3"/>
      <c r="GAN119" s="3"/>
      <c r="GAO119" s="3"/>
      <c r="GAP119" s="3"/>
      <c r="GAQ119" s="3"/>
      <c r="GAR119" s="3"/>
      <c r="GAS119" s="3"/>
      <c r="GAT119" s="3"/>
      <c r="GAU119" s="3"/>
      <c r="GAV119" s="3"/>
      <c r="GAW119" s="3"/>
      <c r="GAX119" s="3"/>
      <c r="GAY119" s="3"/>
      <c r="GAZ119" s="3"/>
      <c r="GBA119" s="3"/>
      <c r="GBB119" s="3"/>
      <c r="GBC119" s="3"/>
      <c r="GBD119" s="3"/>
      <c r="GBE119" s="3"/>
      <c r="GBF119" s="3"/>
      <c r="GBG119" s="3"/>
      <c r="GBH119" s="3"/>
      <c r="GBI119" s="3"/>
      <c r="GBJ119" s="3"/>
      <c r="GBK119" s="3"/>
      <c r="GBL119" s="3"/>
      <c r="GBM119" s="3"/>
      <c r="GBN119" s="3"/>
      <c r="GBO119" s="3"/>
      <c r="GBP119" s="3"/>
      <c r="GBQ119" s="3"/>
      <c r="GBR119" s="3"/>
      <c r="GBS119" s="3"/>
      <c r="GBT119" s="3"/>
      <c r="GBU119" s="3"/>
      <c r="GBV119" s="3"/>
      <c r="GBW119" s="3"/>
      <c r="GBX119" s="3"/>
      <c r="GBY119" s="3"/>
      <c r="GBZ119" s="3"/>
      <c r="GCA119" s="3"/>
      <c r="GCB119" s="3"/>
      <c r="GCC119" s="3"/>
      <c r="GCD119" s="3"/>
      <c r="GCE119" s="3"/>
      <c r="GCF119" s="3"/>
      <c r="GCG119" s="3"/>
      <c r="GCH119" s="3"/>
      <c r="GCI119" s="3"/>
      <c r="GCJ119" s="3"/>
      <c r="GCK119" s="3"/>
      <c r="GCL119" s="3"/>
      <c r="GCM119" s="3"/>
      <c r="GCN119" s="3"/>
      <c r="GCO119" s="3"/>
      <c r="GCP119" s="3"/>
      <c r="GCQ119" s="3"/>
      <c r="GCR119" s="3"/>
      <c r="GCS119" s="3"/>
      <c r="GCT119" s="3"/>
      <c r="GCU119" s="3"/>
      <c r="GCV119" s="3"/>
      <c r="GCW119" s="3"/>
      <c r="GCX119" s="3"/>
      <c r="GCY119" s="3"/>
      <c r="GCZ119" s="3"/>
      <c r="GDA119" s="3"/>
      <c r="GDB119" s="3"/>
      <c r="GDC119" s="3"/>
      <c r="GDD119" s="3"/>
      <c r="GDE119" s="3"/>
      <c r="GDF119" s="3"/>
      <c r="GDG119" s="3"/>
      <c r="GDH119" s="3"/>
      <c r="GDI119" s="3"/>
      <c r="GDJ119" s="3"/>
      <c r="GDK119" s="3"/>
      <c r="GDL119" s="3"/>
      <c r="GDM119" s="3"/>
      <c r="GDN119" s="3"/>
      <c r="GDO119" s="3"/>
      <c r="GDP119" s="3"/>
      <c r="GDQ119" s="3"/>
      <c r="GDR119" s="3"/>
      <c r="GDS119" s="3"/>
      <c r="GDT119" s="3"/>
      <c r="GDU119" s="3"/>
      <c r="GDV119" s="3"/>
      <c r="GDW119" s="3"/>
      <c r="GDX119" s="3"/>
      <c r="GDY119" s="3"/>
      <c r="GDZ119" s="3"/>
      <c r="GEA119" s="3"/>
      <c r="GEB119" s="3"/>
      <c r="GEC119" s="3"/>
      <c r="GED119" s="3"/>
      <c r="GEE119" s="3"/>
      <c r="GEF119" s="3"/>
      <c r="GEG119" s="3"/>
      <c r="GEH119" s="3"/>
      <c r="GEI119" s="3"/>
      <c r="GEJ119" s="3"/>
      <c r="GEK119" s="3"/>
      <c r="GEL119" s="3"/>
      <c r="GEM119" s="3"/>
      <c r="GEN119" s="3"/>
      <c r="GEO119" s="3"/>
      <c r="GEP119" s="3"/>
      <c r="GEQ119" s="3"/>
      <c r="GER119" s="3"/>
      <c r="GES119" s="3"/>
      <c r="GET119" s="3"/>
      <c r="GEU119" s="3"/>
      <c r="GEV119" s="3"/>
      <c r="GEW119" s="3"/>
      <c r="GEX119" s="3"/>
      <c r="GEY119" s="3"/>
      <c r="GEZ119" s="3"/>
      <c r="GFA119" s="3"/>
      <c r="GFB119" s="3"/>
      <c r="GFC119" s="3"/>
      <c r="GFD119" s="3"/>
      <c r="GFE119" s="3"/>
      <c r="GFF119" s="3"/>
      <c r="GFG119" s="3"/>
      <c r="GFH119" s="3"/>
      <c r="GFI119" s="3"/>
      <c r="GFJ119" s="3"/>
      <c r="GFK119" s="3"/>
      <c r="GFL119" s="3"/>
      <c r="GFM119" s="3"/>
      <c r="GFN119" s="3"/>
      <c r="GFO119" s="3"/>
      <c r="GFP119" s="3"/>
      <c r="GFQ119" s="3"/>
      <c r="GFR119" s="3"/>
      <c r="GFS119" s="3"/>
      <c r="GFT119" s="3"/>
      <c r="GFU119" s="3"/>
      <c r="GFV119" s="3"/>
      <c r="GFW119" s="3"/>
      <c r="GFX119" s="3"/>
      <c r="GFY119" s="3"/>
      <c r="GFZ119" s="3"/>
      <c r="GGA119" s="3"/>
      <c r="GGB119" s="3"/>
      <c r="GGC119" s="3"/>
      <c r="GGD119" s="3"/>
      <c r="GGE119" s="3"/>
      <c r="GGF119" s="3"/>
      <c r="GGG119" s="3"/>
      <c r="GGH119" s="3"/>
      <c r="GGI119" s="3"/>
      <c r="GGJ119" s="3"/>
      <c r="GGK119" s="3"/>
      <c r="GGL119" s="3"/>
      <c r="GGM119" s="3"/>
      <c r="GGN119" s="3"/>
      <c r="GGO119" s="3"/>
      <c r="GGP119" s="3"/>
      <c r="GGQ119" s="3"/>
      <c r="GGR119" s="3"/>
      <c r="GGS119" s="3"/>
      <c r="GGT119" s="3"/>
      <c r="GGU119" s="3"/>
      <c r="GGV119" s="3"/>
      <c r="GGW119" s="3"/>
      <c r="GGX119" s="3"/>
      <c r="GGY119" s="3"/>
      <c r="GGZ119" s="3"/>
      <c r="GHA119" s="3"/>
      <c r="GHB119" s="3"/>
      <c r="GHC119" s="3"/>
      <c r="GHD119" s="3"/>
      <c r="GHE119" s="3"/>
      <c r="GHF119" s="3"/>
      <c r="GHG119" s="3"/>
      <c r="GHH119" s="3"/>
      <c r="GHI119" s="3"/>
      <c r="GHJ119" s="3"/>
      <c r="GHK119" s="3"/>
      <c r="GHL119" s="3"/>
      <c r="GHM119" s="3"/>
      <c r="GHN119" s="3"/>
      <c r="GHO119" s="3"/>
      <c r="GHP119" s="3"/>
      <c r="GHQ119" s="3"/>
      <c r="GHR119" s="3"/>
      <c r="GHS119" s="3"/>
      <c r="GHT119" s="3"/>
      <c r="GHU119" s="3"/>
      <c r="GHV119" s="3"/>
      <c r="GHW119" s="3"/>
      <c r="GHX119" s="3"/>
      <c r="GHY119" s="3"/>
      <c r="GHZ119" s="3"/>
      <c r="GIA119" s="3"/>
      <c r="GIB119" s="3"/>
      <c r="GIC119" s="3"/>
      <c r="GID119" s="3"/>
      <c r="GIE119" s="3"/>
      <c r="GIF119" s="3"/>
      <c r="GIG119" s="3"/>
      <c r="GIH119" s="3"/>
      <c r="GII119" s="3"/>
      <c r="GIJ119" s="3"/>
      <c r="GIK119" s="3"/>
      <c r="GIL119" s="3"/>
      <c r="GIM119" s="3"/>
      <c r="GIN119" s="3"/>
      <c r="GIO119" s="3"/>
      <c r="GIP119" s="3"/>
      <c r="GIQ119" s="3"/>
      <c r="GIR119" s="3"/>
      <c r="GIS119" s="3"/>
      <c r="GIT119" s="3"/>
      <c r="GIU119" s="3"/>
      <c r="GIV119" s="3"/>
      <c r="GIW119" s="3"/>
      <c r="GIX119" s="3"/>
      <c r="GIY119" s="3"/>
      <c r="GIZ119" s="3"/>
      <c r="GJA119" s="3"/>
      <c r="GJB119" s="3"/>
      <c r="GJC119" s="3"/>
      <c r="GJD119" s="3"/>
      <c r="GJE119" s="3"/>
      <c r="GJF119" s="3"/>
      <c r="GJG119" s="3"/>
      <c r="GJH119" s="3"/>
      <c r="GJI119" s="3"/>
      <c r="GJJ119" s="3"/>
      <c r="GJK119" s="3"/>
      <c r="GJL119" s="3"/>
      <c r="GJM119" s="3"/>
      <c r="GJN119" s="3"/>
      <c r="GJO119" s="3"/>
      <c r="GJP119" s="3"/>
      <c r="GJQ119" s="3"/>
      <c r="GJR119" s="3"/>
      <c r="GJS119" s="3"/>
      <c r="GJT119" s="3"/>
      <c r="GJU119" s="3"/>
      <c r="GJV119" s="3"/>
      <c r="GJW119" s="3"/>
      <c r="GJX119" s="3"/>
      <c r="GJY119" s="3"/>
      <c r="GJZ119" s="3"/>
      <c r="GKA119" s="3"/>
      <c r="GKB119" s="3"/>
      <c r="GKC119" s="3"/>
      <c r="GKD119" s="3"/>
      <c r="GKE119" s="3"/>
      <c r="GKF119" s="3"/>
      <c r="GKG119" s="3"/>
      <c r="GKH119" s="3"/>
      <c r="GKI119" s="3"/>
      <c r="GKJ119" s="3"/>
      <c r="GKK119" s="3"/>
      <c r="GKL119" s="3"/>
      <c r="GKM119" s="3"/>
      <c r="GKN119" s="3"/>
      <c r="GKO119" s="3"/>
      <c r="GKP119" s="3"/>
      <c r="GKQ119" s="3"/>
      <c r="GKR119" s="3"/>
      <c r="GKS119" s="3"/>
      <c r="GKT119" s="3"/>
      <c r="GKU119" s="3"/>
      <c r="GKV119" s="3"/>
      <c r="GKW119" s="3"/>
      <c r="GKX119" s="3"/>
      <c r="GKY119" s="3"/>
      <c r="GKZ119" s="3"/>
      <c r="GLA119" s="3"/>
      <c r="GLB119" s="3"/>
      <c r="GLC119" s="3"/>
      <c r="GLD119" s="3"/>
      <c r="GLE119" s="3"/>
      <c r="GLF119" s="3"/>
      <c r="GLG119" s="3"/>
      <c r="GLH119" s="3"/>
      <c r="GLI119" s="3"/>
      <c r="GLJ119" s="3"/>
      <c r="GLK119" s="3"/>
      <c r="GLL119" s="3"/>
      <c r="GLM119" s="3"/>
      <c r="GLN119" s="3"/>
      <c r="GLO119" s="3"/>
      <c r="GLP119" s="3"/>
      <c r="GLQ119" s="3"/>
      <c r="GLR119" s="3"/>
      <c r="GLS119" s="3"/>
      <c r="GLT119" s="3"/>
      <c r="GLU119" s="3"/>
      <c r="GLV119" s="3"/>
      <c r="GLW119" s="3"/>
      <c r="GLX119" s="3"/>
      <c r="GLY119" s="3"/>
      <c r="GLZ119" s="3"/>
      <c r="GMA119" s="3"/>
      <c r="GMB119" s="3"/>
      <c r="GMC119" s="3"/>
      <c r="GMD119" s="3"/>
      <c r="GME119" s="3"/>
      <c r="GMF119" s="3"/>
      <c r="GMG119" s="3"/>
      <c r="GMH119" s="3"/>
      <c r="GMI119" s="3"/>
      <c r="GMJ119" s="3"/>
      <c r="GMK119" s="3"/>
      <c r="GML119" s="3"/>
      <c r="GMM119" s="3"/>
      <c r="GMN119" s="3"/>
      <c r="GMO119" s="3"/>
      <c r="GMP119" s="3"/>
      <c r="GMQ119" s="3"/>
      <c r="GMR119" s="3"/>
      <c r="GMS119" s="3"/>
      <c r="GMT119" s="3"/>
      <c r="GMU119" s="3"/>
      <c r="GMV119" s="3"/>
      <c r="GMW119" s="3"/>
      <c r="GMX119" s="3"/>
      <c r="GMY119" s="3"/>
      <c r="GMZ119" s="3"/>
      <c r="GNA119" s="3"/>
      <c r="GNB119" s="3"/>
      <c r="GNC119" s="3"/>
      <c r="GND119" s="3"/>
      <c r="GNE119" s="3"/>
      <c r="GNF119" s="3"/>
      <c r="GNG119" s="3"/>
      <c r="GNH119" s="3"/>
      <c r="GNI119" s="3"/>
      <c r="GNJ119" s="3"/>
      <c r="GNK119" s="3"/>
      <c r="GNL119" s="3"/>
      <c r="GNM119" s="3"/>
      <c r="GNN119" s="3"/>
      <c r="GNO119" s="3"/>
      <c r="GNP119" s="3"/>
      <c r="GNQ119" s="3"/>
      <c r="GNR119" s="3"/>
      <c r="GNS119" s="3"/>
      <c r="GNT119" s="3"/>
      <c r="GNU119" s="3"/>
      <c r="GNV119" s="3"/>
      <c r="GNW119" s="3"/>
      <c r="GNX119" s="3"/>
      <c r="GNY119" s="3"/>
      <c r="GNZ119" s="3"/>
      <c r="GOA119" s="3"/>
      <c r="GOB119" s="3"/>
      <c r="GOC119" s="3"/>
      <c r="GOD119" s="3"/>
      <c r="GOE119" s="3"/>
      <c r="GOF119" s="3"/>
      <c r="GOG119" s="3"/>
      <c r="GOH119" s="3"/>
      <c r="GOI119" s="3"/>
      <c r="GOJ119" s="3"/>
      <c r="GOK119" s="3"/>
      <c r="GOL119" s="3"/>
      <c r="GOM119" s="3"/>
      <c r="GON119" s="3"/>
      <c r="GOO119" s="3"/>
      <c r="GOP119" s="3"/>
      <c r="GOQ119" s="3"/>
      <c r="GOR119" s="3"/>
      <c r="GOS119" s="3"/>
      <c r="GOT119" s="3"/>
      <c r="GOU119" s="3"/>
      <c r="GOV119" s="3"/>
      <c r="GOW119" s="3"/>
      <c r="GOX119" s="3"/>
      <c r="GOY119" s="3"/>
      <c r="GOZ119" s="3"/>
      <c r="GPA119" s="3"/>
      <c r="GPB119" s="3"/>
      <c r="GPC119" s="3"/>
      <c r="GPD119" s="3"/>
      <c r="GPE119" s="3"/>
      <c r="GPF119" s="3"/>
      <c r="GPG119" s="3"/>
      <c r="GPH119" s="3"/>
      <c r="GPI119" s="3"/>
      <c r="GPJ119" s="3"/>
      <c r="GPK119" s="3"/>
      <c r="GPL119" s="3"/>
      <c r="GPM119" s="3"/>
      <c r="GPN119" s="3"/>
      <c r="GPO119" s="3"/>
      <c r="GPP119" s="3"/>
      <c r="GPQ119" s="3"/>
      <c r="GPR119" s="3"/>
      <c r="GPS119" s="3"/>
      <c r="GPT119" s="3"/>
      <c r="GPU119" s="3"/>
      <c r="GPV119" s="3"/>
      <c r="GPW119" s="3"/>
      <c r="GPX119" s="3"/>
      <c r="GPY119" s="3"/>
      <c r="GPZ119" s="3"/>
      <c r="GQA119" s="3"/>
      <c r="GQB119" s="3"/>
      <c r="GQC119" s="3"/>
      <c r="GQD119" s="3"/>
      <c r="GQE119" s="3"/>
      <c r="GQF119" s="3"/>
      <c r="GQG119" s="3"/>
      <c r="GQH119" s="3"/>
      <c r="GQI119" s="3"/>
      <c r="GQJ119" s="3"/>
      <c r="GQK119" s="3"/>
      <c r="GQL119" s="3"/>
      <c r="GQM119" s="3"/>
      <c r="GQN119" s="3"/>
      <c r="GQO119" s="3"/>
      <c r="GQP119" s="3"/>
      <c r="GQQ119" s="3"/>
      <c r="GQR119" s="3"/>
      <c r="GQS119" s="3"/>
      <c r="GQT119" s="3"/>
      <c r="GQU119" s="3"/>
      <c r="GQV119" s="3"/>
      <c r="GQW119" s="3"/>
      <c r="GQX119" s="3"/>
      <c r="GQY119" s="3"/>
      <c r="GQZ119" s="3"/>
      <c r="GRA119" s="3"/>
      <c r="GRB119" s="3"/>
      <c r="GRC119" s="3"/>
      <c r="GRD119" s="3"/>
      <c r="GRE119" s="3"/>
      <c r="GRF119" s="3"/>
      <c r="GRG119" s="3"/>
      <c r="GRH119" s="3"/>
      <c r="GRI119" s="3"/>
      <c r="GRJ119" s="3"/>
      <c r="GRK119" s="3"/>
      <c r="GRL119" s="3"/>
      <c r="GRM119" s="3"/>
      <c r="GRN119" s="3"/>
      <c r="GRO119" s="3"/>
      <c r="GRP119" s="3"/>
      <c r="GRQ119" s="3"/>
      <c r="GRR119" s="3"/>
      <c r="GRS119" s="3"/>
      <c r="GRT119" s="3"/>
      <c r="GRU119" s="3"/>
      <c r="GRV119" s="3"/>
      <c r="GRW119" s="3"/>
      <c r="GRX119" s="3"/>
      <c r="GRY119" s="3"/>
      <c r="GRZ119" s="3"/>
      <c r="GSA119" s="3"/>
      <c r="GSB119" s="3"/>
      <c r="GSC119" s="3"/>
      <c r="GSD119" s="3"/>
      <c r="GSE119" s="3"/>
      <c r="GSF119" s="3"/>
      <c r="GSG119" s="3"/>
      <c r="GSH119" s="3"/>
      <c r="GSI119" s="3"/>
      <c r="GSJ119" s="3"/>
      <c r="GSK119" s="3"/>
      <c r="GSL119" s="3"/>
      <c r="GSM119" s="3"/>
      <c r="GSN119" s="3"/>
      <c r="GSO119" s="3"/>
      <c r="GSP119" s="3"/>
      <c r="GSQ119" s="3"/>
      <c r="GSR119" s="3"/>
      <c r="GSS119" s="3"/>
      <c r="GST119" s="3"/>
      <c r="GSU119" s="3"/>
      <c r="GSV119" s="3"/>
      <c r="GSW119" s="3"/>
      <c r="GSX119" s="3"/>
      <c r="GSY119" s="3"/>
      <c r="GSZ119" s="3"/>
      <c r="GTA119" s="3"/>
      <c r="GTB119" s="3"/>
      <c r="GTC119" s="3"/>
      <c r="GTD119" s="3"/>
      <c r="GTE119" s="3"/>
      <c r="GTF119" s="3"/>
      <c r="GTG119" s="3"/>
      <c r="GTH119" s="3"/>
      <c r="GTI119" s="3"/>
      <c r="GTJ119" s="3"/>
      <c r="GTK119" s="3"/>
      <c r="GTL119" s="3"/>
      <c r="GTM119" s="3"/>
      <c r="GTN119" s="3"/>
      <c r="GTO119" s="3"/>
      <c r="GTP119" s="3"/>
      <c r="GTQ119" s="3"/>
      <c r="GTR119" s="3"/>
      <c r="GTS119" s="3"/>
      <c r="GTT119" s="3"/>
      <c r="GTU119" s="3"/>
      <c r="GTV119" s="3"/>
      <c r="GTW119" s="3"/>
      <c r="GTX119" s="3"/>
      <c r="GTY119" s="3"/>
      <c r="GTZ119" s="3"/>
      <c r="GUA119" s="3"/>
      <c r="GUB119" s="3"/>
      <c r="GUC119" s="3"/>
      <c r="GUD119" s="3"/>
      <c r="GUE119" s="3"/>
      <c r="GUF119" s="3"/>
      <c r="GUG119" s="3"/>
      <c r="GUH119" s="3"/>
      <c r="GUI119" s="3"/>
      <c r="GUJ119" s="3"/>
      <c r="GUK119" s="3"/>
      <c r="GUL119" s="3"/>
      <c r="GUM119" s="3"/>
      <c r="GUN119" s="3"/>
      <c r="GUO119" s="3"/>
      <c r="GUP119" s="3"/>
      <c r="GUQ119" s="3"/>
      <c r="GUR119" s="3"/>
      <c r="GUS119" s="3"/>
      <c r="GUT119" s="3"/>
      <c r="GUU119" s="3"/>
      <c r="GUV119" s="3"/>
      <c r="GUW119" s="3"/>
      <c r="GUX119" s="3"/>
      <c r="GUY119" s="3"/>
      <c r="GUZ119" s="3"/>
      <c r="GVA119" s="3"/>
      <c r="GVB119" s="3"/>
      <c r="GVC119" s="3"/>
      <c r="GVD119" s="3"/>
      <c r="GVE119" s="3"/>
      <c r="GVF119" s="3"/>
      <c r="GVG119" s="3"/>
      <c r="GVH119" s="3"/>
      <c r="GVI119" s="3"/>
      <c r="GVJ119" s="3"/>
      <c r="GVK119" s="3"/>
      <c r="GVL119" s="3"/>
      <c r="GVM119" s="3"/>
      <c r="GVN119" s="3"/>
      <c r="GVO119" s="3"/>
      <c r="GVP119" s="3"/>
      <c r="GVQ119" s="3"/>
      <c r="GVR119" s="3"/>
      <c r="GVS119" s="3"/>
      <c r="GVT119" s="3"/>
      <c r="GVU119" s="3"/>
      <c r="GVV119" s="3"/>
      <c r="GVW119" s="3"/>
      <c r="GVX119" s="3"/>
      <c r="GVY119" s="3"/>
      <c r="GVZ119" s="3"/>
      <c r="GWA119" s="3"/>
      <c r="GWB119" s="3"/>
      <c r="GWC119" s="3"/>
      <c r="GWD119" s="3"/>
      <c r="GWE119" s="3"/>
      <c r="GWF119" s="3"/>
      <c r="GWG119" s="3"/>
      <c r="GWH119" s="3"/>
      <c r="GWI119" s="3"/>
      <c r="GWJ119" s="3"/>
      <c r="GWK119" s="3"/>
      <c r="GWL119" s="3"/>
      <c r="GWM119" s="3"/>
      <c r="GWN119" s="3"/>
      <c r="GWO119" s="3"/>
      <c r="GWP119" s="3"/>
      <c r="GWQ119" s="3"/>
      <c r="GWR119" s="3"/>
      <c r="GWS119" s="3"/>
      <c r="GWT119" s="3"/>
      <c r="GWU119" s="3"/>
      <c r="GWV119" s="3"/>
      <c r="GWW119" s="3"/>
      <c r="GWX119" s="3"/>
      <c r="GWY119" s="3"/>
      <c r="GWZ119" s="3"/>
      <c r="GXA119" s="3"/>
      <c r="GXB119" s="3"/>
      <c r="GXC119" s="3"/>
      <c r="GXD119" s="3"/>
      <c r="GXE119" s="3"/>
      <c r="GXF119" s="3"/>
      <c r="GXG119" s="3"/>
      <c r="GXH119" s="3"/>
      <c r="GXI119" s="3"/>
      <c r="GXJ119" s="3"/>
      <c r="GXK119" s="3"/>
      <c r="GXL119" s="3"/>
      <c r="GXM119" s="3"/>
      <c r="GXN119" s="3"/>
      <c r="GXO119" s="3"/>
      <c r="GXP119" s="3"/>
      <c r="GXQ119" s="3"/>
      <c r="GXR119" s="3"/>
      <c r="GXS119" s="3"/>
      <c r="GXT119" s="3"/>
      <c r="GXU119" s="3"/>
      <c r="GXV119" s="3"/>
      <c r="GXW119" s="3"/>
      <c r="GXX119" s="3"/>
      <c r="GXY119" s="3"/>
      <c r="GXZ119" s="3"/>
      <c r="GYA119" s="3"/>
      <c r="GYB119" s="3"/>
      <c r="GYC119" s="3"/>
      <c r="GYD119" s="3"/>
      <c r="GYE119" s="3"/>
      <c r="GYF119" s="3"/>
      <c r="GYG119" s="3"/>
      <c r="GYH119" s="3"/>
      <c r="GYI119" s="3"/>
      <c r="GYJ119" s="3"/>
      <c r="GYK119" s="3"/>
      <c r="GYL119" s="3"/>
      <c r="GYM119" s="3"/>
      <c r="GYN119" s="3"/>
      <c r="GYO119" s="3"/>
      <c r="GYP119" s="3"/>
      <c r="GYQ119" s="3"/>
      <c r="GYR119" s="3"/>
      <c r="GYS119" s="3"/>
      <c r="GYT119" s="3"/>
      <c r="GYU119" s="3"/>
      <c r="GYV119" s="3"/>
      <c r="GYW119" s="3"/>
      <c r="GYX119" s="3"/>
      <c r="GYY119" s="3"/>
      <c r="GYZ119" s="3"/>
      <c r="GZA119" s="3"/>
      <c r="GZB119" s="3"/>
      <c r="GZC119" s="3"/>
      <c r="GZD119" s="3"/>
      <c r="GZE119" s="3"/>
      <c r="GZF119" s="3"/>
      <c r="GZG119" s="3"/>
      <c r="GZH119" s="3"/>
      <c r="GZI119" s="3"/>
      <c r="GZJ119" s="3"/>
      <c r="GZK119" s="3"/>
      <c r="GZL119" s="3"/>
      <c r="GZM119" s="3"/>
      <c r="GZN119" s="3"/>
      <c r="GZO119" s="3"/>
      <c r="GZP119" s="3"/>
      <c r="GZQ119" s="3"/>
      <c r="GZR119" s="3"/>
      <c r="GZS119" s="3"/>
      <c r="GZT119" s="3"/>
      <c r="GZU119" s="3"/>
      <c r="GZV119" s="3"/>
      <c r="GZW119" s="3"/>
      <c r="GZX119" s="3"/>
      <c r="GZY119" s="3"/>
      <c r="GZZ119" s="3"/>
      <c r="HAA119" s="3"/>
      <c r="HAB119" s="3"/>
      <c r="HAC119" s="3"/>
      <c r="HAD119" s="3"/>
      <c r="HAE119" s="3"/>
      <c r="HAF119" s="3"/>
      <c r="HAG119" s="3"/>
      <c r="HAH119" s="3"/>
      <c r="HAI119" s="3"/>
      <c r="HAJ119" s="3"/>
      <c r="HAK119" s="3"/>
      <c r="HAL119" s="3"/>
      <c r="HAM119" s="3"/>
      <c r="HAN119" s="3"/>
      <c r="HAO119" s="3"/>
      <c r="HAP119" s="3"/>
      <c r="HAQ119" s="3"/>
      <c r="HAR119" s="3"/>
      <c r="HAS119" s="3"/>
      <c r="HAT119" s="3"/>
      <c r="HAU119" s="3"/>
      <c r="HAV119" s="3"/>
      <c r="HAW119" s="3"/>
      <c r="HAX119" s="3"/>
      <c r="HAY119" s="3"/>
      <c r="HAZ119" s="3"/>
      <c r="HBA119" s="3"/>
      <c r="HBB119" s="3"/>
      <c r="HBC119" s="3"/>
      <c r="HBD119" s="3"/>
      <c r="HBE119" s="3"/>
      <c r="HBF119" s="3"/>
      <c r="HBG119" s="3"/>
      <c r="HBH119" s="3"/>
      <c r="HBI119" s="3"/>
      <c r="HBJ119" s="3"/>
      <c r="HBK119" s="3"/>
      <c r="HBL119" s="3"/>
      <c r="HBM119" s="3"/>
      <c r="HBN119" s="3"/>
      <c r="HBO119" s="3"/>
      <c r="HBP119" s="3"/>
      <c r="HBQ119" s="3"/>
      <c r="HBR119" s="3"/>
      <c r="HBS119" s="3"/>
      <c r="HBT119" s="3"/>
      <c r="HBU119" s="3"/>
      <c r="HBV119" s="3"/>
      <c r="HBW119" s="3"/>
      <c r="HBX119" s="3"/>
      <c r="HBY119" s="3"/>
      <c r="HBZ119" s="3"/>
      <c r="HCA119" s="3"/>
      <c r="HCB119" s="3"/>
      <c r="HCC119" s="3"/>
      <c r="HCD119" s="3"/>
      <c r="HCE119" s="3"/>
      <c r="HCF119" s="3"/>
      <c r="HCG119" s="3"/>
      <c r="HCH119" s="3"/>
      <c r="HCI119" s="3"/>
      <c r="HCJ119" s="3"/>
      <c r="HCK119" s="3"/>
      <c r="HCL119" s="3"/>
      <c r="HCM119" s="3"/>
      <c r="HCN119" s="3"/>
      <c r="HCO119" s="3"/>
      <c r="HCP119" s="3"/>
      <c r="HCQ119" s="3"/>
      <c r="HCR119" s="3"/>
      <c r="HCS119" s="3"/>
      <c r="HCT119" s="3"/>
      <c r="HCU119" s="3"/>
      <c r="HCV119" s="3"/>
      <c r="HCW119" s="3"/>
      <c r="HCX119" s="3"/>
      <c r="HCY119" s="3"/>
      <c r="HCZ119" s="3"/>
      <c r="HDA119" s="3"/>
      <c r="HDB119" s="3"/>
      <c r="HDC119" s="3"/>
      <c r="HDD119" s="3"/>
      <c r="HDE119" s="3"/>
      <c r="HDF119" s="3"/>
      <c r="HDG119" s="3"/>
      <c r="HDH119" s="3"/>
      <c r="HDI119" s="3"/>
      <c r="HDJ119" s="3"/>
      <c r="HDK119" s="3"/>
      <c r="HDL119" s="3"/>
      <c r="HDM119" s="3"/>
      <c r="HDN119" s="3"/>
      <c r="HDO119" s="3"/>
      <c r="HDP119" s="3"/>
      <c r="HDQ119" s="3"/>
      <c r="HDR119" s="3"/>
      <c r="HDS119" s="3"/>
      <c r="HDT119" s="3"/>
      <c r="HDU119" s="3"/>
      <c r="HDV119" s="3"/>
      <c r="HDW119" s="3"/>
      <c r="HDX119" s="3"/>
      <c r="HDY119" s="3"/>
      <c r="HDZ119" s="3"/>
      <c r="HEA119" s="3"/>
      <c r="HEB119" s="3"/>
      <c r="HEC119" s="3"/>
      <c r="HED119" s="3"/>
      <c r="HEE119" s="3"/>
      <c r="HEF119" s="3"/>
      <c r="HEG119" s="3"/>
      <c r="HEH119" s="3"/>
      <c r="HEI119" s="3"/>
      <c r="HEJ119" s="3"/>
      <c r="HEK119" s="3"/>
      <c r="HEL119" s="3"/>
      <c r="HEM119" s="3"/>
      <c r="HEN119" s="3"/>
      <c r="HEO119" s="3"/>
      <c r="HEP119" s="3"/>
      <c r="HEQ119" s="3"/>
      <c r="HER119" s="3"/>
      <c r="HES119" s="3"/>
      <c r="HET119" s="3"/>
      <c r="HEU119" s="3"/>
      <c r="HEV119" s="3"/>
      <c r="HEW119" s="3"/>
      <c r="HEX119" s="3"/>
      <c r="HEY119" s="3"/>
      <c r="HEZ119" s="3"/>
      <c r="HFA119" s="3"/>
      <c r="HFB119" s="3"/>
      <c r="HFC119" s="3"/>
      <c r="HFD119" s="3"/>
      <c r="HFE119" s="3"/>
      <c r="HFF119" s="3"/>
      <c r="HFG119" s="3"/>
      <c r="HFH119" s="3"/>
      <c r="HFI119" s="3"/>
      <c r="HFJ119" s="3"/>
      <c r="HFK119" s="3"/>
      <c r="HFL119" s="3"/>
      <c r="HFM119" s="3"/>
      <c r="HFN119" s="3"/>
      <c r="HFO119" s="3"/>
      <c r="HFP119" s="3"/>
      <c r="HFQ119" s="3"/>
      <c r="HFR119" s="3"/>
      <c r="HFS119" s="3"/>
      <c r="HFT119" s="3"/>
      <c r="HFU119" s="3"/>
      <c r="HFV119" s="3"/>
      <c r="HFW119" s="3"/>
      <c r="HFX119" s="3"/>
      <c r="HFY119" s="3"/>
      <c r="HFZ119" s="3"/>
      <c r="HGA119" s="3"/>
      <c r="HGB119" s="3"/>
      <c r="HGC119" s="3"/>
      <c r="HGD119" s="3"/>
      <c r="HGE119" s="3"/>
      <c r="HGF119" s="3"/>
      <c r="HGG119" s="3"/>
      <c r="HGH119" s="3"/>
      <c r="HGI119" s="3"/>
      <c r="HGJ119" s="3"/>
      <c r="HGK119" s="3"/>
      <c r="HGL119" s="3"/>
      <c r="HGM119" s="3"/>
      <c r="HGN119" s="3"/>
      <c r="HGO119" s="3"/>
      <c r="HGP119" s="3"/>
      <c r="HGQ119" s="3"/>
      <c r="HGR119" s="3"/>
      <c r="HGS119" s="3"/>
      <c r="HGT119" s="3"/>
      <c r="HGU119" s="3"/>
      <c r="HGV119" s="3"/>
      <c r="HGW119" s="3"/>
      <c r="HGX119" s="3"/>
      <c r="HGY119" s="3"/>
      <c r="HGZ119" s="3"/>
      <c r="HHA119" s="3"/>
      <c r="HHB119" s="3"/>
      <c r="HHC119" s="3"/>
      <c r="HHD119" s="3"/>
      <c r="HHE119" s="3"/>
      <c r="HHF119" s="3"/>
      <c r="HHG119" s="3"/>
      <c r="HHH119" s="3"/>
      <c r="HHI119" s="3"/>
      <c r="HHJ119" s="3"/>
      <c r="HHK119" s="3"/>
      <c r="HHL119" s="3"/>
      <c r="HHM119" s="3"/>
      <c r="HHN119" s="3"/>
      <c r="HHO119" s="3"/>
      <c r="HHP119" s="3"/>
      <c r="HHQ119" s="3"/>
      <c r="HHR119" s="3"/>
      <c r="HHS119" s="3"/>
      <c r="HHT119" s="3"/>
      <c r="HHU119" s="3"/>
      <c r="HHV119" s="3"/>
      <c r="HHW119" s="3"/>
      <c r="HHX119" s="3"/>
      <c r="HHY119" s="3"/>
      <c r="HHZ119" s="3"/>
      <c r="HIA119" s="3"/>
      <c r="HIB119" s="3"/>
      <c r="HIC119" s="3"/>
      <c r="HID119" s="3"/>
      <c r="HIE119" s="3"/>
      <c r="HIF119" s="3"/>
      <c r="HIG119" s="3"/>
      <c r="HIH119" s="3"/>
      <c r="HII119" s="3"/>
      <c r="HIJ119" s="3"/>
      <c r="HIK119" s="3"/>
      <c r="HIL119" s="3"/>
      <c r="HIM119" s="3"/>
      <c r="HIN119" s="3"/>
      <c r="HIO119" s="3"/>
      <c r="HIP119" s="3"/>
      <c r="HIQ119" s="3"/>
      <c r="HIR119" s="3"/>
      <c r="HIS119" s="3"/>
      <c r="HIT119" s="3"/>
      <c r="HIU119" s="3"/>
      <c r="HIV119" s="3"/>
      <c r="HIW119" s="3"/>
      <c r="HIX119" s="3"/>
      <c r="HIY119" s="3"/>
      <c r="HIZ119" s="3"/>
      <c r="HJA119" s="3"/>
      <c r="HJB119" s="3"/>
      <c r="HJC119" s="3"/>
      <c r="HJD119" s="3"/>
      <c r="HJE119" s="3"/>
      <c r="HJF119" s="3"/>
      <c r="HJG119" s="3"/>
      <c r="HJH119" s="3"/>
      <c r="HJI119" s="3"/>
      <c r="HJJ119" s="3"/>
      <c r="HJK119" s="3"/>
      <c r="HJL119" s="3"/>
      <c r="HJM119" s="3"/>
      <c r="HJN119" s="3"/>
      <c r="HJO119" s="3"/>
      <c r="HJP119" s="3"/>
      <c r="HJQ119" s="3"/>
      <c r="HJR119" s="3"/>
      <c r="HJS119" s="3"/>
      <c r="HJT119" s="3"/>
      <c r="HJU119" s="3"/>
      <c r="HJV119" s="3"/>
      <c r="HJW119" s="3"/>
      <c r="HJX119" s="3"/>
      <c r="HJY119" s="3"/>
      <c r="HJZ119" s="3"/>
      <c r="HKA119" s="3"/>
      <c r="HKB119" s="3"/>
      <c r="HKC119" s="3"/>
      <c r="HKD119" s="3"/>
      <c r="HKE119" s="3"/>
      <c r="HKF119" s="3"/>
      <c r="HKG119" s="3"/>
      <c r="HKH119" s="3"/>
      <c r="HKI119" s="3"/>
      <c r="HKJ119" s="3"/>
      <c r="HKK119" s="3"/>
      <c r="HKL119" s="3"/>
      <c r="HKM119" s="3"/>
      <c r="HKN119" s="3"/>
      <c r="HKO119" s="3"/>
      <c r="HKP119" s="3"/>
      <c r="HKQ119" s="3"/>
      <c r="HKR119" s="3"/>
      <c r="HKS119" s="3"/>
      <c r="HKT119" s="3"/>
      <c r="HKU119" s="3"/>
      <c r="HKV119" s="3"/>
      <c r="HKW119" s="3"/>
      <c r="HKX119" s="3"/>
      <c r="HKY119" s="3"/>
      <c r="HKZ119" s="3"/>
      <c r="HLA119" s="3"/>
      <c r="HLB119" s="3"/>
      <c r="HLC119" s="3"/>
      <c r="HLD119" s="3"/>
      <c r="HLE119" s="3"/>
      <c r="HLF119" s="3"/>
      <c r="HLG119" s="3"/>
      <c r="HLH119" s="3"/>
      <c r="HLI119" s="3"/>
      <c r="HLJ119" s="3"/>
      <c r="HLK119" s="3"/>
      <c r="HLL119" s="3"/>
      <c r="HLM119" s="3"/>
      <c r="HLN119" s="3"/>
      <c r="HLO119" s="3"/>
      <c r="HLP119" s="3"/>
      <c r="HLQ119" s="3"/>
      <c r="HLR119" s="3"/>
      <c r="HLS119" s="3"/>
      <c r="HLT119" s="3"/>
      <c r="HLU119" s="3"/>
      <c r="HLV119" s="3"/>
      <c r="HLW119" s="3"/>
      <c r="HLX119" s="3"/>
      <c r="HLY119" s="3"/>
      <c r="HLZ119" s="3"/>
      <c r="HMA119" s="3"/>
      <c r="HMB119" s="3"/>
      <c r="HMC119" s="3"/>
      <c r="HMD119" s="3"/>
      <c r="HME119" s="3"/>
      <c r="HMF119" s="3"/>
      <c r="HMG119" s="3"/>
      <c r="HMH119" s="3"/>
      <c r="HMI119" s="3"/>
      <c r="HMJ119" s="3"/>
      <c r="HMK119" s="3"/>
      <c r="HML119" s="3"/>
      <c r="HMM119" s="3"/>
      <c r="HMN119" s="3"/>
      <c r="HMO119" s="3"/>
      <c r="HMP119" s="3"/>
      <c r="HMQ119" s="3"/>
      <c r="HMR119" s="3"/>
      <c r="HMS119" s="3"/>
      <c r="HMT119" s="3"/>
      <c r="HMU119" s="3"/>
      <c r="HMV119" s="3"/>
      <c r="HMW119" s="3"/>
      <c r="HMX119" s="3"/>
      <c r="HMY119" s="3"/>
      <c r="HMZ119" s="3"/>
      <c r="HNA119" s="3"/>
      <c r="HNB119" s="3"/>
      <c r="HNC119" s="3"/>
      <c r="HND119" s="3"/>
      <c r="HNE119" s="3"/>
      <c r="HNF119" s="3"/>
      <c r="HNG119" s="3"/>
      <c r="HNH119" s="3"/>
      <c r="HNI119" s="3"/>
      <c r="HNJ119" s="3"/>
      <c r="HNK119" s="3"/>
      <c r="HNL119" s="3"/>
      <c r="HNM119" s="3"/>
      <c r="HNN119" s="3"/>
      <c r="HNO119" s="3"/>
      <c r="HNP119" s="3"/>
      <c r="HNQ119" s="3"/>
      <c r="HNR119" s="3"/>
      <c r="HNS119" s="3"/>
      <c r="HNT119" s="3"/>
      <c r="HNU119" s="3"/>
      <c r="HNV119" s="3"/>
      <c r="HNW119" s="3"/>
      <c r="HNX119" s="3"/>
      <c r="HNY119" s="3"/>
      <c r="HNZ119" s="3"/>
      <c r="HOA119" s="3"/>
      <c r="HOB119" s="3"/>
      <c r="HOC119" s="3"/>
      <c r="HOD119" s="3"/>
      <c r="HOE119" s="3"/>
      <c r="HOF119" s="3"/>
      <c r="HOG119" s="3"/>
      <c r="HOH119" s="3"/>
      <c r="HOI119" s="3"/>
      <c r="HOJ119" s="3"/>
      <c r="HOK119" s="3"/>
      <c r="HOL119" s="3"/>
      <c r="HOM119" s="3"/>
      <c r="HON119" s="3"/>
      <c r="HOO119" s="3"/>
      <c r="HOP119" s="3"/>
      <c r="HOQ119" s="3"/>
      <c r="HOR119" s="3"/>
      <c r="HOS119" s="3"/>
      <c r="HOT119" s="3"/>
      <c r="HOU119" s="3"/>
      <c r="HOV119" s="3"/>
      <c r="HOW119" s="3"/>
      <c r="HOX119" s="3"/>
      <c r="HOY119" s="3"/>
      <c r="HOZ119" s="3"/>
      <c r="HPA119" s="3"/>
      <c r="HPB119" s="3"/>
      <c r="HPC119" s="3"/>
      <c r="HPD119" s="3"/>
      <c r="HPE119" s="3"/>
      <c r="HPF119" s="3"/>
      <c r="HPG119" s="3"/>
      <c r="HPH119" s="3"/>
      <c r="HPI119" s="3"/>
      <c r="HPJ119" s="3"/>
      <c r="HPK119" s="3"/>
      <c r="HPL119" s="3"/>
      <c r="HPM119" s="3"/>
      <c r="HPN119" s="3"/>
      <c r="HPO119" s="3"/>
      <c r="HPP119" s="3"/>
      <c r="HPQ119" s="3"/>
      <c r="HPR119" s="3"/>
      <c r="HPS119" s="3"/>
      <c r="HPT119" s="3"/>
      <c r="HPU119" s="3"/>
      <c r="HPV119" s="3"/>
      <c r="HPW119" s="3"/>
      <c r="HPX119" s="3"/>
      <c r="HPY119" s="3"/>
      <c r="HPZ119" s="3"/>
      <c r="HQA119" s="3"/>
      <c r="HQB119" s="3"/>
      <c r="HQC119" s="3"/>
      <c r="HQD119" s="3"/>
      <c r="HQE119" s="3"/>
      <c r="HQF119" s="3"/>
      <c r="HQG119" s="3"/>
      <c r="HQH119" s="3"/>
      <c r="HQI119" s="3"/>
      <c r="HQJ119" s="3"/>
      <c r="HQK119" s="3"/>
      <c r="HQL119" s="3"/>
      <c r="HQM119" s="3"/>
      <c r="HQN119" s="3"/>
      <c r="HQO119" s="3"/>
      <c r="HQP119" s="3"/>
      <c r="HQQ119" s="3"/>
      <c r="HQR119" s="3"/>
      <c r="HQS119" s="3"/>
      <c r="HQT119" s="3"/>
      <c r="HQU119" s="3"/>
      <c r="HQV119" s="3"/>
      <c r="HQW119" s="3"/>
      <c r="HQX119" s="3"/>
      <c r="HQY119" s="3"/>
      <c r="HQZ119" s="3"/>
      <c r="HRA119" s="3"/>
      <c r="HRB119" s="3"/>
      <c r="HRC119" s="3"/>
      <c r="HRD119" s="3"/>
      <c r="HRE119" s="3"/>
      <c r="HRF119" s="3"/>
      <c r="HRG119" s="3"/>
      <c r="HRH119" s="3"/>
      <c r="HRI119" s="3"/>
      <c r="HRJ119" s="3"/>
      <c r="HRK119" s="3"/>
      <c r="HRL119" s="3"/>
      <c r="HRM119" s="3"/>
      <c r="HRN119" s="3"/>
      <c r="HRO119" s="3"/>
      <c r="HRP119" s="3"/>
      <c r="HRQ119" s="3"/>
      <c r="HRR119" s="3"/>
      <c r="HRS119" s="3"/>
      <c r="HRT119" s="3"/>
      <c r="HRU119" s="3"/>
      <c r="HRV119" s="3"/>
      <c r="HRW119" s="3"/>
      <c r="HRX119" s="3"/>
      <c r="HRY119" s="3"/>
      <c r="HRZ119" s="3"/>
      <c r="HSA119" s="3"/>
      <c r="HSB119" s="3"/>
      <c r="HSC119" s="3"/>
      <c r="HSD119" s="3"/>
      <c r="HSE119" s="3"/>
      <c r="HSF119" s="3"/>
      <c r="HSG119" s="3"/>
      <c r="HSH119" s="3"/>
      <c r="HSI119" s="3"/>
      <c r="HSJ119" s="3"/>
      <c r="HSK119" s="3"/>
      <c r="HSL119" s="3"/>
      <c r="HSM119" s="3"/>
      <c r="HSN119" s="3"/>
      <c r="HSO119" s="3"/>
      <c r="HSP119" s="3"/>
      <c r="HSQ119" s="3"/>
      <c r="HSR119" s="3"/>
      <c r="HSS119" s="3"/>
      <c r="HST119" s="3"/>
      <c r="HSU119" s="3"/>
      <c r="HSV119" s="3"/>
      <c r="HSW119" s="3"/>
      <c r="HSX119" s="3"/>
      <c r="HSY119" s="3"/>
      <c r="HSZ119" s="3"/>
      <c r="HTA119" s="3"/>
      <c r="HTB119" s="3"/>
      <c r="HTC119" s="3"/>
      <c r="HTD119" s="3"/>
      <c r="HTE119" s="3"/>
      <c r="HTF119" s="3"/>
      <c r="HTG119" s="3"/>
      <c r="HTH119" s="3"/>
      <c r="HTI119" s="3"/>
      <c r="HTJ119" s="3"/>
      <c r="HTK119" s="3"/>
      <c r="HTL119" s="3"/>
      <c r="HTM119" s="3"/>
      <c r="HTN119" s="3"/>
      <c r="HTO119" s="3"/>
      <c r="HTP119" s="3"/>
      <c r="HTQ119" s="3"/>
      <c r="HTR119" s="3"/>
      <c r="HTS119" s="3"/>
      <c r="HTT119" s="3"/>
      <c r="HTU119" s="3"/>
      <c r="HTV119" s="3"/>
      <c r="HTW119" s="3"/>
      <c r="HTX119" s="3"/>
      <c r="HTY119" s="3"/>
      <c r="HTZ119" s="3"/>
      <c r="HUA119" s="3"/>
      <c r="HUB119" s="3"/>
      <c r="HUC119" s="3"/>
      <c r="HUD119" s="3"/>
      <c r="HUE119" s="3"/>
      <c r="HUF119" s="3"/>
      <c r="HUG119" s="3"/>
      <c r="HUH119" s="3"/>
      <c r="HUI119" s="3"/>
      <c r="HUJ119" s="3"/>
      <c r="HUK119" s="3"/>
      <c r="HUL119" s="3"/>
      <c r="HUM119" s="3"/>
      <c r="HUN119" s="3"/>
      <c r="HUO119" s="3"/>
      <c r="HUP119" s="3"/>
      <c r="HUQ119" s="3"/>
      <c r="HUR119" s="3"/>
      <c r="HUS119" s="3"/>
      <c r="HUT119" s="3"/>
      <c r="HUU119" s="3"/>
      <c r="HUV119" s="3"/>
      <c r="HUW119" s="3"/>
      <c r="HUX119" s="3"/>
      <c r="HUY119" s="3"/>
      <c r="HUZ119" s="3"/>
      <c r="HVA119" s="3"/>
      <c r="HVB119" s="3"/>
      <c r="HVC119" s="3"/>
      <c r="HVD119" s="3"/>
      <c r="HVE119" s="3"/>
      <c r="HVF119" s="3"/>
      <c r="HVG119" s="3"/>
      <c r="HVH119" s="3"/>
      <c r="HVI119" s="3"/>
      <c r="HVJ119" s="3"/>
      <c r="HVK119" s="3"/>
      <c r="HVL119" s="3"/>
      <c r="HVM119" s="3"/>
      <c r="HVN119" s="3"/>
      <c r="HVO119" s="3"/>
      <c r="HVP119" s="3"/>
      <c r="HVQ119" s="3"/>
      <c r="HVR119" s="3"/>
      <c r="HVS119" s="3"/>
      <c r="HVT119" s="3"/>
      <c r="HVU119" s="3"/>
      <c r="HVV119" s="3"/>
      <c r="HVW119" s="3"/>
      <c r="HVX119" s="3"/>
      <c r="HVY119" s="3"/>
      <c r="HVZ119" s="3"/>
      <c r="HWA119" s="3"/>
      <c r="HWB119" s="3"/>
      <c r="HWC119" s="3"/>
      <c r="HWD119" s="3"/>
      <c r="HWE119" s="3"/>
      <c r="HWF119" s="3"/>
      <c r="HWG119" s="3"/>
      <c r="HWH119" s="3"/>
      <c r="HWI119" s="3"/>
      <c r="HWJ119" s="3"/>
      <c r="HWK119" s="3"/>
      <c r="HWL119" s="3"/>
      <c r="HWM119" s="3"/>
      <c r="HWN119" s="3"/>
      <c r="HWO119" s="3"/>
      <c r="HWP119" s="3"/>
      <c r="HWQ119" s="3"/>
      <c r="HWR119" s="3"/>
      <c r="HWS119" s="3"/>
      <c r="HWT119" s="3"/>
      <c r="HWU119" s="3"/>
      <c r="HWV119" s="3"/>
      <c r="HWW119" s="3"/>
      <c r="HWX119" s="3"/>
      <c r="HWY119" s="3"/>
      <c r="HWZ119" s="3"/>
      <c r="HXA119" s="3"/>
      <c r="HXB119" s="3"/>
      <c r="HXC119" s="3"/>
      <c r="HXD119" s="3"/>
      <c r="HXE119" s="3"/>
      <c r="HXF119" s="3"/>
      <c r="HXG119" s="3"/>
      <c r="HXH119" s="3"/>
      <c r="HXI119" s="3"/>
      <c r="HXJ119" s="3"/>
      <c r="HXK119" s="3"/>
      <c r="HXL119" s="3"/>
      <c r="HXM119" s="3"/>
      <c r="HXN119" s="3"/>
      <c r="HXO119" s="3"/>
      <c r="HXP119" s="3"/>
      <c r="HXQ119" s="3"/>
      <c r="HXR119" s="3"/>
      <c r="HXS119" s="3"/>
      <c r="HXT119" s="3"/>
      <c r="HXU119" s="3"/>
      <c r="HXV119" s="3"/>
      <c r="HXW119" s="3"/>
      <c r="HXX119" s="3"/>
      <c r="HXY119" s="3"/>
      <c r="HXZ119" s="3"/>
      <c r="HYA119" s="3"/>
      <c r="HYB119" s="3"/>
      <c r="HYC119" s="3"/>
      <c r="HYD119" s="3"/>
      <c r="HYE119" s="3"/>
      <c r="HYF119" s="3"/>
      <c r="HYG119" s="3"/>
      <c r="HYH119" s="3"/>
      <c r="HYI119" s="3"/>
      <c r="HYJ119" s="3"/>
      <c r="HYK119" s="3"/>
      <c r="HYL119" s="3"/>
      <c r="HYM119" s="3"/>
      <c r="HYN119" s="3"/>
      <c r="HYO119" s="3"/>
      <c r="HYP119" s="3"/>
      <c r="HYQ119" s="3"/>
      <c r="HYR119" s="3"/>
      <c r="HYS119" s="3"/>
      <c r="HYT119" s="3"/>
      <c r="HYU119" s="3"/>
      <c r="HYV119" s="3"/>
      <c r="HYW119" s="3"/>
      <c r="HYX119" s="3"/>
      <c r="HYY119" s="3"/>
      <c r="HYZ119" s="3"/>
      <c r="HZA119" s="3"/>
      <c r="HZB119" s="3"/>
      <c r="HZC119" s="3"/>
      <c r="HZD119" s="3"/>
      <c r="HZE119" s="3"/>
      <c r="HZF119" s="3"/>
      <c r="HZG119" s="3"/>
      <c r="HZH119" s="3"/>
      <c r="HZI119" s="3"/>
      <c r="HZJ119" s="3"/>
      <c r="HZK119" s="3"/>
      <c r="HZL119" s="3"/>
      <c r="HZM119" s="3"/>
      <c r="HZN119" s="3"/>
      <c r="HZO119" s="3"/>
      <c r="HZP119" s="3"/>
      <c r="HZQ119" s="3"/>
      <c r="HZR119" s="3"/>
      <c r="HZS119" s="3"/>
      <c r="HZT119" s="3"/>
      <c r="HZU119" s="3"/>
      <c r="HZV119" s="3"/>
      <c r="HZW119" s="3"/>
      <c r="HZX119" s="3"/>
      <c r="HZY119" s="3"/>
      <c r="HZZ119" s="3"/>
      <c r="IAA119" s="3"/>
      <c r="IAB119" s="3"/>
      <c r="IAC119" s="3"/>
      <c r="IAD119" s="3"/>
      <c r="IAE119" s="3"/>
      <c r="IAF119" s="3"/>
      <c r="IAG119" s="3"/>
      <c r="IAH119" s="3"/>
      <c r="IAI119" s="3"/>
      <c r="IAJ119" s="3"/>
      <c r="IAK119" s="3"/>
      <c r="IAL119" s="3"/>
      <c r="IAM119" s="3"/>
      <c r="IAN119" s="3"/>
      <c r="IAO119" s="3"/>
      <c r="IAP119" s="3"/>
      <c r="IAQ119" s="3"/>
      <c r="IAR119" s="3"/>
      <c r="IAS119" s="3"/>
      <c r="IAT119" s="3"/>
      <c r="IAU119" s="3"/>
      <c r="IAV119" s="3"/>
      <c r="IAW119" s="3"/>
      <c r="IAX119" s="3"/>
      <c r="IAY119" s="3"/>
      <c r="IAZ119" s="3"/>
      <c r="IBA119" s="3"/>
      <c r="IBB119" s="3"/>
      <c r="IBC119" s="3"/>
      <c r="IBD119" s="3"/>
      <c r="IBE119" s="3"/>
      <c r="IBF119" s="3"/>
      <c r="IBG119" s="3"/>
      <c r="IBH119" s="3"/>
      <c r="IBI119" s="3"/>
      <c r="IBJ119" s="3"/>
      <c r="IBK119" s="3"/>
      <c r="IBL119" s="3"/>
      <c r="IBM119" s="3"/>
      <c r="IBN119" s="3"/>
      <c r="IBO119" s="3"/>
      <c r="IBP119" s="3"/>
      <c r="IBQ119" s="3"/>
      <c r="IBR119" s="3"/>
      <c r="IBS119" s="3"/>
      <c r="IBT119" s="3"/>
      <c r="IBU119" s="3"/>
      <c r="IBV119" s="3"/>
      <c r="IBW119" s="3"/>
      <c r="IBX119" s="3"/>
      <c r="IBY119" s="3"/>
      <c r="IBZ119" s="3"/>
      <c r="ICA119" s="3"/>
      <c r="ICB119" s="3"/>
      <c r="ICC119" s="3"/>
      <c r="ICD119" s="3"/>
      <c r="ICE119" s="3"/>
      <c r="ICF119" s="3"/>
      <c r="ICG119" s="3"/>
      <c r="ICH119" s="3"/>
      <c r="ICI119" s="3"/>
      <c r="ICJ119" s="3"/>
      <c r="ICK119" s="3"/>
      <c r="ICL119" s="3"/>
      <c r="ICM119" s="3"/>
      <c r="ICN119" s="3"/>
      <c r="ICO119" s="3"/>
      <c r="ICP119" s="3"/>
      <c r="ICQ119" s="3"/>
      <c r="ICR119" s="3"/>
      <c r="ICS119" s="3"/>
      <c r="ICT119" s="3"/>
      <c r="ICU119" s="3"/>
      <c r="ICV119" s="3"/>
      <c r="ICW119" s="3"/>
      <c r="ICX119" s="3"/>
      <c r="ICY119" s="3"/>
      <c r="ICZ119" s="3"/>
      <c r="IDA119" s="3"/>
      <c r="IDB119" s="3"/>
      <c r="IDC119" s="3"/>
      <c r="IDD119" s="3"/>
      <c r="IDE119" s="3"/>
      <c r="IDF119" s="3"/>
      <c r="IDG119" s="3"/>
      <c r="IDH119" s="3"/>
      <c r="IDI119" s="3"/>
      <c r="IDJ119" s="3"/>
      <c r="IDK119" s="3"/>
      <c r="IDL119" s="3"/>
      <c r="IDM119" s="3"/>
      <c r="IDN119" s="3"/>
      <c r="IDO119" s="3"/>
      <c r="IDP119" s="3"/>
      <c r="IDQ119" s="3"/>
      <c r="IDR119" s="3"/>
      <c r="IDS119" s="3"/>
      <c r="IDT119" s="3"/>
      <c r="IDU119" s="3"/>
      <c r="IDV119" s="3"/>
      <c r="IDW119" s="3"/>
      <c r="IDX119" s="3"/>
      <c r="IDY119" s="3"/>
      <c r="IDZ119" s="3"/>
      <c r="IEA119" s="3"/>
      <c r="IEB119" s="3"/>
      <c r="IEC119" s="3"/>
      <c r="IED119" s="3"/>
      <c r="IEE119" s="3"/>
      <c r="IEF119" s="3"/>
      <c r="IEG119" s="3"/>
      <c r="IEH119" s="3"/>
      <c r="IEI119" s="3"/>
      <c r="IEJ119" s="3"/>
      <c r="IEK119" s="3"/>
      <c r="IEL119" s="3"/>
      <c r="IEM119" s="3"/>
      <c r="IEN119" s="3"/>
      <c r="IEO119" s="3"/>
      <c r="IEP119" s="3"/>
      <c r="IEQ119" s="3"/>
      <c r="IER119" s="3"/>
      <c r="IES119" s="3"/>
      <c r="IET119" s="3"/>
      <c r="IEU119" s="3"/>
      <c r="IEV119" s="3"/>
      <c r="IEW119" s="3"/>
      <c r="IEX119" s="3"/>
      <c r="IEY119" s="3"/>
      <c r="IEZ119" s="3"/>
      <c r="IFA119" s="3"/>
      <c r="IFB119" s="3"/>
      <c r="IFC119" s="3"/>
      <c r="IFD119" s="3"/>
      <c r="IFE119" s="3"/>
      <c r="IFF119" s="3"/>
      <c r="IFG119" s="3"/>
      <c r="IFH119" s="3"/>
      <c r="IFI119" s="3"/>
      <c r="IFJ119" s="3"/>
      <c r="IFK119" s="3"/>
      <c r="IFL119" s="3"/>
      <c r="IFM119" s="3"/>
      <c r="IFN119" s="3"/>
      <c r="IFO119" s="3"/>
      <c r="IFP119" s="3"/>
      <c r="IFQ119" s="3"/>
      <c r="IFR119" s="3"/>
      <c r="IFS119" s="3"/>
      <c r="IFT119" s="3"/>
      <c r="IFU119" s="3"/>
      <c r="IFV119" s="3"/>
      <c r="IFW119" s="3"/>
      <c r="IFX119" s="3"/>
      <c r="IFY119" s="3"/>
      <c r="IFZ119" s="3"/>
      <c r="IGA119" s="3"/>
      <c r="IGB119" s="3"/>
      <c r="IGC119" s="3"/>
      <c r="IGD119" s="3"/>
      <c r="IGE119" s="3"/>
      <c r="IGF119" s="3"/>
      <c r="IGG119" s="3"/>
      <c r="IGH119" s="3"/>
      <c r="IGI119" s="3"/>
      <c r="IGJ119" s="3"/>
      <c r="IGK119" s="3"/>
      <c r="IGL119" s="3"/>
      <c r="IGM119" s="3"/>
      <c r="IGN119" s="3"/>
      <c r="IGO119" s="3"/>
      <c r="IGP119" s="3"/>
      <c r="IGQ119" s="3"/>
      <c r="IGR119" s="3"/>
      <c r="IGS119" s="3"/>
      <c r="IGT119" s="3"/>
      <c r="IGU119" s="3"/>
      <c r="IGV119" s="3"/>
      <c r="IGW119" s="3"/>
      <c r="IGX119" s="3"/>
      <c r="IGY119" s="3"/>
      <c r="IGZ119" s="3"/>
      <c r="IHA119" s="3"/>
      <c r="IHB119" s="3"/>
      <c r="IHC119" s="3"/>
      <c r="IHD119" s="3"/>
      <c r="IHE119" s="3"/>
      <c r="IHF119" s="3"/>
      <c r="IHG119" s="3"/>
      <c r="IHH119" s="3"/>
      <c r="IHI119" s="3"/>
      <c r="IHJ119" s="3"/>
      <c r="IHK119" s="3"/>
      <c r="IHL119" s="3"/>
      <c r="IHM119" s="3"/>
      <c r="IHN119" s="3"/>
      <c r="IHO119" s="3"/>
      <c r="IHP119" s="3"/>
      <c r="IHQ119" s="3"/>
      <c r="IHR119" s="3"/>
      <c r="IHS119" s="3"/>
      <c r="IHT119" s="3"/>
      <c r="IHU119" s="3"/>
      <c r="IHV119" s="3"/>
      <c r="IHW119" s="3"/>
      <c r="IHX119" s="3"/>
      <c r="IHY119" s="3"/>
      <c r="IHZ119" s="3"/>
      <c r="IIA119" s="3"/>
      <c r="IIB119" s="3"/>
      <c r="IIC119" s="3"/>
      <c r="IID119" s="3"/>
      <c r="IIE119" s="3"/>
      <c r="IIF119" s="3"/>
      <c r="IIG119" s="3"/>
      <c r="IIH119" s="3"/>
      <c r="III119" s="3"/>
      <c r="IIJ119" s="3"/>
      <c r="IIK119" s="3"/>
      <c r="IIL119" s="3"/>
      <c r="IIM119" s="3"/>
      <c r="IIN119" s="3"/>
      <c r="IIO119" s="3"/>
      <c r="IIP119" s="3"/>
      <c r="IIQ119" s="3"/>
      <c r="IIR119" s="3"/>
      <c r="IIS119" s="3"/>
      <c r="IIT119" s="3"/>
      <c r="IIU119" s="3"/>
      <c r="IIV119" s="3"/>
      <c r="IIW119" s="3"/>
      <c r="IIX119" s="3"/>
      <c r="IIY119" s="3"/>
      <c r="IIZ119" s="3"/>
      <c r="IJA119" s="3"/>
      <c r="IJB119" s="3"/>
      <c r="IJC119" s="3"/>
      <c r="IJD119" s="3"/>
      <c r="IJE119" s="3"/>
      <c r="IJF119" s="3"/>
      <c r="IJG119" s="3"/>
      <c r="IJH119" s="3"/>
      <c r="IJI119" s="3"/>
      <c r="IJJ119" s="3"/>
      <c r="IJK119" s="3"/>
      <c r="IJL119" s="3"/>
      <c r="IJM119" s="3"/>
      <c r="IJN119" s="3"/>
      <c r="IJO119" s="3"/>
      <c r="IJP119" s="3"/>
      <c r="IJQ119" s="3"/>
      <c r="IJR119" s="3"/>
      <c r="IJS119" s="3"/>
      <c r="IJT119" s="3"/>
      <c r="IJU119" s="3"/>
      <c r="IJV119" s="3"/>
      <c r="IJW119" s="3"/>
      <c r="IJX119" s="3"/>
      <c r="IJY119" s="3"/>
      <c r="IJZ119" s="3"/>
      <c r="IKA119" s="3"/>
      <c r="IKB119" s="3"/>
      <c r="IKC119" s="3"/>
      <c r="IKD119" s="3"/>
      <c r="IKE119" s="3"/>
      <c r="IKF119" s="3"/>
      <c r="IKG119" s="3"/>
      <c r="IKH119" s="3"/>
      <c r="IKI119" s="3"/>
      <c r="IKJ119" s="3"/>
      <c r="IKK119" s="3"/>
      <c r="IKL119" s="3"/>
      <c r="IKM119" s="3"/>
      <c r="IKN119" s="3"/>
      <c r="IKO119" s="3"/>
      <c r="IKP119" s="3"/>
      <c r="IKQ119" s="3"/>
      <c r="IKR119" s="3"/>
      <c r="IKS119" s="3"/>
      <c r="IKT119" s="3"/>
      <c r="IKU119" s="3"/>
      <c r="IKV119" s="3"/>
      <c r="IKW119" s="3"/>
      <c r="IKX119" s="3"/>
      <c r="IKY119" s="3"/>
      <c r="IKZ119" s="3"/>
      <c r="ILA119" s="3"/>
      <c r="ILB119" s="3"/>
      <c r="ILC119" s="3"/>
      <c r="ILD119" s="3"/>
      <c r="ILE119" s="3"/>
      <c r="ILF119" s="3"/>
      <c r="ILG119" s="3"/>
      <c r="ILH119" s="3"/>
      <c r="ILI119" s="3"/>
      <c r="ILJ119" s="3"/>
      <c r="ILK119" s="3"/>
      <c r="ILL119" s="3"/>
      <c r="ILM119" s="3"/>
      <c r="ILN119" s="3"/>
      <c r="ILO119" s="3"/>
      <c r="ILP119" s="3"/>
      <c r="ILQ119" s="3"/>
      <c r="ILR119" s="3"/>
      <c r="ILS119" s="3"/>
      <c r="ILT119" s="3"/>
      <c r="ILU119" s="3"/>
      <c r="ILV119" s="3"/>
      <c r="ILW119" s="3"/>
      <c r="ILX119" s="3"/>
      <c r="ILY119" s="3"/>
      <c r="ILZ119" s="3"/>
      <c r="IMA119" s="3"/>
      <c r="IMB119" s="3"/>
      <c r="IMC119" s="3"/>
      <c r="IMD119" s="3"/>
      <c r="IME119" s="3"/>
      <c r="IMF119" s="3"/>
      <c r="IMG119" s="3"/>
      <c r="IMH119" s="3"/>
      <c r="IMI119" s="3"/>
      <c r="IMJ119" s="3"/>
      <c r="IMK119" s="3"/>
      <c r="IML119" s="3"/>
      <c r="IMM119" s="3"/>
      <c r="IMN119" s="3"/>
      <c r="IMO119" s="3"/>
      <c r="IMP119" s="3"/>
      <c r="IMQ119" s="3"/>
      <c r="IMR119" s="3"/>
      <c r="IMS119" s="3"/>
      <c r="IMT119" s="3"/>
      <c r="IMU119" s="3"/>
      <c r="IMV119" s="3"/>
      <c r="IMW119" s="3"/>
      <c r="IMX119" s="3"/>
      <c r="IMY119" s="3"/>
      <c r="IMZ119" s="3"/>
      <c r="INA119" s="3"/>
      <c r="INB119" s="3"/>
      <c r="INC119" s="3"/>
      <c r="IND119" s="3"/>
      <c r="INE119" s="3"/>
      <c r="INF119" s="3"/>
      <c r="ING119" s="3"/>
      <c r="INH119" s="3"/>
      <c r="INI119" s="3"/>
      <c r="INJ119" s="3"/>
      <c r="INK119" s="3"/>
      <c r="INL119" s="3"/>
      <c r="INM119" s="3"/>
      <c r="INN119" s="3"/>
      <c r="INO119" s="3"/>
      <c r="INP119" s="3"/>
      <c r="INQ119" s="3"/>
      <c r="INR119" s="3"/>
      <c r="INS119" s="3"/>
      <c r="INT119" s="3"/>
      <c r="INU119" s="3"/>
      <c r="INV119" s="3"/>
      <c r="INW119" s="3"/>
      <c r="INX119" s="3"/>
      <c r="INY119" s="3"/>
      <c r="INZ119" s="3"/>
      <c r="IOA119" s="3"/>
      <c r="IOB119" s="3"/>
      <c r="IOC119" s="3"/>
      <c r="IOD119" s="3"/>
      <c r="IOE119" s="3"/>
      <c r="IOF119" s="3"/>
      <c r="IOG119" s="3"/>
      <c r="IOH119" s="3"/>
      <c r="IOI119" s="3"/>
      <c r="IOJ119" s="3"/>
      <c r="IOK119" s="3"/>
      <c r="IOL119" s="3"/>
      <c r="IOM119" s="3"/>
      <c r="ION119" s="3"/>
      <c r="IOO119" s="3"/>
      <c r="IOP119" s="3"/>
      <c r="IOQ119" s="3"/>
      <c r="IOR119" s="3"/>
      <c r="IOS119" s="3"/>
      <c r="IOT119" s="3"/>
      <c r="IOU119" s="3"/>
      <c r="IOV119" s="3"/>
      <c r="IOW119" s="3"/>
      <c r="IOX119" s="3"/>
      <c r="IOY119" s="3"/>
      <c r="IOZ119" s="3"/>
      <c r="IPA119" s="3"/>
      <c r="IPB119" s="3"/>
      <c r="IPC119" s="3"/>
      <c r="IPD119" s="3"/>
      <c r="IPE119" s="3"/>
      <c r="IPF119" s="3"/>
      <c r="IPG119" s="3"/>
      <c r="IPH119" s="3"/>
      <c r="IPI119" s="3"/>
      <c r="IPJ119" s="3"/>
      <c r="IPK119" s="3"/>
      <c r="IPL119" s="3"/>
      <c r="IPM119" s="3"/>
      <c r="IPN119" s="3"/>
      <c r="IPO119" s="3"/>
      <c r="IPP119" s="3"/>
      <c r="IPQ119" s="3"/>
      <c r="IPR119" s="3"/>
      <c r="IPS119" s="3"/>
      <c r="IPT119" s="3"/>
      <c r="IPU119" s="3"/>
      <c r="IPV119" s="3"/>
      <c r="IPW119" s="3"/>
      <c r="IPX119" s="3"/>
      <c r="IPY119" s="3"/>
      <c r="IPZ119" s="3"/>
      <c r="IQA119" s="3"/>
      <c r="IQB119" s="3"/>
      <c r="IQC119" s="3"/>
      <c r="IQD119" s="3"/>
      <c r="IQE119" s="3"/>
      <c r="IQF119" s="3"/>
      <c r="IQG119" s="3"/>
      <c r="IQH119" s="3"/>
      <c r="IQI119" s="3"/>
      <c r="IQJ119" s="3"/>
      <c r="IQK119" s="3"/>
      <c r="IQL119" s="3"/>
      <c r="IQM119" s="3"/>
      <c r="IQN119" s="3"/>
      <c r="IQO119" s="3"/>
      <c r="IQP119" s="3"/>
      <c r="IQQ119" s="3"/>
      <c r="IQR119" s="3"/>
      <c r="IQS119" s="3"/>
      <c r="IQT119" s="3"/>
      <c r="IQU119" s="3"/>
      <c r="IQV119" s="3"/>
      <c r="IQW119" s="3"/>
      <c r="IQX119" s="3"/>
      <c r="IQY119" s="3"/>
      <c r="IQZ119" s="3"/>
      <c r="IRA119" s="3"/>
      <c r="IRB119" s="3"/>
      <c r="IRC119" s="3"/>
      <c r="IRD119" s="3"/>
      <c r="IRE119" s="3"/>
      <c r="IRF119" s="3"/>
      <c r="IRG119" s="3"/>
      <c r="IRH119" s="3"/>
      <c r="IRI119" s="3"/>
      <c r="IRJ119" s="3"/>
      <c r="IRK119" s="3"/>
      <c r="IRL119" s="3"/>
      <c r="IRM119" s="3"/>
      <c r="IRN119" s="3"/>
      <c r="IRO119" s="3"/>
      <c r="IRP119" s="3"/>
      <c r="IRQ119" s="3"/>
      <c r="IRR119" s="3"/>
      <c r="IRS119" s="3"/>
      <c r="IRT119" s="3"/>
      <c r="IRU119" s="3"/>
      <c r="IRV119" s="3"/>
      <c r="IRW119" s="3"/>
      <c r="IRX119" s="3"/>
      <c r="IRY119" s="3"/>
      <c r="IRZ119" s="3"/>
      <c r="ISA119" s="3"/>
      <c r="ISB119" s="3"/>
      <c r="ISC119" s="3"/>
      <c r="ISD119" s="3"/>
      <c r="ISE119" s="3"/>
      <c r="ISF119" s="3"/>
      <c r="ISG119" s="3"/>
      <c r="ISH119" s="3"/>
      <c r="ISI119" s="3"/>
      <c r="ISJ119" s="3"/>
      <c r="ISK119" s="3"/>
      <c r="ISL119" s="3"/>
      <c r="ISM119" s="3"/>
      <c r="ISN119" s="3"/>
      <c r="ISO119" s="3"/>
      <c r="ISP119" s="3"/>
      <c r="ISQ119" s="3"/>
      <c r="ISR119" s="3"/>
      <c r="ISS119" s="3"/>
      <c r="IST119" s="3"/>
      <c r="ISU119" s="3"/>
      <c r="ISV119" s="3"/>
      <c r="ISW119" s="3"/>
      <c r="ISX119" s="3"/>
      <c r="ISY119" s="3"/>
      <c r="ISZ119" s="3"/>
      <c r="ITA119" s="3"/>
      <c r="ITB119" s="3"/>
      <c r="ITC119" s="3"/>
      <c r="ITD119" s="3"/>
      <c r="ITE119" s="3"/>
      <c r="ITF119" s="3"/>
      <c r="ITG119" s="3"/>
      <c r="ITH119" s="3"/>
      <c r="ITI119" s="3"/>
      <c r="ITJ119" s="3"/>
      <c r="ITK119" s="3"/>
      <c r="ITL119" s="3"/>
      <c r="ITM119" s="3"/>
      <c r="ITN119" s="3"/>
      <c r="ITO119" s="3"/>
      <c r="ITP119" s="3"/>
      <c r="ITQ119" s="3"/>
      <c r="ITR119" s="3"/>
      <c r="ITS119" s="3"/>
      <c r="ITT119" s="3"/>
      <c r="ITU119" s="3"/>
      <c r="ITV119" s="3"/>
      <c r="ITW119" s="3"/>
      <c r="ITX119" s="3"/>
      <c r="ITY119" s="3"/>
      <c r="ITZ119" s="3"/>
      <c r="IUA119" s="3"/>
      <c r="IUB119" s="3"/>
      <c r="IUC119" s="3"/>
      <c r="IUD119" s="3"/>
      <c r="IUE119" s="3"/>
      <c r="IUF119" s="3"/>
      <c r="IUG119" s="3"/>
      <c r="IUH119" s="3"/>
      <c r="IUI119" s="3"/>
      <c r="IUJ119" s="3"/>
      <c r="IUK119" s="3"/>
      <c r="IUL119" s="3"/>
      <c r="IUM119" s="3"/>
      <c r="IUN119" s="3"/>
      <c r="IUO119" s="3"/>
      <c r="IUP119" s="3"/>
      <c r="IUQ119" s="3"/>
      <c r="IUR119" s="3"/>
      <c r="IUS119" s="3"/>
      <c r="IUT119" s="3"/>
      <c r="IUU119" s="3"/>
      <c r="IUV119" s="3"/>
      <c r="IUW119" s="3"/>
      <c r="IUX119" s="3"/>
      <c r="IUY119" s="3"/>
      <c r="IUZ119" s="3"/>
      <c r="IVA119" s="3"/>
      <c r="IVB119" s="3"/>
      <c r="IVC119" s="3"/>
      <c r="IVD119" s="3"/>
      <c r="IVE119" s="3"/>
      <c r="IVF119" s="3"/>
      <c r="IVG119" s="3"/>
      <c r="IVH119" s="3"/>
      <c r="IVI119" s="3"/>
      <c r="IVJ119" s="3"/>
      <c r="IVK119" s="3"/>
      <c r="IVL119" s="3"/>
      <c r="IVM119" s="3"/>
      <c r="IVN119" s="3"/>
      <c r="IVO119" s="3"/>
      <c r="IVP119" s="3"/>
      <c r="IVQ119" s="3"/>
      <c r="IVR119" s="3"/>
      <c r="IVS119" s="3"/>
      <c r="IVT119" s="3"/>
      <c r="IVU119" s="3"/>
      <c r="IVV119" s="3"/>
      <c r="IVW119" s="3"/>
      <c r="IVX119" s="3"/>
      <c r="IVY119" s="3"/>
      <c r="IVZ119" s="3"/>
      <c r="IWA119" s="3"/>
      <c r="IWB119" s="3"/>
      <c r="IWC119" s="3"/>
      <c r="IWD119" s="3"/>
      <c r="IWE119" s="3"/>
      <c r="IWF119" s="3"/>
      <c r="IWG119" s="3"/>
      <c r="IWH119" s="3"/>
      <c r="IWI119" s="3"/>
      <c r="IWJ119" s="3"/>
      <c r="IWK119" s="3"/>
      <c r="IWL119" s="3"/>
      <c r="IWM119" s="3"/>
      <c r="IWN119" s="3"/>
      <c r="IWO119" s="3"/>
      <c r="IWP119" s="3"/>
      <c r="IWQ119" s="3"/>
      <c r="IWR119" s="3"/>
      <c r="IWS119" s="3"/>
      <c r="IWT119" s="3"/>
      <c r="IWU119" s="3"/>
      <c r="IWV119" s="3"/>
      <c r="IWW119" s="3"/>
      <c r="IWX119" s="3"/>
      <c r="IWY119" s="3"/>
      <c r="IWZ119" s="3"/>
      <c r="IXA119" s="3"/>
      <c r="IXB119" s="3"/>
      <c r="IXC119" s="3"/>
      <c r="IXD119" s="3"/>
      <c r="IXE119" s="3"/>
      <c r="IXF119" s="3"/>
      <c r="IXG119" s="3"/>
      <c r="IXH119" s="3"/>
      <c r="IXI119" s="3"/>
      <c r="IXJ119" s="3"/>
      <c r="IXK119" s="3"/>
      <c r="IXL119" s="3"/>
      <c r="IXM119" s="3"/>
      <c r="IXN119" s="3"/>
      <c r="IXO119" s="3"/>
      <c r="IXP119" s="3"/>
      <c r="IXQ119" s="3"/>
      <c r="IXR119" s="3"/>
      <c r="IXS119" s="3"/>
      <c r="IXT119" s="3"/>
      <c r="IXU119" s="3"/>
      <c r="IXV119" s="3"/>
      <c r="IXW119" s="3"/>
      <c r="IXX119" s="3"/>
      <c r="IXY119" s="3"/>
      <c r="IXZ119" s="3"/>
      <c r="IYA119" s="3"/>
      <c r="IYB119" s="3"/>
      <c r="IYC119" s="3"/>
      <c r="IYD119" s="3"/>
      <c r="IYE119" s="3"/>
      <c r="IYF119" s="3"/>
      <c r="IYG119" s="3"/>
      <c r="IYH119" s="3"/>
      <c r="IYI119" s="3"/>
      <c r="IYJ119" s="3"/>
      <c r="IYK119" s="3"/>
      <c r="IYL119" s="3"/>
      <c r="IYM119" s="3"/>
      <c r="IYN119" s="3"/>
      <c r="IYO119" s="3"/>
      <c r="IYP119" s="3"/>
      <c r="IYQ119" s="3"/>
      <c r="IYR119" s="3"/>
      <c r="IYS119" s="3"/>
      <c r="IYT119" s="3"/>
      <c r="IYU119" s="3"/>
      <c r="IYV119" s="3"/>
      <c r="IYW119" s="3"/>
      <c r="IYX119" s="3"/>
      <c r="IYY119" s="3"/>
      <c r="IYZ119" s="3"/>
      <c r="IZA119" s="3"/>
      <c r="IZB119" s="3"/>
      <c r="IZC119" s="3"/>
      <c r="IZD119" s="3"/>
      <c r="IZE119" s="3"/>
      <c r="IZF119" s="3"/>
      <c r="IZG119" s="3"/>
      <c r="IZH119" s="3"/>
      <c r="IZI119" s="3"/>
      <c r="IZJ119" s="3"/>
      <c r="IZK119" s="3"/>
      <c r="IZL119" s="3"/>
      <c r="IZM119" s="3"/>
      <c r="IZN119" s="3"/>
      <c r="IZO119" s="3"/>
      <c r="IZP119" s="3"/>
      <c r="IZQ119" s="3"/>
      <c r="IZR119" s="3"/>
      <c r="IZS119" s="3"/>
      <c r="IZT119" s="3"/>
      <c r="IZU119" s="3"/>
      <c r="IZV119" s="3"/>
      <c r="IZW119" s="3"/>
      <c r="IZX119" s="3"/>
      <c r="IZY119" s="3"/>
      <c r="IZZ119" s="3"/>
      <c r="JAA119" s="3"/>
      <c r="JAB119" s="3"/>
      <c r="JAC119" s="3"/>
      <c r="JAD119" s="3"/>
      <c r="JAE119" s="3"/>
      <c r="JAF119" s="3"/>
      <c r="JAG119" s="3"/>
      <c r="JAH119" s="3"/>
      <c r="JAI119" s="3"/>
      <c r="JAJ119" s="3"/>
      <c r="JAK119" s="3"/>
      <c r="JAL119" s="3"/>
      <c r="JAM119" s="3"/>
      <c r="JAN119" s="3"/>
      <c r="JAO119" s="3"/>
      <c r="JAP119" s="3"/>
      <c r="JAQ119" s="3"/>
      <c r="JAR119" s="3"/>
      <c r="JAS119" s="3"/>
      <c r="JAT119" s="3"/>
      <c r="JAU119" s="3"/>
      <c r="JAV119" s="3"/>
      <c r="JAW119" s="3"/>
      <c r="JAX119" s="3"/>
      <c r="JAY119" s="3"/>
      <c r="JAZ119" s="3"/>
      <c r="JBA119" s="3"/>
      <c r="JBB119" s="3"/>
      <c r="JBC119" s="3"/>
      <c r="JBD119" s="3"/>
      <c r="JBE119" s="3"/>
      <c r="JBF119" s="3"/>
      <c r="JBG119" s="3"/>
      <c r="JBH119" s="3"/>
      <c r="JBI119" s="3"/>
      <c r="JBJ119" s="3"/>
      <c r="JBK119" s="3"/>
      <c r="JBL119" s="3"/>
      <c r="JBM119" s="3"/>
      <c r="JBN119" s="3"/>
      <c r="JBO119" s="3"/>
      <c r="JBP119" s="3"/>
      <c r="JBQ119" s="3"/>
      <c r="JBR119" s="3"/>
      <c r="JBS119" s="3"/>
      <c r="JBT119" s="3"/>
      <c r="JBU119" s="3"/>
      <c r="JBV119" s="3"/>
      <c r="JBW119" s="3"/>
      <c r="JBX119" s="3"/>
      <c r="JBY119" s="3"/>
      <c r="JBZ119" s="3"/>
      <c r="JCA119" s="3"/>
      <c r="JCB119" s="3"/>
      <c r="JCC119" s="3"/>
      <c r="JCD119" s="3"/>
      <c r="JCE119" s="3"/>
      <c r="JCF119" s="3"/>
      <c r="JCG119" s="3"/>
      <c r="JCH119" s="3"/>
      <c r="JCI119" s="3"/>
      <c r="JCJ119" s="3"/>
      <c r="JCK119" s="3"/>
      <c r="JCL119" s="3"/>
      <c r="JCM119" s="3"/>
      <c r="JCN119" s="3"/>
      <c r="JCO119" s="3"/>
      <c r="JCP119" s="3"/>
      <c r="JCQ119" s="3"/>
      <c r="JCR119" s="3"/>
      <c r="JCS119" s="3"/>
      <c r="JCT119" s="3"/>
      <c r="JCU119" s="3"/>
      <c r="JCV119" s="3"/>
      <c r="JCW119" s="3"/>
      <c r="JCX119" s="3"/>
      <c r="JCY119" s="3"/>
      <c r="JCZ119" s="3"/>
      <c r="JDA119" s="3"/>
      <c r="JDB119" s="3"/>
      <c r="JDC119" s="3"/>
      <c r="JDD119" s="3"/>
      <c r="JDE119" s="3"/>
      <c r="JDF119" s="3"/>
      <c r="JDG119" s="3"/>
      <c r="JDH119" s="3"/>
      <c r="JDI119" s="3"/>
      <c r="JDJ119" s="3"/>
      <c r="JDK119" s="3"/>
      <c r="JDL119" s="3"/>
      <c r="JDM119" s="3"/>
      <c r="JDN119" s="3"/>
      <c r="JDO119" s="3"/>
      <c r="JDP119" s="3"/>
      <c r="JDQ119" s="3"/>
      <c r="JDR119" s="3"/>
      <c r="JDS119" s="3"/>
      <c r="JDT119" s="3"/>
      <c r="JDU119" s="3"/>
      <c r="JDV119" s="3"/>
      <c r="JDW119" s="3"/>
      <c r="JDX119" s="3"/>
      <c r="JDY119" s="3"/>
      <c r="JDZ119" s="3"/>
      <c r="JEA119" s="3"/>
      <c r="JEB119" s="3"/>
      <c r="JEC119" s="3"/>
      <c r="JED119" s="3"/>
      <c r="JEE119" s="3"/>
      <c r="JEF119" s="3"/>
      <c r="JEG119" s="3"/>
      <c r="JEH119" s="3"/>
      <c r="JEI119" s="3"/>
      <c r="JEJ119" s="3"/>
      <c r="JEK119" s="3"/>
      <c r="JEL119" s="3"/>
      <c r="JEM119" s="3"/>
      <c r="JEN119" s="3"/>
      <c r="JEO119" s="3"/>
      <c r="JEP119" s="3"/>
      <c r="JEQ119" s="3"/>
      <c r="JER119" s="3"/>
      <c r="JES119" s="3"/>
      <c r="JET119" s="3"/>
      <c r="JEU119" s="3"/>
      <c r="JEV119" s="3"/>
      <c r="JEW119" s="3"/>
      <c r="JEX119" s="3"/>
      <c r="JEY119" s="3"/>
      <c r="JEZ119" s="3"/>
      <c r="JFA119" s="3"/>
      <c r="JFB119" s="3"/>
      <c r="JFC119" s="3"/>
      <c r="JFD119" s="3"/>
      <c r="JFE119" s="3"/>
      <c r="JFF119" s="3"/>
      <c r="JFG119" s="3"/>
      <c r="JFH119" s="3"/>
      <c r="JFI119" s="3"/>
      <c r="JFJ119" s="3"/>
      <c r="JFK119" s="3"/>
      <c r="JFL119" s="3"/>
      <c r="JFM119" s="3"/>
      <c r="JFN119" s="3"/>
      <c r="JFO119" s="3"/>
      <c r="JFP119" s="3"/>
      <c r="JFQ119" s="3"/>
      <c r="JFR119" s="3"/>
      <c r="JFS119" s="3"/>
      <c r="JFT119" s="3"/>
      <c r="JFU119" s="3"/>
      <c r="JFV119" s="3"/>
      <c r="JFW119" s="3"/>
      <c r="JFX119" s="3"/>
      <c r="JFY119" s="3"/>
      <c r="JFZ119" s="3"/>
      <c r="JGA119" s="3"/>
      <c r="JGB119" s="3"/>
      <c r="JGC119" s="3"/>
      <c r="JGD119" s="3"/>
      <c r="JGE119" s="3"/>
      <c r="JGF119" s="3"/>
      <c r="JGG119" s="3"/>
      <c r="JGH119" s="3"/>
      <c r="JGI119" s="3"/>
      <c r="JGJ119" s="3"/>
      <c r="JGK119" s="3"/>
      <c r="JGL119" s="3"/>
      <c r="JGM119" s="3"/>
      <c r="JGN119" s="3"/>
      <c r="JGO119" s="3"/>
      <c r="JGP119" s="3"/>
      <c r="JGQ119" s="3"/>
      <c r="JGR119" s="3"/>
      <c r="JGS119" s="3"/>
      <c r="JGT119" s="3"/>
      <c r="JGU119" s="3"/>
      <c r="JGV119" s="3"/>
      <c r="JGW119" s="3"/>
      <c r="JGX119" s="3"/>
      <c r="JGY119" s="3"/>
      <c r="JGZ119" s="3"/>
      <c r="JHA119" s="3"/>
      <c r="JHB119" s="3"/>
      <c r="JHC119" s="3"/>
      <c r="JHD119" s="3"/>
      <c r="JHE119" s="3"/>
      <c r="JHF119" s="3"/>
      <c r="JHG119" s="3"/>
      <c r="JHH119" s="3"/>
      <c r="JHI119" s="3"/>
      <c r="JHJ119" s="3"/>
      <c r="JHK119" s="3"/>
      <c r="JHL119" s="3"/>
      <c r="JHM119" s="3"/>
      <c r="JHN119" s="3"/>
      <c r="JHO119" s="3"/>
      <c r="JHP119" s="3"/>
      <c r="JHQ119" s="3"/>
      <c r="JHR119" s="3"/>
      <c r="JHS119" s="3"/>
      <c r="JHT119" s="3"/>
      <c r="JHU119" s="3"/>
      <c r="JHV119" s="3"/>
      <c r="JHW119" s="3"/>
      <c r="JHX119" s="3"/>
      <c r="JHY119" s="3"/>
      <c r="JHZ119" s="3"/>
      <c r="JIA119" s="3"/>
      <c r="JIB119" s="3"/>
      <c r="JIC119" s="3"/>
      <c r="JID119" s="3"/>
      <c r="JIE119" s="3"/>
      <c r="JIF119" s="3"/>
      <c r="JIG119" s="3"/>
      <c r="JIH119" s="3"/>
      <c r="JII119" s="3"/>
      <c r="JIJ119" s="3"/>
      <c r="JIK119" s="3"/>
      <c r="JIL119" s="3"/>
      <c r="JIM119" s="3"/>
      <c r="JIN119" s="3"/>
      <c r="JIO119" s="3"/>
      <c r="JIP119" s="3"/>
      <c r="JIQ119" s="3"/>
      <c r="JIR119" s="3"/>
      <c r="JIS119" s="3"/>
      <c r="JIT119" s="3"/>
      <c r="JIU119" s="3"/>
      <c r="JIV119" s="3"/>
      <c r="JIW119" s="3"/>
      <c r="JIX119" s="3"/>
      <c r="JIY119" s="3"/>
      <c r="JIZ119" s="3"/>
      <c r="JJA119" s="3"/>
      <c r="JJB119" s="3"/>
      <c r="JJC119" s="3"/>
      <c r="JJD119" s="3"/>
      <c r="JJE119" s="3"/>
      <c r="JJF119" s="3"/>
      <c r="JJG119" s="3"/>
      <c r="JJH119" s="3"/>
      <c r="JJI119" s="3"/>
      <c r="JJJ119" s="3"/>
      <c r="JJK119" s="3"/>
      <c r="JJL119" s="3"/>
      <c r="JJM119" s="3"/>
      <c r="JJN119" s="3"/>
      <c r="JJO119" s="3"/>
      <c r="JJP119" s="3"/>
      <c r="JJQ119" s="3"/>
      <c r="JJR119" s="3"/>
      <c r="JJS119" s="3"/>
      <c r="JJT119" s="3"/>
      <c r="JJU119" s="3"/>
      <c r="JJV119" s="3"/>
      <c r="JJW119" s="3"/>
      <c r="JJX119" s="3"/>
      <c r="JJY119" s="3"/>
      <c r="JJZ119" s="3"/>
      <c r="JKA119" s="3"/>
      <c r="JKB119" s="3"/>
      <c r="JKC119" s="3"/>
      <c r="JKD119" s="3"/>
      <c r="JKE119" s="3"/>
      <c r="JKF119" s="3"/>
      <c r="JKG119" s="3"/>
      <c r="JKH119" s="3"/>
      <c r="JKI119" s="3"/>
      <c r="JKJ119" s="3"/>
      <c r="JKK119" s="3"/>
      <c r="JKL119" s="3"/>
      <c r="JKM119" s="3"/>
      <c r="JKN119" s="3"/>
      <c r="JKO119" s="3"/>
      <c r="JKP119" s="3"/>
      <c r="JKQ119" s="3"/>
      <c r="JKR119" s="3"/>
      <c r="JKS119" s="3"/>
      <c r="JKT119" s="3"/>
      <c r="JKU119" s="3"/>
      <c r="JKV119" s="3"/>
      <c r="JKW119" s="3"/>
      <c r="JKX119" s="3"/>
      <c r="JKY119" s="3"/>
      <c r="JKZ119" s="3"/>
      <c r="JLA119" s="3"/>
      <c r="JLB119" s="3"/>
      <c r="JLC119" s="3"/>
      <c r="JLD119" s="3"/>
      <c r="JLE119" s="3"/>
      <c r="JLF119" s="3"/>
      <c r="JLG119" s="3"/>
      <c r="JLH119" s="3"/>
      <c r="JLI119" s="3"/>
      <c r="JLJ119" s="3"/>
      <c r="JLK119" s="3"/>
      <c r="JLL119" s="3"/>
      <c r="JLM119" s="3"/>
      <c r="JLN119" s="3"/>
      <c r="JLO119" s="3"/>
      <c r="JLP119" s="3"/>
      <c r="JLQ119" s="3"/>
      <c r="JLR119" s="3"/>
      <c r="JLS119" s="3"/>
      <c r="JLT119" s="3"/>
      <c r="JLU119" s="3"/>
      <c r="JLV119" s="3"/>
      <c r="JLW119" s="3"/>
      <c r="JLX119" s="3"/>
      <c r="JLY119" s="3"/>
      <c r="JLZ119" s="3"/>
      <c r="JMA119" s="3"/>
      <c r="JMB119" s="3"/>
      <c r="JMC119" s="3"/>
      <c r="JMD119" s="3"/>
      <c r="JME119" s="3"/>
      <c r="JMF119" s="3"/>
      <c r="JMG119" s="3"/>
      <c r="JMH119" s="3"/>
      <c r="JMI119" s="3"/>
      <c r="JMJ119" s="3"/>
      <c r="JMK119" s="3"/>
      <c r="JML119" s="3"/>
      <c r="JMM119" s="3"/>
      <c r="JMN119" s="3"/>
      <c r="JMO119" s="3"/>
      <c r="JMP119" s="3"/>
      <c r="JMQ119" s="3"/>
      <c r="JMR119" s="3"/>
      <c r="JMS119" s="3"/>
      <c r="JMT119" s="3"/>
      <c r="JMU119" s="3"/>
      <c r="JMV119" s="3"/>
      <c r="JMW119" s="3"/>
      <c r="JMX119" s="3"/>
      <c r="JMY119" s="3"/>
      <c r="JMZ119" s="3"/>
      <c r="JNA119" s="3"/>
      <c r="JNB119" s="3"/>
      <c r="JNC119" s="3"/>
      <c r="JND119" s="3"/>
      <c r="JNE119" s="3"/>
      <c r="JNF119" s="3"/>
      <c r="JNG119" s="3"/>
      <c r="JNH119" s="3"/>
      <c r="JNI119" s="3"/>
      <c r="JNJ119" s="3"/>
      <c r="JNK119" s="3"/>
      <c r="JNL119" s="3"/>
      <c r="JNM119" s="3"/>
      <c r="JNN119" s="3"/>
      <c r="JNO119" s="3"/>
      <c r="JNP119" s="3"/>
      <c r="JNQ119" s="3"/>
      <c r="JNR119" s="3"/>
      <c r="JNS119" s="3"/>
      <c r="JNT119" s="3"/>
      <c r="JNU119" s="3"/>
      <c r="JNV119" s="3"/>
      <c r="JNW119" s="3"/>
      <c r="JNX119" s="3"/>
      <c r="JNY119" s="3"/>
      <c r="JNZ119" s="3"/>
      <c r="JOA119" s="3"/>
      <c r="JOB119" s="3"/>
      <c r="JOC119" s="3"/>
      <c r="JOD119" s="3"/>
      <c r="JOE119" s="3"/>
      <c r="JOF119" s="3"/>
      <c r="JOG119" s="3"/>
      <c r="JOH119" s="3"/>
      <c r="JOI119" s="3"/>
      <c r="JOJ119" s="3"/>
      <c r="JOK119" s="3"/>
      <c r="JOL119" s="3"/>
      <c r="JOM119" s="3"/>
      <c r="JON119" s="3"/>
      <c r="JOO119" s="3"/>
      <c r="JOP119" s="3"/>
      <c r="JOQ119" s="3"/>
      <c r="JOR119" s="3"/>
      <c r="JOS119" s="3"/>
      <c r="JOT119" s="3"/>
      <c r="JOU119" s="3"/>
      <c r="JOV119" s="3"/>
      <c r="JOW119" s="3"/>
      <c r="JOX119" s="3"/>
      <c r="JOY119" s="3"/>
      <c r="JOZ119" s="3"/>
      <c r="JPA119" s="3"/>
      <c r="JPB119" s="3"/>
      <c r="JPC119" s="3"/>
      <c r="JPD119" s="3"/>
      <c r="JPE119" s="3"/>
      <c r="JPF119" s="3"/>
      <c r="JPG119" s="3"/>
      <c r="JPH119" s="3"/>
      <c r="JPI119" s="3"/>
      <c r="JPJ119" s="3"/>
      <c r="JPK119" s="3"/>
      <c r="JPL119" s="3"/>
      <c r="JPM119" s="3"/>
      <c r="JPN119" s="3"/>
      <c r="JPO119" s="3"/>
      <c r="JPP119" s="3"/>
      <c r="JPQ119" s="3"/>
      <c r="JPR119" s="3"/>
      <c r="JPS119" s="3"/>
      <c r="JPT119" s="3"/>
      <c r="JPU119" s="3"/>
      <c r="JPV119" s="3"/>
      <c r="JPW119" s="3"/>
      <c r="JPX119" s="3"/>
      <c r="JPY119" s="3"/>
      <c r="JPZ119" s="3"/>
      <c r="JQA119" s="3"/>
      <c r="JQB119" s="3"/>
      <c r="JQC119" s="3"/>
      <c r="JQD119" s="3"/>
      <c r="JQE119" s="3"/>
      <c r="JQF119" s="3"/>
      <c r="JQG119" s="3"/>
      <c r="JQH119" s="3"/>
      <c r="JQI119" s="3"/>
      <c r="JQJ119" s="3"/>
      <c r="JQK119" s="3"/>
      <c r="JQL119" s="3"/>
      <c r="JQM119" s="3"/>
      <c r="JQN119" s="3"/>
      <c r="JQO119" s="3"/>
      <c r="JQP119" s="3"/>
      <c r="JQQ119" s="3"/>
      <c r="JQR119" s="3"/>
      <c r="JQS119" s="3"/>
      <c r="JQT119" s="3"/>
      <c r="JQU119" s="3"/>
      <c r="JQV119" s="3"/>
      <c r="JQW119" s="3"/>
      <c r="JQX119" s="3"/>
      <c r="JQY119" s="3"/>
      <c r="JQZ119" s="3"/>
      <c r="JRA119" s="3"/>
      <c r="JRB119" s="3"/>
      <c r="JRC119" s="3"/>
      <c r="JRD119" s="3"/>
      <c r="JRE119" s="3"/>
      <c r="JRF119" s="3"/>
      <c r="JRG119" s="3"/>
      <c r="JRH119" s="3"/>
      <c r="JRI119" s="3"/>
      <c r="JRJ119" s="3"/>
      <c r="JRK119" s="3"/>
      <c r="JRL119" s="3"/>
      <c r="JRM119" s="3"/>
      <c r="JRN119" s="3"/>
      <c r="JRO119" s="3"/>
      <c r="JRP119" s="3"/>
      <c r="JRQ119" s="3"/>
      <c r="JRR119" s="3"/>
      <c r="JRS119" s="3"/>
      <c r="JRT119" s="3"/>
      <c r="JRU119" s="3"/>
      <c r="JRV119" s="3"/>
      <c r="JRW119" s="3"/>
      <c r="JRX119" s="3"/>
      <c r="JRY119" s="3"/>
      <c r="JRZ119" s="3"/>
      <c r="JSA119" s="3"/>
      <c r="JSB119" s="3"/>
      <c r="JSC119" s="3"/>
      <c r="JSD119" s="3"/>
      <c r="JSE119" s="3"/>
      <c r="JSF119" s="3"/>
      <c r="JSG119" s="3"/>
      <c r="JSH119" s="3"/>
      <c r="JSI119" s="3"/>
      <c r="JSJ119" s="3"/>
      <c r="JSK119" s="3"/>
      <c r="JSL119" s="3"/>
      <c r="JSM119" s="3"/>
      <c r="JSN119" s="3"/>
      <c r="JSO119" s="3"/>
      <c r="JSP119" s="3"/>
      <c r="JSQ119" s="3"/>
      <c r="JSR119" s="3"/>
      <c r="JSS119" s="3"/>
      <c r="JST119" s="3"/>
      <c r="JSU119" s="3"/>
      <c r="JSV119" s="3"/>
      <c r="JSW119" s="3"/>
      <c r="JSX119" s="3"/>
      <c r="JSY119" s="3"/>
      <c r="JSZ119" s="3"/>
      <c r="JTA119" s="3"/>
      <c r="JTB119" s="3"/>
      <c r="JTC119" s="3"/>
      <c r="JTD119" s="3"/>
      <c r="JTE119" s="3"/>
      <c r="JTF119" s="3"/>
      <c r="JTG119" s="3"/>
      <c r="JTH119" s="3"/>
      <c r="JTI119" s="3"/>
      <c r="JTJ119" s="3"/>
      <c r="JTK119" s="3"/>
      <c r="JTL119" s="3"/>
      <c r="JTM119" s="3"/>
      <c r="JTN119" s="3"/>
      <c r="JTO119" s="3"/>
      <c r="JTP119" s="3"/>
      <c r="JTQ119" s="3"/>
      <c r="JTR119" s="3"/>
      <c r="JTS119" s="3"/>
      <c r="JTT119" s="3"/>
      <c r="JTU119" s="3"/>
      <c r="JTV119" s="3"/>
      <c r="JTW119" s="3"/>
      <c r="JTX119" s="3"/>
      <c r="JTY119" s="3"/>
      <c r="JTZ119" s="3"/>
      <c r="JUA119" s="3"/>
      <c r="JUB119" s="3"/>
      <c r="JUC119" s="3"/>
      <c r="JUD119" s="3"/>
      <c r="JUE119" s="3"/>
      <c r="JUF119" s="3"/>
      <c r="JUG119" s="3"/>
      <c r="JUH119" s="3"/>
      <c r="JUI119" s="3"/>
      <c r="JUJ119" s="3"/>
      <c r="JUK119" s="3"/>
      <c r="JUL119" s="3"/>
      <c r="JUM119" s="3"/>
      <c r="JUN119" s="3"/>
      <c r="JUO119" s="3"/>
      <c r="JUP119" s="3"/>
      <c r="JUQ119" s="3"/>
      <c r="JUR119" s="3"/>
      <c r="JUS119" s="3"/>
      <c r="JUT119" s="3"/>
      <c r="JUU119" s="3"/>
      <c r="JUV119" s="3"/>
      <c r="JUW119" s="3"/>
      <c r="JUX119" s="3"/>
      <c r="JUY119" s="3"/>
      <c r="JUZ119" s="3"/>
      <c r="JVA119" s="3"/>
      <c r="JVB119" s="3"/>
      <c r="JVC119" s="3"/>
      <c r="JVD119" s="3"/>
      <c r="JVE119" s="3"/>
      <c r="JVF119" s="3"/>
      <c r="JVG119" s="3"/>
      <c r="JVH119" s="3"/>
      <c r="JVI119" s="3"/>
      <c r="JVJ119" s="3"/>
      <c r="JVK119" s="3"/>
      <c r="JVL119" s="3"/>
      <c r="JVM119" s="3"/>
      <c r="JVN119" s="3"/>
      <c r="JVO119" s="3"/>
      <c r="JVP119" s="3"/>
      <c r="JVQ119" s="3"/>
      <c r="JVR119" s="3"/>
      <c r="JVS119" s="3"/>
      <c r="JVT119" s="3"/>
      <c r="JVU119" s="3"/>
      <c r="JVV119" s="3"/>
      <c r="JVW119" s="3"/>
      <c r="JVX119" s="3"/>
      <c r="JVY119" s="3"/>
      <c r="JVZ119" s="3"/>
      <c r="JWA119" s="3"/>
      <c r="JWB119" s="3"/>
      <c r="JWC119" s="3"/>
      <c r="JWD119" s="3"/>
      <c r="JWE119" s="3"/>
      <c r="JWF119" s="3"/>
      <c r="JWG119" s="3"/>
      <c r="JWH119" s="3"/>
      <c r="JWI119" s="3"/>
      <c r="JWJ119" s="3"/>
      <c r="JWK119" s="3"/>
      <c r="JWL119" s="3"/>
      <c r="JWM119" s="3"/>
      <c r="JWN119" s="3"/>
      <c r="JWO119" s="3"/>
      <c r="JWP119" s="3"/>
      <c r="JWQ119" s="3"/>
      <c r="JWR119" s="3"/>
      <c r="JWS119" s="3"/>
      <c r="JWT119" s="3"/>
      <c r="JWU119" s="3"/>
      <c r="JWV119" s="3"/>
      <c r="JWW119" s="3"/>
      <c r="JWX119" s="3"/>
      <c r="JWY119" s="3"/>
      <c r="JWZ119" s="3"/>
      <c r="JXA119" s="3"/>
      <c r="JXB119" s="3"/>
      <c r="JXC119" s="3"/>
      <c r="JXD119" s="3"/>
      <c r="JXE119" s="3"/>
      <c r="JXF119" s="3"/>
      <c r="JXG119" s="3"/>
      <c r="JXH119" s="3"/>
      <c r="JXI119" s="3"/>
      <c r="JXJ119" s="3"/>
      <c r="JXK119" s="3"/>
      <c r="JXL119" s="3"/>
      <c r="JXM119" s="3"/>
      <c r="JXN119" s="3"/>
      <c r="JXO119" s="3"/>
      <c r="JXP119" s="3"/>
      <c r="JXQ119" s="3"/>
      <c r="JXR119" s="3"/>
      <c r="JXS119" s="3"/>
      <c r="JXT119" s="3"/>
      <c r="JXU119" s="3"/>
      <c r="JXV119" s="3"/>
      <c r="JXW119" s="3"/>
      <c r="JXX119" s="3"/>
      <c r="JXY119" s="3"/>
      <c r="JXZ119" s="3"/>
      <c r="JYA119" s="3"/>
      <c r="JYB119" s="3"/>
      <c r="JYC119" s="3"/>
      <c r="JYD119" s="3"/>
      <c r="JYE119" s="3"/>
      <c r="JYF119" s="3"/>
      <c r="JYG119" s="3"/>
      <c r="JYH119" s="3"/>
      <c r="JYI119" s="3"/>
      <c r="JYJ119" s="3"/>
      <c r="JYK119" s="3"/>
      <c r="JYL119" s="3"/>
      <c r="JYM119" s="3"/>
      <c r="JYN119" s="3"/>
      <c r="JYO119" s="3"/>
      <c r="JYP119" s="3"/>
      <c r="JYQ119" s="3"/>
      <c r="JYR119" s="3"/>
      <c r="JYS119" s="3"/>
      <c r="JYT119" s="3"/>
      <c r="JYU119" s="3"/>
      <c r="JYV119" s="3"/>
      <c r="JYW119" s="3"/>
      <c r="JYX119" s="3"/>
      <c r="JYY119" s="3"/>
      <c r="JYZ119" s="3"/>
      <c r="JZA119" s="3"/>
      <c r="JZB119" s="3"/>
      <c r="JZC119" s="3"/>
      <c r="JZD119" s="3"/>
      <c r="JZE119" s="3"/>
      <c r="JZF119" s="3"/>
      <c r="JZG119" s="3"/>
      <c r="JZH119" s="3"/>
      <c r="JZI119" s="3"/>
      <c r="JZJ119" s="3"/>
      <c r="JZK119" s="3"/>
      <c r="JZL119" s="3"/>
      <c r="JZM119" s="3"/>
      <c r="JZN119" s="3"/>
      <c r="JZO119" s="3"/>
      <c r="JZP119" s="3"/>
      <c r="JZQ119" s="3"/>
      <c r="JZR119" s="3"/>
      <c r="JZS119" s="3"/>
      <c r="JZT119" s="3"/>
      <c r="JZU119" s="3"/>
      <c r="JZV119" s="3"/>
      <c r="JZW119" s="3"/>
      <c r="JZX119" s="3"/>
      <c r="JZY119" s="3"/>
      <c r="JZZ119" s="3"/>
      <c r="KAA119" s="3"/>
      <c r="KAB119" s="3"/>
      <c r="KAC119" s="3"/>
      <c r="KAD119" s="3"/>
      <c r="KAE119" s="3"/>
      <c r="KAF119" s="3"/>
      <c r="KAG119" s="3"/>
      <c r="KAH119" s="3"/>
      <c r="KAI119" s="3"/>
      <c r="KAJ119" s="3"/>
      <c r="KAK119" s="3"/>
      <c r="KAL119" s="3"/>
      <c r="KAM119" s="3"/>
      <c r="KAN119" s="3"/>
      <c r="KAO119" s="3"/>
      <c r="KAP119" s="3"/>
      <c r="KAQ119" s="3"/>
      <c r="KAR119" s="3"/>
      <c r="KAS119" s="3"/>
      <c r="KAT119" s="3"/>
      <c r="KAU119" s="3"/>
      <c r="KAV119" s="3"/>
      <c r="KAW119" s="3"/>
      <c r="KAX119" s="3"/>
      <c r="KAY119" s="3"/>
      <c r="KAZ119" s="3"/>
      <c r="KBA119" s="3"/>
      <c r="KBB119" s="3"/>
      <c r="KBC119" s="3"/>
      <c r="KBD119" s="3"/>
      <c r="KBE119" s="3"/>
      <c r="KBF119" s="3"/>
      <c r="KBG119" s="3"/>
      <c r="KBH119" s="3"/>
      <c r="KBI119" s="3"/>
      <c r="KBJ119" s="3"/>
      <c r="KBK119" s="3"/>
      <c r="KBL119" s="3"/>
      <c r="KBM119" s="3"/>
      <c r="KBN119" s="3"/>
      <c r="KBO119" s="3"/>
      <c r="KBP119" s="3"/>
      <c r="KBQ119" s="3"/>
      <c r="KBR119" s="3"/>
      <c r="KBS119" s="3"/>
      <c r="KBT119" s="3"/>
      <c r="KBU119" s="3"/>
      <c r="KBV119" s="3"/>
      <c r="KBW119" s="3"/>
      <c r="KBX119" s="3"/>
      <c r="KBY119" s="3"/>
      <c r="KBZ119" s="3"/>
      <c r="KCA119" s="3"/>
      <c r="KCB119" s="3"/>
      <c r="KCC119" s="3"/>
      <c r="KCD119" s="3"/>
      <c r="KCE119" s="3"/>
      <c r="KCF119" s="3"/>
      <c r="KCG119" s="3"/>
      <c r="KCH119" s="3"/>
      <c r="KCI119" s="3"/>
      <c r="KCJ119" s="3"/>
      <c r="KCK119" s="3"/>
      <c r="KCL119" s="3"/>
      <c r="KCM119" s="3"/>
      <c r="KCN119" s="3"/>
      <c r="KCO119" s="3"/>
      <c r="KCP119" s="3"/>
      <c r="KCQ119" s="3"/>
      <c r="KCR119" s="3"/>
      <c r="KCS119" s="3"/>
      <c r="KCT119" s="3"/>
      <c r="KCU119" s="3"/>
      <c r="KCV119" s="3"/>
      <c r="KCW119" s="3"/>
      <c r="KCX119" s="3"/>
      <c r="KCY119" s="3"/>
      <c r="KCZ119" s="3"/>
      <c r="KDA119" s="3"/>
      <c r="KDB119" s="3"/>
      <c r="KDC119" s="3"/>
      <c r="KDD119" s="3"/>
      <c r="KDE119" s="3"/>
      <c r="KDF119" s="3"/>
      <c r="KDG119" s="3"/>
      <c r="KDH119" s="3"/>
      <c r="KDI119" s="3"/>
      <c r="KDJ119" s="3"/>
      <c r="KDK119" s="3"/>
      <c r="KDL119" s="3"/>
      <c r="KDM119" s="3"/>
      <c r="KDN119" s="3"/>
      <c r="KDO119" s="3"/>
      <c r="KDP119" s="3"/>
      <c r="KDQ119" s="3"/>
      <c r="KDR119" s="3"/>
      <c r="KDS119" s="3"/>
      <c r="KDT119" s="3"/>
      <c r="KDU119" s="3"/>
      <c r="KDV119" s="3"/>
      <c r="KDW119" s="3"/>
      <c r="KDX119" s="3"/>
      <c r="KDY119" s="3"/>
      <c r="KDZ119" s="3"/>
      <c r="KEA119" s="3"/>
      <c r="KEB119" s="3"/>
      <c r="KEC119" s="3"/>
      <c r="KED119" s="3"/>
      <c r="KEE119" s="3"/>
      <c r="KEF119" s="3"/>
      <c r="KEG119" s="3"/>
      <c r="KEH119" s="3"/>
      <c r="KEI119" s="3"/>
      <c r="KEJ119" s="3"/>
      <c r="KEK119" s="3"/>
      <c r="KEL119" s="3"/>
      <c r="KEM119" s="3"/>
      <c r="KEN119" s="3"/>
      <c r="KEO119" s="3"/>
      <c r="KEP119" s="3"/>
      <c r="KEQ119" s="3"/>
      <c r="KER119" s="3"/>
      <c r="KES119" s="3"/>
      <c r="KET119" s="3"/>
      <c r="KEU119" s="3"/>
      <c r="KEV119" s="3"/>
      <c r="KEW119" s="3"/>
      <c r="KEX119" s="3"/>
      <c r="KEY119" s="3"/>
      <c r="KEZ119" s="3"/>
      <c r="KFA119" s="3"/>
      <c r="KFB119" s="3"/>
      <c r="KFC119" s="3"/>
      <c r="KFD119" s="3"/>
      <c r="KFE119" s="3"/>
      <c r="KFF119" s="3"/>
      <c r="KFG119" s="3"/>
      <c r="KFH119" s="3"/>
      <c r="KFI119" s="3"/>
      <c r="KFJ119" s="3"/>
      <c r="KFK119" s="3"/>
      <c r="KFL119" s="3"/>
      <c r="KFM119" s="3"/>
      <c r="KFN119" s="3"/>
      <c r="KFO119" s="3"/>
      <c r="KFP119" s="3"/>
      <c r="KFQ119" s="3"/>
      <c r="KFR119" s="3"/>
      <c r="KFS119" s="3"/>
      <c r="KFT119" s="3"/>
      <c r="KFU119" s="3"/>
      <c r="KFV119" s="3"/>
      <c r="KFW119" s="3"/>
      <c r="KFX119" s="3"/>
      <c r="KFY119" s="3"/>
      <c r="KFZ119" s="3"/>
      <c r="KGA119" s="3"/>
      <c r="KGB119" s="3"/>
      <c r="KGC119" s="3"/>
      <c r="KGD119" s="3"/>
      <c r="KGE119" s="3"/>
      <c r="KGF119" s="3"/>
      <c r="KGG119" s="3"/>
      <c r="KGH119" s="3"/>
      <c r="KGI119" s="3"/>
      <c r="KGJ119" s="3"/>
      <c r="KGK119" s="3"/>
      <c r="KGL119" s="3"/>
      <c r="KGM119" s="3"/>
      <c r="KGN119" s="3"/>
      <c r="KGO119" s="3"/>
      <c r="KGP119" s="3"/>
      <c r="KGQ119" s="3"/>
      <c r="KGR119" s="3"/>
      <c r="KGS119" s="3"/>
      <c r="KGT119" s="3"/>
      <c r="KGU119" s="3"/>
      <c r="KGV119" s="3"/>
      <c r="KGW119" s="3"/>
      <c r="KGX119" s="3"/>
      <c r="KGY119" s="3"/>
      <c r="KGZ119" s="3"/>
      <c r="KHA119" s="3"/>
      <c r="KHB119" s="3"/>
      <c r="KHC119" s="3"/>
      <c r="KHD119" s="3"/>
      <c r="KHE119" s="3"/>
      <c r="KHF119" s="3"/>
      <c r="KHG119" s="3"/>
      <c r="KHH119" s="3"/>
      <c r="KHI119" s="3"/>
      <c r="KHJ119" s="3"/>
      <c r="KHK119" s="3"/>
      <c r="KHL119" s="3"/>
      <c r="KHM119" s="3"/>
      <c r="KHN119" s="3"/>
      <c r="KHO119" s="3"/>
      <c r="KHP119" s="3"/>
      <c r="KHQ119" s="3"/>
      <c r="KHR119" s="3"/>
      <c r="KHS119" s="3"/>
      <c r="KHT119" s="3"/>
      <c r="KHU119" s="3"/>
      <c r="KHV119" s="3"/>
      <c r="KHW119" s="3"/>
      <c r="KHX119" s="3"/>
      <c r="KHY119" s="3"/>
      <c r="KHZ119" s="3"/>
      <c r="KIA119" s="3"/>
      <c r="KIB119" s="3"/>
      <c r="KIC119" s="3"/>
      <c r="KID119" s="3"/>
      <c r="KIE119" s="3"/>
      <c r="KIF119" s="3"/>
      <c r="KIG119" s="3"/>
      <c r="KIH119" s="3"/>
      <c r="KII119" s="3"/>
      <c r="KIJ119" s="3"/>
      <c r="KIK119" s="3"/>
      <c r="KIL119" s="3"/>
      <c r="KIM119" s="3"/>
      <c r="KIN119" s="3"/>
      <c r="KIO119" s="3"/>
      <c r="KIP119" s="3"/>
      <c r="KIQ119" s="3"/>
      <c r="KIR119" s="3"/>
      <c r="KIS119" s="3"/>
      <c r="KIT119" s="3"/>
      <c r="KIU119" s="3"/>
      <c r="KIV119" s="3"/>
      <c r="KIW119" s="3"/>
      <c r="KIX119" s="3"/>
      <c r="KIY119" s="3"/>
      <c r="KIZ119" s="3"/>
      <c r="KJA119" s="3"/>
      <c r="KJB119" s="3"/>
      <c r="KJC119" s="3"/>
      <c r="KJD119" s="3"/>
      <c r="KJE119" s="3"/>
      <c r="KJF119" s="3"/>
      <c r="KJG119" s="3"/>
      <c r="KJH119" s="3"/>
      <c r="KJI119" s="3"/>
      <c r="KJJ119" s="3"/>
      <c r="KJK119" s="3"/>
      <c r="KJL119" s="3"/>
      <c r="KJM119" s="3"/>
      <c r="KJN119" s="3"/>
      <c r="KJO119" s="3"/>
      <c r="KJP119" s="3"/>
      <c r="KJQ119" s="3"/>
      <c r="KJR119" s="3"/>
      <c r="KJS119" s="3"/>
      <c r="KJT119" s="3"/>
      <c r="KJU119" s="3"/>
      <c r="KJV119" s="3"/>
      <c r="KJW119" s="3"/>
      <c r="KJX119" s="3"/>
      <c r="KJY119" s="3"/>
      <c r="KJZ119" s="3"/>
      <c r="KKA119" s="3"/>
      <c r="KKB119" s="3"/>
      <c r="KKC119" s="3"/>
      <c r="KKD119" s="3"/>
      <c r="KKE119" s="3"/>
      <c r="KKF119" s="3"/>
      <c r="KKG119" s="3"/>
      <c r="KKH119" s="3"/>
      <c r="KKI119" s="3"/>
      <c r="KKJ119" s="3"/>
      <c r="KKK119" s="3"/>
      <c r="KKL119" s="3"/>
      <c r="KKM119" s="3"/>
      <c r="KKN119" s="3"/>
      <c r="KKO119" s="3"/>
      <c r="KKP119" s="3"/>
      <c r="KKQ119" s="3"/>
      <c r="KKR119" s="3"/>
      <c r="KKS119" s="3"/>
      <c r="KKT119" s="3"/>
      <c r="KKU119" s="3"/>
      <c r="KKV119" s="3"/>
      <c r="KKW119" s="3"/>
      <c r="KKX119" s="3"/>
      <c r="KKY119" s="3"/>
      <c r="KKZ119" s="3"/>
      <c r="KLA119" s="3"/>
      <c r="KLB119" s="3"/>
      <c r="KLC119" s="3"/>
      <c r="KLD119" s="3"/>
      <c r="KLE119" s="3"/>
      <c r="KLF119" s="3"/>
      <c r="KLG119" s="3"/>
      <c r="KLH119" s="3"/>
      <c r="KLI119" s="3"/>
      <c r="KLJ119" s="3"/>
      <c r="KLK119" s="3"/>
      <c r="KLL119" s="3"/>
      <c r="KLM119" s="3"/>
      <c r="KLN119" s="3"/>
      <c r="KLO119" s="3"/>
      <c r="KLP119" s="3"/>
      <c r="KLQ119" s="3"/>
      <c r="KLR119" s="3"/>
      <c r="KLS119" s="3"/>
      <c r="KLT119" s="3"/>
      <c r="KLU119" s="3"/>
      <c r="KLV119" s="3"/>
      <c r="KLW119" s="3"/>
      <c r="KLX119" s="3"/>
      <c r="KLY119" s="3"/>
      <c r="KLZ119" s="3"/>
      <c r="KMA119" s="3"/>
      <c r="KMB119" s="3"/>
      <c r="KMC119" s="3"/>
      <c r="KMD119" s="3"/>
      <c r="KME119" s="3"/>
      <c r="KMF119" s="3"/>
      <c r="KMG119" s="3"/>
      <c r="KMH119" s="3"/>
      <c r="KMI119" s="3"/>
      <c r="KMJ119" s="3"/>
      <c r="KMK119" s="3"/>
      <c r="KML119" s="3"/>
      <c r="KMM119" s="3"/>
      <c r="KMN119" s="3"/>
      <c r="KMO119" s="3"/>
      <c r="KMP119" s="3"/>
      <c r="KMQ119" s="3"/>
      <c r="KMR119" s="3"/>
      <c r="KMS119" s="3"/>
      <c r="KMT119" s="3"/>
      <c r="KMU119" s="3"/>
      <c r="KMV119" s="3"/>
      <c r="KMW119" s="3"/>
      <c r="KMX119" s="3"/>
      <c r="KMY119" s="3"/>
      <c r="KMZ119" s="3"/>
      <c r="KNA119" s="3"/>
      <c r="KNB119" s="3"/>
      <c r="KNC119" s="3"/>
      <c r="KND119" s="3"/>
      <c r="KNE119" s="3"/>
      <c r="KNF119" s="3"/>
      <c r="KNG119" s="3"/>
      <c r="KNH119" s="3"/>
      <c r="KNI119" s="3"/>
      <c r="KNJ119" s="3"/>
      <c r="KNK119" s="3"/>
      <c r="KNL119" s="3"/>
      <c r="KNM119" s="3"/>
      <c r="KNN119" s="3"/>
      <c r="KNO119" s="3"/>
      <c r="KNP119" s="3"/>
      <c r="KNQ119" s="3"/>
      <c r="KNR119" s="3"/>
      <c r="KNS119" s="3"/>
      <c r="KNT119" s="3"/>
      <c r="KNU119" s="3"/>
      <c r="KNV119" s="3"/>
      <c r="KNW119" s="3"/>
      <c r="KNX119" s="3"/>
      <c r="KNY119" s="3"/>
      <c r="KNZ119" s="3"/>
      <c r="KOA119" s="3"/>
      <c r="KOB119" s="3"/>
      <c r="KOC119" s="3"/>
      <c r="KOD119" s="3"/>
      <c r="KOE119" s="3"/>
      <c r="KOF119" s="3"/>
      <c r="KOG119" s="3"/>
      <c r="KOH119" s="3"/>
      <c r="KOI119" s="3"/>
      <c r="KOJ119" s="3"/>
      <c r="KOK119" s="3"/>
      <c r="KOL119" s="3"/>
      <c r="KOM119" s="3"/>
      <c r="KON119" s="3"/>
      <c r="KOO119" s="3"/>
      <c r="KOP119" s="3"/>
      <c r="KOQ119" s="3"/>
      <c r="KOR119" s="3"/>
      <c r="KOS119" s="3"/>
      <c r="KOT119" s="3"/>
      <c r="KOU119" s="3"/>
      <c r="KOV119" s="3"/>
      <c r="KOW119" s="3"/>
      <c r="KOX119" s="3"/>
      <c r="KOY119" s="3"/>
      <c r="KOZ119" s="3"/>
      <c r="KPA119" s="3"/>
      <c r="KPB119" s="3"/>
      <c r="KPC119" s="3"/>
      <c r="KPD119" s="3"/>
      <c r="KPE119" s="3"/>
      <c r="KPF119" s="3"/>
      <c r="KPG119" s="3"/>
      <c r="KPH119" s="3"/>
      <c r="KPI119" s="3"/>
      <c r="KPJ119" s="3"/>
      <c r="KPK119" s="3"/>
      <c r="KPL119" s="3"/>
      <c r="KPM119" s="3"/>
      <c r="KPN119" s="3"/>
      <c r="KPO119" s="3"/>
      <c r="KPP119" s="3"/>
      <c r="KPQ119" s="3"/>
      <c r="KPR119" s="3"/>
      <c r="KPS119" s="3"/>
      <c r="KPT119" s="3"/>
      <c r="KPU119" s="3"/>
      <c r="KPV119" s="3"/>
      <c r="KPW119" s="3"/>
      <c r="KPX119" s="3"/>
      <c r="KPY119" s="3"/>
      <c r="KPZ119" s="3"/>
      <c r="KQA119" s="3"/>
      <c r="KQB119" s="3"/>
      <c r="KQC119" s="3"/>
      <c r="KQD119" s="3"/>
      <c r="KQE119" s="3"/>
      <c r="KQF119" s="3"/>
      <c r="KQG119" s="3"/>
      <c r="KQH119" s="3"/>
      <c r="KQI119" s="3"/>
      <c r="KQJ119" s="3"/>
      <c r="KQK119" s="3"/>
      <c r="KQL119" s="3"/>
      <c r="KQM119" s="3"/>
      <c r="KQN119" s="3"/>
      <c r="KQO119" s="3"/>
      <c r="KQP119" s="3"/>
      <c r="KQQ119" s="3"/>
      <c r="KQR119" s="3"/>
      <c r="KQS119" s="3"/>
      <c r="KQT119" s="3"/>
      <c r="KQU119" s="3"/>
      <c r="KQV119" s="3"/>
      <c r="KQW119" s="3"/>
      <c r="KQX119" s="3"/>
      <c r="KQY119" s="3"/>
      <c r="KQZ119" s="3"/>
      <c r="KRA119" s="3"/>
      <c r="KRB119" s="3"/>
      <c r="KRC119" s="3"/>
      <c r="KRD119" s="3"/>
      <c r="KRE119" s="3"/>
      <c r="KRF119" s="3"/>
      <c r="KRG119" s="3"/>
      <c r="KRH119" s="3"/>
      <c r="KRI119" s="3"/>
      <c r="KRJ119" s="3"/>
      <c r="KRK119" s="3"/>
      <c r="KRL119" s="3"/>
      <c r="KRM119" s="3"/>
      <c r="KRN119" s="3"/>
      <c r="KRO119" s="3"/>
      <c r="KRP119" s="3"/>
      <c r="KRQ119" s="3"/>
      <c r="KRR119" s="3"/>
      <c r="KRS119" s="3"/>
      <c r="KRT119" s="3"/>
      <c r="KRU119" s="3"/>
      <c r="KRV119" s="3"/>
      <c r="KRW119" s="3"/>
      <c r="KRX119" s="3"/>
      <c r="KRY119" s="3"/>
      <c r="KRZ119" s="3"/>
      <c r="KSA119" s="3"/>
      <c r="KSB119" s="3"/>
      <c r="KSC119" s="3"/>
      <c r="KSD119" s="3"/>
      <c r="KSE119" s="3"/>
      <c r="KSF119" s="3"/>
      <c r="KSG119" s="3"/>
      <c r="KSH119" s="3"/>
      <c r="KSI119" s="3"/>
      <c r="KSJ119" s="3"/>
      <c r="KSK119" s="3"/>
      <c r="KSL119" s="3"/>
      <c r="KSM119" s="3"/>
      <c r="KSN119" s="3"/>
      <c r="KSO119" s="3"/>
      <c r="KSP119" s="3"/>
      <c r="KSQ119" s="3"/>
      <c r="KSR119" s="3"/>
      <c r="KSS119" s="3"/>
      <c r="KST119" s="3"/>
      <c r="KSU119" s="3"/>
      <c r="KSV119" s="3"/>
      <c r="KSW119" s="3"/>
      <c r="KSX119" s="3"/>
      <c r="KSY119" s="3"/>
      <c r="KSZ119" s="3"/>
      <c r="KTA119" s="3"/>
      <c r="KTB119" s="3"/>
      <c r="KTC119" s="3"/>
      <c r="KTD119" s="3"/>
      <c r="KTE119" s="3"/>
      <c r="KTF119" s="3"/>
      <c r="KTG119" s="3"/>
      <c r="KTH119" s="3"/>
      <c r="KTI119" s="3"/>
      <c r="KTJ119" s="3"/>
      <c r="KTK119" s="3"/>
      <c r="KTL119" s="3"/>
      <c r="KTM119" s="3"/>
      <c r="KTN119" s="3"/>
      <c r="KTO119" s="3"/>
      <c r="KTP119" s="3"/>
      <c r="KTQ119" s="3"/>
      <c r="KTR119" s="3"/>
      <c r="KTS119" s="3"/>
      <c r="KTT119" s="3"/>
      <c r="KTU119" s="3"/>
      <c r="KTV119" s="3"/>
      <c r="KTW119" s="3"/>
      <c r="KTX119" s="3"/>
      <c r="KTY119" s="3"/>
      <c r="KTZ119" s="3"/>
      <c r="KUA119" s="3"/>
      <c r="KUB119" s="3"/>
      <c r="KUC119" s="3"/>
      <c r="KUD119" s="3"/>
      <c r="KUE119" s="3"/>
      <c r="KUF119" s="3"/>
      <c r="KUG119" s="3"/>
      <c r="KUH119" s="3"/>
      <c r="KUI119" s="3"/>
      <c r="KUJ119" s="3"/>
      <c r="KUK119" s="3"/>
      <c r="KUL119" s="3"/>
      <c r="KUM119" s="3"/>
      <c r="KUN119" s="3"/>
      <c r="KUO119" s="3"/>
      <c r="KUP119" s="3"/>
      <c r="KUQ119" s="3"/>
      <c r="KUR119" s="3"/>
      <c r="KUS119" s="3"/>
      <c r="KUT119" s="3"/>
      <c r="KUU119" s="3"/>
      <c r="KUV119" s="3"/>
      <c r="KUW119" s="3"/>
      <c r="KUX119" s="3"/>
      <c r="KUY119" s="3"/>
      <c r="KUZ119" s="3"/>
      <c r="KVA119" s="3"/>
      <c r="KVB119" s="3"/>
      <c r="KVC119" s="3"/>
      <c r="KVD119" s="3"/>
      <c r="KVE119" s="3"/>
      <c r="KVF119" s="3"/>
      <c r="KVG119" s="3"/>
      <c r="KVH119" s="3"/>
      <c r="KVI119" s="3"/>
      <c r="KVJ119" s="3"/>
      <c r="KVK119" s="3"/>
      <c r="KVL119" s="3"/>
      <c r="KVM119" s="3"/>
      <c r="KVN119" s="3"/>
      <c r="KVO119" s="3"/>
      <c r="KVP119" s="3"/>
      <c r="KVQ119" s="3"/>
      <c r="KVR119" s="3"/>
      <c r="KVS119" s="3"/>
      <c r="KVT119" s="3"/>
      <c r="KVU119" s="3"/>
      <c r="KVV119" s="3"/>
      <c r="KVW119" s="3"/>
      <c r="KVX119" s="3"/>
      <c r="KVY119" s="3"/>
      <c r="KVZ119" s="3"/>
      <c r="KWA119" s="3"/>
      <c r="KWB119" s="3"/>
      <c r="KWC119" s="3"/>
      <c r="KWD119" s="3"/>
      <c r="KWE119" s="3"/>
      <c r="KWF119" s="3"/>
      <c r="KWG119" s="3"/>
      <c r="KWH119" s="3"/>
      <c r="KWI119" s="3"/>
      <c r="KWJ119" s="3"/>
      <c r="KWK119" s="3"/>
      <c r="KWL119" s="3"/>
      <c r="KWM119" s="3"/>
      <c r="KWN119" s="3"/>
      <c r="KWO119" s="3"/>
      <c r="KWP119" s="3"/>
      <c r="KWQ119" s="3"/>
      <c r="KWR119" s="3"/>
      <c r="KWS119" s="3"/>
      <c r="KWT119" s="3"/>
      <c r="KWU119" s="3"/>
      <c r="KWV119" s="3"/>
      <c r="KWW119" s="3"/>
      <c r="KWX119" s="3"/>
      <c r="KWY119" s="3"/>
      <c r="KWZ119" s="3"/>
      <c r="KXA119" s="3"/>
      <c r="KXB119" s="3"/>
      <c r="KXC119" s="3"/>
      <c r="KXD119" s="3"/>
      <c r="KXE119" s="3"/>
      <c r="KXF119" s="3"/>
      <c r="KXG119" s="3"/>
      <c r="KXH119" s="3"/>
      <c r="KXI119" s="3"/>
      <c r="KXJ119" s="3"/>
      <c r="KXK119" s="3"/>
      <c r="KXL119" s="3"/>
      <c r="KXM119" s="3"/>
      <c r="KXN119" s="3"/>
      <c r="KXO119" s="3"/>
      <c r="KXP119" s="3"/>
      <c r="KXQ119" s="3"/>
      <c r="KXR119" s="3"/>
      <c r="KXS119" s="3"/>
      <c r="KXT119" s="3"/>
      <c r="KXU119" s="3"/>
      <c r="KXV119" s="3"/>
      <c r="KXW119" s="3"/>
      <c r="KXX119" s="3"/>
      <c r="KXY119" s="3"/>
      <c r="KXZ119" s="3"/>
      <c r="KYA119" s="3"/>
      <c r="KYB119" s="3"/>
      <c r="KYC119" s="3"/>
      <c r="KYD119" s="3"/>
      <c r="KYE119" s="3"/>
      <c r="KYF119" s="3"/>
      <c r="KYG119" s="3"/>
      <c r="KYH119" s="3"/>
      <c r="KYI119" s="3"/>
      <c r="KYJ119" s="3"/>
      <c r="KYK119" s="3"/>
      <c r="KYL119" s="3"/>
      <c r="KYM119" s="3"/>
      <c r="KYN119" s="3"/>
      <c r="KYO119" s="3"/>
      <c r="KYP119" s="3"/>
      <c r="KYQ119" s="3"/>
      <c r="KYR119" s="3"/>
      <c r="KYS119" s="3"/>
      <c r="KYT119" s="3"/>
      <c r="KYU119" s="3"/>
      <c r="KYV119" s="3"/>
      <c r="KYW119" s="3"/>
      <c r="KYX119" s="3"/>
      <c r="KYY119" s="3"/>
      <c r="KYZ119" s="3"/>
      <c r="KZA119" s="3"/>
      <c r="KZB119" s="3"/>
      <c r="KZC119" s="3"/>
      <c r="KZD119" s="3"/>
      <c r="KZE119" s="3"/>
      <c r="KZF119" s="3"/>
      <c r="KZG119" s="3"/>
      <c r="KZH119" s="3"/>
      <c r="KZI119" s="3"/>
      <c r="KZJ119" s="3"/>
      <c r="KZK119" s="3"/>
      <c r="KZL119" s="3"/>
      <c r="KZM119" s="3"/>
      <c r="KZN119" s="3"/>
      <c r="KZO119" s="3"/>
      <c r="KZP119" s="3"/>
      <c r="KZQ119" s="3"/>
      <c r="KZR119" s="3"/>
      <c r="KZS119" s="3"/>
      <c r="KZT119" s="3"/>
      <c r="KZU119" s="3"/>
      <c r="KZV119" s="3"/>
      <c r="KZW119" s="3"/>
      <c r="KZX119" s="3"/>
      <c r="KZY119" s="3"/>
      <c r="KZZ119" s="3"/>
      <c r="LAA119" s="3"/>
      <c r="LAB119" s="3"/>
      <c r="LAC119" s="3"/>
      <c r="LAD119" s="3"/>
      <c r="LAE119" s="3"/>
      <c r="LAF119" s="3"/>
      <c r="LAG119" s="3"/>
      <c r="LAH119" s="3"/>
      <c r="LAI119" s="3"/>
      <c r="LAJ119" s="3"/>
      <c r="LAK119" s="3"/>
      <c r="LAL119" s="3"/>
      <c r="LAM119" s="3"/>
      <c r="LAN119" s="3"/>
      <c r="LAO119" s="3"/>
      <c r="LAP119" s="3"/>
      <c r="LAQ119" s="3"/>
      <c r="LAR119" s="3"/>
      <c r="LAS119" s="3"/>
      <c r="LAT119" s="3"/>
      <c r="LAU119" s="3"/>
      <c r="LAV119" s="3"/>
      <c r="LAW119" s="3"/>
      <c r="LAX119" s="3"/>
      <c r="LAY119" s="3"/>
      <c r="LAZ119" s="3"/>
      <c r="LBA119" s="3"/>
      <c r="LBB119" s="3"/>
      <c r="LBC119" s="3"/>
      <c r="LBD119" s="3"/>
      <c r="LBE119" s="3"/>
      <c r="LBF119" s="3"/>
      <c r="LBG119" s="3"/>
      <c r="LBH119" s="3"/>
      <c r="LBI119" s="3"/>
      <c r="LBJ119" s="3"/>
      <c r="LBK119" s="3"/>
      <c r="LBL119" s="3"/>
      <c r="LBM119" s="3"/>
      <c r="LBN119" s="3"/>
      <c r="LBO119" s="3"/>
      <c r="LBP119" s="3"/>
      <c r="LBQ119" s="3"/>
      <c r="LBR119" s="3"/>
      <c r="LBS119" s="3"/>
      <c r="LBT119" s="3"/>
      <c r="LBU119" s="3"/>
      <c r="LBV119" s="3"/>
      <c r="LBW119" s="3"/>
      <c r="LBX119" s="3"/>
      <c r="LBY119" s="3"/>
      <c r="LBZ119" s="3"/>
      <c r="LCA119" s="3"/>
      <c r="LCB119" s="3"/>
      <c r="LCC119" s="3"/>
      <c r="LCD119" s="3"/>
      <c r="LCE119" s="3"/>
      <c r="LCF119" s="3"/>
      <c r="LCG119" s="3"/>
      <c r="LCH119" s="3"/>
      <c r="LCI119" s="3"/>
      <c r="LCJ119" s="3"/>
      <c r="LCK119" s="3"/>
      <c r="LCL119" s="3"/>
      <c r="LCM119" s="3"/>
      <c r="LCN119" s="3"/>
      <c r="LCO119" s="3"/>
      <c r="LCP119" s="3"/>
      <c r="LCQ119" s="3"/>
      <c r="LCR119" s="3"/>
      <c r="LCS119" s="3"/>
      <c r="LCT119" s="3"/>
      <c r="LCU119" s="3"/>
      <c r="LCV119" s="3"/>
      <c r="LCW119" s="3"/>
      <c r="LCX119" s="3"/>
      <c r="LCY119" s="3"/>
      <c r="LCZ119" s="3"/>
      <c r="LDA119" s="3"/>
      <c r="LDB119" s="3"/>
      <c r="LDC119" s="3"/>
      <c r="LDD119" s="3"/>
      <c r="LDE119" s="3"/>
      <c r="LDF119" s="3"/>
      <c r="LDG119" s="3"/>
      <c r="LDH119" s="3"/>
      <c r="LDI119" s="3"/>
      <c r="LDJ119" s="3"/>
      <c r="LDK119" s="3"/>
      <c r="LDL119" s="3"/>
      <c r="LDM119" s="3"/>
      <c r="LDN119" s="3"/>
      <c r="LDO119" s="3"/>
      <c r="LDP119" s="3"/>
      <c r="LDQ119" s="3"/>
      <c r="LDR119" s="3"/>
      <c r="LDS119" s="3"/>
      <c r="LDT119" s="3"/>
      <c r="LDU119" s="3"/>
      <c r="LDV119" s="3"/>
      <c r="LDW119" s="3"/>
      <c r="LDX119" s="3"/>
      <c r="LDY119" s="3"/>
      <c r="LDZ119" s="3"/>
      <c r="LEA119" s="3"/>
      <c r="LEB119" s="3"/>
      <c r="LEC119" s="3"/>
      <c r="LED119" s="3"/>
      <c r="LEE119" s="3"/>
      <c r="LEF119" s="3"/>
      <c r="LEG119" s="3"/>
      <c r="LEH119" s="3"/>
      <c r="LEI119" s="3"/>
      <c r="LEJ119" s="3"/>
      <c r="LEK119" s="3"/>
      <c r="LEL119" s="3"/>
      <c r="LEM119" s="3"/>
      <c r="LEN119" s="3"/>
      <c r="LEO119" s="3"/>
      <c r="LEP119" s="3"/>
      <c r="LEQ119" s="3"/>
      <c r="LER119" s="3"/>
      <c r="LES119" s="3"/>
      <c r="LET119" s="3"/>
      <c r="LEU119" s="3"/>
      <c r="LEV119" s="3"/>
      <c r="LEW119" s="3"/>
      <c r="LEX119" s="3"/>
      <c r="LEY119" s="3"/>
      <c r="LEZ119" s="3"/>
      <c r="LFA119" s="3"/>
      <c r="LFB119" s="3"/>
      <c r="LFC119" s="3"/>
      <c r="LFD119" s="3"/>
      <c r="LFE119" s="3"/>
      <c r="LFF119" s="3"/>
      <c r="LFG119" s="3"/>
      <c r="LFH119" s="3"/>
      <c r="LFI119" s="3"/>
      <c r="LFJ119" s="3"/>
      <c r="LFK119" s="3"/>
      <c r="LFL119" s="3"/>
      <c r="LFM119" s="3"/>
      <c r="LFN119" s="3"/>
      <c r="LFO119" s="3"/>
      <c r="LFP119" s="3"/>
      <c r="LFQ119" s="3"/>
      <c r="LFR119" s="3"/>
      <c r="LFS119" s="3"/>
      <c r="LFT119" s="3"/>
      <c r="LFU119" s="3"/>
      <c r="LFV119" s="3"/>
      <c r="LFW119" s="3"/>
      <c r="LFX119" s="3"/>
      <c r="LFY119" s="3"/>
      <c r="LFZ119" s="3"/>
      <c r="LGA119" s="3"/>
      <c r="LGB119" s="3"/>
      <c r="LGC119" s="3"/>
      <c r="LGD119" s="3"/>
      <c r="LGE119" s="3"/>
      <c r="LGF119" s="3"/>
      <c r="LGG119" s="3"/>
      <c r="LGH119" s="3"/>
      <c r="LGI119" s="3"/>
      <c r="LGJ119" s="3"/>
      <c r="LGK119" s="3"/>
      <c r="LGL119" s="3"/>
      <c r="LGM119" s="3"/>
      <c r="LGN119" s="3"/>
      <c r="LGO119" s="3"/>
      <c r="LGP119" s="3"/>
      <c r="LGQ119" s="3"/>
      <c r="LGR119" s="3"/>
      <c r="LGS119" s="3"/>
      <c r="LGT119" s="3"/>
      <c r="LGU119" s="3"/>
      <c r="LGV119" s="3"/>
      <c r="LGW119" s="3"/>
      <c r="LGX119" s="3"/>
      <c r="LGY119" s="3"/>
      <c r="LGZ119" s="3"/>
      <c r="LHA119" s="3"/>
      <c r="LHB119" s="3"/>
      <c r="LHC119" s="3"/>
      <c r="LHD119" s="3"/>
      <c r="LHE119" s="3"/>
      <c r="LHF119" s="3"/>
      <c r="LHG119" s="3"/>
      <c r="LHH119" s="3"/>
      <c r="LHI119" s="3"/>
      <c r="LHJ119" s="3"/>
      <c r="LHK119" s="3"/>
      <c r="LHL119" s="3"/>
      <c r="LHM119" s="3"/>
      <c r="LHN119" s="3"/>
      <c r="LHO119" s="3"/>
      <c r="LHP119" s="3"/>
      <c r="LHQ119" s="3"/>
      <c r="LHR119" s="3"/>
      <c r="LHS119" s="3"/>
      <c r="LHT119" s="3"/>
      <c r="LHU119" s="3"/>
      <c r="LHV119" s="3"/>
      <c r="LHW119" s="3"/>
      <c r="LHX119" s="3"/>
      <c r="LHY119" s="3"/>
      <c r="LHZ119" s="3"/>
      <c r="LIA119" s="3"/>
      <c r="LIB119" s="3"/>
      <c r="LIC119" s="3"/>
      <c r="LID119" s="3"/>
      <c r="LIE119" s="3"/>
      <c r="LIF119" s="3"/>
      <c r="LIG119" s="3"/>
      <c r="LIH119" s="3"/>
      <c r="LII119" s="3"/>
      <c r="LIJ119" s="3"/>
      <c r="LIK119" s="3"/>
      <c r="LIL119" s="3"/>
      <c r="LIM119" s="3"/>
      <c r="LIN119" s="3"/>
      <c r="LIO119" s="3"/>
      <c r="LIP119" s="3"/>
      <c r="LIQ119" s="3"/>
      <c r="LIR119" s="3"/>
      <c r="LIS119" s="3"/>
      <c r="LIT119" s="3"/>
      <c r="LIU119" s="3"/>
      <c r="LIV119" s="3"/>
      <c r="LIW119" s="3"/>
      <c r="LIX119" s="3"/>
      <c r="LIY119" s="3"/>
      <c r="LIZ119" s="3"/>
      <c r="LJA119" s="3"/>
      <c r="LJB119" s="3"/>
      <c r="LJC119" s="3"/>
      <c r="LJD119" s="3"/>
      <c r="LJE119" s="3"/>
      <c r="LJF119" s="3"/>
      <c r="LJG119" s="3"/>
      <c r="LJH119" s="3"/>
      <c r="LJI119" s="3"/>
      <c r="LJJ119" s="3"/>
      <c r="LJK119" s="3"/>
      <c r="LJL119" s="3"/>
      <c r="LJM119" s="3"/>
      <c r="LJN119" s="3"/>
      <c r="LJO119" s="3"/>
      <c r="LJP119" s="3"/>
      <c r="LJQ119" s="3"/>
      <c r="LJR119" s="3"/>
      <c r="LJS119" s="3"/>
      <c r="LJT119" s="3"/>
      <c r="LJU119" s="3"/>
      <c r="LJV119" s="3"/>
      <c r="LJW119" s="3"/>
      <c r="LJX119" s="3"/>
      <c r="LJY119" s="3"/>
      <c r="LJZ119" s="3"/>
      <c r="LKA119" s="3"/>
      <c r="LKB119" s="3"/>
      <c r="LKC119" s="3"/>
      <c r="LKD119" s="3"/>
      <c r="LKE119" s="3"/>
      <c r="LKF119" s="3"/>
      <c r="LKG119" s="3"/>
      <c r="LKH119" s="3"/>
      <c r="LKI119" s="3"/>
      <c r="LKJ119" s="3"/>
      <c r="LKK119" s="3"/>
      <c r="LKL119" s="3"/>
      <c r="LKM119" s="3"/>
      <c r="LKN119" s="3"/>
      <c r="LKO119" s="3"/>
      <c r="LKP119" s="3"/>
      <c r="LKQ119" s="3"/>
      <c r="LKR119" s="3"/>
      <c r="LKS119" s="3"/>
      <c r="LKT119" s="3"/>
      <c r="LKU119" s="3"/>
      <c r="LKV119" s="3"/>
      <c r="LKW119" s="3"/>
      <c r="LKX119" s="3"/>
      <c r="LKY119" s="3"/>
      <c r="LKZ119" s="3"/>
      <c r="LLA119" s="3"/>
      <c r="LLB119" s="3"/>
      <c r="LLC119" s="3"/>
      <c r="LLD119" s="3"/>
      <c r="LLE119" s="3"/>
      <c r="LLF119" s="3"/>
      <c r="LLG119" s="3"/>
      <c r="LLH119" s="3"/>
      <c r="LLI119" s="3"/>
      <c r="LLJ119" s="3"/>
      <c r="LLK119" s="3"/>
      <c r="LLL119" s="3"/>
      <c r="LLM119" s="3"/>
      <c r="LLN119" s="3"/>
      <c r="LLO119" s="3"/>
      <c r="LLP119" s="3"/>
      <c r="LLQ119" s="3"/>
      <c r="LLR119" s="3"/>
      <c r="LLS119" s="3"/>
      <c r="LLT119" s="3"/>
      <c r="LLU119" s="3"/>
      <c r="LLV119" s="3"/>
      <c r="LLW119" s="3"/>
      <c r="LLX119" s="3"/>
      <c r="LLY119" s="3"/>
      <c r="LLZ119" s="3"/>
      <c r="LMA119" s="3"/>
      <c r="LMB119" s="3"/>
      <c r="LMC119" s="3"/>
      <c r="LMD119" s="3"/>
      <c r="LME119" s="3"/>
      <c r="LMF119" s="3"/>
      <c r="LMG119" s="3"/>
      <c r="LMH119" s="3"/>
      <c r="LMI119" s="3"/>
      <c r="LMJ119" s="3"/>
      <c r="LMK119" s="3"/>
      <c r="LML119" s="3"/>
      <c r="LMM119" s="3"/>
      <c r="LMN119" s="3"/>
      <c r="LMO119" s="3"/>
      <c r="LMP119" s="3"/>
      <c r="LMQ119" s="3"/>
      <c r="LMR119" s="3"/>
      <c r="LMS119" s="3"/>
      <c r="LMT119" s="3"/>
      <c r="LMU119" s="3"/>
      <c r="LMV119" s="3"/>
      <c r="LMW119" s="3"/>
      <c r="LMX119" s="3"/>
      <c r="LMY119" s="3"/>
      <c r="LMZ119" s="3"/>
      <c r="LNA119" s="3"/>
      <c r="LNB119" s="3"/>
      <c r="LNC119" s="3"/>
      <c r="LND119" s="3"/>
      <c r="LNE119" s="3"/>
      <c r="LNF119" s="3"/>
      <c r="LNG119" s="3"/>
      <c r="LNH119" s="3"/>
      <c r="LNI119" s="3"/>
      <c r="LNJ119" s="3"/>
      <c r="LNK119" s="3"/>
      <c r="LNL119" s="3"/>
      <c r="LNM119" s="3"/>
      <c r="LNN119" s="3"/>
      <c r="LNO119" s="3"/>
      <c r="LNP119" s="3"/>
      <c r="LNQ119" s="3"/>
      <c r="LNR119" s="3"/>
      <c r="LNS119" s="3"/>
      <c r="LNT119" s="3"/>
      <c r="LNU119" s="3"/>
      <c r="LNV119" s="3"/>
      <c r="LNW119" s="3"/>
      <c r="LNX119" s="3"/>
      <c r="LNY119" s="3"/>
      <c r="LNZ119" s="3"/>
      <c r="LOA119" s="3"/>
      <c r="LOB119" s="3"/>
      <c r="LOC119" s="3"/>
      <c r="LOD119" s="3"/>
      <c r="LOE119" s="3"/>
      <c r="LOF119" s="3"/>
      <c r="LOG119" s="3"/>
      <c r="LOH119" s="3"/>
      <c r="LOI119" s="3"/>
      <c r="LOJ119" s="3"/>
      <c r="LOK119" s="3"/>
      <c r="LOL119" s="3"/>
      <c r="LOM119" s="3"/>
      <c r="LON119" s="3"/>
      <c r="LOO119" s="3"/>
      <c r="LOP119" s="3"/>
      <c r="LOQ119" s="3"/>
      <c r="LOR119" s="3"/>
      <c r="LOS119" s="3"/>
      <c r="LOT119" s="3"/>
      <c r="LOU119" s="3"/>
      <c r="LOV119" s="3"/>
      <c r="LOW119" s="3"/>
      <c r="LOX119" s="3"/>
      <c r="LOY119" s="3"/>
      <c r="LOZ119" s="3"/>
      <c r="LPA119" s="3"/>
      <c r="LPB119" s="3"/>
      <c r="LPC119" s="3"/>
      <c r="LPD119" s="3"/>
      <c r="LPE119" s="3"/>
      <c r="LPF119" s="3"/>
      <c r="LPG119" s="3"/>
      <c r="LPH119" s="3"/>
      <c r="LPI119" s="3"/>
      <c r="LPJ119" s="3"/>
      <c r="LPK119" s="3"/>
      <c r="LPL119" s="3"/>
      <c r="LPM119" s="3"/>
      <c r="LPN119" s="3"/>
      <c r="LPO119" s="3"/>
      <c r="LPP119" s="3"/>
      <c r="LPQ119" s="3"/>
      <c r="LPR119" s="3"/>
      <c r="LPS119" s="3"/>
      <c r="LPT119" s="3"/>
      <c r="LPU119" s="3"/>
      <c r="LPV119" s="3"/>
      <c r="LPW119" s="3"/>
      <c r="LPX119" s="3"/>
      <c r="LPY119" s="3"/>
      <c r="LPZ119" s="3"/>
      <c r="LQA119" s="3"/>
      <c r="LQB119" s="3"/>
      <c r="LQC119" s="3"/>
      <c r="LQD119" s="3"/>
      <c r="LQE119" s="3"/>
      <c r="LQF119" s="3"/>
      <c r="LQG119" s="3"/>
      <c r="LQH119" s="3"/>
      <c r="LQI119" s="3"/>
      <c r="LQJ119" s="3"/>
      <c r="LQK119" s="3"/>
      <c r="LQL119" s="3"/>
      <c r="LQM119" s="3"/>
      <c r="LQN119" s="3"/>
      <c r="LQO119" s="3"/>
      <c r="LQP119" s="3"/>
      <c r="LQQ119" s="3"/>
      <c r="LQR119" s="3"/>
      <c r="LQS119" s="3"/>
      <c r="LQT119" s="3"/>
      <c r="LQU119" s="3"/>
      <c r="LQV119" s="3"/>
      <c r="LQW119" s="3"/>
      <c r="LQX119" s="3"/>
      <c r="LQY119" s="3"/>
      <c r="LQZ119" s="3"/>
      <c r="LRA119" s="3"/>
      <c r="LRB119" s="3"/>
      <c r="LRC119" s="3"/>
      <c r="LRD119" s="3"/>
      <c r="LRE119" s="3"/>
      <c r="LRF119" s="3"/>
      <c r="LRG119" s="3"/>
      <c r="LRH119" s="3"/>
      <c r="LRI119" s="3"/>
      <c r="LRJ119" s="3"/>
      <c r="LRK119" s="3"/>
      <c r="LRL119" s="3"/>
      <c r="LRM119" s="3"/>
      <c r="LRN119" s="3"/>
      <c r="LRO119" s="3"/>
      <c r="LRP119" s="3"/>
      <c r="LRQ119" s="3"/>
      <c r="LRR119" s="3"/>
      <c r="LRS119" s="3"/>
      <c r="LRT119" s="3"/>
      <c r="LRU119" s="3"/>
      <c r="LRV119" s="3"/>
      <c r="LRW119" s="3"/>
      <c r="LRX119" s="3"/>
      <c r="LRY119" s="3"/>
      <c r="LRZ119" s="3"/>
      <c r="LSA119" s="3"/>
      <c r="LSB119" s="3"/>
      <c r="LSC119" s="3"/>
      <c r="LSD119" s="3"/>
      <c r="LSE119" s="3"/>
      <c r="LSF119" s="3"/>
      <c r="LSG119" s="3"/>
      <c r="LSH119" s="3"/>
      <c r="LSI119" s="3"/>
      <c r="LSJ119" s="3"/>
      <c r="LSK119" s="3"/>
      <c r="LSL119" s="3"/>
      <c r="LSM119" s="3"/>
      <c r="LSN119" s="3"/>
      <c r="LSO119" s="3"/>
      <c r="LSP119" s="3"/>
      <c r="LSQ119" s="3"/>
      <c r="LSR119" s="3"/>
      <c r="LSS119" s="3"/>
      <c r="LST119" s="3"/>
      <c r="LSU119" s="3"/>
      <c r="LSV119" s="3"/>
      <c r="LSW119" s="3"/>
      <c r="LSX119" s="3"/>
      <c r="LSY119" s="3"/>
      <c r="LSZ119" s="3"/>
      <c r="LTA119" s="3"/>
      <c r="LTB119" s="3"/>
      <c r="LTC119" s="3"/>
      <c r="LTD119" s="3"/>
      <c r="LTE119" s="3"/>
      <c r="LTF119" s="3"/>
      <c r="LTG119" s="3"/>
      <c r="LTH119" s="3"/>
      <c r="LTI119" s="3"/>
      <c r="LTJ119" s="3"/>
      <c r="LTK119" s="3"/>
      <c r="LTL119" s="3"/>
      <c r="LTM119" s="3"/>
      <c r="LTN119" s="3"/>
      <c r="LTO119" s="3"/>
      <c r="LTP119" s="3"/>
      <c r="LTQ119" s="3"/>
      <c r="LTR119" s="3"/>
      <c r="LTS119" s="3"/>
      <c r="LTT119" s="3"/>
      <c r="LTU119" s="3"/>
      <c r="LTV119" s="3"/>
      <c r="LTW119" s="3"/>
      <c r="LTX119" s="3"/>
      <c r="LTY119" s="3"/>
      <c r="LTZ119" s="3"/>
      <c r="LUA119" s="3"/>
      <c r="LUB119" s="3"/>
      <c r="LUC119" s="3"/>
      <c r="LUD119" s="3"/>
      <c r="LUE119" s="3"/>
      <c r="LUF119" s="3"/>
      <c r="LUG119" s="3"/>
      <c r="LUH119" s="3"/>
      <c r="LUI119" s="3"/>
      <c r="LUJ119" s="3"/>
      <c r="LUK119" s="3"/>
      <c r="LUL119" s="3"/>
      <c r="LUM119" s="3"/>
      <c r="LUN119" s="3"/>
      <c r="LUO119" s="3"/>
      <c r="LUP119" s="3"/>
      <c r="LUQ119" s="3"/>
      <c r="LUR119" s="3"/>
      <c r="LUS119" s="3"/>
      <c r="LUT119" s="3"/>
      <c r="LUU119" s="3"/>
      <c r="LUV119" s="3"/>
      <c r="LUW119" s="3"/>
      <c r="LUX119" s="3"/>
      <c r="LUY119" s="3"/>
      <c r="LUZ119" s="3"/>
      <c r="LVA119" s="3"/>
      <c r="LVB119" s="3"/>
      <c r="LVC119" s="3"/>
      <c r="LVD119" s="3"/>
      <c r="LVE119" s="3"/>
      <c r="LVF119" s="3"/>
      <c r="LVG119" s="3"/>
      <c r="LVH119" s="3"/>
      <c r="LVI119" s="3"/>
      <c r="LVJ119" s="3"/>
      <c r="LVK119" s="3"/>
      <c r="LVL119" s="3"/>
      <c r="LVM119" s="3"/>
      <c r="LVN119" s="3"/>
      <c r="LVO119" s="3"/>
      <c r="LVP119" s="3"/>
      <c r="LVQ119" s="3"/>
      <c r="LVR119" s="3"/>
      <c r="LVS119" s="3"/>
      <c r="LVT119" s="3"/>
      <c r="LVU119" s="3"/>
      <c r="LVV119" s="3"/>
      <c r="LVW119" s="3"/>
      <c r="LVX119" s="3"/>
      <c r="LVY119" s="3"/>
      <c r="LVZ119" s="3"/>
      <c r="LWA119" s="3"/>
      <c r="LWB119" s="3"/>
      <c r="LWC119" s="3"/>
      <c r="LWD119" s="3"/>
      <c r="LWE119" s="3"/>
      <c r="LWF119" s="3"/>
      <c r="LWG119" s="3"/>
      <c r="LWH119" s="3"/>
      <c r="LWI119" s="3"/>
      <c r="LWJ119" s="3"/>
      <c r="LWK119" s="3"/>
      <c r="LWL119" s="3"/>
      <c r="LWM119" s="3"/>
      <c r="LWN119" s="3"/>
      <c r="LWO119" s="3"/>
      <c r="LWP119" s="3"/>
      <c r="LWQ119" s="3"/>
      <c r="LWR119" s="3"/>
      <c r="LWS119" s="3"/>
      <c r="LWT119" s="3"/>
      <c r="LWU119" s="3"/>
      <c r="LWV119" s="3"/>
      <c r="LWW119" s="3"/>
      <c r="LWX119" s="3"/>
      <c r="LWY119" s="3"/>
      <c r="LWZ119" s="3"/>
      <c r="LXA119" s="3"/>
      <c r="LXB119" s="3"/>
      <c r="LXC119" s="3"/>
      <c r="LXD119" s="3"/>
      <c r="LXE119" s="3"/>
      <c r="LXF119" s="3"/>
      <c r="LXG119" s="3"/>
      <c r="LXH119" s="3"/>
      <c r="LXI119" s="3"/>
      <c r="LXJ119" s="3"/>
      <c r="LXK119" s="3"/>
      <c r="LXL119" s="3"/>
      <c r="LXM119" s="3"/>
      <c r="LXN119" s="3"/>
      <c r="LXO119" s="3"/>
      <c r="LXP119" s="3"/>
      <c r="LXQ119" s="3"/>
      <c r="LXR119" s="3"/>
      <c r="LXS119" s="3"/>
      <c r="LXT119" s="3"/>
      <c r="LXU119" s="3"/>
      <c r="LXV119" s="3"/>
      <c r="LXW119" s="3"/>
      <c r="LXX119" s="3"/>
      <c r="LXY119" s="3"/>
      <c r="LXZ119" s="3"/>
      <c r="LYA119" s="3"/>
      <c r="LYB119" s="3"/>
      <c r="LYC119" s="3"/>
      <c r="LYD119" s="3"/>
      <c r="LYE119" s="3"/>
      <c r="LYF119" s="3"/>
      <c r="LYG119" s="3"/>
      <c r="LYH119" s="3"/>
      <c r="LYI119" s="3"/>
      <c r="LYJ119" s="3"/>
      <c r="LYK119" s="3"/>
      <c r="LYL119" s="3"/>
      <c r="LYM119" s="3"/>
      <c r="LYN119" s="3"/>
      <c r="LYO119" s="3"/>
      <c r="LYP119" s="3"/>
      <c r="LYQ119" s="3"/>
      <c r="LYR119" s="3"/>
      <c r="LYS119" s="3"/>
      <c r="LYT119" s="3"/>
      <c r="LYU119" s="3"/>
      <c r="LYV119" s="3"/>
      <c r="LYW119" s="3"/>
      <c r="LYX119" s="3"/>
      <c r="LYY119" s="3"/>
      <c r="LYZ119" s="3"/>
      <c r="LZA119" s="3"/>
      <c r="LZB119" s="3"/>
      <c r="LZC119" s="3"/>
      <c r="LZD119" s="3"/>
      <c r="LZE119" s="3"/>
      <c r="LZF119" s="3"/>
      <c r="LZG119" s="3"/>
      <c r="LZH119" s="3"/>
      <c r="LZI119" s="3"/>
      <c r="LZJ119" s="3"/>
      <c r="LZK119" s="3"/>
      <c r="LZL119" s="3"/>
      <c r="LZM119" s="3"/>
      <c r="LZN119" s="3"/>
      <c r="LZO119" s="3"/>
      <c r="LZP119" s="3"/>
      <c r="LZQ119" s="3"/>
      <c r="LZR119" s="3"/>
      <c r="LZS119" s="3"/>
      <c r="LZT119" s="3"/>
      <c r="LZU119" s="3"/>
      <c r="LZV119" s="3"/>
      <c r="LZW119" s="3"/>
      <c r="LZX119" s="3"/>
      <c r="LZY119" s="3"/>
      <c r="LZZ119" s="3"/>
      <c r="MAA119" s="3"/>
      <c r="MAB119" s="3"/>
      <c r="MAC119" s="3"/>
      <c r="MAD119" s="3"/>
      <c r="MAE119" s="3"/>
      <c r="MAF119" s="3"/>
      <c r="MAG119" s="3"/>
      <c r="MAH119" s="3"/>
      <c r="MAI119" s="3"/>
      <c r="MAJ119" s="3"/>
      <c r="MAK119" s="3"/>
      <c r="MAL119" s="3"/>
      <c r="MAM119" s="3"/>
      <c r="MAN119" s="3"/>
      <c r="MAO119" s="3"/>
      <c r="MAP119" s="3"/>
      <c r="MAQ119" s="3"/>
      <c r="MAR119" s="3"/>
      <c r="MAS119" s="3"/>
      <c r="MAT119" s="3"/>
      <c r="MAU119" s="3"/>
      <c r="MAV119" s="3"/>
      <c r="MAW119" s="3"/>
      <c r="MAX119" s="3"/>
      <c r="MAY119" s="3"/>
      <c r="MAZ119" s="3"/>
      <c r="MBA119" s="3"/>
      <c r="MBB119" s="3"/>
      <c r="MBC119" s="3"/>
      <c r="MBD119" s="3"/>
      <c r="MBE119" s="3"/>
      <c r="MBF119" s="3"/>
      <c r="MBG119" s="3"/>
      <c r="MBH119" s="3"/>
      <c r="MBI119" s="3"/>
      <c r="MBJ119" s="3"/>
      <c r="MBK119" s="3"/>
      <c r="MBL119" s="3"/>
      <c r="MBM119" s="3"/>
      <c r="MBN119" s="3"/>
      <c r="MBO119" s="3"/>
      <c r="MBP119" s="3"/>
      <c r="MBQ119" s="3"/>
      <c r="MBR119" s="3"/>
      <c r="MBS119" s="3"/>
      <c r="MBT119" s="3"/>
      <c r="MBU119" s="3"/>
      <c r="MBV119" s="3"/>
      <c r="MBW119" s="3"/>
      <c r="MBX119" s="3"/>
      <c r="MBY119" s="3"/>
      <c r="MBZ119" s="3"/>
      <c r="MCA119" s="3"/>
      <c r="MCB119" s="3"/>
      <c r="MCC119" s="3"/>
      <c r="MCD119" s="3"/>
      <c r="MCE119" s="3"/>
      <c r="MCF119" s="3"/>
      <c r="MCG119" s="3"/>
      <c r="MCH119" s="3"/>
      <c r="MCI119" s="3"/>
      <c r="MCJ119" s="3"/>
      <c r="MCK119" s="3"/>
      <c r="MCL119" s="3"/>
      <c r="MCM119" s="3"/>
      <c r="MCN119" s="3"/>
      <c r="MCO119" s="3"/>
      <c r="MCP119" s="3"/>
      <c r="MCQ119" s="3"/>
      <c r="MCR119" s="3"/>
      <c r="MCS119" s="3"/>
      <c r="MCT119" s="3"/>
      <c r="MCU119" s="3"/>
      <c r="MCV119" s="3"/>
      <c r="MCW119" s="3"/>
      <c r="MCX119" s="3"/>
      <c r="MCY119" s="3"/>
      <c r="MCZ119" s="3"/>
      <c r="MDA119" s="3"/>
      <c r="MDB119" s="3"/>
      <c r="MDC119" s="3"/>
      <c r="MDD119" s="3"/>
      <c r="MDE119" s="3"/>
      <c r="MDF119" s="3"/>
      <c r="MDG119" s="3"/>
      <c r="MDH119" s="3"/>
      <c r="MDI119" s="3"/>
      <c r="MDJ119" s="3"/>
      <c r="MDK119" s="3"/>
      <c r="MDL119" s="3"/>
      <c r="MDM119" s="3"/>
      <c r="MDN119" s="3"/>
      <c r="MDO119" s="3"/>
      <c r="MDP119" s="3"/>
      <c r="MDQ119" s="3"/>
      <c r="MDR119" s="3"/>
      <c r="MDS119" s="3"/>
      <c r="MDT119" s="3"/>
      <c r="MDU119" s="3"/>
      <c r="MDV119" s="3"/>
      <c r="MDW119" s="3"/>
      <c r="MDX119" s="3"/>
      <c r="MDY119" s="3"/>
      <c r="MDZ119" s="3"/>
      <c r="MEA119" s="3"/>
      <c r="MEB119" s="3"/>
      <c r="MEC119" s="3"/>
      <c r="MED119" s="3"/>
      <c r="MEE119" s="3"/>
      <c r="MEF119" s="3"/>
      <c r="MEG119" s="3"/>
      <c r="MEH119" s="3"/>
      <c r="MEI119" s="3"/>
      <c r="MEJ119" s="3"/>
      <c r="MEK119" s="3"/>
      <c r="MEL119" s="3"/>
      <c r="MEM119" s="3"/>
      <c r="MEN119" s="3"/>
      <c r="MEO119" s="3"/>
      <c r="MEP119" s="3"/>
      <c r="MEQ119" s="3"/>
      <c r="MER119" s="3"/>
      <c r="MES119" s="3"/>
      <c r="MET119" s="3"/>
      <c r="MEU119" s="3"/>
      <c r="MEV119" s="3"/>
      <c r="MEW119" s="3"/>
      <c r="MEX119" s="3"/>
      <c r="MEY119" s="3"/>
      <c r="MEZ119" s="3"/>
      <c r="MFA119" s="3"/>
      <c r="MFB119" s="3"/>
      <c r="MFC119" s="3"/>
      <c r="MFD119" s="3"/>
      <c r="MFE119" s="3"/>
      <c r="MFF119" s="3"/>
      <c r="MFG119" s="3"/>
      <c r="MFH119" s="3"/>
      <c r="MFI119" s="3"/>
      <c r="MFJ119" s="3"/>
      <c r="MFK119" s="3"/>
      <c r="MFL119" s="3"/>
      <c r="MFM119" s="3"/>
      <c r="MFN119" s="3"/>
      <c r="MFO119" s="3"/>
      <c r="MFP119" s="3"/>
      <c r="MFQ119" s="3"/>
      <c r="MFR119" s="3"/>
      <c r="MFS119" s="3"/>
      <c r="MFT119" s="3"/>
      <c r="MFU119" s="3"/>
      <c r="MFV119" s="3"/>
      <c r="MFW119" s="3"/>
      <c r="MFX119" s="3"/>
      <c r="MFY119" s="3"/>
      <c r="MFZ119" s="3"/>
      <c r="MGA119" s="3"/>
      <c r="MGB119" s="3"/>
      <c r="MGC119" s="3"/>
      <c r="MGD119" s="3"/>
      <c r="MGE119" s="3"/>
      <c r="MGF119" s="3"/>
      <c r="MGG119" s="3"/>
      <c r="MGH119" s="3"/>
      <c r="MGI119" s="3"/>
      <c r="MGJ119" s="3"/>
      <c r="MGK119" s="3"/>
      <c r="MGL119" s="3"/>
      <c r="MGM119" s="3"/>
      <c r="MGN119" s="3"/>
      <c r="MGO119" s="3"/>
      <c r="MGP119" s="3"/>
      <c r="MGQ119" s="3"/>
      <c r="MGR119" s="3"/>
      <c r="MGS119" s="3"/>
      <c r="MGT119" s="3"/>
      <c r="MGU119" s="3"/>
      <c r="MGV119" s="3"/>
      <c r="MGW119" s="3"/>
      <c r="MGX119" s="3"/>
      <c r="MGY119" s="3"/>
      <c r="MGZ119" s="3"/>
      <c r="MHA119" s="3"/>
      <c r="MHB119" s="3"/>
      <c r="MHC119" s="3"/>
      <c r="MHD119" s="3"/>
      <c r="MHE119" s="3"/>
      <c r="MHF119" s="3"/>
      <c r="MHG119" s="3"/>
      <c r="MHH119" s="3"/>
      <c r="MHI119" s="3"/>
      <c r="MHJ119" s="3"/>
      <c r="MHK119" s="3"/>
      <c r="MHL119" s="3"/>
      <c r="MHM119" s="3"/>
      <c r="MHN119" s="3"/>
      <c r="MHO119" s="3"/>
      <c r="MHP119" s="3"/>
      <c r="MHQ119" s="3"/>
      <c r="MHR119" s="3"/>
      <c r="MHS119" s="3"/>
      <c r="MHT119" s="3"/>
      <c r="MHU119" s="3"/>
      <c r="MHV119" s="3"/>
      <c r="MHW119" s="3"/>
      <c r="MHX119" s="3"/>
      <c r="MHY119" s="3"/>
      <c r="MHZ119" s="3"/>
      <c r="MIA119" s="3"/>
      <c r="MIB119" s="3"/>
      <c r="MIC119" s="3"/>
      <c r="MID119" s="3"/>
      <c r="MIE119" s="3"/>
      <c r="MIF119" s="3"/>
      <c r="MIG119" s="3"/>
      <c r="MIH119" s="3"/>
      <c r="MII119" s="3"/>
      <c r="MIJ119" s="3"/>
      <c r="MIK119" s="3"/>
      <c r="MIL119" s="3"/>
      <c r="MIM119" s="3"/>
      <c r="MIN119" s="3"/>
      <c r="MIO119" s="3"/>
      <c r="MIP119" s="3"/>
      <c r="MIQ119" s="3"/>
      <c r="MIR119" s="3"/>
      <c r="MIS119" s="3"/>
      <c r="MIT119" s="3"/>
      <c r="MIU119" s="3"/>
      <c r="MIV119" s="3"/>
      <c r="MIW119" s="3"/>
      <c r="MIX119" s="3"/>
      <c r="MIY119" s="3"/>
      <c r="MIZ119" s="3"/>
      <c r="MJA119" s="3"/>
      <c r="MJB119" s="3"/>
      <c r="MJC119" s="3"/>
      <c r="MJD119" s="3"/>
      <c r="MJE119" s="3"/>
      <c r="MJF119" s="3"/>
      <c r="MJG119" s="3"/>
      <c r="MJH119" s="3"/>
      <c r="MJI119" s="3"/>
      <c r="MJJ119" s="3"/>
      <c r="MJK119" s="3"/>
      <c r="MJL119" s="3"/>
      <c r="MJM119" s="3"/>
      <c r="MJN119" s="3"/>
      <c r="MJO119" s="3"/>
      <c r="MJP119" s="3"/>
      <c r="MJQ119" s="3"/>
      <c r="MJR119" s="3"/>
      <c r="MJS119" s="3"/>
      <c r="MJT119" s="3"/>
      <c r="MJU119" s="3"/>
      <c r="MJV119" s="3"/>
      <c r="MJW119" s="3"/>
      <c r="MJX119" s="3"/>
      <c r="MJY119" s="3"/>
      <c r="MJZ119" s="3"/>
      <c r="MKA119" s="3"/>
      <c r="MKB119" s="3"/>
      <c r="MKC119" s="3"/>
      <c r="MKD119" s="3"/>
      <c r="MKE119" s="3"/>
      <c r="MKF119" s="3"/>
      <c r="MKG119" s="3"/>
      <c r="MKH119" s="3"/>
      <c r="MKI119" s="3"/>
      <c r="MKJ119" s="3"/>
      <c r="MKK119" s="3"/>
      <c r="MKL119" s="3"/>
      <c r="MKM119" s="3"/>
      <c r="MKN119" s="3"/>
      <c r="MKO119" s="3"/>
      <c r="MKP119" s="3"/>
      <c r="MKQ119" s="3"/>
      <c r="MKR119" s="3"/>
      <c r="MKS119" s="3"/>
      <c r="MKT119" s="3"/>
      <c r="MKU119" s="3"/>
      <c r="MKV119" s="3"/>
      <c r="MKW119" s="3"/>
      <c r="MKX119" s="3"/>
      <c r="MKY119" s="3"/>
      <c r="MKZ119" s="3"/>
      <c r="MLA119" s="3"/>
      <c r="MLB119" s="3"/>
      <c r="MLC119" s="3"/>
      <c r="MLD119" s="3"/>
      <c r="MLE119" s="3"/>
      <c r="MLF119" s="3"/>
      <c r="MLG119" s="3"/>
      <c r="MLH119" s="3"/>
      <c r="MLI119" s="3"/>
      <c r="MLJ119" s="3"/>
      <c r="MLK119" s="3"/>
      <c r="MLL119" s="3"/>
      <c r="MLM119" s="3"/>
      <c r="MLN119" s="3"/>
      <c r="MLO119" s="3"/>
      <c r="MLP119" s="3"/>
      <c r="MLQ119" s="3"/>
      <c r="MLR119" s="3"/>
      <c r="MLS119" s="3"/>
      <c r="MLT119" s="3"/>
      <c r="MLU119" s="3"/>
      <c r="MLV119" s="3"/>
      <c r="MLW119" s="3"/>
      <c r="MLX119" s="3"/>
      <c r="MLY119" s="3"/>
      <c r="MLZ119" s="3"/>
      <c r="MMA119" s="3"/>
      <c r="MMB119" s="3"/>
      <c r="MMC119" s="3"/>
      <c r="MMD119" s="3"/>
      <c r="MME119" s="3"/>
      <c r="MMF119" s="3"/>
      <c r="MMG119" s="3"/>
      <c r="MMH119" s="3"/>
      <c r="MMI119" s="3"/>
      <c r="MMJ119" s="3"/>
      <c r="MMK119" s="3"/>
      <c r="MML119" s="3"/>
      <c r="MMM119" s="3"/>
      <c r="MMN119" s="3"/>
      <c r="MMO119" s="3"/>
      <c r="MMP119" s="3"/>
      <c r="MMQ119" s="3"/>
      <c r="MMR119" s="3"/>
      <c r="MMS119" s="3"/>
      <c r="MMT119" s="3"/>
      <c r="MMU119" s="3"/>
      <c r="MMV119" s="3"/>
      <c r="MMW119" s="3"/>
      <c r="MMX119" s="3"/>
      <c r="MMY119" s="3"/>
      <c r="MMZ119" s="3"/>
      <c r="MNA119" s="3"/>
      <c r="MNB119" s="3"/>
      <c r="MNC119" s="3"/>
      <c r="MND119" s="3"/>
      <c r="MNE119" s="3"/>
      <c r="MNF119" s="3"/>
      <c r="MNG119" s="3"/>
      <c r="MNH119" s="3"/>
      <c r="MNI119" s="3"/>
      <c r="MNJ119" s="3"/>
      <c r="MNK119" s="3"/>
      <c r="MNL119" s="3"/>
      <c r="MNM119" s="3"/>
      <c r="MNN119" s="3"/>
      <c r="MNO119" s="3"/>
      <c r="MNP119" s="3"/>
      <c r="MNQ119" s="3"/>
      <c r="MNR119" s="3"/>
      <c r="MNS119" s="3"/>
      <c r="MNT119" s="3"/>
      <c r="MNU119" s="3"/>
      <c r="MNV119" s="3"/>
      <c r="MNW119" s="3"/>
      <c r="MNX119" s="3"/>
      <c r="MNY119" s="3"/>
      <c r="MNZ119" s="3"/>
      <c r="MOA119" s="3"/>
      <c r="MOB119" s="3"/>
      <c r="MOC119" s="3"/>
      <c r="MOD119" s="3"/>
      <c r="MOE119" s="3"/>
      <c r="MOF119" s="3"/>
      <c r="MOG119" s="3"/>
      <c r="MOH119" s="3"/>
      <c r="MOI119" s="3"/>
      <c r="MOJ119" s="3"/>
      <c r="MOK119" s="3"/>
      <c r="MOL119" s="3"/>
      <c r="MOM119" s="3"/>
      <c r="MON119" s="3"/>
      <c r="MOO119" s="3"/>
      <c r="MOP119" s="3"/>
      <c r="MOQ119" s="3"/>
      <c r="MOR119" s="3"/>
      <c r="MOS119" s="3"/>
      <c r="MOT119" s="3"/>
      <c r="MOU119" s="3"/>
      <c r="MOV119" s="3"/>
      <c r="MOW119" s="3"/>
      <c r="MOX119" s="3"/>
      <c r="MOY119" s="3"/>
      <c r="MOZ119" s="3"/>
      <c r="MPA119" s="3"/>
      <c r="MPB119" s="3"/>
      <c r="MPC119" s="3"/>
      <c r="MPD119" s="3"/>
      <c r="MPE119" s="3"/>
      <c r="MPF119" s="3"/>
      <c r="MPG119" s="3"/>
      <c r="MPH119" s="3"/>
      <c r="MPI119" s="3"/>
      <c r="MPJ119" s="3"/>
      <c r="MPK119" s="3"/>
      <c r="MPL119" s="3"/>
      <c r="MPM119" s="3"/>
      <c r="MPN119" s="3"/>
      <c r="MPO119" s="3"/>
      <c r="MPP119" s="3"/>
      <c r="MPQ119" s="3"/>
      <c r="MPR119" s="3"/>
      <c r="MPS119" s="3"/>
      <c r="MPT119" s="3"/>
      <c r="MPU119" s="3"/>
      <c r="MPV119" s="3"/>
      <c r="MPW119" s="3"/>
      <c r="MPX119" s="3"/>
      <c r="MPY119" s="3"/>
      <c r="MPZ119" s="3"/>
      <c r="MQA119" s="3"/>
      <c r="MQB119" s="3"/>
      <c r="MQC119" s="3"/>
      <c r="MQD119" s="3"/>
      <c r="MQE119" s="3"/>
      <c r="MQF119" s="3"/>
      <c r="MQG119" s="3"/>
      <c r="MQH119" s="3"/>
      <c r="MQI119" s="3"/>
      <c r="MQJ119" s="3"/>
      <c r="MQK119" s="3"/>
      <c r="MQL119" s="3"/>
      <c r="MQM119" s="3"/>
      <c r="MQN119" s="3"/>
      <c r="MQO119" s="3"/>
      <c r="MQP119" s="3"/>
      <c r="MQQ119" s="3"/>
      <c r="MQR119" s="3"/>
      <c r="MQS119" s="3"/>
      <c r="MQT119" s="3"/>
      <c r="MQU119" s="3"/>
      <c r="MQV119" s="3"/>
      <c r="MQW119" s="3"/>
      <c r="MQX119" s="3"/>
      <c r="MQY119" s="3"/>
      <c r="MQZ119" s="3"/>
      <c r="MRA119" s="3"/>
      <c r="MRB119" s="3"/>
      <c r="MRC119" s="3"/>
      <c r="MRD119" s="3"/>
      <c r="MRE119" s="3"/>
      <c r="MRF119" s="3"/>
      <c r="MRG119" s="3"/>
      <c r="MRH119" s="3"/>
      <c r="MRI119" s="3"/>
      <c r="MRJ119" s="3"/>
      <c r="MRK119" s="3"/>
      <c r="MRL119" s="3"/>
      <c r="MRM119" s="3"/>
      <c r="MRN119" s="3"/>
      <c r="MRO119" s="3"/>
      <c r="MRP119" s="3"/>
      <c r="MRQ119" s="3"/>
      <c r="MRR119" s="3"/>
      <c r="MRS119" s="3"/>
      <c r="MRT119" s="3"/>
      <c r="MRU119" s="3"/>
      <c r="MRV119" s="3"/>
      <c r="MRW119" s="3"/>
      <c r="MRX119" s="3"/>
      <c r="MRY119" s="3"/>
      <c r="MRZ119" s="3"/>
      <c r="MSA119" s="3"/>
      <c r="MSB119" s="3"/>
      <c r="MSC119" s="3"/>
      <c r="MSD119" s="3"/>
      <c r="MSE119" s="3"/>
      <c r="MSF119" s="3"/>
      <c r="MSG119" s="3"/>
      <c r="MSH119" s="3"/>
      <c r="MSI119" s="3"/>
      <c r="MSJ119" s="3"/>
      <c r="MSK119" s="3"/>
      <c r="MSL119" s="3"/>
      <c r="MSM119" s="3"/>
      <c r="MSN119" s="3"/>
      <c r="MSO119" s="3"/>
      <c r="MSP119" s="3"/>
      <c r="MSQ119" s="3"/>
      <c r="MSR119" s="3"/>
      <c r="MSS119" s="3"/>
      <c r="MST119" s="3"/>
      <c r="MSU119" s="3"/>
      <c r="MSV119" s="3"/>
      <c r="MSW119" s="3"/>
      <c r="MSX119" s="3"/>
      <c r="MSY119" s="3"/>
      <c r="MSZ119" s="3"/>
      <c r="MTA119" s="3"/>
      <c r="MTB119" s="3"/>
      <c r="MTC119" s="3"/>
      <c r="MTD119" s="3"/>
      <c r="MTE119" s="3"/>
      <c r="MTF119" s="3"/>
      <c r="MTG119" s="3"/>
      <c r="MTH119" s="3"/>
      <c r="MTI119" s="3"/>
      <c r="MTJ119" s="3"/>
      <c r="MTK119" s="3"/>
      <c r="MTL119" s="3"/>
      <c r="MTM119" s="3"/>
      <c r="MTN119" s="3"/>
      <c r="MTO119" s="3"/>
      <c r="MTP119" s="3"/>
      <c r="MTQ119" s="3"/>
      <c r="MTR119" s="3"/>
      <c r="MTS119" s="3"/>
      <c r="MTT119" s="3"/>
      <c r="MTU119" s="3"/>
      <c r="MTV119" s="3"/>
      <c r="MTW119" s="3"/>
      <c r="MTX119" s="3"/>
      <c r="MTY119" s="3"/>
      <c r="MTZ119" s="3"/>
      <c r="MUA119" s="3"/>
      <c r="MUB119" s="3"/>
      <c r="MUC119" s="3"/>
      <c r="MUD119" s="3"/>
      <c r="MUE119" s="3"/>
      <c r="MUF119" s="3"/>
      <c r="MUG119" s="3"/>
      <c r="MUH119" s="3"/>
      <c r="MUI119" s="3"/>
      <c r="MUJ119" s="3"/>
      <c r="MUK119" s="3"/>
      <c r="MUL119" s="3"/>
      <c r="MUM119" s="3"/>
      <c r="MUN119" s="3"/>
      <c r="MUO119" s="3"/>
      <c r="MUP119" s="3"/>
      <c r="MUQ119" s="3"/>
      <c r="MUR119" s="3"/>
      <c r="MUS119" s="3"/>
      <c r="MUT119" s="3"/>
      <c r="MUU119" s="3"/>
      <c r="MUV119" s="3"/>
      <c r="MUW119" s="3"/>
      <c r="MUX119" s="3"/>
      <c r="MUY119" s="3"/>
      <c r="MUZ119" s="3"/>
      <c r="MVA119" s="3"/>
      <c r="MVB119" s="3"/>
      <c r="MVC119" s="3"/>
      <c r="MVD119" s="3"/>
      <c r="MVE119" s="3"/>
      <c r="MVF119" s="3"/>
      <c r="MVG119" s="3"/>
      <c r="MVH119" s="3"/>
      <c r="MVI119" s="3"/>
      <c r="MVJ119" s="3"/>
      <c r="MVK119" s="3"/>
      <c r="MVL119" s="3"/>
      <c r="MVM119" s="3"/>
      <c r="MVN119" s="3"/>
      <c r="MVO119" s="3"/>
      <c r="MVP119" s="3"/>
      <c r="MVQ119" s="3"/>
      <c r="MVR119" s="3"/>
      <c r="MVS119" s="3"/>
      <c r="MVT119" s="3"/>
      <c r="MVU119" s="3"/>
      <c r="MVV119" s="3"/>
      <c r="MVW119" s="3"/>
      <c r="MVX119" s="3"/>
      <c r="MVY119" s="3"/>
      <c r="MVZ119" s="3"/>
      <c r="MWA119" s="3"/>
      <c r="MWB119" s="3"/>
      <c r="MWC119" s="3"/>
      <c r="MWD119" s="3"/>
      <c r="MWE119" s="3"/>
      <c r="MWF119" s="3"/>
      <c r="MWG119" s="3"/>
      <c r="MWH119" s="3"/>
      <c r="MWI119" s="3"/>
      <c r="MWJ119" s="3"/>
      <c r="MWK119" s="3"/>
      <c r="MWL119" s="3"/>
      <c r="MWM119" s="3"/>
      <c r="MWN119" s="3"/>
      <c r="MWO119" s="3"/>
      <c r="MWP119" s="3"/>
      <c r="MWQ119" s="3"/>
      <c r="MWR119" s="3"/>
      <c r="MWS119" s="3"/>
      <c r="MWT119" s="3"/>
      <c r="MWU119" s="3"/>
      <c r="MWV119" s="3"/>
      <c r="MWW119" s="3"/>
      <c r="MWX119" s="3"/>
      <c r="MWY119" s="3"/>
      <c r="MWZ119" s="3"/>
      <c r="MXA119" s="3"/>
      <c r="MXB119" s="3"/>
      <c r="MXC119" s="3"/>
      <c r="MXD119" s="3"/>
      <c r="MXE119" s="3"/>
      <c r="MXF119" s="3"/>
      <c r="MXG119" s="3"/>
      <c r="MXH119" s="3"/>
      <c r="MXI119" s="3"/>
      <c r="MXJ119" s="3"/>
      <c r="MXK119" s="3"/>
      <c r="MXL119" s="3"/>
      <c r="MXM119" s="3"/>
      <c r="MXN119" s="3"/>
      <c r="MXO119" s="3"/>
      <c r="MXP119" s="3"/>
      <c r="MXQ119" s="3"/>
      <c r="MXR119" s="3"/>
      <c r="MXS119" s="3"/>
      <c r="MXT119" s="3"/>
      <c r="MXU119" s="3"/>
      <c r="MXV119" s="3"/>
      <c r="MXW119" s="3"/>
      <c r="MXX119" s="3"/>
      <c r="MXY119" s="3"/>
      <c r="MXZ119" s="3"/>
      <c r="MYA119" s="3"/>
      <c r="MYB119" s="3"/>
      <c r="MYC119" s="3"/>
      <c r="MYD119" s="3"/>
      <c r="MYE119" s="3"/>
      <c r="MYF119" s="3"/>
      <c r="MYG119" s="3"/>
      <c r="MYH119" s="3"/>
      <c r="MYI119" s="3"/>
      <c r="MYJ119" s="3"/>
      <c r="MYK119" s="3"/>
      <c r="MYL119" s="3"/>
      <c r="MYM119" s="3"/>
      <c r="MYN119" s="3"/>
      <c r="MYO119" s="3"/>
      <c r="MYP119" s="3"/>
      <c r="MYQ119" s="3"/>
      <c r="MYR119" s="3"/>
      <c r="MYS119" s="3"/>
      <c r="MYT119" s="3"/>
      <c r="MYU119" s="3"/>
      <c r="MYV119" s="3"/>
      <c r="MYW119" s="3"/>
      <c r="MYX119" s="3"/>
      <c r="MYY119" s="3"/>
      <c r="MYZ119" s="3"/>
      <c r="MZA119" s="3"/>
      <c r="MZB119" s="3"/>
      <c r="MZC119" s="3"/>
      <c r="MZD119" s="3"/>
      <c r="MZE119" s="3"/>
      <c r="MZF119" s="3"/>
      <c r="MZG119" s="3"/>
      <c r="MZH119" s="3"/>
      <c r="MZI119" s="3"/>
      <c r="MZJ119" s="3"/>
      <c r="MZK119" s="3"/>
      <c r="MZL119" s="3"/>
      <c r="MZM119" s="3"/>
      <c r="MZN119" s="3"/>
      <c r="MZO119" s="3"/>
      <c r="MZP119" s="3"/>
      <c r="MZQ119" s="3"/>
      <c r="MZR119" s="3"/>
      <c r="MZS119" s="3"/>
      <c r="MZT119" s="3"/>
      <c r="MZU119" s="3"/>
      <c r="MZV119" s="3"/>
      <c r="MZW119" s="3"/>
      <c r="MZX119" s="3"/>
      <c r="MZY119" s="3"/>
      <c r="MZZ119" s="3"/>
      <c r="NAA119" s="3"/>
      <c r="NAB119" s="3"/>
      <c r="NAC119" s="3"/>
      <c r="NAD119" s="3"/>
      <c r="NAE119" s="3"/>
      <c r="NAF119" s="3"/>
      <c r="NAG119" s="3"/>
      <c r="NAH119" s="3"/>
      <c r="NAI119" s="3"/>
      <c r="NAJ119" s="3"/>
      <c r="NAK119" s="3"/>
      <c r="NAL119" s="3"/>
      <c r="NAM119" s="3"/>
      <c r="NAN119" s="3"/>
      <c r="NAO119" s="3"/>
      <c r="NAP119" s="3"/>
      <c r="NAQ119" s="3"/>
      <c r="NAR119" s="3"/>
      <c r="NAS119" s="3"/>
      <c r="NAT119" s="3"/>
      <c r="NAU119" s="3"/>
      <c r="NAV119" s="3"/>
      <c r="NAW119" s="3"/>
      <c r="NAX119" s="3"/>
      <c r="NAY119" s="3"/>
      <c r="NAZ119" s="3"/>
      <c r="NBA119" s="3"/>
      <c r="NBB119" s="3"/>
      <c r="NBC119" s="3"/>
      <c r="NBD119" s="3"/>
      <c r="NBE119" s="3"/>
      <c r="NBF119" s="3"/>
      <c r="NBG119" s="3"/>
      <c r="NBH119" s="3"/>
      <c r="NBI119" s="3"/>
      <c r="NBJ119" s="3"/>
      <c r="NBK119" s="3"/>
      <c r="NBL119" s="3"/>
      <c r="NBM119" s="3"/>
      <c r="NBN119" s="3"/>
      <c r="NBO119" s="3"/>
      <c r="NBP119" s="3"/>
      <c r="NBQ119" s="3"/>
      <c r="NBR119" s="3"/>
      <c r="NBS119" s="3"/>
      <c r="NBT119" s="3"/>
      <c r="NBU119" s="3"/>
      <c r="NBV119" s="3"/>
      <c r="NBW119" s="3"/>
      <c r="NBX119" s="3"/>
      <c r="NBY119" s="3"/>
      <c r="NBZ119" s="3"/>
      <c r="NCA119" s="3"/>
      <c r="NCB119" s="3"/>
      <c r="NCC119" s="3"/>
      <c r="NCD119" s="3"/>
      <c r="NCE119" s="3"/>
      <c r="NCF119" s="3"/>
      <c r="NCG119" s="3"/>
      <c r="NCH119" s="3"/>
      <c r="NCI119" s="3"/>
      <c r="NCJ119" s="3"/>
      <c r="NCK119" s="3"/>
      <c r="NCL119" s="3"/>
      <c r="NCM119" s="3"/>
      <c r="NCN119" s="3"/>
      <c r="NCO119" s="3"/>
      <c r="NCP119" s="3"/>
      <c r="NCQ119" s="3"/>
      <c r="NCR119" s="3"/>
      <c r="NCS119" s="3"/>
      <c r="NCT119" s="3"/>
      <c r="NCU119" s="3"/>
      <c r="NCV119" s="3"/>
      <c r="NCW119" s="3"/>
      <c r="NCX119" s="3"/>
      <c r="NCY119" s="3"/>
      <c r="NCZ119" s="3"/>
      <c r="NDA119" s="3"/>
      <c r="NDB119" s="3"/>
      <c r="NDC119" s="3"/>
      <c r="NDD119" s="3"/>
      <c r="NDE119" s="3"/>
      <c r="NDF119" s="3"/>
      <c r="NDG119" s="3"/>
      <c r="NDH119" s="3"/>
      <c r="NDI119" s="3"/>
      <c r="NDJ119" s="3"/>
      <c r="NDK119" s="3"/>
      <c r="NDL119" s="3"/>
      <c r="NDM119" s="3"/>
      <c r="NDN119" s="3"/>
      <c r="NDO119" s="3"/>
      <c r="NDP119" s="3"/>
      <c r="NDQ119" s="3"/>
      <c r="NDR119" s="3"/>
      <c r="NDS119" s="3"/>
      <c r="NDT119" s="3"/>
      <c r="NDU119" s="3"/>
      <c r="NDV119" s="3"/>
      <c r="NDW119" s="3"/>
      <c r="NDX119" s="3"/>
      <c r="NDY119" s="3"/>
      <c r="NDZ119" s="3"/>
      <c r="NEA119" s="3"/>
      <c r="NEB119" s="3"/>
      <c r="NEC119" s="3"/>
      <c r="NED119" s="3"/>
      <c r="NEE119" s="3"/>
      <c r="NEF119" s="3"/>
      <c r="NEG119" s="3"/>
      <c r="NEH119" s="3"/>
      <c r="NEI119" s="3"/>
      <c r="NEJ119" s="3"/>
      <c r="NEK119" s="3"/>
      <c r="NEL119" s="3"/>
      <c r="NEM119" s="3"/>
      <c r="NEN119" s="3"/>
      <c r="NEO119" s="3"/>
      <c r="NEP119" s="3"/>
      <c r="NEQ119" s="3"/>
      <c r="NER119" s="3"/>
      <c r="NES119" s="3"/>
      <c r="NET119" s="3"/>
      <c r="NEU119" s="3"/>
      <c r="NEV119" s="3"/>
      <c r="NEW119" s="3"/>
      <c r="NEX119" s="3"/>
      <c r="NEY119" s="3"/>
      <c r="NEZ119" s="3"/>
      <c r="NFA119" s="3"/>
      <c r="NFB119" s="3"/>
      <c r="NFC119" s="3"/>
      <c r="NFD119" s="3"/>
      <c r="NFE119" s="3"/>
      <c r="NFF119" s="3"/>
      <c r="NFG119" s="3"/>
      <c r="NFH119" s="3"/>
      <c r="NFI119" s="3"/>
      <c r="NFJ119" s="3"/>
      <c r="NFK119" s="3"/>
      <c r="NFL119" s="3"/>
      <c r="NFM119" s="3"/>
      <c r="NFN119" s="3"/>
      <c r="NFO119" s="3"/>
      <c r="NFP119" s="3"/>
      <c r="NFQ119" s="3"/>
      <c r="NFR119" s="3"/>
      <c r="NFS119" s="3"/>
      <c r="NFT119" s="3"/>
      <c r="NFU119" s="3"/>
      <c r="NFV119" s="3"/>
      <c r="NFW119" s="3"/>
      <c r="NFX119" s="3"/>
      <c r="NFY119" s="3"/>
      <c r="NFZ119" s="3"/>
      <c r="NGA119" s="3"/>
      <c r="NGB119" s="3"/>
      <c r="NGC119" s="3"/>
      <c r="NGD119" s="3"/>
      <c r="NGE119" s="3"/>
      <c r="NGF119" s="3"/>
      <c r="NGG119" s="3"/>
      <c r="NGH119" s="3"/>
      <c r="NGI119" s="3"/>
      <c r="NGJ119" s="3"/>
      <c r="NGK119" s="3"/>
      <c r="NGL119" s="3"/>
      <c r="NGM119" s="3"/>
      <c r="NGN119" s="3"/>
      <c r="NGO119" s="3"/>
      <c r="NGP119" s="3"/>
      <c r="NGQ119" s="3"/>
      <c r="NGR119" s="3"/>
      <c r="NGS119" s="3"/>
      <c r="NGT119" s="3"/>
      <c r="NGU119" s="3"/>
      <c r="NGV119" s="3"/>
      <c r="NGW119" s="3"/>
      <c r="NGX119" s="3"/>
      <c r="NGY119" s="3"/>
      <c r="NGZ119" s="3"/>
      <c r="NHA119" s="3"/>
      <c r="NHB119" s="3"/>
      <c r="NHC119" s="3"/>
      <c r="NHD119" s="3"/>
      <c r="NHE119" s="3"/>
      <c r="NHF119" s="3"/>
      <c r="NHG119" s="3"/>
      <c r="NHH119" s="3"/>
      <c r="NHI119" s="3"/>
      <c r="NHJ119" s="3"/>
      <c r="NHK119" s="3"/>
      <c r="NHL119" s="3"/>
      <c r="NHM119" s="3"/>
      <c r="NHN119" s="3"/>
      <c r="NHO119" s="3"/>
      <c r="NHP119" s="3"/>
      <c r="NHQ119" s="3"/>
      <c r="NHR119" s="3"/>
      <c r="NHS119" s="3"/>
      <c r="NHT119" s="3"/>
      <c r="NHU119" s="3"/>
      <c r="NHV119" s="3"/>
      <c r="NHW119" s="3"/>
      <c r="NHX119" s="3"/>
      <c r="NHY119" s="3"/>
      <c r="NHZ119" s="3"/>
      <c r="NIA119" s="3"/>
      <c r="NIB119" s="3"/>
      <c r="NIC119" s="3"/>
      <c r="NID119" s="3"/>
      <c r="NIE119" s="3"/>
      <c r="NIF119" s="3"/>
      <c r="NIG119" s="3"/>
      <c r="NIH119" s="3"/>
      <c r="NII119" s="3"/>
      <c r="NIJ119" s="3"/>
      <c r="NIK119" s="3"/>
      <c r="NIL119" s="3"/>
      <c r="NIM119" s="3"/>
      <c r="NIN119" s="3"/>
      <c r="NIO119" s="3"/>
      <c r="NIP119" s="3"/>
      <c r="NIQ119" s="3"/>
      <c r="NIR119" s="3"/>
      <c r="NIS119" s="3"/>
      <c r="NIT119" s="3"/>
      <c r="NIU119" s="3"/>
      <c r="NIV119" s="3"/>
      <c r="NIW119" s="3"/>
      <c r="NIX119" s="3"/>
      <c r="NIY119" s="3"/>
      <c r="NIZ119" s="3"/>
      <c r="NJA119" s="3"/>
      <c r="NJB119" s="3"/>
      <c r="NJC119" s="3"/>
      <c r="NJD119" s="3"/>
      <c r="NJE119" s="3"/>
      <c r="NJF119" s="3"/>
      <c r="NJG119" s="3"/>
      <c r="NJH119" s="3"/>
      <c r="NJI119" s="3"/>
      <c r="NJJ119" s="3"/>
      <c r="NJK119" s="3"/>
      <c r="NJL119" s="3"/>
      <c r="NJM119" s="3"/>
      <c r="NJN119" s="3"/>
      <c r="NJO119" s="3"/>
      <c r="NJP119" s="3"/>
      <c r="NJQ119" s="3"/>
      <c r="NJR119" s="3"/>
      <c r="NJS119" s="3"/>
      <c r="NJT119" s="3"/>
      <c r="NJU119" s="3"/>
      <c r="NJV119" s="3"/>
      <c r="NJW119" s="3"/>
      <c r="NJX119" s="3"/>
      <c r="NJY119" s="3"/>
      <c r="NJZ119" s="3"/>
      <c r="NKA119" s="3"/>
      <c r="NKB119" s="3"/>
      <c r="NKC119" s="3"/>
      <c r="NKD119" s="3"/>
      <c r="NKE119" s="3"/>
      <c r="NKF119" s="3"/>
      <c r="NKG119" s="3"/>
      <c r="NKH119" s="3"/>
      <c r="NKI119" s="3"/>
      <c r="NKJ119" s="3"/>
      <c r="NKK119" s="3"/>
      <c r="NKL119" s="3"/>
      <c r="NKM119" s="3"/>
      <c r="NKN119" s="3"/>
      <c r="NKO119" s="3"/>
      <c r="NKP119" s="3"/>
      <c r="NKQ119" s="3"/>
      <c r="NKR119" s="3"/>
      <c r="NKS119" s="3"/>
      <c r="NKT119" s="3"/>
      <c r="NKU119" s="3"/>
      <c r="NKV119" s="3"/>
      <c r="NKW119" s="3"/>
      <c r="NKX119" s="3"/>
      <c r="NKY119" s="3"/>
      <c r="NKZ119" s="3"/>
      <c r="NLA119" s="3"/>
      <c r="NLB119" s="3"/>
      <c r="NLC119" s="3"/>
      <c r="NLD119" s="3"/>
      <c r="NLE119" s="3"/>
      <c r="NLF119" s="3"/>
      <c r="NLG119" s="3"/>
      <c r="NLH119" s="3"/>
      <c r="NLI119" s="3"/>
      <c r="NLJ119" s="3"/>
      <c r="NLK119" s="3"/>
      <c r="NLL119" s="3"/>
      <c r="NLM119" s="3"/>
      <c r="NLN119" s="3"/>
      <c r="NLO119" s="3"/>
      <c r="NLP119" s="3"/>
      <c r="NLQ119" s="3"/>
      <c r="NLR119" s="3"/>
      <c r="NLS119" s="3"/>
      <c r="NLT119" s="3"/>
      <c r="NLU119" s="3"/>
      <c r="NLV119" s="3"/>
      <c r="NLW119" s="3"/>
      <c r="NLX119" s="3"/>
      <c r="NLY119" s="3"/>
      <c r="NLZ119" s="3"/>
      <c r="NMA119" s="3"/>
      <c r="NMB119" s="3"/>
      <c r="NMC119" s="3"/>
      <c r="NMD119" s="3"/>
      <c r="NME119" s="3"/>
      <c r="NMF119" s="3"/>
      <c r="NMG119" s="3"/>
      <c r="NMH119" s="3"/>
      <c r="NMI119" s="3"/>
      <c r="NMJ119" s="3"/>
      <c r="NMK119" s="3"/>
      <c r="NML119" s="3"/>
      <c r="NMM119" s="3"/>
      <c r="NMN119" s="3"/>
      <c r="NMO119" s="3"/>
      <c r="NMP119" s="3"/>
      <c r="NMQ119" s="3"/>
      <c r="NMR119" s="3"/>
      <c r="NMS119" s="3"/>
      <c r="NMT119" s="3"/>
      <c r="NMU119" s="3"/>
      <c r="NMV119" s="3"/>
      <c r="NMW119" s="3"/>
      <c r="NMX119" s="3"/>
      <c r="NMY119" s="3"/>
      <c r="NMZ119" s="3"/>
      <c r="NNA119" s="3"/>
      <c r="NNB119" s="3"/>
      <c r="NNC119" s="3"/>
      <c r="NND119" s="3"/>
      <c r="NNE119" s="3"/>
      <c r="NNF119" s="3"/>
      <c r="NNG119" s="3"/>
      <c r="NNH119" s="3"/>
      <c r="NNI119" s="3"/>
      <c r="NNJ119" s="3"/>
      <c r="NNK119" s="3"/>
      <c r="NNL119" s="3"/>
      <c r="NNM119" s="3"/>
      <c r="NNN119" s="3"/>
      <c r="NNO119" s="3"/>
      <c r="NNP119" s="3"/>
      <c r="NNQ119" s="3"/>
      <c r="NNR119" s="3"/>
      <c r="NNS119" s="3"/>
      <c r="NNT119" s="3"/>
      <c r="NNU119" s="3"/>
      <c r="NNV119" s="3"/>
      <c r="NNW119" s="3"/>
      <c r="NNX119" s="3"/>
      <c r="NNY119" s="3"/>
      <c r="NNZ119" s="3"/>
      <c r="NOA119" s="3"/>
      <c r="NOB119" s="3"/>
      <c r="NOC119" s="3"/>
      <c r="NOD119" s="3"/>
      <c r="NOE119" s="3"/>
      <c r="NOF119" s="3"/>
      <c r="NOG119" s="3"/>
      <c r="NOH119" s="3"/>
      <c r="NOI119" s="3"/>
      <c r="NOJ119" s="3"/>
      <c r="NOK119" s="3"/>
      <c r="NOL119" s="3"/>
      <c r="NOM119" s="3"/>
      <c r="NON119" s="3"/>
      <c r="NOO119" s="3"/>
      <c r="NOP119" s="3"/>
      <c r="NOQ119" s="3"/>
      <c r="NOR119" s="3"/>
      <c r="NOS119" s="3"/>
      <c r="NOT119" s="3"/>
      <c r="NOU119" s="3"/>
      <c r="NOV119" s="3"/>
      <c r="NOW119" s="3"/>
      <c r="NOX119" s="3"/>
      <c r="NOY119" s="3"/>
      <c r="NOZ119" s="3"/>
      <c r="NPA119" s="3"/>
      <c r="NPB119" s="3"/>
      <c r="NPC119" s="3"/>
      <c r="NPD119" s="3"/>
      <c r="NPE119" s="3"/>
      <c r="NPF119" s="3"/>
      <c r="NPG119" s="3"/>
      <c r="NPH119" s="3"/>
      <c r="NPI119" s="3"/>
      <c r="NPJ119" s="3"/>
      <c r="NPK119" s="3"/>
      <c r="NPL119" s="3"/>
      <c r="NPM119" s="3"/>
      <c r="NPN119" s="3"/>
      <c r="NPO119" s="3"/>
      <c r="NPP119" s="3"/>
      <c r="NPQ119" s="3"/>
      <c r="NPR119" s="3"/>
      <c r="NPS119" s="3"/>
      <c r="NPT119" s="3"/>
      <c r="NPU119" s="3"/>
      <c r="NPV119" s="3"/>
      <c r="NPW119" s="3"/>
      <c r="NPX119" s="3"/>
      <c r="NPY119" s="3"/>
      <c r="NPZ119" s="3"/>
      <c r="NQA119" s="3"/>
      <c r="NQB119" s="3"/>
      <c r="NQC119" s="3"/>
      <c r="NQD119" s="3"/>
      <c r="NQE119" s="3"/>
      <c r="NQF119" s="3"/>
      <c r="NQG119" s="3"/>
      <c r="NQH119" s="3"/>
      <c r="NQI119" s="3"/>
      <c r="NQJ119" s="3"/>
      <c r="NQK119" s="3"/>
      <c r="NQL119" s="3"/>
      <c r="NQM119" s="3"/>
      <c r="NQN119" s="3"/>
      <c r="NQO119" s="3"/>
      <c r="NQP119" s="3"/>
      <c r="NQQ119" s="3"/>
      <c r="NQR119" s="3"/>
      <c r="NQS119" s="3"/>
      <c r="NQT119" s="3"/>
      <c r="NQU119" s="3"/>
      <c r="NQV119" s="3"/>
      <c r="NQW119" s="3"/>
      <c r="NQX119" s="3"/>
      <c r="NQY119" s="3"/>
      <c r="NQZ119" s="3"/>
      <c r="NRA119" s="3"/>
      <c r="NRB119" s="3"/>
      <c r="NRC119" s="3"/>
      <c r="NRD119" s="3"/>
      <c r="NRE119" s="3"/>
      <c r="NRF119" s="3"/>
      <c r="NRG119" s="3"/>
      <c r="NRH119" s="3"/>
      <c r="NRI119" s="3"/>
      <c r="NRJ119" s="3"/>
      <c r="NRK119" s="3"/>
      <c r="NRL119" s="3"/>
      <c r="NRM119" s="3"/>
      <c r="NRN119" s="3"/>
      <c r="NRO119" s="3"/>
      <c r="NRP119" s="3"/>
      <c r="NRQ119" s="3"/>
      <c r="NRR119" s="3"/>
      <c r="NRS119" s="3"/>
      <c r="NRT119" s="3"/>
      <c r="NRU119" s="3"/>
      <c r="NRV119" s="3"/>
      <c r="NRW119" s="3"/>
      <c r="NRX119" s="3"/>
      <c r="NRY119" s="3"/>
      <c r="NRZ119" s="3"/>
      <c r="NSA119" s="3"/>
      <c r="NSB119" s="3"/>
      <c r="NSC119" s="3"/>
      <c r="NSD119" s="3"/>
      <c r="NSE119" s="3"/>
      <c r="NSF119" s="3"/>
      <c r="NSG119" s="3"/>
      <c r="NSH119" s="3"/>
      <c r="NSI119" s="3"/>
      <c r="NSJ119" s="3"/>
      <c r="NSK119" s="3"/>
      <c r="NSL119" s="3"/>
      <c r="NSM119" s="3"/>
      <c r="NSN119" s="3"/>
      <c r="NSO119" s="3"/>
      <c r="NSP119" s="3"/>
      <c r="NSQ119" s="3"/>
      <c r="NSR119" s="3"/>
      <c r="NSS119" s="3"/>
      <c r="NST119" s="3"/>
      <c r="NSU119" s="3"/>
      <c r="NSV119" s="3"/>
      <c r="NSW119" s="3"/>
      <c r="NSX119" s="3"/>
      <c r="NSY119" s="3"/>
      <c r="NSZ119" s="3"/>
      <c r="NTA119" s="3"/>
      <c r="NTB119" s="3"/>
      <c r="NTC119" s="3"/>
      <c r="NTD119" s="3"/>
      <c r="NTE119" s="3"/>
      <c r="NTF119" s="3"/>
      <c r="NTG119" s="3"/>
      <c r="NTH119" s="3"/>
      <c r="NTI119" s="3"/>
      <c r="NTJ119" s="3"/>
      <c r="NTK119" s="3"/>
      <c r="NTL119" s="3"/>
      <c r="NTM119" s="3"/>
      <c r="NTN119" s="3"/>
      <c r="NTO119" s="3"/>
      <c r="NTP119" s="3"/>
      <c r="NTQ119" s="3"/>
      <c r="NTR119" s="3"/>
      <c r="NTS119" s="3"/>
      <c r="NTT119" s="3"/>
      <c r="NTU119" s="3"/>
      <c r="NTV119" s="3"/>
      <c r="NTW119" s="3"/>
      <c r="NTX119" s="3"/>
      <c r="NTY119" s="3"/>
      <c r="NTZ119" s="3"/>
      <c r="NUA119" s="3"/>
      <c r="NUB119" s="3"/>
      <c r="NUC119" s="3"/>
      <c r="NUD119" s="3"/>
      <c r="NUE119" s="3"/>
      <c r="NUF119" s="3"/>
      <c r="NUG119" s="3"/>
      <c r="NUH119" s="3"/>
      <c r="NUI119" s="3"/>
      <c r="NUJ119" s="3"/>
      <c r="NUK119" s="3"/>
      <c r="NUL119" s="3"/>
      <c r="NUM119" s="3"/>
      <c r="NUN119" s="3"/>
      <c r="NUO119" s="3"/>
      <c r="NUP119" s="3"/>
      <c r="NUQ119" s="3"/>
      <c r="NUR119" s="3"/>
      <c r="NUS119" s="3"/>
      <c r="NUT119" s="3"/>
      <c r="NUU119" s="3"/>
      <c r="NUV119" s="3"/>
      <c r="NUW119" s="3"/>
      <c r="NUX119" s="3"/>
      <c r="NUY119" s="3"/>
      <c r="NUZ119" s="3"/>
      <c r="NVA119" s="3"/>
      <c r="NVB119" s="3"/>
      <c r="NVC119" s="3"/>
      <c r="NVD119" s="3"/>
      <c r="NVE119" s="3"/>
      <c r="NVF119" s="3"/>
      <c r="NVG119" s="3"/>
      <c r="NVH119" s="3"/>
      <c r="NVI119" s="3"/>
      <c r="NVJ119" s="3"/>
      <c r="NVK119" s="3"/>
      <c r="NVL119" s="3"/>
      <c r="NVM119" s="3"/>
      <c r="NVN119" s="3"/>
      <c r="NVO119" s="3"/>
      <c r="NVP119" s="3"/>
      <c r="NVQ119" s="3"/>
      <c r="NVR119" s="3"/>
      <c r="NVS119" s="3"/>
      <c r="NVT119" s="3"/>
      <c r="NVU119" s="3"/>
      <c r="NVV119" s="3"/>
      <c r="NVW119" s="3"/>
      <c r="NVX119" s="3"/>
      <c r="NVY119" s="3"/>
      <c r="NVZ119" s="3"/>
      <c r="NWA119" s="3"/>
      <c r="NWB119" s="3"/>
      <c r="NWC119" s="3"/>
      <c r="NWD119" s="3"/>
      <c r="NWE119" s="3"/>
      <c r="NWF119" s="3"/>
      <c r="NWG119" s="3"/>
      <c r="NWH119" s="3"/>
      <c r="NWI119" s="3"/>
      <c r="NWJ119" s="3"/>
      <c r="NWK119" s="3"/>
      <c r="NWL119" s="3"/>
      <c r="NWM119" s="3"/>
      <c r="NWN119" s="3"/>
      <c r="NWO119" s="3"/>
      <c r="NWP119" s="3"/>
      <c r="NWQ119" s="3"/>
      <c r="NWR119" s="3"/>
      <c r="NWS119" s="3"/>
      <c r="NWT119" s="3"/>
      <c r="NWU119" s="3"/>
      <c r="NWV119" s="3"/>
      <c r="NWW119" s="3"/>
      <c r="NWX119" s="3"/>
      <c r="NWY119" s="3"/>
      <c r="NWZ119" s="3"/>
      <c r="NXA119" s="3"/>
      <c r="NXB119" s="3"/>
      <c r="NXC119" s="3"/>
      <c r="NXD119" s="3"/>
      <c r="NXE119" s="3"/>
      <c r="NXF119" s="3"/>
      <c r="NXG119" s="3"/>
      <c r="NXH119" s="3"/>
      <c r="NXI119" s="3"/>
      <c r="NXJ119" s="3"/>
      <c r="NXK119" s="3"/>
      <c r="NXL119" s="3"/>
      <c r="NXM119" s="3"/>
      <c r="NXN119" s="3"/>
      <c r="NXO119" s="3"/>
      <c r="NXP119" s="3"/>
      <c r="NXQ119" s="3"/>
      <c r="NXR119" s="3"/>
      <c r="NXS119" s="3"/>
      <c r="NXT119" s="3"/>
      <c r="NXU119" s="3"/>
      <c r="NXV119" s="3"/>
      <c r="NXW119" s="3"/>
      <c r="NXX119" s="3"/>
      <c r="NXY119" s="3"/>
      <c r="NXZ119" s="3"/>
      <c r="NYA119" s="3"/>
      <c r="NYB119" s="3"/>
      <c r="NYC119" s="3"/>
      <c r="NYD119" s="3"/>
      <c r="NYE119" s="3"/>
      <c r="NYF119" s="3"/>
      <c r="NYG119" s="3"/>
      <c r="NYH119" s="3"/>
      <c r="NYI119" s="3"/>
      <c r="NYJ119" s="3"/>
      <c r="NYK119" s="3"/>
      <c r="NYL119" s="3"/>
      <c r="NYM119" s="3"/>
      <c r="NYN119" s="3"/>
      <c r="NYO119" s="3"/>
      <c r="NYP119" s="3"/>
      <c r="NYQ119" s="3"/>
      <c r="NYR119" s="3"/>
      <c r="NYS119" s="3"/>
      <c r="NYT119" s="3"/>
      <c r="NYU119" s="3"/>
      <c r="NYV119" s="3"/>
      <c r="NYW119" s="3"/>
      <c r="NYX119" s="3"/>
      <c r="NYY119" s="3"/>
      <c r="NYZ119" s="3"/>
      <c r="NZA119" s="3"/>
      <c r="NZB119" s="3"/>
      <c r="NZC119" s="3"/>
      <c r="NZD119" s="3"/>
      <c r="NZE119" s="3"/>
      <c r="NZF119" s="3"/>
      <c r="NZG119" s="3"/>
      <c r="NZH119" s="3"/>
      <c r="NZI119" s="3"/>
      <c r="NZJ119" s="3"/>
      <c r="NZK119" s="3"/>
      <c r="NZL119" s="3"/>
      <c r="NZM119" s="3"/>
      <c r="NZN119" s="3"/>
      <c r="NZO119" s="3"/>
      <c r="NZP119" s="3"/>
      <c r="NZQ119" s="3"/>
      <c r="NZR119" s="3"/>
      <c r="NZS119" s="3"/>
      <c r="NZT119" s="3"/>
      <c r="NZU119" s="3"/>
      <c r="NZV119" s="3"/>
      <c r="NZW119" s="3"/>
      <c r="NZX119" s="3"/>
      <c r="NZY119" s="3"/>
      <c r="NZZ119" s="3"/>
      <c r="OAA119" s="3"/>
      <c r="OAB119" s="3"/>
      <c r="OAC119" s="3"/>
      <c r="OAD119" s="3"/>
      <c r="OAE119" s="3"/>
      <c r="OAF119" s="3"/>
      <c r="OAG119" s="3"/>
      <c r="OAH119" s="3"/>
      <c r="OAI119" s="3"/>
      <c r="OAJ119" s="3"/>
      <c r="OAK119" s="3"/>
      <c r="OAL119" s="3"/>
      <c r="OAM119" s="3"/>
      <c r="OAN119" s="3"/>
      <c r="OAO119" s="3"/>
      <c r="OAP119" s="3"/>
      <c r="OAQ119" s="3"/>
      <c r="OAR119" s="3"/>
      <c r="OAS119" s="3"/>
      <c r="OAT119" s="3"/>
      <c r="OAU119" s="3"/>
      <c r="OAV119" s="3"/>
      <c r="OAW119" s="3"/>
      <c r="OAX119" s="3"/>
      <c r="OAY119" s="3"/>
      <c r="OAZ119" s="3"/>
      <c r="OBA119" s="3"/>
      <c r="OBB119" s="3"/>
      <c r="OBC119" s="3"/>
      <c r="OBD119" s="3"/>
      <c r="OBE119" s="3"/>
      <c r="OBF119" s="3"/>
      <c r="OBG119" s="3"/>
      <c r="OBH119" s="3"/>
      <c r="OBI119" s="3"/>
      <c r="OBJ119" s="3"/>
      <c r="OBK119" s="3"/>
      <c r="OBL119" s="3"/>
      <c r="OBM119" s="3"/>
      <c r="OBN119" s="3"/>
      <c r="OBO119" s="3"/>
      <c r="OBP119" s="3"/>
      <c r="OBQ119" s="3"/>
      <c r="OBR119" s="3"/>
      <c r="OBS119" s="3"/>
      <c r="OBT119" s="3"/>
      <c r="OBU119" s="3"/>
      <c r="OBV119" s="3"/>
      <c r="OBW119" s="3"/>
      <c r="OBX119" s="3"/>
      <c r="OBY119" s="3"/>
      <c r="OBZ119" s="3"/>
      <c r="OCA119" s="3"/>
      <c r="OCB119" s="3"/>
      <c r="OCC119" s="3"/>
      <c r="OCD119" s="3"/>
      <c r="OCE119" s="3"/>
      <c r="OCF119" s="3"/>
      <c r="OCG119" s="3"/>
      <c r="OCH119" s="3"/>
      <c r="OCI119" s="3"/>
      <c r="OCJ119" s="3"/>
      <c r="OCK119" s="3"/>
      <c r="OCL119" s="3"/>
      <c r="OCM119" s="3"/>
      <c r="OCN119" s="3"/>
      <c r="OCO119" s="3"/>
      <c r="OCP119" s="3"/>
      <c r="OCQ119" s="3"/>
      <c r="OCR119" s="3"/>
      <c r="OCS119" s="3"/>
      <c r="OCT119" s="3"/>
      <c r="OCU119" s="3"/>
      <c r="OCV119" s="3"/>
      <c r="OCW119" s="3"/>
      <c r="OCX119" s="3"/>
      <c r="OCY119" s="3"/>
      <c r="OCZ119" s="3"/>
      <c r="ODA119" s="3"/>
      <c r="ODB119" s="3"/>
      <c r="ODC119" s="3"/>
      <c r="ODD119" s="3"/>
      <c r="ODE119" s="3"/>
      <c r="ODF119" s="3"/>
      <c r="ODG119" s="3"/>
      <c r="ODH119" s="3"/>
      <c r="ODI119" s="3"/>
      <c r="ODJ119" s="3"/>
      <c r="ODK119" s="3"/>
      <c r="ODL119" s="3"/>
      <c r="ODM119" s="3"/>
      <c r="ODN119" s="3"/>
      <c r="ODO119" s="3"/>
      <c r="ODP119" s="3"/>
      <c r="ODQ119" s="3"/>
      <c r="ODR119" s="3"/>
      <c r="ODS119" s="3"/>
      <c r="ODT119" s="3"/>
      <c r="ODU119" s="3"/>
      <c r="ODV119" s="3"/>
      <c r="ODW119" s="3"/>
      <c r="ODX119" s="3"/>
      <c r="ODY119" s="3"/>
      <c r="ODZ119" s="3"/>
      <c r="OEA119" s="3"/>
      <c r="OEB119" s="3"/>
      <c r="OEC119" s="3"/>
      <c r="OED119" s="3"/>
      <c r="OEE119" s="3"/>
      <c r="OEF119" s="3"/>
      <c r="OEG119" s="3"/>
      <c r="OEH119" s="3"/>
      <c r="OEI119" s="3"/>
      <c r="OEJ119" s="3"/>
      <c r="OEK119" s="3"/>
      <c r="OEL119" s="3"/>
      <c r="OEM119" s="3"/>
      <c r="OEN119" s="3"/>
      <c r="OEO119" s="3"/>
      <c r="OEP119" s="3"/>
      <c r="OEQ119" s="3"/>
      <c r="OER119" s="3"/>
      <c r="OES119" s="3"/>
      <c r="OET119" s="3"/>
      <c r="OEU119" s="3"/>
      <c r="OEV119" s="3"/>
      <c r="OEW119" s="3"/>
      <c r="OEX119" s="3"/>
      <c r="OEY119" s="3"/>
      <c r="OEZ119" s="3"/>
      <c r="OFA119" s="3"/>
      <c r="OFB119" s="3"/>
      <c r="OFC119" s="3"/>
      <c r="OFD119" s="3"/>
      <c r="OFE119" s="3"/>
      <c r="OFF119" s="3"/>
      <c r="OFG119" s="3"/>
      <c r="OFH119" s="3"/>
      <c r="OFI119" s="3"/>
      <c r="OFJ119" s="3"/>
      <c r="OFK119" s="3"/>
      <c r="OFL119" s="3"/>
      <c r="OFM119" s="3"/>
      <c r="OFN119" s="3"/>
      <c r="OFO119" s="3"/>
      <c r="OFP119" s="3"/>
      <c r="OFQ119" s="3"/>
      <c r="OFR119" s="3"/>
      <c r="OFS119" s="3"/>
      <c r="OFT119" s="3"/>
      <c r="OFU119" s="3"/>
      <c r="OFV119" s="3"/>
      <c r="OFW119" s="3"/>
      <c r="OFX119" s="3"/>
      <c r="OFY119" s="3"/>
      <c r="OFZ119" s="3"/>
      <c r="OGA119" s="3"/>
      <c r="OGB119" s="3"/>
      <c r="OGC119" s="3"/>
      <c r="OGD119" s="3"/>
      <c r="OGE119" s="3"/>
      <c r="OGF119" s="3"/>
      <c r="OGG119" s="3"/>
      <c r="OGH119" s="3"/>
      <c r="OGI119" s="3"/>
      <c r="OGJ119" s="3"/>
      <c r="OGK119" s="3"/>
      <c r="OGL119" s="3"/>
      <c r="OGM119" s="3"/>
      <c r="OGN119" s="3"/>
      <c r="OGO119" s="3"/>
      <c r="OGP119" s="3"/>
      <c r="OGQ119" s="3"/>
      <c r="OGR119" s="3"/>
      <c r="OGS119" s="3"/>
      <c r="OGT119" s="3"/>
      <c r="OGU119" s="3"/>
      <c r="OGV119" s="3"/>
      <c r="OGW119" s="3"/>
      <c r="OGX119" s="3"/>
      <c r="OGY119" s="3"/>
      <c r="OGZ119" s="3"/>
      <c r="OHA119" s="3"/>
      <c r="OHB119" s="3"/>
      <c r="OHC119" s="3"/>
      <c r="OHD119" s="3"/>
      <c r="OHE119" s="3"/>
      <c r="OHF119" s="3"/>
      <c r="OHG119" s="3"/>
      <c r="OHH119" s="3"/>
      <c r="OHI119" s="3"/>
      <c r="OHJ119" s="3"/>
      <c r="OHK119" s="3"/>
      <c r="OHL119" s="3"/>
      <c r="OHM119" s="3"/>
      <c r="OHN119" s="3"/>
      <c r="OHO119" s="3"/>
      <c r="OHP119" s="3"/>
      <c r="OHQ119" s="3"/>
      <c r="OHR119" s="3"/>
      <c r="OHS119" s="3"/>
      <c r="OHT119" s="3"/>
      <c r="OHU119" s="3"/>
      <c r="OHV119" s="3"/>
      <c r="OHW119" s="3"/>
      <c r="OHX119" s="3"/>
      <c r="OHY119" s="3"/>
      <c r="OHZ119" s="3"/>
      <c r="OIA119" s="3"/>
      <c r="OIB119" s="3"/>
      <c r="OIC119" s="3"/>
      <c r="OID119" s="3"/>
      <c r="OIE119" s="3"/>
      <c r="OIF119" s="3"/>
      <c r="OIG119" s="3"/>
      <c r="OIH119" s="3"/>
      <c r="OII119" s="3"/>
      <c r="OIJ119" s="3"/>
      <c r="OIK119" s="3"/>
      <c r="OIL119" s="3"/>
      <c r="OIM119" s="3"/>
      <c r="OIN119" s="3"/>
      <c r="OIO119" s="3"/>
      <c r="OIP119" s="3"/>
      <c r="OIQ119" s="3"/>
      <c r="OIR119" s="3"/>
      <c r="OIS119" s="3"/>
      <c r="OIT119" s="3"/>
      <c r="OIU119" s="3"/>
      <c r="OIV119" s="3"/>
      <c r="OIW119" s="3"/>
      <c r="OIX119" s="3"/>
      <c r="OIY119" s="3"/>
      <c r="OIZ119" s="3"/>
      <c r="OJA119" s="3"/>
      <c r="OJB119" s="3"/>
      <c r="OJC119" s="3"/>
      <c r="OJD119" s="3"/>
      <c r="OJE119" s="3"/>
      <c r="OJF119" s="3"/>
      <c r="OJG119" s="3"/>
      <c r="OJH119" s="3"/>
      <c r="OJI119" s="3"/>
      <c r="OJJ119" s="3"/>
      <c r="OJK119" s="3"/>
      <c r="OJL119" s="3"/>
      <c r="OJM119" s="3"/>
      <c r="OJN119" s="3"/>
      <c r="OJO119" s="3"/>
      <c r="OJP119" s="3"/>
      <c r="OJQ119" s="3"/>
      <c r="OJR119" s="3"/>
      <c r="OJS119" s="3"/>
      <c r="OJT119" s="3"/>
      <c r="OJU119" s="3"/>
      <c r="OJV119" s="3"/>
      <c r="OJW119" s="3"/>
      <c r="OJX119" s="3"/>
      <c r="OJY119" s="3"/>
      <c r="OJZ119" s="3"/>
      <c r="OKA119" s="3"/>
      <c r="OKB119" s="3"/>
      <c r="OKC119" s="3"/>
      <c r="OKD119" s="3"/>
      <c r="OKE119" s="3"/>
      <c r="OKF119" s="3"/>
      <c r="OKG119" s="3"/>
      <c r="OKH119" s="3"/>
      <c r="OKI119" s="3"/>
      <c r="OKJ119" s="3"/>
      <c r="OKK119" s="3"/>
      <c r="OKL119" s="3"/>
      <c r="OKM119" s="3"/>
      <c r="OKN119" s="3"/>
      <c r="OKO119" s="3"/>
      <c r="OKP119" s="3"/>
      <c r="OKQ119" s="3"/>
      <c r="OKR119" s="3"/>
      <c r="OKS119" s="3"/>
      <c r="OKT119" s="3"/>
      <c r="OKU119" s="3"/>
      <c r="OKV119" s="3"/>
      <c r="OKW119" s="3"/>
      <c r="OKX119" s="3"/>
      <c r="OKY119" s="3"/>
      <c r="OKZ119" s="3"/>
      <c r="OLA119" s="3"/>
      <c r="OLB119" s="3"/>
      <c r="OLC119" s="3"/>
      <c r="OLD119" s="3"/>
      <c r="OLE119" s="3"/>
      <c r="OLF119" s="3"/>
      <c r="OLG119" s="3"/>
      <c r="OLH119" s="3"/>
      <c r="OLI119" s="3"/>
      <c r="OLJ119" s="3"/>
      <c r="OLK119" s="3"/>
      <c r="OLL119" s="3"/>
      <c r="OLM119" s="3"/>
      <c r="OLN119" s="3"/>
      <c r="OLO119" s="3"/>
      <c r="OLP119" s="3"/>
      <c r="OLQ119" s="3"/>
      <c r="OLR119" s="3"/>
      <c r="OLS119" s="3"/>
      <c r="OLT119" s="3"/>
      <c r="OLU119" s="3"/>
      <c r="OLV119" s="3"/>
      <c r="OLW119" s="3"/>
      <c r="OLX119" s="3"/>
      <c r="OLY119" s="3"/>
      <c r="OLZ119" s="3"/>
      <c r="OMA119" s="3"/>
      <c r="OMB119" s="3"/>
      <c r="OMC119" s="3"/>
      <c r="OMD119" s="3"/>
      <c r="OME119" s="3"/>
      <c r="OMF119" s="3"/>
      <c r="OMG119" s="3"/>
      <c r="OMH119" s="3"/>
      <c r="OMI119" s="3"/>
      <c r="OMJ119" s="3"/>
      <c r="OMK119" s="3"/>
      <c r="OML119" s="3"/>
      <c r="OMM119" s="3"/>
      <c r="OMN119" s="3"/>
      <c r="OMO119" s="3"/>
      <c r="OMP119" s="3"/>
      <c r="OMQ119" s="3"/>
      <c r="OMR119" s="3"/>
      <c r="OMS119" s="3"/>
      <c r="OMT119" s="3"/>
      <c r="OMU119" s="3"/>
      <c r="OMV119" s="3"/>
      <c r="OMW119" s="3"/>
      <c r="OMX119" s="3"/>
      <c r="OMY119" s="3"/>
      <c r="OMZ119" s="3"/>
      <c r="ONA119" s="3"/>
      <c r="ONB119" s="3"/>
      <c r="ONC119" s="3"/>
      <c r="OND119" s="3"/>
      <c r="ONE119" s="3"/>
      <c r="ONF119" s="3"/>
      <c r="ONG119" s="3"/>
      <c r="ONH119" s="3"/>
      <c r="ONI119" s="3"/>
      <c r="ONJ119" s="3"/>
      <c r="ONK119" s="3"/>
      <c r="ONL119" s="3"/>
      <c r="ONM119" s="3"/>
      <c r="ONN119" s="3"/>
      <c r="ONO119" s="3"/>
      <c r="ONP119" s="3"/>
      <c r="ONQ119" s="3"/>
      <c r="ONR119" s="3"/>
      <c r="ONS119" s="3"/>
      <c r="ONT119" s="3"/>
      <c r="ONU119" s="3"/>
      <c r="ONV119" s="3"/>
      <c r="ONW119" s="3"/>
      <c r="ONX119" s="3"/>
      <c r="ONY119" s="3"/>
      <c r="ONZ119" s="3"/>
      <c r="OOA119" s="3"/>
      <c r="OOB119" s="3"/>
      <c r="OOC119" s="3"/>
      <c r="OOD119" s="3"/>
      <c r="OOE119" s="3"/>
      <c r="OOF119" s="3"/>
      <c r="OOG119" s="3"/>
      <c r="OOH119" s="3"/>
      <c r="OOI119" s="3"/>
      <c r="OOJ119" s="3"/>
      <c r="OOK119" s="3"/>
      <c r="OOL119" s="3"/>
      <c r="OOM119" s="3"/>
      <c r="OON119" s="3"/>
      <c r="OOO119" s="3"/>
      <c r="OOP119" s="3"/>
      <c r="OOQ119" s="3"/>
      <c r="OOR119" s="3"/>
      <c r="OOS119" s="3"/>
      <c r="OOT119" s="3"/>
      <c r="OOU119" s="3"/>
      <c r="OOV119" s="3"/>
      <c r="OOW119" s="3"/>
      <c r="OOX119" s="3"/>
      <c r="OOY119" s="3"/>
      <c r="OOZ119" s="3"/>
      <c r="OPA119" s="3"/>
      <c r="OPB119" s="3"/>
      <c r="OPC119" s="3"/>
      <c r="OPD119" s="3"/>
      <c r="OPE119" s="3"/>
      <c r="OPF119" s="3"/>
      <c r="OPG119" s="3"/>
      <c r="OPH119" s="3"/>
      <c r="OPI119" s="3"/>
      <c r="OPJ119" s="3"/>
      <c r="OPK119" s="3"/>
      <c r="OPL119" s="3"/>
      <c r="OPM119" s="3"/>
      <c r="OPN119" s="3"/>
      <c r="OPO119" s="3"/>
      <c r="OPP119" s="3"/>
      <c r="OPQ119" s="3"/>
      <c r="OPR119" s="3"/>
      <c r="OPS119" s="3"/>
      <c r="OPT119" s="3"/>
      <c r="OPU119" s="3"/>
      <c r="OPV119" s="3"/>
      <c r="OPW119" s="3"/>
      <c r="OPX119" s="3"/>
      <c r="OPY119" s="3"/>
      <c r="OPZ119" s="3"/>
      <c r="OQA119" s="3"/>
      <c r="OQB119" s="3"/>
      <c r="OQC119" s="3"/>
      <c r="OQD119" s="3"/>
      <c r="OQE119" s="3"/>
      <c r="OQF119" s="3"/>
      <c r="OQG119" s="3"/>
      <c r="OQH119" s="3"/>
      <c r="OQI119" s="3"/>
      <c r="OQJ119" s="3"/>
      <c r="OQK119" s="3"/>
      <c r="OQL119" s="3"/>
      <c r="OQM119" s="3"/>
      <c r="OQN119" s="3"/>
      <c r="OQO119" s="3"/>
      <c r="OQP119" s="3"/>
      <c r="OQQ119" s="3"/>
      <c r="OQR119" s="3"/>
      <c r="OQS119" s="3"/>
      <c r="OQT119" s="3"/>
      <c r="OQU119" s="3"/>
      <c r="OQV119" s="3"/>
      <c r="OQW119" s="3"/>
      <c r="OQX119" s="3"/>
      <c r="OQY119" s="3"/>
      <c r="OQZ119" s="3"/>
      <c r="ORA119" s="3"/>
      <c r="ORB119" s="3"/>
      <c r="ORC119" s="3"/>
      <c r="ORD119" s="3"/>
      <c r="ORE119" s="3"/>
      <c r="ORF119" s="3"/>
      <c r="ORG119" s="3"/>
      <c r="ORH119" s="3"/>
      <c r="ORI119" s="3"/>
      <c r="ORJ119" s="3"/>
      <c r="ORK119" s="3"/>
      <c r="ORL119" s="3"/>
      <c r="ORM119" s="3"/>
      <c r="ORN119" s="3"/>
      <c r="ORO119" s="3"/>
      <c r="ORP119" s="3"/>
      <c r="ORQ119" s="3"/>
      <c r="ORR119" s="3"/>
      <c r="ORS119" s="3"/>
      <c r="ORT119" s="3"/>
      <c r="ORU119" s="3"/>
      <c r="ORV119" s="3"/>
      <c r="ORW119" s="3"/>
      <c r="ORX119" s="3"/>
      <c r="ORY119" s="3"/>
      <c r="ORZ119" s="3"/>
      <c r="OSA119" s="3"/>
      <c r="OSB119" s="3"/>
      <c r="OSC119" s="3"/>
      <c r="OSD119" s="3"/>
      <c r="OSE119" s="3"/>
      <c r="OSF119" s="3"/>
      <c r="OSG119" s="3"/>
      <c r="OSH119" s="3"/>
      <c r="OSI119" s="3"/>
      <c r="OSJ119" s="3"/>
      <c r="OSK119" s="3"/>
      <c r="OSL119" s="3"/>
      <c r="OSM119" s="3"/>
      <c r="OSN119" s="3"/>
      <c r="OSO119" s="3"/>
      <c r="OSP119" s="3"/>
      <c r="OSQ119" s="3"/>
      <c r="OSR119" s="3"/>
      <c r="OSS119" s="3"/>
      <c r="OST119" s="3"/>
      <c r="OSU119" s="3"/>
      <c r="OSV119" s="3"/>
      <c r="OSW119" s="3"/>
      <c r="OSX119" s="3"/>
      <c r="OSY119" s="3"/>
      <c r="OSZ119" s="3"/>
      <c r="OTA119" s="3"/>
      <c r="OTB119" s="3"/>
      <c r="OTC119" s="3"/>
      <c r="OTD119" s="3"/>
      <c r="OTE119" s="3"/>
      <c r="OTF119" s="3"/>
      <c r="OTG119" s="3"/>
      <c r="OTH119" s="3"/>
      <c r="OTI119" s="3"/>
      <c r="OTJ119" s="3"/>
      <c r="OTK119" s="3"/>
      <c r="OTL119" s="3"/>
      <c r="OTM119" s="3"/>
      <c r="OTN119" s="3"/>
      <c r="OTO119" s="3"/>
      <c r="OTP119" s="3"/>
      <c r="OTQ119" s="3"/>
      <c r="OTR119" s="3"/>
      <c r="OTS119" s="3"/>
      <c r="OTT119" s="3"/>
      <c r="OTU119" s="3"/>
      <c r="OTV119" s="3"/>
      <c r="OTW119" s="3"/>
      <c r="OTX119" s="3"/>
      <c r="OTY119" s="3"/>
      <c r="OTZ119" s="3"/>
      <c r="OUA119" s="3"/>
      <c r="OUB119" s="3"/>
      <c r="OUC119" s="3"/>
      <c r="OUD119" s="3"/>
      <c r="OUE119" s="3"/>
      <c r="OUF119" s="3"/>
      <c r="OUG119" s="3"/>
      <c r="OUH119" s="3"/>
      <c r="OUI119" s="3"/>
      <c r="OUJ119" s="3"/>
      <c r="OUK119" s="3"/>
      <c r="OUL119" s="3"/>
      <c r="OUM119" s="3"/>
      <c r="OUN119" s="3"/>
      <c r="OUO119" s="3"/>
      <c r="OUP119" s="3"/>
      <c r="OUQ119" s="3"/>
      <c r="OUR119" s="3"/>
      <c r="OUS119" s="3"/>
      <c r="OUT119" s="3"/>
      <c r="OUU119" s="3"/>
      <c r="OUV119" s="3"/>
      <c r="OUW119" s="3"/>
      <c r="OUX119" s="3"/>
      <c r="OUY119" s="3"/>
      <c r="OUZ119" s="3"/>
      <c r="OVA119" s="3"/>
      <c r="OVB119" s="3"/>
      <c r="OVC119" s="3"/>
      <c r="OVD119" s="3"/>
      <c r="OVE119" s="3"/>
      <c r="OVF119" s="3"/>
      <c r="OVG119" s="3"/>
      <c r="OVH119" s="3"/>
      <c r="OVI119" s="3"/>
      <c r="OVJ119" s="3"/>
      <c r="OVK119" s="3"/>
      <c r="OVL119" s="3"/>
      <c r="OVM119" s="3"/>
      <c r="OVN119" s="3"/>
      <c r="OVO119" s="3"/>
      <c r="OVP119" s="3"/>
      <c r="OVQ119" s="3"/>
      <c r="OVR119" s="3"/>
      <c r="OVS119" s="3"/>
      <c r="OVT119" s="3"/>
      <c r="OVU119" s="3"/>
      <c r="OVV119" s="3"/>
      <c r="OVW119" s="3"/>
      <c r="OVX119" s="3"/>
      <c r="OVY119" s="3"/>
      <c r="OVZ119" s="3"/>
      <c r="OWA119" s="3"/>
      <c r="OWB119" s="3"/>
      <c r="OWC119" s="3"/>
      <c r="OWD119" s="3"/>
      <c r="OWE119" s="3"/>
      <c r="OWF119" s="3"/>
      <c r="OWG119" s="3"/>
      <c r="OWH119" s="3"/>
      <c r="OWI119" s="3"/>
      <c r="OWJ119" s="3"/>
      <c r="OWK119" s="3"/>
      <c r="OWL119" s="3"/>
      <c r="OWM119" s="3"/>
      <c r="OWN119" s="3"/>
      <c r="OWO119" s="3"/>
      <c r="OWP119" s="3"/>
      <c r="OWQ119" s="3"/>
      <c r="OWR119" s="3"/>
      <c r="OWS119" s="3"/>
      <c r="OWT119" s="3"/>
      <c r="OWU119" s="3"/>
      <c r="OWV119" s="3"/>
      <c r="OWW119" s="3"/>
      <c r="OWX119" s="3"/>
      <c r="OWY119" s="3"/>
      <c r="OWZ119" s="3"/>
      <c r="OXA119" s="3"/>
      <c r="OXB119" s="3"/>
      <c r="OXC119" s="3"/>
      <c r="OXD119" s="3"/>
      <c r="OXE119" s="3"/>
      <c r="OXF119" s="3"/>
      <c r="OXG119" s="3"/>
      <c r="OXH119" s="3"/>
      <c r="OXI119" s="3"/>
      <c r="OXJ119" s="3"/>
      <c r="OXK119" s="3"/>
      <c r="OXL119" s="3"/>
      <c r="OXM119" s="3"/>
      <c r="OXN119" s="3"/>
      <c r="OXO119" s="3"/>
      <c r="OXP119" s="3"/>
      <c r="OXQ119" s="3"/>
      <c r="OXR119" s="3"/>
      <c r="OXS119" s="3"/>
      <c r="OXT119" s="3"/>
      <c r="OXU119" s="3"/>
      <c r="OXV119" s="3"/>
      <c r="OXW119" s="3"/>
      <c r="OXX119" s="3"/>
      <c r="OXY119" s="3"/>
      <c r="OXZ119" s="3"/>
      <c r="OYA119" s="3"/>
      <c r="OYB119" s="3"/>
      <c r="OYC119" s="3"/>
      <c r="OYD119" s="3"/>
      <c r="OYE119" s="3"/>
      <c r="OYF119" s="3"/>
      <c r="OYG119" s="3"/>
      <c r="OYH119" s="3"/>
      <c r="OYI119" s="3"/>
      <c r="OYJ119" s="3"/>
      <c r="OYK119" s="3"/>
      <c r="OYL119" s="3"/>
      <c r="OYM119" s="3"/>
      <c r="OYN119" s="3"/>
      <c r="OYO119" s="3"/>
      <c r="OYP119" s="3"/>
      <c r="OYQ119" s="3"/>
      <c r="OYR119" s="3"/>
      <c r="OYS119" s="3"/>
      <c r="OYT119" s="3"/>
      <c r="OYU119" s="3"/>
      <c r="OYV119" s="3"/>
      <c r="OYW119" s="3"/>
      <c r="OYX119" s="3"/>
      <c r="OYY119" s="3"/>
      <c r="OYZ119" s="3"/>
      <c r="OZA119" s="3"/>
      <c r="OZB119" s="3"/>
      <c r="OZC119" s="3"/>
      <c r="OZD119" s="3"/>
      <c r="OZE119" s="3"/>
      <c r="OZF119" s="3"/>
      <c r="OZG119" s="3"/>
      <c r="OZH119" s="3"/>
      <c r="OZI119" s="3"/>
      <c r="OZJ119" s="3"/>
      <c r="OZK119" s="3"/>
      <c r="OZL119" s="3"/>
      <c r="OZM119" s="3"/>
      <c r="OZN119" s="3"/>
      <c r="OZO119" s="3"/>
      <c r="OZP119" s="3"/>
      <c r="OZQ119" s="3"/>
      <c r="OZR119" s="3"/>
      <c r="OZS119" s="3"/>
      <c r="OZT119" s="3"/>
      <c r="OZU119" s="3"/>
      <c r="OZV119" s="3"/>
      <c r="OZW119" s="3"/>
      <c r="OZX119" s="3"/>
      <c r="OZY119" s="3"/>
      <c r="OZZ119" s="3"/>
      <c r="PAA119" s="3"/>
      <c r="PAB119" s="3"/>
      <c r="PAC119" s="3"/>
      <c r="PAD119" s="3"/>
      <c r="PAE119" s="3"/>
      <c r="PAF119" s="3"/>
      <c r="PAG119" s="3"/>
      <c r="PAH119" s="3"/>
      <c r="PAI119" s="3"/>
      <c r="PAJ119" s="3"/>
      <c r="PAK119" s="3"/>
      <c r="PAL119" s="3"/>
      <c r="PAM119" s="3"/>
      <c r="PAN119" s="3"/>
      <c r="PAO119" s="3"/>
      <c r="PAP119" s="3"/>
      <c r="PAQ119" s="3"/>
      <c r="PAR119" s="3"/>
      <c r="PAS119" s="3"/>
      <c r="PAT119" s="3"/>
      <c r="PAU119" s="3"/>
      <c r="PAV119" s="3"/>
      <c r="PAW119" s="3"/>
      <c r="PAX119" s="3"/>
      <c r="PAY119" s="3"/>
      <c r="PAZ119" s="3"/>
      <c r="PBA119" s="3"/>
      <c r="PBB119" s="3"/>
      <c r="PBC119" s="3"/>
      <c r="PBD119" s="3"/>
      <c r="PBE119" s="3"/>
      <c r="PBF119" s="3"/>
      <c r="PBG119" s="3"/>
      <c r="PBH119" s="3"/>
      <c r="PBI119" s="3"/>
      <c r="PBJ119" s="3"/>
      <c r="PBK119" s="3"/>
      <c r="PBL119" s="3"/>
      <c r="PBM119" s="3"/>
      <c r="PBN119" s="3"/>
      <c r="PBO119" s="3"/>
      <c r="PBP119" s="3"/>
      <c r="PBQ119" s="3"/>
      <c r="PBR119" s="3"/>
      <c r="PBS119" s="3"/>
      <c r="PBT119" s="3"/>
      <c r="PBU119" s="3"/>
      <c r="PBV119" s="3"/>
      <c r="PBW119" s="3"/>
      <c r="PBX119" s="3"/>
      <c r="PBY119" s="3"/>
      <c r="PBZ119" s="3"/>
      <c r="PCA119" s="3"/>
      <c r="PCB119" s="3"/>
      <c r="PCC119" s="3"/>
      <c r="PCD119" s="3"/>
      <c r="PCE119" s="3"/>
      <c r="PCF119" s="3"/>
      <c r="PCG119" s="3"/>
      <c r="PCH119" s="3"/>
      <c r="PCI119" s="3"/>
      <c r="PCJ119" s="3"/>
      <c r="PCK119" s="3"/>
      <c r="PCL119" s="3"/>
      <c r="PCM119" s="3"/>
      <c r="PCN119" s="3"/>
      <c r="PCO119" s="3"/>
      <c r="PCP119" s="3"/>
      <c r="PCQ119" s="3"/>
      <c r="PCR119" s="3"/>
      <c r="PCS119" s="3"/>
      <c r="PCT119" s="3"/>
      <c r="PCU119" s="3"/>
      <c r="PCV119" s="3"/>
      <c r="PCW119" s="3"/>
      <c r="PCX119" s="3"/>
      <c r="PCY119" s="3"/>
      <c r="PCZ119" s="3"/>
      <c r="PDA119" s="3"/>
      <c r="PDB119" s="3"/>
      <c r="PDC119" s="3"/>
      <c r="PDD119" s="3"/>
      <c r="PDE119" s="3"/>
      <c r="PDF119" s="3"/>
      <c r="PDG119" s="3"/>
      <c r="PDH119" s="3"/>
      <c r="PDI119" s="3"/>
      <c r="PDJ119" s="3"/>
      <c r="PDK119" s="3"/>
      <c r="PDL119" s="3"/>
      <c r="PDM119" s="3"/>
      <c r="PDN119" s="3"/>
      <c r="PDO119" s="3"/>
      <c r="PDP119" s="3"/>
      <c r="PDQ119" s="3"/>
      <c r="PDR119" s="3"/>
      <c r="PDS119" s="3"/>
      <c r="PDT119" s="3"/>
      <c r="PDU119" s="3"/>
      <c r="PDV119" s="3"/>
      <c r="PDW119" s="3"/>
      <c r="PDX119" s="3"/>
      <c r="PDY119" s="3"/>
      <c r="PDZ119" s="3"/>
      <c r="PEA119" s="3"/>
      <c r="PEB119" s="3"/>
      <c r="PEC119" s="3"/>
      <c r="PED119" s="3"/>
      <c r="PEE119" s="3"/>
      <c r="PEF119" s="3"/>
      <c r="PEG119" s="3"/>
      <c r="PEH119" s="3"/>
      <c r="PEI119" s="3"/>
      <c r="PEJ119" s="3"/>
      <c r="PEK119" s="3"/>
      <c r="PEL119" s="3"/>
      <c r="PEM119" s="3"/>
      <c r="PEN119" s="3"/>
      <c r="PEO119" s="3"/>
      <c r="PEP119" s="3"/>
      <c r="PEQ119" s="3"/>
      <c r="PER119" s="3"/>
      <c r="PES119" s="3"/>
      <c r="PET119" s="3"/>
      <c r="PEU119" s="3"/>
      <c r="PEV119" s="3"/>
      <c r="PEW119" s="3"/>
      <c r="PEX119" s="3"/>
      <c r="PEY119" s="3"/>
      <c r="PEZ119" s="3"/>
      <c r="PFA119" s="3"/>
      <c r="PFB119" s="3"/>
      <c r="PFC119" s="3"/>
      <c r="PFD119" s="3"/>
      <c r="PFE119" s="3"/>
      <c r="PFF119" s="3"/>
      <c r="PFG119" s="3"/>
      <c r="PFH119" s="3"/>
      <c r="PFI119" s="3"/>
      <c r="PFJ119" s="3"/>
      <c r="PFK119" s="3"/>
      <c r="PFL119" s="3"/>
      <c r="PFM119" s="3"/>
      <c r="PFN119" s="3"/>
      <c r="PFO119" s="3"/>
      <c r="PFP119" s="3"/>
      <c r="PFQ119" s="3"/>
      <c r="PFR119" s="3"/>
      <c r="PFS119" s="3"/>
      <c r="PFT119" s="3"/>
      <c r="PFU119" s="3"/>
      <c r="PFV119" s="3"/>
      <c r="PFW119" s="3"/>
      <c r="PFX119" s="3"/>
      <c r="PFY119" s="3"/>
      <c r="PFZ119" s="3"/>
      <c r="PGA119" s="3"/>
      <c r="PGB119" s="3"/>
      <c r="PGC119" s="3"/>
      <c r="PGD119" s="3"/>
      <c r="PGE119" s="3"/>
      <c r="PGF119" s="3"/>
      <c r="PGG119" s="3"/>
      <c r="PGH119" s="3"/>
      <c r="PGI119" s="3"/>
      <c r="PGJ119" s="3"/>
      <c r="PGK119" s="3"/>
      <c r="PGL119" s="3"/>
      <c r="PGM119" s="3"/>
      <c r="PGN119" s="3"/>
      <c r="PGO119" s="3"/>
      <c r="PGP119" s="3"/>
      <c r="PGQ119" s="3"/>
      <c r="PGR119" s="3"/>
      <c r="PGS119" s="3"/>
      <c r="PGT119" s="3"/>
      <c r="PGU119" s="3"/>
      <c r="PGV119" s="3"/>
      <c r="PGW119" s="3"/>
      <c r="PGX119" s="3"/>
      <c r="PGY119" s="3"/>
      <c r="PGZ119" s="3"/>
      <c r="PHA119" s="3"/>
      <c r="PHB119" s="3"/>
      <c r="PHC119" s="3"/>
      <c r="PHD119" s="3"/>
      <c r="PHE119" s="3"/>
      <c r="PHF119" s="3"/>
      <c r="PHG119" s="3"/>
      <c r="PHH119" s="3"/>
      <c r="PHI119" s="3"/>
      <c r="PHJ119" s="3"/>
      <c r="PHK119" s="3"/>
      <c r="PHL119" s="3"/>
      <c r="PHM119" s="3"/>
      <c r="PHN119" s="3"/>
      <c r="PHO119" s="3"/>
      <c r="PHP119" s="3"/>
      <c r="PHQ119" s="3"/>
      <c r="PHR119" s="3"/>
      <c r="PHS119" s="3"/>
      <c r="PHT119" s="3"/>
      <c r="PHU119" s="3"/>
      <c r="PHV119" s="3"/>
      <c r="PHW119" s="3"/>
      <c r="PHX119" s="3"/>
      <c r="PHY119" s="3"/>
      <c r="PHZ119" s="3"/>
      <c r="PIA119" s="3"/>
      <c r="PIB119" s="3"/>
      <c r="PIC119" s="3"/>
      <c r="PID119" s="3"/>
      <c r="PIE119" s="3"/>
      <c r="PIF119" s="3"/>
      <c r="PIG119" s="3"/>
      <c r="PIH119" s="3"/>
      <c r="PII119" s="3"/>
      <c r="PIJ119" s="3"/>
      <c r="PIK119" s="3"/>
      <c r="PIL119" s="3"/>
      <c r="PIM119" s="3"/>
      <c r="PIN119" s="3"/>
      <c r="PIO119" s="3"/>
      <c r="PIP119" s="3"/>
      <c r="PIQ119" s="3"/>
      <c r="PIR119" s="3"/>
      <c r="PIS119" s="3"/>
      <c r="PIT119" s="3"/>
      <c r="PIU119" s="3"/>
      <c r="PIV119" s="3"/>
      <c r="PIW119" s="3"/>
      <c r="PIX119" s="3"/>
      <c r="PIY119" s="3"/>
      <c r="PIZ119" s="3"/>
      <c r="PJA119" s="3"/>
      <c r="PJB119" s="3"/>
      <c r="PJC119" s="3"/>
      <c r="PJD119" s="3"/>
      <c r="PJE119" s="3"/>
      <c r="PJF119" s="3"/>
      <c r="PJG119" s="3"/>
      <c r="PJH119" s="3"/>
      <c r="PJI119" s="3"/>
      <c r="PJJ119" s="3"/>
      <c r="PJK119" s="3"/>
      <c r="PJL119" s="3"/>
      <c r="PJM119" s="3"/>
      <c r="PJN119" s="3"/>
      <c r="PJO119" s="3"/>
      <c r="PJP119" s="3"/>
      <c r="PJQ119" s="3"/>
      <c r="PJR119" s="3"/>
      <c r="PJS119" s="3"/>
      <c r="PJT119" s="3"/>
      <c r="PJU119" s="3"/>
      <c r="PJV119" s="3"/>
      <c r="PJW119" s="3"/>
      <c r="PJX119" s="3"/>
      <c r="PJY119" s="3"/>
      <c r="PJZ119" s="3"/>
      <c r="PKA119" s="3"/>
      <c r="PKB119" s="3"/>
      <c r="PKC119" s="3"/>
      <c r="PKD119" s="3"/>
      <c r="PKE119" s="3"/>
      <c r="PKF119" s="3"/>
      <c r="PKG119" s="3"/>
      <c r="PKH119" s="3"/>
      <c r="PKI119" s="3"/>
      <c r="PKJ119" s="3"/>
      <c r="PKK119" s="3"/>
      <c r="PKL119" s="3"/>
      <c r="PKM119" s="3"/>
      <c r="PKN119" s="3"/>
      <c r="PKO119" s="3"/>
      <c r="PKP119" s="3"/>
      <c r="PKQ119" s="3"/>
      <c r="PKR119" s="3"/>
      <c r="PKS119" s="3"/>
      <c r="PKT119" s="3"/>
      <c r="PKU119" s="3"/>
      <c r="PKV119" s="3"/>
      <c r="PKW119" s="3"/>
      <c r="PKX119" s="3"/>
      <c r="PKY119" s="3"/>
      <c r="PKZ119" s="3"/>
      <c r="PLA119" s="3"/>
      <c r="PLB119" s="3"/>
      <c r="PLC119" s="3"/>
      <c r="PLD119" s="3"/>
      <c r="PLE119" s="3"/>
      <c r="PLF119" s="3"/>
      <c r="PLG119" s="3"/>
      <c r="PLH119" s="3"/>
      <c r="PLI119" s="3"/>
      <c r="PLJ119" s="3"/>
      <c r="PLK119" s="3"/>
      <c r="PLL119" s="3"/>
      <c r="PLM119" s="3"/>
      <c r="PLN119" s="3"/>
      <c r="PLO119" s="3"/>
      <c r="PLP119" s="3"/>
      <c r="PLQ119" s="3"/>
      <c r="PLR119" s="3"/>
      <c r="PLS119" s="3"/>
      <c r="PLT119" s="3"/>
      <c r="PLU119" s="3"/>
      <c r="PLV119" s="3"/>
      <c r="PLW119" s="3"/>
      <c r="PLX119" s="3"/>
      <c r="PLY119" s="3"/>
      <c r="PLZ119" s="3"/>
      <c r="PMA119" s="3"/>
      <c r="PMB119" s="3"/>
      <c r="PMC119" s="3"/>
      <c r="PMD119" s="3"/>
      <c r="PME119" s="3"/>
      <c r="PMF119" s="3"/>
      <c r="PMG119" s="3"/>
      <c r="PMH119" s="3"/>
      <c r="PMI119" s="3"/>
      <c r="PMJ119" s="3"/>
      <c r="PMK119" s="3"/>
      <c r="PML119" s="3"/>
      <c r="PMM119" s="3"/>
      <c r="PMN119" s="3"/>
      <c r="PMO119" s="3"/>
      <c r="PMP119" s="3"/>
      <c r="PMQ119" s="3"/>
      <c r="PMR119" s="3"/>
      <c r="PMS119" s="3"/>
      <c r="PMT119" s="3"/>
      <c r="PMU119" s="3"/>
      <c r="PMV119" s="3"/>
      <c r="PMW119" s="3"/>
      <c r="PMX119" s="3"/>
      <c r="PMY119" s="3"/>
      <c r="PMZ119" s="3"/>
      <c r="PNA119" s="3"/>
      <c r="PNB119" s="3"/>
      <c r="PNC119" s="3"/>
      <c r="PND119" s="3"/>
      <c r="PNE119" s="3"/>
      <c r="PNF119" s="3"/>
      <c r="PNG119" s="3"/>
      <c r="PNH119" s="3"/>
      <c r="PNI119" s="3"/>
      <c r="PNJ119" s="3"/>
      <c r="PNK119" s="3"/>
      <c r="PNL119" s="3"/>
      <c r="PNM119" s="3"/>
      <c r="PNN119" s="3"/>
      <c r="PNO119" s="3"/>
      <c r="PNP119" s="3"/>
      <c r="PNQ119" s="3"/>
      <c r="PNR119" s="3"/>
      <c r="PNS119" s="3"/>
      <c r="PNT119" s="3"/>
      <c r="PNU119" s="3"/>
      <c r="PNV119" s="3"/>
      <c r="PNW119" s="3"/>
      <c r="PNX119" s="3"/>
      <c r="PNY119" s="3"/>
      <c r="PNZ119" s="3"/>
      <c r="POA119" s="3"/>
      <c r="POB119" s="3"/>
      <c r="POC119" s="3"/>
      <c r="POD119" s="3"/>
      <c r="POE119" s="3"/>
      <c r="POF119" s="3"/>
      <c r="POG119" s="3"/>
      <c r="POH119" s="3"/>
      <c r="POI119" s="3"/>
      <c r="POJ119" s="3"/>
      <c r="POK119" s="3"/>
      <c r="POL119" s="3"/>
      <c r="POM119" s="3"/>
      <c r="PON119" s="3"/>
      <c r="POO119" s="3"/>
      <c r="POP119" s="3"/>
      <c r="POQ119" s="3"/>
      <c r="POR119" s="3"/>
      <c r="POS119" s="3"/>
      <c r="POT119" s="3"/>
      <c r="POU119" s="3"/>
      <c r="POV119" s="3"/>
      <c r="POW119" s="3"/>
      <c r="POX119" s="3"/>
      <c r="POY119" s="3"/>
      <c r="POZ119" s="3"/>
      <c r="PPA119" s="3"/>
      <c r="PPB119" s="3"/>
      <c r="PPC119" s="3"/>
      <c r="PPD119" s="3"/>
      <c r="PPE119" s="3"/>
      <c r="PPF119" s="3"/>
      <c r="PPG119" s="3"/>
      <c r="PPH119" s="3"/>
      <c r="PPI119" s="3"/>
      <c r="PPJ119" s="3"/>
      <c r="PPK119" s="3"/>
      <c r="PPL119" s="3"/>
      <c r="PPM119" s="3"/>
      <c r="PPN119" s="3"/>
      <c r="PPO119" s="3"/>
      <c r="PPP119" s="3"/>
      <c r="PPQ119" s="3"/>
      <c r="PPR119" s="3"/>
      <c r="PPS119" s="3"/>
      <c r="PPT119" s="3"/>
      <c r="PPU119" s="3"/>
      <c r="PPV119" s="3"/>
      <c r="PPW119" s="3"/>
      <c r="PPX119" s="3"/>
      <c r="PPY119" s="3"/>
      <c r="PPZ119" s="3"/>
      <c r="PQA119" s="3"/>
      <c r="PQB119" s="3"/>
      <c r="PQC119" s="3"/>
      <c r="PQD119" s="3"/>
      <c r="PQE119" s="3"/>
      <c r="PQF119" s="3"/>
      <c r="PQG119" s="3"/>
      <c r="PQH119" s="3"/>
      <c r="PQI119" s="3"/>
      <c r="PQJ119" s="3"/>
      <c r="PQK119" s="3"/>
      <c r="PQL119" s="3"/>
      <c r="PQM119" s="3"/>
      <c r="PQN119" s="3"/>
      <c r="PQO119" s="3"/>
      <c r="PQP119" s="3"/>
      <c r="PQQ119" s="3"/>
      <c r="PQR119" s="3"/>
      <c r="PQS119" s="3"/>
      <c r="PQT119" s="3"/>
      <c r="PQU119" s="3"/>
      <c r="PQV119" s="3"/>
      <c r="PQW119" s="3"/>
      <c r="PQX119" s="3"/>
      <c r="PQY119" s="3"/>
      <c r="PQZ119" s="3"/>
      <c r="PRA119" s="3"/>
      <c r="PRB119" s="3"/>
      <c r="PRC119" s="3"/>
      <c r="PRD119" s="3"/>
      <c r="PRE119" s="3"/>
      <c r="PRF119" s="3"/>
      <c r="PRG119" s="3"/>
      <c r="PRH119" s="3"/>
      <c r="PRI119" s="3"/>
      <c r="PRJ119" s="3"/>
      <c r="PRK119" s="3"/>
      <c r="PRL119" s="3"/>
      <c r="PRM119" s="3"/>
      <c r="PRN119" s="3"/>
      <c r="PRO119" s="3"/>
      <c r="PRP119" s="3"/>
      <c r="PRQ119" s="3"/>
      <c r="PRR119" s="3"/>
      <c r="PRS119" s="3"/>
      <c r="PRT119" s="3"/>
      <c r="PRU119" s="3"/>
      <c r="PRV119" s="3"/>
      <c r="PRW119" s="3"/>
      <c r="PRX119" s="3"/>
      <c r="PRY119" s="3"/>
      <c r="PRZ119" s="3"/>
      <c r="PSA119" s="3"/>
      <c r="PSB119" s="3"/>
      <c r="PSC119" s="3"/>
      <c r="PSD119" s="3"/>
      <c r="PSE119" s="3"/>
      <c r="PSF119" s="3"/>
      <c r="PSG119" s="3"/>
      <c r="PSH119" s="3"/>
      <c r="PSI119" s="3"/>
      <c r="PSJ119" s="3"/>
      <c r="PSK119" s="3"/>
      <c r="PSL119" s="3"/>
      <c r="PSM119" s="3"/>
      <c r="PSN119" s="3"/>
      <c r="PSO119" s="3"/>
      <c r="PSP119" s="3"/>
      <c r="PSQ119" s="3"/>
      <c r="PSR119" s="3"/>
      <c r="PSS119" s="3"/>
      <c r="PST119" s="3"/>
      <c r="PSU119" s="3"/>
      <c r="PSV119" s="3"/>
      <c r="PSW119" s="3"/>
      <c r="PSX119" s="3"/>
      <c r="PSY119" s="3"/>
      <c r="PSZ119" s="3"/>
      <c r="PTA119" s="3"/>
      <c r="PTB119" s="3"/>
      <c r="PTC119" s="3"/>
      <c r="PTD119" s="3"/>
      <c r="PTE119" s="3"/>
      <c r="PTF119" s="3"/>
      <c r="PTG119" s="3"/>
      <c r="PTH119" s="3"/>
      <c r="PTI119" s="3"/>
      <c r="PTJ119" s="3"/>
      <c r="PTK119" s="3"/>
      <c r="PTL119" s="3"/>
      <c r="PTM119" s="3"/>
      <c r="PTN119" s="3"/>
      <c r="PTO119" s="3"/>
      <c r="PTP119" s="3"/>
      <c r="PTQ119" s="3"/>
      <c r="PTR119" s="3"/>
      <c r="PTS119" s="3"/>
      <c r="PTT119" s="3"/>
      <c r="PTU119" s="3"/>
      <c r="PTV119" s="3"/>
      <c r="PTW119" s="3"/>
      <c r="PTX119" s="3"/>
      <c r="PTY119" s="3"/>
      <c r="PTZ119" s="3"/>
      <c r="PUA119" s="3"/>
      <c r="PUB119" s="3"/>
      <c r="PUC119" s="3"/>
      <c r="PUD119" s="3"/>
      <c r="PUE119" s="3"/>
      <c r="PUF119" s="3"/>
      <c r="PUG119" s="3"/>
      <c r="PUH119" s="3"/>
      <c r="PUI119" s="3"/>
      <c r="PUJ119" s="3"/>
      <c r="PUK119" s="3"/>
      <c r="PUL119" s="3"/>
      <c r="PUM119" s="3"/>
      <c r="PUN119" s="3"/>
      <c r="PUO119" s="3"/>
      <c r="PUP119" s="3"/>
      <c r="PUQ119" s="3"/>
      <c r="PUR119" s="3"/>
      <c r="PUS119" s="3"/>
      <c r="PUT119" s="3"/>
      <c r="PUU119" s="3"/>
      <c r="PUV119" s="3"/>
      <c r="PUW119" s="3"/>
      <c r="PUX119" s="3"/>
      <c r="PUY119" s="3"/>
      <c r="PUZ119" s="3"/>
      <c r="PVA119" s="3"/>
      <c r="PVB119" s="3"/>
      <c r="PVC119" s="3"/>
      <c r="PVD119" s="3"/>
      <c r="PVE119" s="3"/>
      <c r="PVF119" s="3"/>
      <c r="PVG119" s="3"/>
      <c r="PVH119" s="3"/>
      <c r="PVI119" s="3"/>
      <c r="PVJ119" s="3"/>
      <c r="PVK119" s="3"/>
      <c r="PVL119" s="3"/>
      <c r="PVM119" s="3"/>
      <c r="PVN119" s="3"/>
      <c r="PVO119" s="3"/>
      <c r="PVP119" s="3"/>
      <c r="PVQ119" s="3"/>
      <c r="PVR119" s="3"/>
      <c r="PVS119" s="3"/>
      <c r="PVT119" s="3"/>
      <c r="PVU119" s="3"/>
      <c r="PVV119" s="3"/>
      <c r="PVW119" s="3"/>
      <c r="PVX119" s="3"/>
      <c r="PVY119" s="3"/>
      <c r="PVZ119" s="3"/>
      <c r="PWA119" s="3"/>
      <c r="PWB119" s="3"/>
      <c r="PWC119" s="3"/>
      <c r="PWD119" s="3"/>
      <c r="PWE119" s="3"/>
      <c r="PWF119" s="3"/>
      <c r="PWG119" s="3"/>
      <c r="PWH119" s="3"/>
      <c r="PWI119" s="3"/>
      <c r="PWJ119" s="3"/>
      <c r="PWK119" s="3"/>
      <c r="PWL119" s="3"/>
      <c r="PWM119" s="3"/>
      <c r="PWN119" s="3"/>
      <c r="PWO119" s="3"/>
      <c r="PWP119" s="3"/>
      <c r="PWQ119" s="3"/>
      <c r="PWR119" s="3"/>
      <c r="PWS119" s="3"/>
      <c r="PWT119" s="3"/>
      <c r="PWU119" s="3"/>
      <c r="PWV119" s="3"/>
      <c r="PWW119" s="3"/>
      <c r="PWX119" s="3"/>
      <c r="PWY119" s="3"/>
      <c r="PWZ119" s="3"/>
      <c r="PXA119" s="3"/>
      <c r="PXB119" s="3"/>
      <c r="PXC119" s="3"/>
      <c r="PXD119" s="3"/>
      <c r="PXE119" s="3"/>
      <c r="PXF119" s="3"/>
      <c r="PXG119" s="3"/>
      <c r="PXH119" s="3"/>
      <c r="PXI119" s="3"/>
      <c r="PXJ119" s="3"/>
      <c r="PXK119" s="3"/>
      <c r="PXL119" s="3"/>
      <c r="PXM119" s="3"/>
      <c r="PXN119" s="3"/>
      <c r="PXO119" s="3"/>
      <c r="PXP119" s="3"/>
      <c r="PXQ119" s="3"/>
      <c r="PXR119" s="3"/>
      <c r="PXS119" s="3"/>
      <c r="PXT119" s="3"/>
      <c r="PXU119" s="3"/>
      <c r="PXV119" s="3"/>
      <c r="PXW119" s="3"/>
      <c r="PXX119" s="3"/>
      <c r="PXY119" s="3"/>
      <c r="PXZ119" s="3"/>
      <c r="PYA119" s="3"/>
      <c r="PYB119" s="3"/>
      <c r="PYC119" s="3"/>
      <c r="PYD119" s="3"/>
      <c r="PYE119" s="3"/>
      <c r="PYF119" s="3"/>
      <c r="PYG119" s="3"/>
      <c r="PYH119" s="3"/>
      <c r="PYI119" s="3"/>
      <c r="PYJ119" s="3"/>
      <c r="PYK119" s="3"/>
      <c r="PYL119" s="3"/>
      <c r="PYM119" s="3"/>
      <c r="PYN119" s="3"/>
      <c r="PYO119" s="3"/>
      <c r="PYP119" s="3"/>
      <c r="PYQ119" s="3"/>
      <c r="PYR119" s="3"/>
      <c r="PYS119" s="3"/>
      <c r="PYT119" s="3"/>
      <c r="PYU119" s="3"/>
      <c r="PYV119" s="3"/>
      <c r="PYW119" s="3"/>
      <c r="PYX119" s="3"/>
      <c r="PYY119" s="3"/>
      <c r="PYZ119" s="3"/>
      <c r="PZA119" s="3"/>
      <c r="PZB119" s="3"/>
      <c r="PZC119" s="3"/>
      <c r="PZD119" s="3"/>
      <c r="PZE119" s="3"/>
      <c r="PZF119" s="3"/>
      <c r="PZG119" s="3"/>
      <c r="PZH119" s="3"/>
      <c r="PZI119" s="3"/>
      <c r="PZJ119" s="3"/>
      <c r="PZK119" s="3"/>
      <c r="PZL119" s="3"/>
      <c r="PZM119" s="3"/>
      <c r="PZN119" s="3"/>
      <c r="PZO119" s="3"/>
      <c r="PZP119" s="3"/>
      <c r="PZQ119" s="3"/>
      <c r="PZR119" s="3"/>
      <c r="PZS119" s="3"/>
      <c r="PZT119" s="3"/>
      <c r="PZU119" s="3"/>
      <c r="PZV119" s="3"/>
      <c r="PZW119" s="3"/>
      <c r="PZX119" s="3"/>
      <c r="PZY119" s="3"/>
      <c r="PZZ119" s="3"/>
      <c r="QAA119" s="3"/>
      <c r="QAB119" s="3"/>
      <c r="QAC119" s="3"/>
      <c r="QAD119" s="3"/>
      <c r="QAE119" s="3"/>
      <c r="QAF119" s="3"/>
      <c r="QAG119" s="3"/>
      <c r="QAH119" s="3"/>
      <c r="QAI119" s="3"/>
      <c r="QAJ119" s="3"/>
      <c r="QAK119" s="3"/>
      <c r="QAL119" s="3"/>
      <c r="QAM119" s="3"/>
      <c r="QAN119" s="3"/>
      <c r="QAO119" s="3"/>
      <c r="QAP119" s="3"/>
      <c r="QAQ119" s="3"/>
      <c r="QAR119" s="3"/>
      <c r="QAS119" s="3"/>
      <c r="QAT119" s="3"/>
      <c r="QAU119" s="3"/>
      <c r="QAV119" s="3"/>
      <c r="QAW119" s="3"/>
      <c r="QAX119" s="3"/>
      <c r="QAY119" s="3"/>
      <c r="QAZ119" s="3"/>
      <c r="QBA119" s="3"/>
      <c r="QBB119" s="3"/>
      <c r="QBC119" s="3"/>
      <c r="QBD119" s="3"/>
      <c r="QBE119" s="3"/>
      <c r="QBF119" s="3"/>
      <c r="QBG119" s="3"/>
      <c r="QBH119" s="3"/>
      <c r="QBI119" s="3"/>
      <c r="QBJ119" s="3"/>
      <c r="QBK119" s="3"/>
      <c r="QBL119" s="3"/>
      <c r="QBM119" s="3"/>
      <c r="QBN119" s="3"/>
      <c r="QBO119" s="3"/>
      <c r="QBP119" s="3"/>
      <c r="QBQ119" s="3"/>
      <c r="QBR119" s="3"/>
      <c r="QBS119" s="3"/>
      <c r="QBT119" s="3"/>
      <c r="QBU119" s="3"/>
      <c r="QBV119" s="3"/>
      <c r="QBW119" s="3"/>
      <c r="QBX119" s="3"/>
      <c r="QBY119" s="3"/>
      <c r="QBZ119" s="3"/>
      <c r="QCA119" s="3"/>
      <c r="QCB119" s="3"/>
      <c r="QCC119" s="3"/>
      <c r="QCD119" s="3"/>
      <c r="QCE119" s="3"/>
      <c r="QCF119" s="3"/>
      <c r="QCG119" s="3"/>
      <c r="QCH119" s="3"/>
      <c r="QCI119" s="3"/>
      <c r="QCJ119" s="3"/>
      <c r="QCK119" s="3"/>
      <c r="QCL119" s="3"/>
      <c r="QCM119" s="3"/>
      <c r="QCN119" s="3"/>
      <c r="QCO119" s="3"/>
      <c r="QCP119" s="3"/>
      <c r="QCQ119" s="3"/>
      <c r="QCR119" s="3"/>
      <c r="QCS119" s="3"/>
      <c r="QCT119" s="3"/>
      <c r="QCU119" s="3"/>
      <c r="QCV119" s="3"/>
      <c r="QCW119" s="3"/>
      <c r="QCX119" s="3"/>
      <c r="QCY119" s="3"/>
      <c r="QCZ119" s="3"/>
      <c r="QDA119" s="3"/>
      <c r="QDB119" s="3"/>
      <c r="QDC119" s="3"/>
      <c r="QDD119" s="3"/>
      <c r="QDE119" s="3"/>
      <c r="QDF119" s="3"/>
      <c r="QDG119" s="3"/>
      <c r="QDH119" s="3"/>
      <c r="QDI119" s="3"/>
      <c r="QDJ119" s="3"/>
      <c r="QDK119" s="3"/>
      <c r="QDL119" s="3"/>
      <c r="QDM119" s="3"/>
      <c r="QDN119" s="3"/>
      <c r="QDO119" s="3"/>
      <c r="QDP119" s="3"/>
      <c r="QDQ119" s="3"/>
      <c r="QDR119" s="3"/>
      <c r="QDS119" s="3"/>
      <c r="QDT119" s="3"/>
      <c r="QDU119" s="3"/>
      <c r="QDV119" s="3"/>
      <c r="QDW119" s="3"/>
      <c r="QDX119" s="3"/>
      <c r="QDY119" s="3"/>
      <c r="QDZ119" s="3"/>
      <c r="QEA119" s="3"/>
      <c r="QEB119" s="3"/>
      <c r="QEC119" s="3"/>
      <c r="QED119" s="3"/>
      <c r="QEE119" s="3"/>
      <c r="QEF119" s="3"/>
      <c r="QEG119" s="3"/>
      <c r="QEH119" s="3"/>
      <c r="QEI119" s="3"/>
      <c r="QEJ119" s="3"/>
      <c r="QEK119" s="3"/>
      <c r="QEL119" s="3"/>
      <c r="QEM119" s="3"/>
      <c r="QEN119" s="3"/>
      <c r="QEO119" s="3"/>
      <c r="QEP119" s="3"/>
      <c r="QEQ119" s="3"/>
      <c r="QER119" s="3"/>
      <c r="QES119" s="3"/>
      <c r="QET119" s="3"/>
      <c r="QEU119" s="3"/>
      <c r="QEV119" s="3"/>
      <c r="QEW119" s="3"/>
      <c r="QEX119" s="3"/>
      <c r="QEY119" s="3"/>
      <c r="QEZ119" s="3"/>
      <c r="QFA119" s="3"/>
      <c r="QFB119" s="3"/>
      <c r="QFC119" s="3"/>
      <c r="QFD119" s="3"/>
      <c r="QFE119" s="3"/>
      <c r="QFF119" s="3"/>
      <c r="QFG119" s="3"/>
      <c r="QFH119" s="3"/>
      <c r="QFI119" s="3"/>
      <c r="QFJ119" s="3"/>
      <c r="QFK119" s="3"/>
      <c r="QFL119" s="3"/>
      <c r="QFM119" s="3"/>
      <c r="QFN119" s="3"/>
      <c r="QFO119" s="3"/>
      <c r="QFP119" s="3"/>
      <c r="QFQ119" s="3"/>
      <c r="QFR119" s="3"/>
      <c r="QFS119" s="3"/>
      <c r="QFT119" s="3"/>
      <c r="QFU119" s="3"/>
      <c r="QFV119" s="3"/>
      <c r="QFW119" s="3"/>
      <c r="QFX119" s="3"/>
      <c r="QFY119" s="3"/>
      <c r="QFZ119" s="3"/>
      <c r="QGA119" s="3"/>
      <c r="QGB119" s="3"/>
      <c r="QGC119" s="3"/>
      <c r="QGD119" s="3"/>
      <c r="QGE119" s="3"/>
      <c r="QGF119" s="3"/>
      <c r="QGG119" s="3"/>
      <c r="QGH119" s="3"/>
      <c r="QGI119" s="3"/>
      <c r="QGJ119" s="3"/>
      <c r="QGK119" s="3"/>
      <c r="QGL119" s="3"/>
      <c r="QGM119" s="3"/>
      <c r="QGN119" s="3"/>
      <c r="QGO119" s="3"/>
      <c r="QGP119" s="3"/>
      <c r="QGQ119" s="3"/>
      <c r="QGR119" s="3"/>
      <c r="QGS119" s="3"/>
      <c r="QGT119" s="3"/>
      <c r="QGU119" s="3"/>
      <c r="QGV119" s="3"/>
      <c r="QGW119" s="3"/>
      <c r="QGX119" s="3"/>
      <c r="QGY119" s="3"/>
      <c r="QGZ119" s="3"/>
      <c r="QHA119" s="3"/>
      <c r="QHB119" s="3"/>
      <c r="QHC119" s="3"/>
      <c r="QHD119" s="3"/>
      <c r="QHE119" s="3"/>
      <c r="QHF119" s="3"/>
      <c r="QHG119" s="3"/>
      <c r="QHH119" s="3"/>
      <c r="QHI119" s="3"/>
      <c r="QHJ119" s="3"/>
      <c r="QHK119" s="3"/>
      <c r="QHL119" s="3"/>
      <c r="QHM119" s="3"/>
      <c r="QHN119" s="3"/>
      <c r="QHO119" s="3"/>
      <c r="QHP119" s="3"/>
      <c r="QHQ119" s="3"/>
      <c r="QHR119" s="3"/>
      <c r="QHS119" s="3"/>
      <c r="QHT119" s="3"/>
      <c r="QHU119" s="3"/>
      <c r="QHV119" s="3"/>
      <c r="QHW119" s="3"/>
      <c r="QHX119" s="3"/>
      <c r="QHY119" s="3"/>
      <c r="QHZ119" s="3"/>
      <c r="QIA119" s="3"/>
      <c r="QIB119" s="3"/>
      <c r="QIC119" s="3"/>
      <c r="QID119" s="3"/>
      <c r="QIE119" s="3"/>
      <c r="QIF119" s="3"/>
      <c r="QIG119" s="3"/>
      <c r="QIH119" s="3"/>
      <c r="QII119" s="3"/>
      <c r="QIJ119" s="3"/>
      <c r="QIK119" s="3"/>
      <c r="QIL119" s="3"/>
      <c r="QIM119" s="3"/>
      <c r="QIN119" s="3"/>
      <c r="QIO119" s="3"/>
      <c r="QIP119" s="3"/>
      <c r="QIQ119" s="3"/>
      <c r="QIR119" s="3"/>
      <c r="QIS119" s="3"/>
      <c r="QIT119" s="3"/>
      <c r="QIU119" s="3"/>
      <c r="QIV119" s="3"/>
      <c r="QIW119" s="3"/>
      <c r="QIX119" s="3"/>
      <c r="QIY119" s="3"/>
      <c r="QIZ119" s="3"/>
      <c r="QJA119" s="3"/>
      <c r="QJB119" s="3"/>
      <c r="QJC119" s="3"/>
      <c r="QJD119" s="3"/>
      <c r="QJE119" s="3"/>
      <c r="QJF119" s="3"/>
      <c r="QJG119" s="3"/>
      <c r="QJH119" s="3"/>
      <c r="QJI119" s="3"/>
      <c r="QJJ119" s="3"/>
      <c r="QJK119" s="3"/>
      <c r="QJL119" s="3"/>
      <c r="QJM119" s="3"/>
      <c r="QJN119" s="3"/>
      <c r="QJO119" s="3"/>
      <c r="QJP119" s="3"/>
      <c r="QJQ119" s="3"/>
      <c r="QJR119" s="3"/>
      <c r="QJS119" s="3"/>
      <c r="QJT119" s="3"/>
      <c r="QJU119" s="3"/>
      <c r="QJV119" s="3"/>
      <c r="QJW119" s="3"/>
      <c r="QJX119" s="3"/>
      <c r="QJY119" s="3"/>
      <c r="QJZ119" s="3"/>
      <c r="QKA119" s="3"/>
      <c r="QKB119" s="3"/>
      <c r="QKC119" s="3"/>
      <c r="QKD119" s="3"/>
      <c r="QKE119" s="3"/>
      <c r="QKF119" s="3"/>
      <c r="QKG119" s="3"/>
      <c r="QKH119" s="3"/>
      <c r="QKI119" s="3"/>
      <c r="QKJ119" s="3"/>
      <c r="QKK119" s="3"/>
      <c r="QKL119" s="3"/>
      <c r="QKM119" s="3"/>
      <c r="QKN119" s="3"/>
      <c r="QKO119" s="3"/>
      <c r="QKP119" s="3"/>
      <c r="QKQ119" s="3"/>
      <c r="QKR119" s="3"/>
      <c r="QKS119" s="3"/>
      <c r="QKT119" s="3"/>
      <c r="QKU119" s="3"/>
      <c r="QKV119" s="3"/>
      <c r="QKW119" s="3"/>
      <c r="QKX119" s="3"/>
      <c r="QKY119" s="3"/>
      <c r="QKZ119" s="3"/>
      <c r="QLA119" s="3"/>
      <c r="QLB119" s="3"/>
      <c r="QLC119" s="3"/>
      <c r="QLD119" s="3"/>
      <c r="QLE119" s="3"/>
      <c r="QLF119" s="3"/>
      <c r="QLG119" s="3"/>
      <c r="QLH119" s="3"/>
      <c r="QLI119" s="3"/>
      <c r="QLJ119" s="3"/>
      <c r="QLK119" s="3"/>
      <c r="QLL119" s="3"/>
      <c r="QLM119" s="3"/>
      <c r="QLN119" s="3"/>
      <c r="QLO119" s="3"/>
      <c r="QLP119" s="3"/>
      <c r="QLQ119" s="3"/>
      <c r="QLR119" s="3"/>
      <c r="QLS119" s="3"/>
      <c r="QLT119" s="3"/>
      <c r="QLU119" s="3"/>
      <c r="QLV119" s="3"/>
      <c r="QLW119" s="3"/>
      <c r="QLX119" s="3"/>
      <c r="QLY119" s="3"/>
      <c r="QLZ119" s="3"/>
      <c r="QMA119" s="3"/>
      <c r="QMB119" s="3"/>
      <c r="QMC119" s="3"/>
      <c r="QMD119" s="3"/>
      <c r="QME119" s="3"/>
      <c r="QMF119" s="3"/>
      <c r="QMG119" s="3"/>
      <c r="QMH119" s="3"/>
      <c r="QMI119" s="3"/>
      <c r="QMJ119" s="3"/>
      <c r="QMK119" s="3"/>
      <c r="QML119" s="3"/>
      <c r="QMM119" s="3"/>
      <c r="QMN119" s="3"/>
      <c r="QMO119" s="3"/>
      <c r="QMP119" s="3"/>
      <c r="QMQ119" s="3"/>
      <c r="QMR119" s="3"/>
      <c r="QMS119" s="3"/>
      <c r="QMT119" s="3"/>
      <c r="QMU119" s="3"/>
      <c r="QMV119" s="3"/>
      <c r="QMW119" s="3"/>
      <c r="QMX119" s="3"/>
      <c r="QMY119" s="3"/>
      <c r="QMZ119" s="3"/>
      <c r="QNA119" s="3"/>
      <c r="QNB119" s="3"/>
      <c r="QNC119" s="3"/>
      <c r="QND119" s="3"/>
      <c r="QNE119" s="3"/>
      <c r="QNF119" s="3"/>
      <c r="QNG119" s="3"/>
      <c r="QNH119" s="3"/>
      <c r="QNI119" s="3"/>
      <c r="QNJ119" s="3"/>
      <c r="QNK119" s="3"/>
      <c r="QNL119" s="3"/>
      <c r="QNM119" s="3"/>
      <c r="QNN119" s="3"/>
      <c r="QNO119" s="3"/>
      <c r="QNP119" s="3"/>
      <c r="QNQ119" s="3"/>
      <c r="QNR119" s="3"/>
      <c r="QNS119" s="3"/>
      <c r="QNT119" s="3"/>
      <c r="QNU119" s="3"/>
      <c r="QNV119" s="3"/>
      <c r="QNW119" s="3"/>
      <c r="QNX119" s="3"/>
      <c r="QNY119" s="3"/>
      <c r="QNZ119" s="3"/>
      <c r="QOA119" s="3"/>
      <c r="QOB119" s="3"/>
      <c r="QOC119" s="3"/>
      <c r="QOD119" s="3"/>
      <c r="QOE119" s="3"/>
      <c r="QOF119" s="3"/>
      <c r="QOG119" s="3"/>
      <c r="QOH119" s="3"/>
      <c r="QOI119" s="3"/>
      <c r="QOJ119" s="3"/>
      <c r="QOK119" s="3"/>
      <c r="QOL119" s="3"/>
      <c r="QOM119" s="3"/>
      <c r="QON119" s="3"/>
      <c r="QOO119" s="3"/>
      <c r="QOP119" s="3"/>
      <c r="QOQ119" s="3"/>
      <c r="QOR119" s="3"/>
      <c r="QOS119" s="3"/>
      <c r="QOT119" s="3"/>
      <c r="QOU119" s="3"/>
      <c r="QOV119" s="3"/>
      <c r="QOW119" s="3"/>
      <c r="QOX119" s="3"/>
      <c r="QOY119" s="3"/>
      <c r="QOZ119" s="3"/>
      <c r="QPA119" s="3"/>
      <c r="QPB119" s="3"/>
      <c r="QPC119" s="3"/>
      <c r="QPD119" s="3"/>
      <c r="QPE119" s="3"/>
      <c r="QPF119" s="3"/>
      <c r="QPG119" s="3"/>
      <c r="QPH119" s="3"/>
      <c r="QPI119" s="3"/>
      <c r="QPJ119" s="3"/>
      <c r="QPK119" s="3"/>
      <c r="QPL119" s="3"/>
      <c r="QPM119" s="3"/>
      <c r="QPN119" s="3"/>
      <c r="QPO119" s="3"/>
      <c r="QPP119" s="3"/>
      <c r="QPQ119" s="3"/>
      <c r="QPR119" s="3"/>
      <c r="QPS119" s="3"/>
      <c r="QPT119" s="3"/>
      <c r="QPU119" s="3"/>
      <c r="QPV119" s="3"/>
      <c r="QPW119" s="3"/>
      <c r="QPX119" s="3"/>
      <c r="QPY119" s="3"/>
      <c r="QPZ119" s="3"/>
      <c r="QQA119" s="3"/>
      <c r="QQB119" s="3"/>
      <c r="QQC119" s="3"/>
      <c r="QQD119" s="3"/>
      <c r="QQE119" s="3"/>
      <c r="QQF119" s="3"/>
      <c r="QQG119" s="3"/>
      <c r="QQH119" s="3"/>
      <c r="QQI119" s="3"/>
      <c r="QQJ119" s="3"/>
      <c r="QQK119" s="3"/>
      <c r="QQL119" s="3"/>
      <c r="QQM119" s="3"/>
      <c r="QQN119" s="3"/>
      <c r="QQO119" s="3"/>
      <c r="QQP119" s="3"/>
      <c r="QQQ119" s="3"/>
      <c r="QQR119" s="3"/>
      <c r="QQS119" s="3"/>
      <c r="QQT119" s="3"/>
      <c r="QQU119" s="3"/>
      <c r="QQV119" s="3"/>
      <c r="QQW119" s="3"/>
      <c r="QQX119" s="3"/>
      <c r="QQY119" s="3"/>
      <c r="QQZ119" s="3"/>
      <c r="QRA119" s="3"/>
      <c r="QRB119" s="3"/>
      <c r="QRC119" s="3"/>
      <c r="QRD119" s="3"/>
      <c r="QRE119" s="3"/>
      <c r="QRF119" s="3"/>
      <c r="QRG119" s="3"/>
      <c r="QRH119" s="3"/>
      <c r="QRI119" s="3"/>
      <c r="QRJ119" s="3"/>
      <c r="QRK119" s="3"/>
      <c r="QRL119" s="3"/>
      <c r="QRM119" s="3"/>
      <c r="QRN119" s="3"/>
      <c r="QRO119" s="3"/>
      <c r="QRP119" s="3"/>
      <c r="QRQ119" s="3"/>
      <c r="QRR119" s="3"/>
      <c r="QRS119" s="3"/>
      <c r="QRT119" s="3"/>
      <c r="QRU119" s="3"/>
      <c r="QRV119" s="3"/>
      <c r="QRW119" s="3"/>
      <c r="QRX119" s="3"/>
      <c r="QRY119" s="3"/>
      <c r="QRZ119" s="3"/>
      <c r="QSA119" s="3"/>
      <c r="QSB119" s="3"/>
      <c r="QSC119" s="3"/>
      <c r="QSD119" s="3"/>
      <c r="QSE119" s="3"/>
      <c r="QSF119" s="3"/>
      <c r="QSG119" s="3"/>
      <c r="QSH119" s="3"/>
      <c r="QSI119" s="3"/>
      <c r="QSJ119" s="3"/>
      <c r="QSK119" s="3"/>
      <c r="QSL119" s="3"/>
      <c r="QSM119" s="3"/>
      <c r="QSN119" s="3"/>
      <c r="QSO119" s="3"/>
      <c r="QSP119" s="3"/>
      <c r="QSQ119" s="3"/>
      <c r="QSR119" s="3"/>
      <c r="QSS119" s="3"/>
      <c r="QST119" s="3"/>
      <c r="QSU119" s="3"/>
      <c r="QSV119" s="3"/>
      <c r="QSW119" s="3"/>
      <c r="QSX119" s="3"/>
      <c r="QSY119" s="3"/>
      <c r="QSZ119" s="3"/>
      <c r="QTA119" s="3"/>
      <c r="QTB119" s="3"/>
      <c r="QTC119" s="3"/>
      <c r="QTD119" s="3"/>
      <c r="QTE119" s="3"/>
      <c r="QTF119" s="3"/>
      <c r="QTG119" s="3"/>
      <c r="QTH119" s="3"/>
      <c r="QTI119" s="3"/>
      <c r="QTJ119" s="3"/>
      <c r="QTK119" s="3"/>
      <c r="QTL119" s="3"/>
      <c r="QTM119" s="3"/>
      <c r="QTN119" s="3"/>
      <c r="QTO119" s="3"/>
      <c r="QTP119" s="3"/>
      <c r="QTQ119" s="3"/>
      <c r="QTR119" s="3"/>
      <c r="QTS119" s="3"/>
      <c r="QTT119" s="3"/>
      <c r="QTU119" s="3"/>
      <c r="QTV119" s="3"/>
      <c r="QTW119" s="3"/>
      <c r="QTX119" s="3"/>
      <c r="QTY119" s="3"/>
      <c r="QTZ119" s="3"/>
      <c r="QUA119" s="3"/>
      <c r="QUB119" s="3"/>
      <c r="QUC119" s="3"/>
      <c r="QUD119" s="3"/>
      <c r="QUE119" s="3"/>
      <c r="QUF119" s="3"/>
      <c r="QUG119" s="3"/>
      <c r="QUH119" s="3"/>
      <c r="QUI119" s="3"/>
      <c r="QUJ119" s="3"/>
      <c r="QUK119" s="3"/>
      <c r="QUL119" s="3"/>
      <c r="QUM119" s="3"/>
      <c r="QUN119" s="3"/>
      <c r="QUO119" s="3"/>
      <c r="QUP119" s="3"/>
      <c r="QUQ119" s="3"/>
      <c r="QUR119" s="3"/>
      <c r="QUS119" s="3"/>
      <c r="QUT119" s="3"/>
      <c r="QUU119" s="3"/>
      <c r="QUV119" s="3"/>
      <c r="QUW119" s="3"/>
      <c r="QUX119" s="3"/>
      <c r="QUY119" s="3"/>
      <c r="QUZ119" s="3"/>
      <c r="QVA119" s="3"/>
      <c r="QVB119" s="3"/>
      <c r="QVC119" s="3"/>
      <c r="QVD119" s="3"/>
      <c r="QVE119" s="3"/>
      <c r="QVF119" s="3"/>
      <c r="QVG119" s="3"/>
      <c r="QVH119" s="3"/>
      <c r="QVI119" s="3"/>
      <c r="QVJ119" s="3"/>
      <c r="QVK119" s="3"/>
      <c r="QVL119" s="3"/>
      <c r="QVM119" s="3"/>
      <c r="QVN119" s="3"/>
      <c r="QVO119" s="3"/>
      <c r="QVP119" s="3"/>
      <c r="QVQ119" s="3"/>
      <c r="QVR119" s="3"/>
      <c r="QVS119" s="3"/>
      <c r="QVT119" s="3"/>
      <c r="QVU119" s="3"/>
      <c r="QVV119" s="3"/>
      <c r="QVW119" s="3"/>
      <c r="QVX119" s="3"/>
      <c r="QVY119" s="3"/>
      <c r="QVZ119" s="3"/>
      <c r="QWA119" s="3"/>
      <c r="QWB119" s="3"/>
      <c r="QWC119" s="3"/>
      <c r="QWD119" s="3"/>
      <c r="QWE119" s="3"/>
      <c r="QWF119" s="3"/>
      <c r="QWG119" s="3"/>
      <c r="QWH119" s="3"/>
      <c r="QWI119" s="3"/>
      <c r="QWJ119" s="3"/>
      <c r="QWK119" s="3"/>
      <c r="QWL119" s="3"/>
      <c r="QWM119" s="3"/>
      <c r="QWN119" s="3"/>
      <c r="QWO119" s="3"/>
      <c r="QWP119" s="3"/>
      <c r="QWQ119" s="3"/>
      <c r="QWR119" s="3"/>
      <c r="QWS119" s="3"/>
      <c r="QWT119" s="3"/>
      <c r="QWU119" s="3"/>
      <c r="QWV119" s="3"/>
      <c r="QWW119" s="3"/>
      <c r="QWX119" s="3"/>
      <c r="QWY119" s="3"/>
      <c r="QWZ119" s="3"/>
      <c r="QXA119" s="3"/>
      <c r="QXB119" s="3"/>
      <c r="QXC119" s="3"/>
      <c r="QXD119" s="3"/>
      <c r="QXE119" s="3"/>
      <c r="QXF119" s="3"/>
      <c r="QXG119" s="3"/>
      <c r="QXH119" s="3"/>
      <c r="QXI119" s="3"/>
      <c r="QXJ119" s="3"/>
      <c r="QXK119" s="3"/>
      <c r="QXL119" s="3"/>
      <c r="QXM119" s="3"/>
      <c r="QXN119" s="3"/>
      <c r="QXO119" s="3"/>
      <c r="QXP119" s="3"/>
      <c r="QXQ119" s="3"/>
      <c r="QXR119" s="3"/>
      <c r="QXS119" s="3"/>
      <c r="QXT119" s="3"/>
      <c r="QXU119" s="3"/>
      <c r="QXV119" s="3"/>
      <c r="QXW119" s="3"/>
      <c r="QXX119" s="3"/>
      <c r="QXY119" s="3"/>
      <c r="QXZ119" s="3"/>
      <c r="QYA119" s="3"/>
      <c r="QYB119" s="3"/>
      <c r="QYC119" s="3"/>
      <c r="QYD119" s="3"/>
      <c r="QYE119" s="3"/>
      <c r="QYF119" s="3"/>
      <c r="QYG119" s="3"/>
      <c r="QYH119" s="3"/>
      <c r="QYI119" s="3"/>
      <c r="QYJ119" s="3"/>
      <c r="QYK119" s="3"/>
      <c r="QYL119" s="3"/>
      <c r="QYM119" s="3"/>
      <c r="QYN119" s="3"/>
      <c r="QYO119" s="3"/>
      <c r="QYP119" s="3"/>
      <c r="QYQ119" s="3"/>
      <c r="QYR119" s="3"/>
      <c r="QYS119" s="3"/>
      <c r="QYT119" s="3"/>
      <c r="QYU119" s="3"/>
      <c r="QYV119" s="3"/>
      <c r="QYW119" s="3"/>
      <c r="QYX119" s="3"/>
      <c r="QYY119" s="3"/>
      <c r="QYZ119" s="3"/>
      <c r="QZA119" s="3"/>
      <c r="QZB119" s="3"/>
      <c r="QZC119" s="3"/>
      <c r="QZD119" s="3"/>
      <c r="QZE119" s="3"/>
      <c r="QZF119" s="3"/>
      <c r="QZG119" s="3"/>
      <c r="QZH119" s="3"/>
      <c r="QZI119" s="3"/>
      <c r="QZJ119" s="3"/>
      <c r="QZK119" s="3"/>
      <c r="QZL119" s="3"/>
      <c r="QZM119" s="3"/>
      <c r="QZN119" s="3"/>
      <c r="QZO119" s="3"/>
      <c r="QZP119" s="3"/>
      <c r="QZQ119" s="3"/>
      <c r="QZR119" s="3"/>
      <c r="QZS119" s="3"/>
      <c r="QZT119" s="3"/>
      <c r="QZU119" s="3"/>
      <c r="QZV119" s="3"/>
      <c r="QZW119" s="3"/>
      <c r="QZX119" s="3"/>
      <c r="QZY119" s="3"/>
      <c r="QZZ119" s="3"/>
      <c r="RAA119" s="3"/>
      <c r="RAB119" s="3"/>
      <c r="RAC119" s="3"/>
      <c r="RAD119" s="3"/>
      <c r="RAE119" s="3"/>
      <c r="RAF119" s="3"/>
      <c r="RAG119" s="3"/>
      <c r="RAH119" s="3"/>
      <c r="RAI119" s="3"/>
      <c r="RAJ119" s="3"/>
      <c r="RAK119" s="3"/>
      <c r="RAL119" s="3"/>
      <c r="RAM119" s="3"/>
      <c r="RAN119" s="3"/>
      <c r="RAO119" s="3"/>
      <c r="RAP119" s="3"/>
      <c r="RAQ119" s="3"/>
      <c r="RAR119" s="3"/>
      <c r="RAS119" s="3"/>
      <c r="RAT119" s="3"/>
      <c r="RAU119" s="3"/>
      <c r="RAV119" s="3"/>
      <c r="RAW119" s="3"/>
      <c r="RAX119" s="3"/>
      <c r="RAY119" s="3"/>
      <c r="RAZ119" s="3"/>
      <c r="RBA119" s="3"/>
      <c r="RBB119" s="3"/>
      <c r="RBC119" s="3"/>
      <c r="RBD119" s="3"/>
      <c r="RBE119" s="3"/>
      <c r="RBF119" s="3"/>
      <c r="RBG119" s="3"/>
      <c r="RBH119" s="3"/>
      <c r="RBI119" s="3"/>
      <c r="RBJ119" s="3"/>
      <c r="RBK119" s="3"/>
      <c r="RBL119" s="3"/>
      <c r="RBM119" s="3"/>
      <c r="RBN119" s="3"/>
      <c r="RBO119" s="3"/>
      <c r="RBP119" s="3"/>
      <c r="RBQ119" s="3"/>
      <c r="RBR119" s="3"/>
      <c r="RBS119" s="3"/>
      <c r="RBT119" s="3"/>
      <c r="RBU119" s="3"/>
      <c r="RBV119" s="3"/>
      <c r="RBW119" s="3"/>
      <c r="RBX119" s="3"/>
      <c r="RBY119" s="3"/>
      <c r="RBZ119" s="3"/>
      <c r="RCA119" s="3"/>
      <c r="RCB119" s="3"/>
      <c r="RCC119" s="3"/>
      <c r="RCD119" s="3"/>
      <c r="RCE119" s="3"/>
      <c r="RCF119" s="3"/>
      <c r="RCG119" s="3"/>
      <c r="RCH119" s="3"/>
      <c r="RCI119" s="3"/>
      <c r="RCJ119" s="3"/>
      <c r="RCK119" s="3"/>
      <c r="RCL119" s="3"/>
      <c r="RCM119" s="3"/>
      <c r="RCN119" s="3"/>
      <c r="RCO119" s="3"/>
      <c r="RCP119" s="3"/>
      <c r="RCQ119" s="3"/>
      <c r="RCR119" s="3"/>
      <c r="RCS119" s="3"/>
      <c r="RCT119" s="3"/>
      <c r="RCU119" s="3"/>
      <c r="RCV119" s="3"/>
      <c r="RCW119" s="3"/>
      <c r="RCX119" s="3"/>
      <c r="RCY119" s="3"/>
      <c r="RCZ119" s="3"/>
      <c r="RDA119" s="3"/>
      <c r="RDB119" s="3"/>
      <c r="RDC119" s="3"/>
      <c r="RDD119" s="3"/>
      <c r="RDE119" s="3"/>
      <c r="RDF119" s="3"/>
      <c r="RDG119" s="3"/>
      <c r="RDH119" s="3"/>
      <c r="RDI119" s="3"/>
      <c r="RDJ119" s="3"/>
      <c r="RDK119" s="3"/>
      <c r="RDL119" s="3"/>
      <c r="RDM119" s="3"/>
      <c r="RDN119" s="3"/>
      <c r="RDO119" s="3"/>
      <c r="RDP119" s="3"/>
      <c r="RDQ119" s="3"/>
      <c r="RDR119" s="3"/>
      <c r="RDS119" s="3"/>
      <c r="RDT119" s="3"/>
      <c r="RDU119" s="3"/>
      <c r="RDV119" s="3"/>
      <c r="RDW119" s="3"/>
      <c r="RDX119" s="3"/>
      <c r="RDY119" s="3"/>
      <c r="RDZ119" s="3"/>
      <c r="REA119" s="3"/>
      <c r="REB119" s="3"/>
      <c r="REC119" s="3"/>
      <c r="RED119" s="3"/>
      <c r="REE119" s="3"/>
      <c r="REF119" s="3"/>
      <c r="REG119" s="3"/>
      <c r="REH119" s="3"/>
      <c r="REI119" s="3"/>
      <c r="REJ119" s="3"/>
      <c r="REK119" s="3"/>
      <c r="REL119" s="3"/>
      <c r="REM119" s="3"/>
      <c r="REN119" s="3"/>
      <c r="REO119" s="3"/>
      <c r="REP119" s="3"/>
      <c r="REQ119" s="3"/>
      <c r="RER119" s="3"/>
      <c r="RES119" s="3"/>
      <c r="RET119" s="3"/>
      <c r="REU119" s="3"/>
      <c r="REV119" s="3"/>
      <c r="REW119" s="3"/>
      <c r="REX119" s="3"/>
      <c r="REY119" s="3"/>
      <c r="REZ119" s="3"/>
      <c r="RFA119" s="3"/>
      <c r="RFB119" s="3"/>
      <c r="RFC119" s="3"/>
      <c r="RFD119" s="3"/>
      <c r="RFE119" s="3"/>
      <c r="RFF119" s="3"/>
      <c r="RFG119" s="3"/>
      <c r="RFH119" s="3"/>
      <c r="RFI119" s="3"/>
      <c r="RFJ119" s="3"/>
      <c r="RFK119" s="3"/>
      <c r="RFL119" s="3"/>
      <c r="RFM119" s="3"/>
      <c r="RFN119" s="3"/>
      <c r="RFO119" s="3"/>
      <c r="RFP119" s="3"/>
      <c r="RFQ119" s="3"/>
      <c r="RFR119" s="3"/>
      <c r="RFS119" s="3"/>
      <c r="RFT119" s="3"/>
      <c r="RFU119" s="3"/>
      <c r="RFV119" s="3"/>
      <c r="RFW119" s="3"/>
      <c r="RFX119" s="3"/>
      <c r="RFY119" s="3"/>
      <c r="RFZ119" s="3"/>
      <c r="RGA119" s="3"/>
      <c r="RGB119" s="3"/>
      <c r="RGC119" s="3"/>
      <c r="RGD119" s="3"/>
      <c r="RGE119" s="3"/>
      <c r="RGF119" s="3"/>
      <c r="RGG119" s="3"/>
      <c r="RGH119" s="3"/>
      <c r="RGI119" s="3"/>
      <c r="RGJ119" s="3"/>
      <c r="RGK119" s="3"/>
      <c r="RGL119" s="3"/>
      <c r="RGM119" s="3"/>
      <c r="RGN119" s="3"/>
      <c r="RGO119" s="3"/>
      <c r="RGP119" s="3"/>
      <c r="RGQ119" s="3"/>
      <c r="RGR119" s="3"/>
      <c r="RGS119" s="3"/>
      <c r="RGT119" s="3"/>
      <c r="RGU119" s="3"/>
      <c r="RGV119" s="3"/>
      <c r="RGW119" s="3"/>
      <c r="RGX119" s="3"/>
      <c r="RGY119" s="3"/>
      <c r="RGZ119" s="3"/>
      <c r="RHA119" s="3"/>
      <c r="RHB119" s="3"/>
      <c r="RHC119" s="3"/>
      <c r="RHD119" s="3"/>
      <c r="RHE119" s="3"/>
      <c r="RHF119" s="3"/>
      <c r="RHG119" s="3"/>
      <c r="RHH119" s="3"/>
      <c r="RHI119" s="3"/>
      <c r="RHJ119" s="3"/>
      <c r="RHK119" s="3"/>
      <c r="RHL119" s="3"/>
      <c r="RHM119" s="3"/>
      <c r="RHN119" s="3"/>
      <c r="RHO119" s="3"/>
      <c r="RHP119" s="3"/>
      <c r="RHQ119" s="3"/>
      <c r="RHR119" s="3"/>
      <c r="RHS119" s="3"/>
      <c r="RHT119" s="3"/>
      <c r="RHU119" s="3"/>
      <c r="RHV119" s="3"/>
      <c r="RHW119" s="3"/>
      <c r="RHX119" s="3"/>
      <c r="RHY119" s="3"/>
      <c r="RHZ119" s="3"/>
      <c r="RIA119" s="3"/>
      <c r="RIB119" s="3"/>
      <c r="RIC119" s="3"/>
      <c r="RID119" s="3"/>
      <c r="RIE119" s="3"/>
      <c r="RIF119" s="3"/>
      <c r="RIG119" s="3"/>
      <c r="RIH119" s="3"/>
      <c r="RII119" s="3"/>
      <c r="RIJ119" s="3"/>
      <c r="RIK119" s="3"/>
      <c r="RIL119" s="3"/>
      <c r="RIM119" s="3"/>
      <c r="RIN119" s="3"/>
      <c r="RIO119" s="3"/>
      <c r="RIP119" s="3"/>
      <c r="RIQ119" s="3"/>
      <c r="RIR119" s="3"/>
      <c r="RIS119" s="3"/>
      <c r="RIT119" s="3"/>
      <c r="RIU119" s="3"/>
      <c r="RIV119" s="3"/>
      <c r="RIW119" s="3"/>
      <c r="RIX119" s="3"/>
      <c r="RIY119" s="3"/>
      <c r="RIZ119" s="3"/>
      <c r="RJA119" s="3"/>
      <c r="RJB119" s="3"/>
      <c r="RJC119" s="3"/>
      <c r="RJD119" s="3"/>
      <c r="RJE119" s="3"/>
      <c r="RJF119" s="3"/>
      <c r="RJG119" s="3"/>
      <c r="RJH119" s="3"/>
      <c r="RJI119" s="3"/>
      <c r="RJJ119" s="3"/>
      <c r="RJK119" s="3"/>
      <c r="RJL119" s="3"/>
      <c r="RJM119" s="3"/>
      <c r="RJN119" s="3"/>
      <c r="RJO119" s="3"/>
      <c r="RJP119" s="3"/>
      <c r="RJQ119" s="3"/>
      <c r="RJR119" s="3"/>
      <c r="RJS119" s="3"/>
      <c r="RJT119" s="3"/>
      <c r="RJU119" s="3"/>
      <c r="RJV119" s="3"/>
      <c r="RJW119" s="3"/>
      <c r="RJX119" s="3"/>
      <c r="RJY119" s="3"/>
      <c r="RJZ119" s="3"/>
      <c r="RKA119" s="3"/>
      <c r="RKB119" s="3"/>
      <c r="RKC119" s="3"/>
      <c r="RKD119" s="3"/>
      <c r="RKE119" s="3"/>
      <c r="RKF119" s="3"/>
      <c r="RKG119" s="3"/>
      <c r="RKH119" s="3"/>
      <c r="RKI119" s="3"/>
      <c r="RKJ119" s="3"/>
      <c r="RKK119" s="3"/>
      <c r="RKL119" s="3"/>
      <c r="RKM119" s="3"/>
      <c r="RKN119" s="3"/>
      <c r="RKO119" s="3"/>
      <c r="RKP119" s="3"/>
      <c r="RKQ119" s="3"/>
      <c r="RKR119" s="3"/>
      <c r="RKS119" s="3"/>
      <c r="RKT119" s="3"/>
      <c r="RKU119" s="3"/>
      <c r="RKV119" s="3"/>
      <c r="RKW119" s="3"/>
      <c r="RKX119" s="3"/>
      <c r="RKY119" s="3"/>
      <c r="RKZ119" s="3"/>
      <c r="RLA119" s="3"/>
      <c r="RLB119" s="3"/>
      <c r="RLC119" s="3"/>
      <c r="RLD119" s="3"/>
      <c r="RLE119" s="3"/>
      <c r="RLF119" s="3"/>
      <c r="RLG119" s="3"/>
      <c r="RLH119" s="3"/>
      <c r="RLI119" s="3"/>
      <c r="RLJ119" s="3"/>
      <c r="RLK119" s="3"/>
      <c r="RLL119" s="3"/>
      <c r="RLM119" s="3"/>
      <c r="RLN119" s="3"/>
      <c r="RLO119" s="3"/>
      <c r="RLP119" s="3"/>
      <c r="RLQ119" s="3"/>
      <c r="RLR119" s="3"/>
      <c r="RLS119" s="3"/>
      <c r="RLT119" s="3"/>
      <c r="RLU119" s="3"/>
      <c r="RLV119" s="3"/>
      <c r="RLW119" s="3"/>
      <c r="RLX119" s="3"/>
      <c r="RLY119" s="3"/>
      <c r="RLZ119" s="3"/>
      <c r="RMA119" s="3"/>
      <c r="RMB119" s="3"/>
      <c r="RMC119" s="3"/>
      <c r="RMD119" s="3"/>
      <c r="RME119" s="3"/>
      <c r="RMF119" s="3"/>
      <c r="RMG119" s="3"/>
      <c r="RMH119" s="3"/>
      <c r="RMI119" s="3"/>
      <c r="RMJ119" s="3"/>
      <c r="RMK119" s="3"/>
      <c r="RML119" s="3"/>
      <c r="RMM119" s="3"/>
      <c r="RMN119" s="3"/>
      <c r="RMO119" s="3"/>
      <c r="RMP119" s="3"/>
      <c r="RMQ119" s="3"/>
      <c r="RMR119" s="3"/>
      <c r="RMS119" s="3"/>
      <c r="RMT119" s="3"/>
      <c r="RMU119" s="3"/>
      <c r="RMV119" s="3"/>
      <c r="RMW119" s="3"/>
      <c r="RMX119" s="3"/>
      <c r="RMY119" s="3"/>
      <c r="RMZ119" s="3"/>
      <c r="RNA119" s="3"/>
      <c r="RNB119" s="3"/>
      <c r="RNC119" s="3"/>
      <c r="RND119" s="3"/>
      <c r="RNE119" s="3"/>
      <c r="RNF119" s="3"/>
      <c r="RNG119" s="3"/>
      <c r="RNH119" s="3"/>
      <c r="RNI119" s="3"/>
      <c r="RNJ119" s="3"/>
      <c r="RNK119" s="3"/>
      <c r="RNL119" s="3"/>
      <c r="RNM119" s="3"/>
      <c r="RNN119" s="3"/>
      <c r="RNO119" s="3"/>
      <c r="RNP119" s="3"/>
      <c r="RNQ119" s="3"/>
      <c r="RNR119" s="3"/>
      <c r="RNS119" s="3"/>
      <c r="RNT119" s="3"/>
      <c r="RNU119" s="3"/>
      <c r="RNV119" s="3"/>
      <c r="RNW119" s="3"/>
      <c r="RNX119" s="3"/>
      <c r="RNY119" s="3"/>
      <c r="RNZ119" s="3"/>
      <c r="ROA119" s="3"/>
      <c r="ROB119" s="3"/>
      <c r="ROC119" s="3"/>
      <c r="ROD119" s="3"/>
      <c r="ROE119" s="3"/>
      <c r="ROF119" s="3"/>
      <c r="ROG119" s="3"/>
      <c r="ROH119" s="3"/>
      <c r="ROI119" s="3"/>
      <c r="ROJ119" s="3"/>
      <c r="ROK119" s="3"/>
      <c r="ROL119" s="3"/>
      <c r="ROM119" s="3"/>
      <c r="RON119" s="3"/>
      <c r="ROO119" s="3"/>
      <c r="ROP119" s="3"/>
      <c r="ROQ119" s="3"/>
      <c r="ROR119" s="3"/>
      <c r="ROS119" s="3"/>
      <c r="ROT119" s="3"/>
      <c r="ROU119" s="3"/>
      <c r="ROV119" s="3"/>
      <c r="ROW119" s="3"/>
      <c r="ROX119" s="3"/>
      <c r="ROY119" s="3"/>
      <c r="ROZ119" s="3"/>
      <c r="RPA119" s="3"/>
      <c r="RPB119" s="3"/>
      <c r="RPC119" s="3"/>
      <c r="RPD119" s="3"/>
      <c r="RPE119" s="3"/>
      <c r="RPF119" s="3"/>
      <c r="RPG119" s="3"/>
      <c r="RPH119" s="3"/>
      <c r="RPI119" s="3"/>
      <c r="RPJ119" s="3"/>
      <c r="RPK119" s="3"/>
      <c r="RPL119" s="3"/>
      <c r="RPM119" s="3"/>
      <c r="RPN119" s="3"/>
      <c r="RPO119" s="3"/>
      <c r="RPP119" s="3"/>
      <c r="RPQ119" s="3"/>
      <c r="RPR119" s="3"/>
      <c r="RPS119" s="3"/>
      <c r="RPT119" s="3"/>
      <c r="RPU119" s="3"/>
      <c r="RPV119" s="3"/>
      <c r="RPW119" s="3"/>
      <c r="RPX119" s="3"/>
      <c r="RPY119" s="3"/>
      <c r="RPZ119" s="3"/>
      <c r="RQA119" s="3"/>
      <c r="RQB119" s="3"/>
      <c r="RQC119" s="3"/>
      <c r="RQD119" s="3"/>
      <c r="RQE119" s="3"/>
      <c r="RQF119" s="3"/>
      <c r="RQG119" s="3"/>
      <c r="RQH119" s="3"/>
      <c r="RQI119" s="3"/>
      <c r="RQJ119" s="3"/>
      <c r="RQK119" s="3"/>
      <c r="RQL119" s="3"/>
      <c r="RQM119" s="3"/>
      <c r="RQN119" s="3"/>
      <c r="RQO119" s="3"/>
      <c r="RQP119" s="3"/>
      <c r="RQQ119" s="3"/>
      <c r="RQR119" s="3"/>
      <c r="RQS119" s="3"/>
      <c r="RQT119" s="3"/>
      <c r="RQU119" s="3"/>
      <c r="RQV119" s="3"/>
      <c r="RQW119" s="3"/>
      <c r="RQX119" s="3"/>
      <c r="RQY119" s="3"/>
      <c r="RQZ119" s="3"/>
      <c r="RRA119" s="3"/>
      <c r="RRB119" s="3"/>
      <c r="RRC119" s="3"/>
      <c r="RRD119" s="3"/>
      <c r="RRE119" s="3"/>
      <c r="RRF119" s="3"/>
      <c r="RRG119" s="3"/>
      <c r="RRH119" s="3"/>
      <c r="RRI119" s="3"/>
      <c r="RRJ119" s="3"/>
      <c r="RRK119" s="3"/>
      <c r="RRL119" s="3"/>
      <c r="RRM119" s="3"/>
      <c r="RRN119" s="3"/>
      <c r="RRO119" s="3"/>
      <c r="RRP119" s="3"/>
      <c r="RRQ119" s="3"/>
      <c r="RRR119" s="3"/>
      <c r="RRS119" s="3"/>
      <c r="RRT119" s="3"/>
      <c r="RRU119" s="3"/>
      <c r="RRV119" s="3"/>
      <c r="RRW119" s="3"/>
      <c r="RRX119" s="3"/>
      <c r="RRY119" s="3"/>
      <c r="RRZ119" s="3"/>
      <c r="RSA119" s="3"/>
      <c r="RSB119" s="3"/>
      <c r="RSC119" s="3"/>
      <c r="RSD119" s="3"/>
      <c r="RSE119" s="3"/>
      <c r="RSF119" s="3"/>
      <c r="RSG119" s="3"/>
      <c r="RSH119" s="3"/>
      <c r="RSI119" s="3"/>
      <c r="RSJ119" s="3"/>
      <c r="RSK119" s="3"/>
      <c r="RSL119" s="3"/>
      <c r="RSM119" s="3"/>
      <c r="RSN119" s="3"/>
      <c r="RSO119" s="3"/>
      <c r="RSP119" s="3"/>
      <c r="RSQ119" s="3"/>
      <c r="RSR119" s="3"/>
      <c r="RSS119" s="3"/>
      <c r="RST119" s="3"/>
      <c r="RSU119" s="3"/>
      <c r="RSV119" s="3"/>
      <c r="RSW119" s="3"/>
      <c r="RSX119" s="3"/>
      <c r="RSY119" s="3"/>
      <c r="RSZ119" s="3"/>
      <c r="RTA119" s="3"/>
      <c r="RTB119" s="3"/>
      <c r="RTC119" s="3"/>
      <c r="RTD119" s="3"/>
      <c r="RTE119" s="3"/>
      <c r="RTF119" s="3"/>
      <c r="RTG119" s="3"/>
      <c r="RTH119" s="3"/>
      <c r="RTI119" s="3"/>
      <c r="RTJ119" s="3"/>
      <c r="RTK119" s="3"/>
      <c r="RTL119" s="3"/>
      <c r="RTM119" s="3"/>
      <c r="RTN119" s="3"/>
      <c r="RTO119" s="3"/>
      <c r="RTP119" s="3"/>
      <c r="RTQ119" s="3"/>
      <c r="RTR119" s="3"/>
      <c r="RTS119" s="3"/>
      <c r="RTT119" s="3"/>
      <c r="RTU119" s="3"/>
      <c r="RTV119" s="3"/>
      <c r="RTW119" s="3"/>
      <c r="RTX119" s="3"/>
      <c r="RTY119" s="3"/>
      <c r="RTZ119" s="3"/>
      <c r="RUA119" s="3"/>
      <c r="RUB119" s="3"/>
      <c r="RUC119" s="3"/>
      <c r="RUD119" s="3"/>
      <c r="RUE119" s="3"/>
      <c r="RUF119" s="3"/>
      <c r="RUG119" s="3"/>
      <c r="RUH119" s="3"/>
      <c r="RUI119" s="3"/>
      <c r="RUJ119" s="3"/>
      <c r="RUK119" s="3"/>
      <c r="RUL119" s="3"/>
      <c r="RUM119" s="3"/>
      <c r="RUN119" s="3"/>
      <c r="RUO119" s="3"/>
      <c r="RUP119" s="3"/>
      <c r="RUQ119" s="3"/>
      <c r="RUR119" s="3"/>
      <c r="RUS119" s="3"/>
      <c r="RUT119" s="3"/>
      <c r="RUU119" s="3"/>
      <c r="RUV119" s="3"/>
      <c r="RUW119" s="3"/>
      <c r="RUX119" s="3"/>
      <c r="RUY119" s="3"/>
      <c r="RUZ119" s="3"/>
      <c r="RVA119" s="3"/>
      <c r="RVB119" s="3"/>
      <c r="RVC119" s="3"/>
      <c r="RVD119" s="3"/>
      <c r="RVE119" s="3"/>
      <c r="RVF119" s="3"/>
      <c r="RVG119" s="3"/>
      <c r="RVH119" s="3"/>
      <c r="RVI119" s="3"/>
      <c r="RVJ119" s="3"/>
      <c r="RVK119" s="3"/>
      <c r="RVL119" s="3"/>
      <c r="RVM119" s="3"/>
      <c r="RVN119" s="3"/>
      <c r="RVO119" s="3"/>
      <c r="RVP119" s="3"/>
      <c r="RVQ119" s="3"/>
      <c r="RVR119" s="3"/>
      <c r="RVS119" s="3"/>
      <c r="RVT119" s="3"/>
      <c r="RVU119" s="3"/>
      <c r="RVV119" s="3"/>
      <c r="RVW119" s="3"/>
      <c r="RVX119" s="3"/>
      <c r="RVY119" s="3"/>
      <c r="RVZ119" s="3"/>
      <c r="RWA119" s="3"/>
      <c r="RWB119" s="3"/>
      <c r="RWC119" s="3"/>
      <c r="RWD119" s="3"/>
      <c r="RWE119" s="3"/>
      <c r="RWF119" s="3"/>
      <c r="RWG119" s="3"/>
      <c r="RWH119" s="3"/>
      <c r="RWI119" s="3"/>
      <c r="RWJ119" s="3"/>
      <c r="RWK119" s="3"/>
      <c r="RWL119" s="3"/>
      <c r="RWM119" s="3"/>
      <c r="RWN119" s="3"/>
      <c r="RWO119" s="3"/>
      <c r="RWP119" s="3"/>
      <c r="RWQ119" s="3"/>
      <c r="RWR119" s="3"/>
      <c r="RWS119" s="3"/>
      <c r="RWT119" s="3"/>
      <c r="RWU119" s="3"/>
      <c r="RWV119" s="3"/>
      <c r="RWW119" s="3"/>
      <c r="RWX119" s="3"/>
      <c r="RWY119" s="3"/>
      <c r="RWZ119" s="3"/>
      <c r="RXA119" s="3"/>
      <c r="RXB119" s="3"/>
      <c r="RXC119" s="3"/>
      <c r="RXD119" s="3"/>
      <c r="RXE119" s="3"/>
      <c r="RXF119" s="3"/>
      <c r="RXG119" s="3"/>
      <c r="RXH119" s="3"/>
      <c r="RXI119" s="3"/>
      <c r="RXJ119" s="3"/>
      <c r="RXK119" s="3"/>
      <c r="RXL119" s="3"/>
      <c r="RXM119" s="3"/>
      <c r="RXN119" s="3"/>
      <c r="RXO119" s="3"/>
      <c r="RXP119" s="3"/>
      <c r="RXQ119" s="3"/>
      <c r="RXR119" s="3"/>
      <c r="RXS119" s="3"/>
      <c r="RXT119" s="3"/>
      <c r="RXU119" s="3"/>
      <c r="RXV119" s="3"/>
      <c r="RXW119" s="3"/>
      <c r="RXX119" s="3"/>
      <c r="RXY119" s="3"/>
      <c r="RXZ119" s="3"/>
      <c r="RYA119" s="3"/>
      <c r="RYB119" s="3"/>
      <c r="RYC119" s="3"/>
      <c r="RYD119" s="3"/>
      <c r="RYE119" s="3"/>
      <c r="RYF119" s="3"/>
      <c r="RYG119" s="3"/>
      <c r="RYH119" s="3"/>
      <c r="RYI119" s="3"/>
      <c r="RYJ119" s="3"/>
      <c r="RYK119" s="3"/>
      <c r="RYL119" s="3"/>
      <c r="RYM119" s="3"/>
      <c r="RYN119" s="3"/>
      <c r="RYO119" s="3"/>
      <c r="RYP119" s="3"/>
      <c r="RYQ119" s="3"/>
      <c r="RYR119" s="3"/>
      <c r="RYS119" s="3"/>
      <c r="RYT119" s="3"/>
      <c r="RYU119" s="3"/>
      <c r="RYV119" s="3"/>
      <c r="RYW119" s="3"/>
      <c r="RYX119" s="3"/>
      <c r="RYY119" s="3"/>
      <c r="RYZ119" s="3"/>
      <c r="RZA119" s="3"/>
      <c r="RZB119" s="3"/>
      <c r="RZC119" s="3"/>
      <c r="RZD119" s="3"/>
      <c r="RZE119" s="3"/>
      <c r="RZF119" s="3"/>
      <c r="RZG119" s="3"/>
      <c r="RZH119" s="3"/>
      <c r="RZI119" s="3"/>
      <c r="RZJ119" s="3"/>
      <c r="RZK119" s="3"/>
      <c r="RZL119" s="3"/>
      <c r="RZM119" s="3"/>
      <c r="RZN119" s="3"/>
      <c r="RZO119" s="3"/>
      <c r="RZP119" s="3"/>
      <c r="RZQ119" s="3"/>
      <c r="RZR119" s="3"/>
      <c r="RZS119" s="3"/>
      <c r="RZT119" s="3"/>
      <c r="RZU119" s="3"/>
      <c r="RZV119" s="3"/>
      <c r="RZW119" s="3"/>
      <c r="RZX119" s="3"/>
      <c r="RZY119" s="3"/>
      <c r="RZZ119" s="3"/>
      <c r="SAA119" s="3"/>
      <c r="SAB119" s="3"/>
      <c r="SAC119" s="3"/>
      <c r="SAD119" s="3"/>
      <c r="SAE119" s="3"/>
      <c r="SAF119" s="3"/>
      <c r="SAG119" s="3"/>
      <c r="SAH119" s="3"/>
      <c r="SAI119" s="3"/>
      <c r="SAJ119" s="3"/>
      <c r="SAK119" s="3"/>
      <c r="SAL119" s="3"/>
      <c r="SAM119" s="3"/>
      <c r="SAN119" s="3"/>
      <c r="SAO119" s="3"/>
      <c r="SAP119" s="3"/>
      <c r="SAQ119" s="3"/>
      <c r="SAR119" s="3"/>
      <c r="SAS119" s="3"/>
      <c r="SAT119" s="3"/>
      <c r="SAU119" s="3"/>
      <c r="SAV119" s="3"/>
      <c r="SAW119" s="3"/>
      <c r="SAX119" s="3"/>
      <c r="SAY119" s="3"/>
      <c r="SAZ119" s="3"/>
      <c r="SBA119" s="3"/>
      <c r="SBB119" s="3"/>
      <c r="SBC119" s="3"/>
      <c r="SBD119" s="3"/>
      <c r="SBE119" s="3"/>
      <c r="SBF119" s="3"/>
      <c r="SBG119" s="3"/>
      <c r="SBH119" s="3"/>
      <c r="SBI119" s="3"/>
      <c r="SBJ119" s="3"/>
      <c r="SBK119" s="3"/>
      <c r="SBL119" s="3"/>
      <c r="SBM119" s="3"/>
      <c r="SBN119" s="3"/>
      <c r="SBO119" s="3"/>
      <c r="SBP119" s="3"/>
      <c r="SBQ119" s="3"/>
      <c r="SBR119" s="3"/>
      <c r="SBS119" s="3"/>
      <c r="SBT119" s="3"/>
      <c r="SBU119" s="3"/>
      <c r="SBV119" s="3"/>
      <c r="SBW119" s="3"/>
      <c r="SBX119" s="3"/>
      <c r="SBY119" s="3"/>
      <c r="SBZ119" s="3"/>
      <c r="SCA119" s="3"/>
      <c r="SCB119" s="3"/>
      <c r="SCC119" s="3"/>
      <c r="SCD119" s="3"/>
      <c r="SCE119" s="3"/>
      <c r="SCF119" s="3"/>
      <c r="SCG119" s="3"/>
      <c r="SCH119" s="3"/>
      <c r="SCI119" s="3"/>
      <c r="SCJ119" s="3"/>
      <c r="SCK119" s="3"/>
      <c r="SCL119" s="3"/>
      <c r="SCM119" s="3"/>
      <c r="SCN119" s="3"/>
      <c r="SCO119" s="3"/>
      <c r="SCP119" s="3"/>
      <c r="SCQ119" s="3"/>
      <c r="SCR119" s="3"/>
      <c r="SCS119" s="3"/>
      <c r="SCT119" s="3"/>
      <c r="SCU119" s="3"/>
      <c r="SCV119" s="3"/>
      <c r="SCW119" s="3"/>
      <c r="SCX119" s="3"/>
      <c r="SCY119" s="3"/>
      <c r="SCZ119" s="3"/>
      <c r="SDA119" s="3"/>
      <c r="SDB119" s="3"/>
      <c r="SDC119" s="3"/>
      <c r="SDD119" s="3"/>
      <c r="SDE119" s="3"/>
      <c r="SDF119" s="3"/>
      <c r="SDG119" s="3"/>
      <c r="SDH119" s="3"/>
      <c r="SDI119" s="3"/>
      <c r="SDJ119" s="3"/>
      <c r="SDK119" s="3"/>
      <c r="SDL119" s="3"/>
      <c r="SDM119" s="3"/>
      <c r="SDN119" s="3"/>
      <c r="SDO119" s="3"/>
      <c r="SDP119" s="3"/>
      <c r="SDQ119" s="3"/>
      <c r="SDR119" s="3"/>
      <c r="SDS119" s="3"/>
      <c r="SDT119" s="3"/>
      <c r="SDU119" s="3"/>
      <c r="SDV119" s="3"/>
      <c r="SDW119" s="3"/>
      <c r="SDX119" s="3"/>
      <c r="SDY119" s="3"/>
      <c r="SDZ119" s="3"/>
      <c r="SEA119" s="3"/>
      <c r="SEB119" s="3"/>
      <c r="SEC119" s="3"/>
      <c r="SED119" s="3"/>
      <c r="SEE119" s="3"/>
      <c r="SEF119" s="3"/>
      <c r="SEG119" s="3"/>
      <c r="SEH119" s="3"/>
      <c r="SEI119" s="3"/>
      <c r="SEJ119" s="3"/>
      <c r="SEK119" s="3"/>
      <c r="SEL119" s="3"/>
      <c r="SEM119" s="3"/>
      <c r="SEN119" s="3"/>
      <c r="SEO119" s="3"/>
      <c r="SEP119" s="3"/>
      <c r="SEQ119" s="3"/>
      <c r="SER119" s="3"/>
      <c r="SES119" s="3"/>
      <c r="SET119" s="3"/>
      <c r="SEU119" s="3"/>
      <c r="SEV119" s="3"/>
      <c r="SEW119" s="3"/>
      <c r="SEX119" s="3"/>
      <c r="SEY119" s="3"/>
      <c r="SEZ119" s="3"/>
      <c r="SFA119" s="3"/>
      <c r="SFB119" s="3"/>
      <c r="SFC119" s="3"/>
      <c r="SFD119" s="3"/>
      <c r="SFE119" s="3"/>
      <c r="SFF119" s="3"/>
      <c r="SFG119" s="3"/>
      <c r="SFH119" s="3"/>
      <c r="SFI119" s="3"/>
      <c r="SFJ119" s="3"/>
      <c r="SFK119" s="3"/>
      <c r="SFL119" s="3"/>
      <c r="SFM119" s="3"/>
      <c r="SFN119" s="3"/>
      <c r="SFO119" s="3"/>
      <c r="SFP119" s="3"/>
      <c r="SFQ119" s="3"/>
      <c r="SFR119" s="3"/>
      <c r="SFS119" s="3"/>
      <c r="SFT119" s="3"/>
      <c r="SFU119" s="3"/>
      <c r="SFV119" s="3"/>
      <c r="SFW119" s="3"/>
      <c r="SFX119" s="3"/>
      <c r="SFY119" s="3"/>
      <c r="SFZ119" s="3"/>
      <c r="SGA119" s="3"/>
      <c r="SGB119" s="3"/>
      <c r="SGC119" s="3"/>
      <c r="SGD119" s="3"/>
      <c r="SGE119" s="3"/>
      <c r="SGF119" s="3"/>
      <c r="SGG119" s="3"/>
      <c r="SGH119" s="3"/>
      <c r="SGI119" s="3"/>
      <c r="SGJ119" s="3"/>
      <c r="SGK119" s="3"/>
      <c r="SGL119" s="3"/>
      <c r="SGM119" s="3"/>
      <c r="SGN119" s="3"/>
      <c r="SGO119" s="3"/>
      <c r="SGP119" s="3"/>
      <c r="SGQ119" s="3"/>
      <c r="SGR119" s="3"/>
      <c r="SGS119" s="3"/>
      <c r="SGT119" s="3"/>
      <c r="SGU119" s="3"/>
      <c r="SGV119" s="3"/>
      <c r="SGW119" s="3"/>
      <c r="SGX119" s="3"/>
      <c r="SGY119" s="3"/>
      <c r="SGZ119" s="3"/>
      <c r="SHA119" s="3"/>
      <c r="SHB119" s="3"/>
      <c r="SHC119" s="3"/>
      <c r="SHD119" s="3"/>
      <c r="SHE119" s="3"/>
      <c r="SHF119" s="3"/>
      <c r="SHG119" s="3"/>
      <c r="SHH119" s="3"/>
      <c r="SHI119" s="3"/>
      <c r="SHJ119" s="3"/>
      <c r="SHK119" s="3"/>
      <c r="SHL119" s="3"/>
      <c r="SHM119" s="3"/>
      <c r="SHN119" s="3"/>
      <c r="SHO119" s="3"/>
      <c r="SHP119" s="3"/>
      <c r="SHQ119" s="3"/>
      <c r="SHR119" s="3"/>
      <c r="SHS119" s="3"/>
      <c r="SHT119" s="3"/>
      <c r="SHU119" s="3"/>
      <c r="SHV119" s="3"/>
      <c r="SHW119" s="3"/>
      <c r="SHX119" s="3"/>
      <c r="SHY119" s="3"/>
      <c r="SHZ119" s="3"/>
      <c r="SIA119" s="3"/>
      <c r="SIB119" s="3"/>
      <c r="SIC119" s="3"/>
      <c r="SID119" s="3"/>
      <c r="SIE119" s="3"/>
      <c r="SIF119" s="3"/>
      <c r="SIG119" s="3"/>
      <c r="SIH119" s="3"/>
      <c r="SII119" s="3"/>
      <c r="SIJ119" s="3"/>
      <c r="SIK119" s="3"/>
      <c r="SIL119" s="3"/>
      <c r="SIM119" s="3"/>
      <c r="SIN119" s="3"/>
      <c r="SIO119" s="3"/>
      <c r="SIP119" s="3"/>
      <c r="SIQ119" s="3"/>
      <c r="SIR119" s="3"/>
      <c r="SIS119" s="3"/>
      <c r="SIT119" s="3"/>
      <c r="SIU119" s="3"/>
      <c r="SIV119" s="3"/>
      <c r="SIW119" s="3"/>
      <c r="SIX119" s="3"/>
      <c r="SIY119" s="3"/>
      <c r="SIZ119" s="3"/>
      <c r="SJA119" s="3"/>
      <c r="SJB119" s="3"/>
      <c r="SJC119" s="3"/>
      <c r="SJD119" s="3"/>
      <c r="SJE119" s="3"/>
      <c r="SJF119" s="3"/>
      <c r="SJG119" s="3"/>
      <c r="SJH119" s="3"/>
      <c r="SJI119" s="3"/>
      <c r="SJJ119" s="3"/>
      <c r="SJK119" s="3"/>
      <c r="SJL119" s="3"/>
      <c r="SJM119" s="3"/>
      <c r="SJN119" s="3"/>
      <c r="SJO119" s="3"/>
      <c r="SJP119" s="3"/>
      <c r="SJQ119" s="3"/>
      <c r="SJR119" s="3"/>
      <c r="SJS119" s="3"/>
      <c r="SJT119" s="3"/>
      <c r="SJU119" s="3"/>
      <c r="SJV119" s="3"/>
      <c r="SJW119" s="3"/>
      <c r="SJX119" s="3"/>
      <c r="SJY119" s="3"/>
      <c r="SJZ119" s="3"/>
      <c r="SKA119" s="3"/>
      <c r="SKB119" s="3"/>
      <c r="SKC119" s="3"/>
      <c r="SKD119" s="3"/>
      <c r="SKE119" s="3"/>
      <c r="SKF119" s="3"/>
      <c r="SKG119" s="3"/>
      <c r="SKH119" s="3"/>
      <c r="SKI119" s="3"/>
      <c r="SKJ119" s="3"/>
      <c r="SKK119" s="3"/>
      <c r="SKL119" s="3"/>
      <c r="SKM119" s="3"/>
      <c r="SKN119" s="3"/>
      <c r="SKO119" s="3"/>
      <c r="SKP119" s="3"/>
      <c r="SKQ119" s="3"/>
      <c r="SKR119" s="3"/>
      <c r="SKS119" s="3"/>
      <c r="SKT119" s="3"/>
      <c r="SKU119" s="3"/>
      <c r="SKV119" s="3"/>
      <c r="SKW119" s="3"/>
      <c r="SKX119" s="3"/>
      <c r="SKY119" s="3"/>
      <c r="SKZ119" s="3"/>
      <c r="SLA119" s="3"/>
      <c r="SLB119" s="3"/>
      <c r="SLC119" s="3"/>
      <c r="SLD119" s="3"/>
      <c r="SLE119" s="3"/>
      <c r="SLF119" s="3"/>
      <c r="SLG119" s="3"/>
      <c r="SLH119" s="3"/>
      <c r="SLI119" s="3"/>
      <c r="SLJ119" s="3"/>
      <c r="SLK119" s="3"/>
      <c r="SLL119" s="3"/>
      <c r="SLM119" s="3"/>
      <c r="SLN119" s="3"/>
      <c r="SLO119" s="3"/>
      <c r="SLP119" s="3"/>
      <c r="SLQ119" s="3"/>
      <c r="SLR119" s="3"/>
      <c r="SLS119" s="3"/>
      <c r="SLT119" s="3"/>
      <c r="SLU119" s="3"/>
      <c r="SLV119" s="3"/>
      <c r="SLW119" s="3"/>
      <c r="SLX119" s="3"/>
      <c r="SLY119" s="3"/>
      <c r="SLZ119" s="3"/>
      <c r="SMA119" s="3"/>
      <c r="SMB119" s="3"/>
      <c r="SMC119" s="3"/>
      <c r="SMD119" s="3"/>
      <c r="SME119" s="3"/>
      <c r="SMF119" s="3"/>
      <c r="SMG119" s="3"/>
      <c r="SMH119" s="3"/>
      <c r="SMI119" s="3"/>
      <c r="SMJ119" s="3"/>
      <c r="SMK119" s="3"/>
      <c r="SML119" s="3"/>
      <c r="SMM119" s="3"/>
      <c r="SMN119" s="3"/>
      <c r="SMO119" s="3"/>
      <c r="SMP119" s="3"/>
      <c r="SMQ119" s="3"/>
      <c r="SMR119" s="3"/>
      <c r="SMS119" s="3"/>
      <c r="SMT119" s="3"/>
      <c r="SMU119" s="3"/>
      <c r="SMV119" s="3"/>
      <c r="SMW119" s="3"/>
      <c r="SMX119" s="3"/>
      <c r="SMY119" s="3"/>
      <c r="SMZ119" s="3"/>
      <c r="SNA119" s="3"/>
      <c r="SNB119" s="3"/>
      <c r="SNC119" s="3"/>
      <c r="SND119" s="3"/>
      <c r="SNE119" s="3"/>
      <c r="SNF119" s="3"/>
      <c r="SNG119" s="3"/>
      <c r="SNH119" s="3"/>
      <c r="SNI119" s="3"/>
      <c r="SNJ119" s="3"/>
      <c r="SNK119" s="3"/>
      <c r="SNL119" s="3"/>
      <c r="SNM119" s="3"/>
      <c r="SNN119" s="3"/>
      <c r="SNO119" s="3"/>
      <c r="SNP119" s="3"/>
      <c r="SNQ119" s="3"/>
      <c r="SNR119" s="3"/>
      <c r="SNS119" s="3"/>
      <c r="SNT119" s="3"/>
      <c r="SNU119" s="3"/>
      <c r="SNV119" s="3"/>
      <c r="SNW119" s="3"/>
      <c r="SNX119" s="3"/>
      <c r="SNY119" s="3"/>
      <c r="SNZ119" s="3"/>
      <c r="SOA119" s="3"/>
      <c r="SOB119" s="3"/>
      <c r="SOC119" s="3"/>
      <c r="SOD119" s="3"/>
      <c r="SOE119" s="3"/>
      <c r="SOF119" s="3"/>
      <c r="SOG119" s="3"/>
      <c r="SOH119" s="3"/>
      <c r="SOI119" s="3"/>
      <c r="SOJ119" s="3"/>
      <c r="SOK119" s="3"/>
      <c r="SOL119" s="3"/>
      <c r="SOM119" s="3"/>
      <c r="SON119" s="3"/>
      <c r="SOO119" s="3"/>
      <c r="SOP119" s="3"/>
      <c r="SOQ119" s="3"/>
      <c r="SOR119" s="3"/>
      <c r="SOS119" s="3"/>
      <c r="SOT119" s="3"/>
      <c r="SOU119" s="3"/>
      <c r="SOV119" s="3"/>
      <c r="SOW119" s="3"/>
      <c r="SOX119" s="3"/>
      <c r="SOY119" s="3"/>
      <c r="SOZ119" s="3"/>
      <c r="SPA119" s="3"/>
      <c r="SPB119" s="3"/>
      <c r="SPC119" s="3"/>
      <c r="SPD119" s="3"/>
      <c r="SPE119" s="3"/>
      <c r="SPF119" s="3"/>
      <c r="SPG119" s="3"/>
      <c r="SPH119" s="3"/>
      <c r="SPI119" s="3"/>
      <c r="SPJ119" s="3"/>
      <c r="SPK119" s="3"/>
      <c r="SPL119" s="3"/>
      <c r="SPM119" s="3"/>
      <c r="SPN119" s="3"/>
      <c r="SPO119" s="3"/>
      <c r="SPP119" s="3"/>
      <c r="SPQ119" s="3"/>
      <c r="SPR119" s="3"/>
      <c r="SPS119" s="3"/>
      <c r="SPT119" s="3"/>
      <c r="SPU119" s="3"/>
      <c r="SPV119" s="3"/>
      <c r="SPW119" s="3"/>
      <c r="SPX119" s="3"/>
      <c r="SPY119" s="3"/>
      <c r="SPZ119" s="3"/>
      <c r="SQA119" s="3"/>
      <c r="SQB119" s="3"/>
      <c r="SQC119" s="3"/>
      <c r="SQD119" s="3"/>
      <c r="SQE119" s="3"/>
      <c r="SQF119" s="3"/>
      <c r="SQG119" s="3"/>
      <c r="SQH119" s="3"/>
      <c r="SQI119" s="3"/>
      <c r="SQJ119" s="3"/>
      <c r="SQK119" s="3"/>
      <c r="SQL119" s="3"/>
      <c r="SQM119" s="3"/>
      <c r="SQN119" s="3"/>
      <c r="SQO119" s="3"/>
      <c r="SQP119" s="3"/>
      <c r="SQQ119" s="3"/>
      <c r="SQR119" s="3"/>
      <c r="SQS119" s="3"/>
      <c r="SQT119" s="3"/>
      <c r="SQU119" s="3"/>
      <c r="SQV119" s="3"/>
      <c r="SQW119" s="3"/>
      <c r="SQX119" s="3"/>
      <c r="SQY119" s="3"/>
      <c r="SQZ119" s="3"/>
      <c r="SRA119" s="3"/>
      <c r="SRB119" s="3"/>
      <c r="SRC119" s="3"/>
      <c r="SRD119" s="3"/>
      <c r="SRE119" s="3"/>
      <c r="SRF119" s="3"/>
      <c r="SRG119" s="3"/>
      <c r="SRH119" s="3"/>
      <c r="SRI119" s="3"/>
      <c r="SRJ119" s="3"/>
      <c r="SRK119" s="3"/>
      <c r="SRL119" s="3"/>
      <c r="SRM119" s="3"/>
      <c r="SRN119" s="3"/>
      <c r="SRO119" s="3"/>
      <c r="SRP119" s="3"/>
      <c r="SRQ119" s="3"/>
      <c r="SRR119" s="3"/>
      <c r="SRS119" s="3"/>
      <c r="SRT119" s="3"/>
      <c r="SRU119" s="3"/>
      <c r="SRV119" s="3"/>
      <c r="SRW119" s="3"/>
      <c r="SRX119" s="3"/>
      <c r="SRY119" s="3"/>
      <c r="SRZ119" s="3"/>
      <c r="SSA119" s="3"/>
      <c r="SSB119" s="3"/>
      <c r="SSC119" s="3"/>
      <c r="SSD119" s="3"/>
      <c r="SSE119" s="3"/>
      <c r="SSF119" s="3"/>
      <c r="SSG119" s="3"/>
      <c r="SSH119" s="3"/>
      <c r="SSI119" s="3"/>
      <c r="SSJ119" s="3"/>
      <c r="SSK119" s="3"/>
      <c r="SSL119" s="3"/>
      <c r="SSM119" s="3"/>
      <c r="SSN119" s="3"/>
      <c r="SSO119" s="3"/>
      <c r="SSP119" s="3"/>
      <c r="SSQ119" s="3"/>
      <c r="SSR119" s="3"/>
      <c r="SSS119" s="3"/>
      <c r="SST119" s="3"/>
      <c r="SSU119" s="3"/>
      <c r="SSV119" s="3"/>
      <c r="SSW119" s="3"/>
      <c r="SSX119" s="3"/>
      <c r="SSY119" s="3"/>
      <c r="SSZ119" s="3"/>
      <c r="STA119" s="3"/>
      <c r="STB119" s="3"/>
      <c r="STC119" s="3"/>
      <c r="STD119" s="3"/>
      <c r="STE119" s="3"/>
      <c r="STF119" s="3"/>
      <c r="STG119" s="3"/>
      <c r="STH119" s="3"/>
      <c r="STI119" s="3"/>
      <c r="STJ119" s="3"/>
      <c r="STK119" s="3"/>
      <c r="STL119" s="3"/>
      <c r="STM119" s="3"/>
      <c r="STN119" s="3"/>
      <c r="STO119" s="3"/>
      <c r="STP119" s="3"/>
      <c r="STQ119" s="3"/>
      <c r="STR119" s="3"/>
      <c r="STS119" s="3"/>
      <c r="STT119" s="3"/>
      <c r="STU119" s="3"/>
      <c r="STV119" s="3"/>
      <c r="STW119" s="3"/>
      <c r="STX119" s="3"/>
      <c r="STY119" s="3"/>
      <c r="STZ119" s="3"/>
      <c r="SUA119" s="3"/>
      <c r="SUB119" s="3"/>
      <c r="SUC119" s="3"/>
      <c r="SUD119" s="3"/>
      <c r="SUE119" s="3"/>
      <c r="SUF119" s="3"/>
      <c r="SUG119" s="3"/>
      <c r="SUH119" s="3"/>
      <c r="SUI119" s="3"/>
      <c r="SUJ119" s="3"/>
      <c r="SUK119" s="3"/>
      <c r="SUL119" s="3"/>
      <c r="SUM119" s="3"/>
      <c r="SUN119" s="3"/>
      <c r="SUO119" s="3"/>
      <c r="SUP119" s="3"/>
      <c r="SUQ119" s="3"/>
      <c r="SUR119" s="3"/>
      <c r="SUS119" s="3"/>
      <c r="SUT119" s="3"/>
      <c r="SUU119" s="3"/>
      <c r="SUV119" s="3"/>
      <c r="SUW119" s="3"/>
      <c r="SUX119" s="3"/>
      <c r="SUY119" s="3"/>
      <c r="SUZ119" s="3"/>
      <c r="SVA119" s="3"/>
      <c r="SVB119" s="3"/>
      <c r="SVC119" s="3"/>
      <c r="SVD119" s="3"/>
      <c r="SVE119" s="3"/>
      <c r="SVF119" s="3"/>
      <c r="SVG119" s="3"/>
      <c r="SVH119" s="3"/>
      <c r="SVI119" s="3"/>
      <c r="SVJ119" s="3"/>
      <c r="SVK119" s="3"/>
      <c r="SVL119" s="3"/>
      <c r="SVM119" s="3"/>
      <c r="SVN119" s="3"/>
      <c r="SVO119" s="3"/>
      <c r="SVP119" s="3"/>
      <c r="SVQ119" s="3"/>
      <c r="SVR119" s="3"/>
      <c r="SVS119" s="3"/>
      <c r="SVT119" s="3"/>
      <c r="SVU119" s="3"/>
      <c r="SVV119" s="3"/>
      <c r="SVW119" s="3"/>
      <c r="SVX119" s="3"/>
      <c r="SVY119" s="3"/>
      <c r="SVZ119" s="3"/>
      <c r="SWA119" s="3"/>
      <c r="SWB119" s="3"/>
      <c r="SWC119" s="3"/>
      <c r="SWD119" s="3"/>
      <c r="SWE119" s="3"/>
      <c r="SWF119" s="3"/>
      <c r="SWG119" s="3"/>
      <c r="SWH119" s="3"/>
      <c r="SWI119" s="3"/>
      <c r="SWJ119" s="3"/>
      <c r="SWK119" s="3"/>
      <c r="SWL119" s="3"/>
      <c r="SWM119" s="3"/>
      <c r="SWN119" s="3"/>
      <c r="SWO119" s="3"/>
      <c r="SWP119" s="3"/>
      <c r="SWQ119" s="3"/>
      <c r="SWR119" s="3"/>
      <c r="SWS119" s="3"/>
      <c r="SWT119" s="3"/>
      <c r="SWU119" s="3"/>
      <c r="SWV119" s="3"/>
      <c r="SWW119" s="3"/>
      <c r="SWX119" s="3"/>
      <c r="SWY119" s="3"/>
      <c r="SWZ119" s="3"/>
      <c r="SXA119" s="3"/>
      <c r="SXB119" s="3"/>
      <c r="SXC119" s="3"/>
      <c r="SXD119" s="3"/>
      <c r="SXE119" s="3"/>
      <c r="SXF119" s="3"/>
      <c r="SXG119" s="3"/>
      <c r="SXH119" s="3"/>
      <c r="SXI119" s="3"/>
      <c r="SXJ119" s="3"/>
      <c r="SXK119" s="3"/>
      <c r="SXL119" s="3"/>
      <c r="SXM119" s="3"/>
      <c r="SXN119" s="3"/>
      <c r="SXO119" s="3"/>
      <c r="SXP119" s="3"/>
      <c r="SXQ119" s="3"/>
      <c r="SXR119" s="3"/>
      <c r="SXS119" s="3"/>
      <c r="SXT119" s="3"/>
      <c r="SXU119" s="3"/>
      <c r="SXV119" s="3"/>
      <c r="SXW119" s="3"/>
      <c r="SXX119" s="3"/>
      <c r="SXY119" s="3"/>
      <c r="SXZ119" s="3"/>
      <c r="SYA119" s="3"/>
      <c r="SYB119" s="3"/>
      <c r="SYC119" s="3"/>
      <c r="SYD119" s="3"/>
      <c r="SYE119" s="3"/>
      <c r="SYF119" s="3"/>
      <c r="SYG119" s="3"/>
      <c r="SYH119" s="3"/>
      <c r="SYI119" s="3"/>
      <c r="SYJ119" s="3"/>
      <c r="SYK119" s="3"/>
      <c r="SYL119" s="3"/>
      <c r="SYM119" s="3"/>
      <c r="SYN119" s="3"/>
      <c r="SYO119" s="3"/>
      <c r="SYP119" s="3"/>
      <c r="SYQ119" s="3"/>
      <c r="SYR119" s="3"/>
      <c r="SYS119" s="3"/>
      <c r="SYT119" s="3"/>
      <c r="SYU119" s="3"/>
      <c r="SYV119" s="3"/>
      <c r="SYW119" s="3"/>
      <c r="SYX119" s="3"/>
      <c r="SYY119" s="3"/>
      <c r="SYZ119" s="3"/>
      <c r="SZA119" s="3"/>
      <c r="SZB119" s="3"/>
      <c r="SZC119" s="3"/>
      <c r="SZD119" s="3"/>
      <c r="SZE119" s="3"/>
      <c r="SZF119" s="3"/>
      <c r="SZG119" s="3"/>
      <c r="SZH119" s="3"/>
      <c r="SZI119" s="3"/>
      <c r="SZJ119" s="3"/>
      <c r="SZK119" s="3"/>
      <c r="SZL119" s="3"/>
      <c r="SZM119" s="3"/>
      <c r="SZN119" s="3"/>
      <c r="SZO119" s="3"/>
      <c r="SZP119" s="3"/>
      <c r="SZQ119" s="3"/>
      <c r="SZR119" s="3"/>
      <c r="SZS119" s="3"/>
      <c r="SZT119" s="3"/>
      <c r="SZU119" s="3"/>
      <c r="SZV119" s="3"/>
      <c r="SZW119" s="3"/>
      <c r="SZX119" s="3"/>
      <c r="SZY119" s="3"/>
      <c r="SZZ119" s="3"/>
      <c r="TAA119" s="3"/>
      <c r="TAB119" s="3"/>
      <c r="TAC119" s="3"/>
      <c r="TAD119" s="3"/>
      <c r="TAE119" s="3"/>
      <c r="TAF119" s="3"/>
      <c r="TAG119" s="3"/>
      <c r="TAH119" s="3"/>
      <c r="TAI119" s="3"/>
      <c r="TAJ119" s="3"/>
      <c r="TAK119" s="3"/>
      <c r="TAL119" s="3"/>
      <c r="TAM119" s="3"/>
      <c r="TAN119" s="3"/>
      <c r="TAO119" s="3"/>
      <c r="TAP119" s="3"/>
      <c r="TAQ119" s="3"/>
      <c r="TAR119" s="3"/>
      <c r="TAS119" s="3"/>
      <c r="TAT119" s="3"/>
      <c r="TAU119" s="3"/>
      <c r="TAV119" s="3"/>
      <c r="TAW119" s="3"/>
      <c r="TAX119" s="3"/>
      <c r="TAY119" s="3"/>
      <c r="TAZ119" s="3"/>
      <c r="TBA119" s="3"/>
      <c r="TBB119" s="3"/>
      <c r="TBC119" s="3"/>
      <c r="TBD119" s="3"/>
      <c r="TBE119" s="3"/>
      <c r="TBF119" s="3"/>
      <c r="TBG119" s="3"/>
      <c r="TBH119" s="3"/>
      <c r="TBI119" s="3"/>
      <c r="TBJ119" s="3"/>
      <c r="TBK119" s="3"/>
      <c r="TBL119" s="3"/>
      <c r="TBM119" s="3"/>
      <c r="TBN119" s="3"/>
      <c r="TBO119" s="3"/>
      <c r="TBP119" s="3"/>
      <c r="TBQ119" s="3"/>
      <c r="TBR119" s="3"/>
      <c r="TBS119" s="3"/>
      <c r="TBT119" s="3"/>
      <c r="TBU119" s="3"/>
      <c r="TBV119" s="3"/>
      <c r="TBW119" s="3"/>
      <c r="TBX119" s="3"/>
      <c r="TBY119" s="3"/>
      <c r="TBZ119" s="3"/>
      <c r="TCA119" s="3"/>
      <c r="TCB119" s="3"/>
      <c r="TCC119" s="3"/>
      <c r="TCD119" s="3"/>
      <c r="TCE119" s="3"/>
      <c r="TCF119" s="3"/>
      <c r="TCG119" s="3"/>
      <c r="TCH119" s="3"/>
      <c r="TCI119" s="3"/>
      <c r="TCJ119" s="3"/>
      <c r="TCK119" s="3"/>
      <c r="TCL119" s="3"/>
      <c r="TCM119" s="3"/>
      <c r="TCN119" s="3"/>
      <c r="TCO119" s="3"/>
      <c r="TCP119" s="3"/>
      <c r="TCQ119" s="3"/>
      <c r="TCR119" s="3"/>
      <c r="TCS119" s="3"/>
      <c r="TCT119" s="3"/>
      <c r="TCU119" s="3"/>
      <c r="TCV119" s="3"/>
      <c r="TCW119" s="3"/>
      <c r="TCX119" s="3"/>
      <c r="TCY119" s="3"/>
      <c r="TCZ119" s="3"/>
      <c r="TDA119" s="3"/>
      <c r="TDB119" s="3"/>
      <c r="TDC119" s="3"/>
      <c r="TDD119" s="3"/>
      <c r="TDE119" s="3"/>
      <c r="TDF119" s="3"/>
      <c r="TDG119" s="3"/>
      <c r="TDH119" s="3"/>
      <c r="TDI119" s="3"/>
      <c r="TDJ119" s="3"/>
      <c r="TDK119" s="3"/>
      <c r="TDL119" s="3"/>
      <c r="TDM119" s="3"/>
      <c r="TDN119" s="3"/>
      <c r="TDO119" s="3"/>
      <c r="TDP119" s="3"/>
      <c r="TDQ119" s="3"/>
      <c r="TDR119" s="3"/>
      <c r="TDS119" s="3"/>
      <c r="TDT119" s="3"/>
      <c r="TDU119" s="3"/>
      <c r="TDV119" s="3"/>
      <c r="TDW119" s="3"/>
      <c r="TDX119" s="3"/>
      <c r="TDY119" s="3"/>
      <c r="TDZ119" s="3"/>
      <c r="TEA119" s="3"/>
      <c r="TEB119" s="3"/>
      <c r="TEC119" s="3"/>
      <c r="TED119" s="3"/>
      <c r="TEE119" s="3"/>
      <c r="TEF119" s="3"/>
      <c r="TEG119" s="3"/>
      <c r="TEH119" s="3"/>
      <c r="TEI119" s="3"/>
      <c r="TEJ119" s="3"/>
      <c r="TEK119" s="3"/>
      <c r="TEL119" s="3"/>
      <c r="TEM119" s="3"/>
      <c r="TEN119" s="3"/>
      <c r="TEO119" s="3"/>
      <c r="TEP119" s="3"/>
      <c r="TEQ119" s="3"/>
      <c r="TER119" s="3"/>
      <c r="TES119" s="3"/>
      <c r="TET119" s="3"/>
      <c r="TEU119" s="3"/>
      <c r="TEV119" s="3"/>
      <c r="TEW119" s="3"/>
      <c r="TEX119" s="3"/>
      <c r="TEY119" s="3"/>
      <c r="TEZ119" s="3"/>
      <c r="TFA119" s="3"/>
      <c r="TFB119" s="3"/>
      <c r="TFC119" s="3"/>
      <c r="TFD119" s="3"/>
      <c r="TFE119" s="3"/>
      <c r="TFF119" s="3"/>
      <c r="TFG119" s="3"/>
      <c r="TFH119" s="3"/>
      <c r="TFI119" s="3"/>
      <c r="TFJ119" s="3"/>
      <c r="TFK119" s="3"/>
      <c r="TFL119" s="3"/>
      <c r="TFM119" s="3"/>
      <c r="TFN119" s="3"/>
      <c r="TFO119" s="3"/>
      <c r="TFP119" s="3"/>
      <c r="TFQ119" s="3"/>
      <c r="TFR119" s="3"/>
      <c r="TFS119" s="3"/>
      <c r="TFT119" s="3"/>
      <c r="TFU119" s="3"/>
      <c r="TFV119" s="3"/>
      <c r="TFW119" s="3"/>
      <c r="TFX119" s="3"/>
      <c r="TFY119" s="3"/>
      <c r="TFZ119" s="3"/>
      <c r="TGA119" s="3"/>
      <c r="TGB119" s="3"/>
      <c r="TGC119" s="3"/>
      <c r="TGD119" s="3"/>
      <c r="TGE119" s="3"/>
      <c r="TGF119" s="3"/>
      <c r="TGG119" s="3"/>
      <c r="TGH119" s="3"/>
      <c r="TGI119" s="3"/>
      <c r="TGJ119" s="3"/>
      <c r="TGK119" s="3"/>
      <c r="TGL119" s="3"/>
      <c r="TGM119" s="3"/>
      <c r="TGN119" s="3"/>
      <c r="TGO119" s="3"/>
      <c r="TGP119" s="3"/>
      <c r="TGQ119" s="3"/>
      <c r="TGR119" s="3"/>
      <c r="TGS119" s="3"/>
      <c r="TGT119" s="3"/>
      <c r="TGU119" s="3"/>
      <c r="TGV119" s="3"/>
      <c r="TGW119" s="3"/>
      <c r="TGX119" s="3"/>
      <c r="TGY119" s="3"/>
      <c r="TGZ119" s="3"/>
      <c r="THA119" s="3"/>
      <c r="THB119" s="3"/>
      <c r="THC119" s="3"/>
      <c r="THD119" s="3"/>
      <c r="THE119" s="3"/>
      <c r="THF119" s="3"/>
      <c r="THG119" s="3"/>
      <c r="THH119" s="3"/>
      <c r="THI119" s="3"/>
      <c r="THJ119" s="3"/>
      <c r="THK119" s="3"/>
      <c r="THL119" s="3"/>
      <c r="THM119" s="3"/>
      <c r="THN119" s="3"/>
      <c r="THO119" s="3"/>
      <c r="THP119" s="3"/>
      <c r="THQ119" s="3"/>
      <c r="THR119" s="3"/>
      <c r="THS119" s="3"/>
      <c r="THT119" s="3"/>
      <c r="THU119" s="3"/>
      <c r="THV119" s="3"/>
      <c r="THW119" s="3"/>
      <c r="THX119" s="3"/>
      <c r="THY119" s="3"/>
      <c r="THZ119" s="3"/>
      <c r="TIA119" s="3"/>
      <c r="TIB119" s="3"/>
      <c r="TIC119" s="3"/>
      <c r="TID119" s="3"/>
      <c r="TIE119" s="3"/>
      <c r="TIF119" s="3"/>
      <c r="TIG119" s="3"/>
      <c r="TIH119" s="3"/>
      <c r="TII119" s="3"/>
      <c r="TIJ119" s="3"/>
      <c r="TIK119" s="3"/>
      <c r="TIL119" s="3"/>
      <c r="TIM119" s="3"/>
      <c r="TIN119" s="3"/>
      <c r="TIO119" s="3"/>
      <c r="TIP119" s="3"/>
      <c r="TIQ119" s="3"/>
      <c r="TIR119" s="3"/>
      <c r="TIS119" s="3"/>
      <c r="TIT119" s="3"/>
      <c r="TIU119" s="3"/>
      <c r="TIV119" s="3"/>
      <c r="TIW119" s="3"/>
      <c r="TIX119" s="3"/>
      <c r="TIY119" s="3"/>
      <c r="TIZ119" s="3"/>
      <c r="TJA119" s="3"/>
      <c r="TJB119" s="3"/>
      <c r="TJC119" s="3"/>
      <c r="TJD119" s="3"/>
      <c r="TJE119" s="3"/>
      <c r="TJF119" s="3"/>
      <c r="TJG119" s="3"/>
      <c r="TJH119" s="3"/>
      <c r="TJI119" s="3"/>
      <c r="TJJ119" s="3"/>
      <c r="TJK119" s="3"/>
      <c r="TJL119" s="3"/>
      <c r="TJM119" s="3"/>
      <c r="TJN119" s="3"/>
      <c r="TJO119" s="3"/>
      <c r="TJP119" s="3"/>
      <c r="TJQ119" s="3"/>
      <c r="TJR119" s="3"/>
      <c r="TJS119" s="3"/>
      <c r="TJT119" s="3"/>
      <c r="TJU119" s="3"/>
      <c r="TJV119" s="3"/>
      <c r="TJW119" s="3"/>
      <c r="TJX119" s="3"/>
      <c r="TJY119" s="3"/>
      <c r="TJZ119" s="3"/>
      <c r="TKA119" s="3"/>
      <c r="TKB119" s="3"/>
      <c r="TKC119" s="3"/>
      <c r="TKD119" s="3"/>
      <c r="TKE119" s="3"/>
      <c r="TKF119" s="3"/>
      <c r="TKG119" s="3"/>
      <c r="TKH119" s="3"/>
      <c r="TKI119" s="3"/>
      <c r="TKJ119" s="3"/>
      <c r="TKK119" s="3"/>
      <c r="TKL119" s="3"/>
      <c r="TKM119" s="3"/>
      <c r="TKN119" s="3"/>
      <c r="TKO119" s="3"/>
      <c r="TKP119" s="3"/>
      <c r="TKQ119" s="3"/>
      <c r="TKR119" s="3"/>
      <c r="TKS119" s="3"/>
      <c r="TKT119" s="3"/>
      <c r="TKU119" s="3"/>
      <c r="TKV119" s="3"/>
      <c r="TKW119" s="3"/>
      <c r="TKX119" s="3"/>
      <c r="TKY119" s="3"/>
      <c r="TKZ119" s="3"/>
      <c r="TLA119" s="3"/>
      <c r="TLB119" s="3"/>
      <c r="TLC119" s="3"/>
      <c r="TLD119" s="3"/>
      <c r="TLE119" s="3"/>
      <c r="TLF119" s="3"/>
      <c r="TLG119" s="3"/>
      <c r="TLH119" s="3"/>
      <c r="TLI119" s="3"/>
      <c r="TLJ119" s="3"/>
      <c r="TLK119" s="3"/>
      <c r="TLL119" s="3"/>
      <c r="TLM119" s="3"/>
      <c r="TLN119" s="3"/>
      <c r="TLO119" s="3"/>
      <c r="TLP119" s="3"/>
      <c r="TLQ119" s="3"/>
      <c r="TLR119" s="3"/>
      <c r="TLS119" s="3"/>
      <c r="TLT119" s="3"/>
      <c r="TLU119" s="3"/>
      <c r="TLV119" s="3"/>
      <c r="TLW119" s="3"/>
      <c r="TLX119" s="3"/>
      <c r="TLY119" s="3"/>
      <c r="TLZ119" s="3"/>
      <c r="TMA119" s="3"/>
      <c r="TMB119" s="3"/>
      <c r="TMC119" s="3"/>
      <c r="TMD119" s="3"/>
      <c r="TME119" s="3"/>
      <c r="TMF119" s="3"/>
      <c r="TMG119" s="3"/>
      <c r="TMH119" s="3"/>
      <c r="TMI119" s="3"/>
      <c r="TMJ119" s="3"/>
      <c r="TMK119" s="3"/>
      <c r="TML119" s="3"/>
      <c r="TMM119" s="3"/>
      <c r="TMN119" s="3"/>
      <c r="TMO119" s="3"/>
      <c r="TMP119" s="3"/>
      <c r="TMQ119" s="3"/>
      <c r="TMR119" s="3"/>
      <c r="TMS119" s="3"/>
      <c r="TMT119" s="3"/>
      <c r="TMU119" s="3"/>
      <c r="TMV119" s="3"/>
      <c r="TMW119" s="3"/>
      <c r="TMX119" s="3"/>
      <c r="TMY119" s="3"/>
      <c r="TMZ119" s="3"/>
      <c r="TNA119" s="3"/>
      <c r="TNB119" s="3"/>
      <c r="TNC119" s="3"/>
      <c r="TND119" s="3"/>
      <c r="TNE119" s="3"/>
      <c r="TNF119" s="3"/>
      <c r="TNG119" s="3"/>
      <c r="TNH119" s="3"/>
      <c r="TNI119" s="3"/>
      <c r="TNJ119" s="3"/>
      <c r="TNK119" s="3"/>
      <c r="TNL119" s="3"/>
      <c r="TNM119" s="3"/>
      <c r="TNN119" s="3"/>
      <c r="TNO119" s="3"/>
      <c r="TNP119" s="3"/>
      <c r="TNQ119" s="3"/>
      <c r="TNR119" s="3"/>
      <c r="TNS119" s="3"/>
      <c r="TNT119" s="3"/>
      <c r="TNU119" s="3"/>
      <c r="TNV119" s="3"/>
      <c r="TNW119" s="3"/>
      <c r="TNX119" s="3"/>
      <c r="TNY119" s="3"/>
      <c r="TNZ119" s="3"/>
      <c r="TOA119" s="3"/>
      <c r="TOB119" s="3"/>
      <c r="TOC119" s="3"/>
      <c r="TOD119" s="3"/>
      <c r="TOE119" s="3"/>
      <c r="TOF119" s="3"/>
      <c r="TOG119" s="3"/>
      <c r="TOH119" s="3"/>
      <c r="TOI119" s="3"/>
      <c r="TOJ119" s="3"/>
      <c r="TOK119" s="3"/>
      <c r="TOL119" s="3"/>
      <c r="TOM119" s="3"/>
      <c r="TON119" s="3"/>
      <c r="TOO119" s="3"/>
      <c r="TOP119" s="3"/>
      <c r="TOQ119" s="3"/>
      <c r="TOR119" s="3"/>
      <c r="TOS119" s="3"/>
      <c r="TOT119" s="3"/>
      <c r="TOU119" s="3"/>
      <c r="TOV119" s="3"/>
      <c r="TOW119" s="3"/>
      <c r="TOX119" s="3"/>
      <c r="TOY119" s="3"/>
      <c r="TOZ119" s="3"/>
      <c r="TPA119" s="3"/>
      <c r="TPB119" s="3"/>
      <c r="TPC119" s="3"/>
      <c r="TPD119" s="3"/>
      <c r="TPE119" s="3"/>
      <c r="TPF119" s="3"/>
      <c r="TPG119" s="3"/>
      <c r="TPH119" s="3"/>
      <c r="TPI119" s="3"/>
      <c r="TPJ119" s="3"/>
      <c r="TPK119" s="3"/>
      <c r="TPL119" s="3"/>
      <c r="TPM119" s="3"/>
      <c r="TPN119" s="3"/>
      <c r="TPO119" s="3"/>
      <c r="TPP119" s="3"/>
      <c r="TPQ119" s="3"/>
      <c r="TPR119" s="3"/>
      <c r="TPS119" s="3"/>
      <c r="TPT119" s="3"/>
      <c r="TPU119" s="3"/>
      <c r="TPV119" s="3"/>
      <c r="TPW119" s="3"/>
      <c r="TPX119" s="3"/>
      <c r="TPY119" s="3"/>
      <c r="TPZ119" s="3"/>
      <c r="TQA119" s="3"/>
      <c r="TQB119" s="3"/>
      <c r="TQC119" s="3"/>
      <c r="TQD119" s="3"/>
      <c r="TQE119" s="3"/>
      <c r="TQF119" s="3"/>
      <c r="TQG119" s="3"/>
      <c r="TQH119" s="3"/>
      <c r="TQI119" s="3"/>
      <c r="TQJ119" s="3"/>
      <c r="TQK119" s="3"/>
      <c r="TQL119" s="3"/>
      <c r="TQM119" s="3"/>
      <c r="TQN119" s="3"/>
      <c r="TQO119" s="3"/>
      <c r="TQP119" s="3"/>
      <c r="TQQ119" s="3"/>
      <c r="TQR119" s="3"/>
      <c r="TQS119" s="3"/>
      <c r="TQT119" s="3"/>
      <c r="TQU119" s="3"/>
      <c r="TQV119" s="3"/>
      <c r="TQW119" s="3"/>
      <c r="TQX119" s="3"/>
      <c r="TQY119" s="3"/>
      <c r="TQZ119" s="3"/>
      <c r="TRA119" s="3"/>
      <c r="TRB119" s="3"/>
      <c r="TRC119" s="3"/>
      <c r="TRD119" s="3"/>
      <c r="TRE119" s="3"/>
      <c r="TRF119" s="3"/>
      <c r="TRG119" s="3"/>
      <c r="TRH119" s="3"/>
      <c r="TRI119" s="3"/>
      <c r="TRJ119" s="3"/>
      <c r="TRK119" s="3"/>
      <c r="TRL119" s="3"/>
      <c r="TRM119" s="3"/>
      <c r="TRN119" s="3"/>
      <c r="TRO119" s="3"/>
      <c r="TRP119" s="3"/>
      <c r="TRQ119" s="3"/>
      <c r="TRR119" s="3"/>
      <c r="TRS119" s="3"/>
      <c r="TRT119" s="3"/>
      <c r="TRU119" s="3"/>
      <c r="TRV119" s="3"/>
      <c r="TRW119" s="3"/>
      <c r="TRX119" s="3"/>
      <c r="TRY119" s="3"/>
      <c r="TRZ119" s="3"/>
      <c r="TSA119" s="3"/>
      <c r="TSB119" s="3"/>
      <c r="TSC119" s="3"/>
      <c r="TSD119" s="3"/>
      <c r="TSE119" s="3"/>
      <c r="TSF119" s="3"/>
      <c r="TSG119" s="3"/>
      <c r="TSH119" s="3"/>
      <c r="TSI119" s="3"/>
      <c r="TSJ119" s="3"/>
      <c r="TSK119" s="3"/>
      <c r="TSL119" s="3"/>
      <c r="TSM119" s="3"/>
      <c r="TSN119" s="3"/>
      <c r="TSO119" s="3"/>
      <c r="TSP119" s="3"/>
      <c r="TSQ119" s="3"/>
      <c r="TSR119" s="3"/>
      <c r="TSS119" s="3"/>
      <c r="TST119" s="3"/>
      <c r="TSU119" s="3"/>
      <c r="TSV119" s="3"/>
      <c r="TSW119" s="3"/>
      <c r="TSX119" s="3"/>
      <c r="TSY119" s="3"/>
      <c r="TSZ119" s="3"/>
      <c r="TTA119" s="3"/>
      <c r="TTB119" s="3"/>
      <c r="TTC119" s="3"/>
      <c r="TTD119" s="3"/>
      <c r="TTE119" s="3"/>
      <c r="TTF119" s="3"/>
      <c r="TTG119" s="3"/>
      <c r="TTH119" s="3"/>
      <c r="TTI119" s="3"/>
      <c r="TTJ119" s="3"/>
      <c r="TTK119" s="3"/>
      <c r="TTL119" s="3"/>
      <c r="TTM119" s="3"/>
      <c r="TTN119" s="3"/>
      <c r="TTO119" s="3"/>
      <c r="TTP119" s="3"/>
      <c r="TTQ119" s="3"/>
      <c r="TTR119" s="3"/>
      <c r="TTS119" s="3"/>
      <c r="TTT119" s="3"/>
      <c r="TTU119" s="3"/>
      <c r="TTV119" s="3"/>
      <c r="TTW119" s="3"/>
      <c r="TTX119" s="3"/>
      <c r="TTY119" s="3"/>
      <c r="TTZ119" s="3"/>
      <c r="TUA119" s="3"/>
      <c r="TUB119" s="3"/>
      <c r="TUC119" s="3"/>
      <c r="TUD119" s="3"/>
      <c r="TUE119" s="3"/>
      <c r="TUF119" s="3"/>
      <c r="TUG119" s="3"/>
      <c r="TUH119" s="3"/>
      <c r="TUI119" s="3"/>
      <c r="TUJ119" s="3"/>
      <c r="TUK119" s="3"/>
      <c r="TUL119" s="3"/>
      <c r="TUM119" s="3"/>
      <c r="TUN119" s="3"/>
      <c r="TUO119" s="3"/>
      <c r="TUP119" s="3"/>
      <c r="TUQ119" s="3"/>
      <c r="TUR119" s="3"/>
      <c r="TUS119" s="3"/>
      <c r="TUT119" s="3"/>
      <c r="TUU119" s="3"/>
      <c r="TUV119" s="3"/>
      <c r="TUW119" s="3"/>
      <c r="TUX119" s="3"/>
      <c r="TUY119" s="3"/>
      <c r="TUZ119" s="3"/>
      <c r="TVA119" s="3"/>
      <c r="TVB119" s="3"/>
      <c r="TVC119" s="3"/>
      <c r="TVD119" s="3"/>
      <c r="TVE119" s="3"/>
      <c r="TVF119" s="3"/>
      <c r="TVG119" s="3"/>
      <c r="TVH119" s="3"/>
      <c r="TVI119" s="3"/>
      <c r="TVJ119" s="3"/>
      <c r="TVK119" s="3"/>
      <c r="TVL119" s="3"/>
      <c r="TVM119" s="3"/>
      <c r="TVN119" s="3"/>
      <c r="TVO119" s="3"/>
      <c r="TVP119" s="3"/>
      <c r="TVQ119" s="3"/>
      <c r="TVR119" s="3"/>
      <c r="TVS119" s="3"/>
      <c r="TVT119" s="3"/>
      <c r="TVU119" s="3"/>
      <c r="TVV119" s="3"/>
      <c r="TVW119" s="3"/>
      <c r="TVX119" s="3"/>
      <c r="TVY119" s="3"/>
      <c r="TVZ119" s="3"/>
      <c r="TWA119" s="3"/>
      <c r="TWB119" s="3"/>
      <c r="TWC119" s="3"/>
      <c r="TWD119" s="3"/>
      <c r="TWE119" s="3"/>
      <c r="TWF119" s="3"/>
      <c r="TWG119" s="3"/>
      <c r="TWH119" s="3"/>
      <c r="TWI119" s="3"/>
      <c r="TWJ119" s="3"/>
      <c r="TWK119" s="3"/>
      <c r="TWL119" s="3"/>
      <c r="TWM119" s="3"/>
      <c r="TWN119" s="3"/>
      <c r="TWO119" s="3"/>
      <c r="TWP119" s="3"/>
      <c r="TWQ119" s="3"/>
      <c r="TWR119" s="3"/>
      <c r="TWS119" s="3"/>
      <c r="TWT119" s="3"/>
      <c r="TWU119" s="3"/>
      <c r="TWV119" s="3"/>
      <c r="TWW119" s="3"/>
      <c r="TWX119" s="3"/>
      <c r="TWY119" s="3"/>
      <c r="TWZ119" s="3"/>
      <c r="TXA119" s="3"/>
      <c r="TXB119" s="3"/>
      <c r="TXC119" s="3"/>
      <c r="TXD119" s="3"/>
      <c r="TXE119" s="3"/>
      <c r="TXF119" s="3"/>
      <c r="TXG119" s="3"/>
      <c r="TXH119" s="3"/>
      <c r="TXI119" s="3"/>
      <c r="TXJ119" s="3"/>
      <c r="TXK119" s="3"/>
      <c r="TXL119" s="3"/>
      <c r="TXM119" s="3"/>
      <c r="TXN119" s="3"/>
      <c r="TXO119" s="3"/>
      <c r="TXP119" s="3"/>
      <c r="TXQ119" s="3"/>
      <c r="TXR119" s="3"/>
      <c r="TXS119" s="3"/>
      <c r="TXT119" s="3"/>
      <c r="TXU119" s="3"/>
      <c r="TXV119" s="3"/>
      <c r="TXW119" s="3"/>
      <c r="TXX119" s="3"/>
      <c r="TXY119" s="3"/>
      <c r="TXZ119" s="3"/>
      <c r="TYA119" s="3"/>
      <c r="TYB119" s="3"/>
      <c r="TYC119" s="3"/>
      <c r="TYD119" s="3"/>
      <c r="TYE119" s="3"/>
      <c r="TYF119" s="3"/>
      <c r="TYG119" s="3"/>
      <c r="TYH119" s="3"/>
      <c r="TYI119" s="3"/>
      <c r="TYJ119" s="3"/>
      <c r="TYK119" s="3"/>
      <c r="TYL119" s="3"/>
      <c r="TYM119" s="3"/>
      <c r="TYN119" s="3"/>
      <c r="TYO119" s="3"/>
      <c r="TYP119" s="3"/>
      <c r="TYQ119" s="3"/>
      <c r="TYR119" s="3"/>
      <c r="TYS119" s="3"/>
      <c r="TYT119" s="3"/>
      <c r="TYU119" s="3"/>
      <c r="TYV119" s="3"/>
      <c r="TYW119" s="3"/>
      <c r="TYX119" s="3"/>
      <c r="TYY119" s="3"/>
      <c r="TYZ119" s="3"/>
      <c r="TZA119" s="3"/>
      <c r="TZB119" s="3"/>
      <c r="TZC119" s="3"/>
      <c r="TZD119" s="3"/>
      <c r="TZE119" s="3"/>
      <c r="TZF119" s="3"/>
      <c r="TZG119" s="3"/>
      <c r="TZH119" s="3"/>
      <c r="TZI119" s="3"/>
      <c r="TZJ119" s="3"/>
      <c r="TZK119" s="3"/>
      <c r="TZL119" s="3"/>
      <c r="TZM119" s="3"/>
      <c r="TZN119" s="3"/>
      <c r="TZO119" s="3"/>
      <c r="TZP119" s="3"/>
      <c r="TZQ119" s="3"/>
      <c r="TZR119" s="3"/>
      <c r="TZS119" s="3"/>
      <c r="TZT119" s="3"/>
      <c r="TZU119" s="3"/>
      <c r="TZV119" s="3"/>
      <c r="TZW119" s="3"/>
      <c r="TZX119" s="3"/>
      <c r="TZY119" s="3"/>
      <c r="TZZ119" s="3"/>
      <c r="UAA119" s="3"/>
      <c r="UAB119" s="3"/>
      <c r="UAC119" s="3"/>
      <c r="UAD119" s="3"/>
      <c r="UAE119" s="3"/>
      <c r="UAF119" s="3"/>
      <c r="UAG119" s="3"/>
      <c r="UAH119" s="3"/>
      <c r="UAI119" s="3"/>
      <c r="UAJ119" s="3"/>
      <c r="UAK119" s="3"/>
      <c r="UAL119" s="3"/>
      <c r="UAM119" s="3"/>
      <c r="UAN119" s="3"/>
      <c r="UAO119" s="3"/>
      <c r="UAP119" s="3"/>
      <c r="UAQ119" s="3"/>
      <c r="UAR119" s="3"/>
      <c r="UAS119" s="3"/>
      <c r="UAT119" s="3"/>
      <c r="UAU119" s="3"/>
      <c r="UAV119" s="3"/>
      <c r="UAW119" s="3"/>
      <c r="UAX119" s="3"/>
      <c r="UAY119" s="3"/>
      <c r="UAZ119" s="3"/>
      <c r="UBA119" s="3"/>
      <c r="UBB119" s="3"/>
      <c r="UBC119" s="3"/>
      <c r="UBD119" s="3"/>
      <c r="UBE119" s="3"/>
      <c r="UBF119" s="3"/>
      <c r="UBG119" s="3"/>
      <c r="UBH119" s="3"/>
      <c r="UBI119" s="3"/>
      <c r="UBJ119" s="3"/>
      <c r="UBK119" s="3"/>
      <c r="UBL119" s="3"/>
      <c r="UBM119" s="3"/>
      <c r="UBN119" s="3"/>
      <c r="UBO119" s="3"/>
      <c r="UBP119" s="3"/>
      <c r="UBQ119" s="3"/>
      <c r="UBR119" s="3"/>
      <c r="UBS119" s="3"/>
      <c r="UBT119" s="3"/>
      <c r="UBU119" s="3"/>
      <c r="UBV119" s="3"/>
      <c r="UBW119" s="3"/>
      <c r="UBX119" s="3"/>
      <c r="UBY119" s="3"/>
      <c r="UBZ119" s="3"/>
      <c r="UCA119" s="3"/>
      <c r="UCB119" s="3"/>
      <c r="UCC119" s="3"/>
      <c r="UCD119" s="3"/>
      <c r="UCE119" s="3"/>
      <c r="UCF119" s="3"/>
      <c r="UCG119" s="3"/>
      <c r="UCH119" s="3"/>
      <c r="UCI119" s="3"/>
      <c r="UCJ119" s="3"/>
      <c r="UCK119" s="3"/>
      <c r="UCL119" s="3"/>
      <c r="UCM119" s="3"/>
      <c r="UCN119" s="3"/>
      <c r="UCO119" s="3"/>
      <c r="UCP119" s="3"/>
      <c r="UCQ119" s="3"/>
      <c r="UCR119" s="3"/>
      <c r="UCS119" s="3"/>
      <c r="UCT119" s="3"/>
      <c r="UCU119" s="3"/>
      <c r="UCV119" s="3"/>
      <c r="UCW119" s="3"/>
      <c r="UCX119" s="3"/>
      <c r="UCY119" s="3"/>
      <c r="UCZ119" s="3"/>
      <c r="UDA119" s="3"/>
      <c r="UDB119" s="3"/>
      <c r="UDC119" s="3"/>
      <c r="UDD119" s="3"/>
      <c r="UDE119" s="3"/>
      <c r="UDF119" s="3"/>
      <c r="UDG119" s="3"/>
      <c r="UDH119" s="3"/>
      <c r="UDI119" s="3"/>
      <c r="UDJ119" s="3"/>
      <c r="UDK119" s="3"/>
      <c r="UDL119" s="3"/>
      <c r="UDM119" s="3"/>
      <c r="UDN119" s="3"/>
      <c r="UDO119" s="3"/>
      <c r="UDP119" s="3"/>
      <c r="UDQ119" s="3"/>
      <c r="UDR119" s="3"/>
      <c r="UDS119" s="3"/>
      <c r="UDT119" s="3"/>
      <c r="UDU119" s="3"/>
      <c r="UDV119" s="3"/>
      <c r="UDW119" s="3"/>
      <c r="UDX119" s="3"/>
      <c r="UDY119" s="3"/>
      <c r="UDZ119" s="3"/>
      <c r="UEA119" s="3"/>
      <c r="UEB119" s="3"/>
      <c r="UEC119" s="3"/>
      <c r="UED119" s="3"/>
      <c r="UEE119" s="3"/>
      <c r="UEF119" s="3"/>
      <c r="UEG119" s="3"/>
      <c r="UEH119" s="3"/>
      <c r="UEI119" s="3"/>
      <c r="UEJ119" s="3"/>
      <c r="UEK119" s="3"/>
      <c r="UEL119" s="3"/>
      <c r="UEM119" s="3"/>
      <c r="UEN119" s="3"/>
      <c r="UEO119" s="3"/>
      <c r="UEP119" s="3"/>
      <c r="UEQ119" s="3"/>
      <c r="UER119" s="3"/>
      <c r="UES119" s="3"/>
      <c r="UET119" s="3"/>
      <c r="UEU119" s="3"/>
      <c r="UEV119" s="3"/>
      <c r="UEW119" s="3"/>
      <c r="UEX119" s="3"/>
      <c r="UEY119" s="3"/>
      <c r="UEZ119" s="3"/>
      <c r="UFA119" s="3"/>
      <c r="UFB119" s="3"/>
      <c r="UFC119" s="3"/>
      <c r="UFD119" s="3"/>
      <c r="UFE119" s="3"/>
      <c r="UFF119" s="3"/>
      <c r="UFG119" s="3"/>
      <c r="UFH119" s="3"/>
      <c r="UFI119" s="3"/>
      <c r="UFJ119" s="3"/>
      <c r="UFK119" s="3"/>
      <c r="UFL119" s="3"/>
      <c r="UFM119" s="3"/>
      <c r="UFN119" s="3"/>
      <c r="UFO119" s="3"/>
      <c r="UFP119" s="3"/>
      <c r="UFQ119" s="3"/>
      <c r="UFR119" s="3"/>
      <c r="UFS119" s="3"/>
      <c r="UFT119" s="3"/>
      <c r="UFU119" s="3"/>
      <c r="UFV119" s="3"/>
      <c r="UFW119" s="3"/>
      <c r="UFX119" s="3"/>
      <c r="UFY119" s="3"/>
      <c r="UFZ119" s="3"/>
      <c r="UGA119" s="3"/>
      <c r="UGB119" s="3"/>
      <c r="UGC119" s="3"/>
      <c r="UGD119" s="3"/>
      <c r="UGE119" s="3"/>
      <c r="UGF119" s="3"/>
      <c r="UGG119" s="3"/>
      <c r="UGH119" s="3"/>
      <c r="UGI119" s="3"/>
      <c r="UGJ119" s="3"/>
      <c r="UGK119" s="3"/>
      <c r="UGL119" s="3"/>
      <c r="UGM119" s="3"/>
      <c r="UGN119" s="3"/>
      <c r="UGO119" s="3"/>
      <c r="UGP119" s="3"/>
      <c r="UGQ119" s="3"/>
      <c r="UGR119" s="3"/>
      <c r="UGS119" s="3"/>
      <c r="UGT119" s="3"/>
      <c r="UGU119" s="3"/>
      <c r="UGV119" s="3"/>
      <c r="UGW119" s="3"/>
      <c r="UGX119" s="3"/>
      <c r="UGY119" s="3"/>
      <c r="UGZ119" s="3"/>
      <c r="UHA119" s="3"/>
      <c r="UHB119" s="3"/>
      <c r="UHC119" s="3"/>
      <c r="UHD119" s="3"/>
      <c r="UHE119" s="3"/>
      <c r="UHF119" s="3"/>
      <c r="UHG119" s="3"/>
      <c r="UHH119" s="3"/>
      <c r="UHI119" s="3"/>
      <c r="UHJ119" s="3"/>
      <c r="UHK119" s="3"/>
      <c r="UHL119" s="3"/>
      <c r="UHM119" s="3"/>
      <c r="UHN119" s="3"/>
      <c r="UHO119" s="3"/>
      <c r="UHP119" s="3"/>
      <c r="UHQ119" s="3"/>
      <c r="UHR119" s="3"/>
      <c r="UHS119" s="3"/>
      <c r="UHT119" s="3"/>
      <c r="UHU119" s="3"/>
      <c r="UHV119" s="3"/>
      <c r="UHW119" s="3"/>
      <c r="UHX119" s="3"/>
      <c r="UHY119" s="3"/>
      <c r="UHZ119" s="3"/>
      <c r="UIA119" s="3"/>
      <c r="UIB119" s="3"/>
      <c r="UIC119" s="3"/>
      <c r="UID119" s="3"/>
      <c r="UIE119" s="3"/>
      <c r="UIF119" s="3"/>
      <c r="UIG119" s="3"/>
      <c r="UIH119" s="3"/>
      <c r="UII119" s="3"/>
      <c r="UIJ119" s="3"/>
      <c r="UIK119" s="3"/>
      <c r="UIL119" s="3"/>
      <c r="UIM119" s="3"/>
      <c r="UIN119" s="3"/>
      <c r="UIO119" s="3"/>
      <c r="UIP119" s="3"/>
      <c r="UIQ119" s="3"/>
      <c r="UIR119" s="3"/>
      <c r="UIS119" s="3"/>
      <c r="UIT119" s="3"/>
      <c r="UIU119" s="3"/>
      <c r="UIV119" s="3"/>
      <c r="UIW119" s="3"/>
      <c r="UIX119" s="3"/>
      <c r="UIY119" s="3"/>
      <c r="UIZ119" s="3"/>
      <c r="UJA119" s="3"/>
      <c r="UJB119" s="3"/>
      <c r="UJC119" s="3"/>
      <c r="UJD119" s="3"/>
      <c r="UJE119" s="3"/>
      <c r="UJF119" s="3"/>
      <c r="UJG119" s="3"/>
      <c r="UJH119" s="3"/>
      <c r="UJI119" s="3"/>
      <c r="UJJ119" s="3"/>
      <c r="UJK119" s="3"/>
      <c r="UJL119" s="3"/>
      <c r="UJM119" s="3"/>
      <c r="UJN119" s="3"/>
      <c r="UJO119" s="3"/>
      <c r="UJP119" s="3"/>
      <c r="UJQ119" s="3"/>
      <c r="UJR119" s="3"/>
      <c r="UJS119" s="3"/>
      <c r="UJT119" s="3"/>
      <c r="UJU119" s="3"/>
      <c r="UJV119" s="3"/>
      <c r="UJW119" s="3"/>
      <c r="UJX119" s="3"/>
      <c r="UJY119" s="3"/>
      <c r="UJZ119" s="3"/>
      <c r="UKA119" s="3"/>
      <c r="UKB119" s="3"/>
      <c r="UKC119" s="3"/>
      <c r="UKD119" s="3"/>
      <c r="UKE119" s="3"/>
      <c r="UKF119" s="3"/>
      <c r="UKG119" s="3"/>
      <c r="UKH119" s="3"/>
      <c r="UKI119" s="3"/>
      <c r="UKJ119" s="3"/>
      <c r="UKK119" s="3"/>
      <c r="UKL119" s="3"/>
      <c r="UKM119" s="3"/>
      <c r="UKN119" s="3"/>
      <c r="UKO119" s="3"/>
      <c r="UKP119" s="3"/>
      <c r="UKQ119" s="3"/>
      <c r="UKR119" s="3"/>
      <c r="UKS119" s="3"/>
      <c r="UKT119" s="3"/>
      <c r="UKU119" s="3"/>
      <c r="UKV119" s="3"/>
      <c r="UKW119" s="3"/>
      <c r="UKX119" s="3"/>
      <c r="UKY119" s="3"/>
      <c r="UKZ119" s="3"/>
      <c r="ULA119" s="3"/>
      <c r="ULB119" s="3"/>
      <c r="ULC119" s="3"/>
      <c r="ULD119" s="3"/>
      <c r="ULE119" s="3"/>
      <c r="ULF119" s="3"/>
      <c r="ULG119" s="3"/>
      <c r="ULH119" s="3"/>
      <c r="ULI119" s="3"/>
      <c r="ULJ119" s="3"/>
      <c r="ULK119" s="3"/>
      <c r="ULL119" s="3"/>
      <c r="ULM119" s="3"/>
      <c r="ULN119" s="3"/>
      <c r="ULO119" s="3"/>
      <c r="ULP119" s="3"/>
      <c r="ULQ119" s="3"/>
      <c r="ULR119" s="3"/>
      <c r="ULS119" s="3"/>
      <c r="ULT119" s="3"/>
      <c r="ULU119" s="3"/>
      <c r="ULV119" s="3"/>
      <c r="ULW119" s="3"/>
      <c r="ULX119" s="3"/>
      <c r="ULY119" s="3"/>
      <c r="ULZ119" s="3"/>
      <c r="UMA119" s="3"/>
      <c r="UMB119" s="3"/>
      <c r="UMC119" s="3"/>
      <c r="UMD119" s="3"/>
      <c r="UME119" s="3"/>
      <c r="UMF119" s="3"/>
      <c r="UMG119" s="3"/>
      <c r="UMH119" s="3"/>
      <c r="UMI119" s="3"/>
      <c r="UMJ119" s="3"/>
      <c r="UMK119" s="3"/>
      <c r="UML119" s="3"/>
      <c r="UMM119" s="3"/>
      <c r="UMN119" s="3"/>
      <c r="UMO119" s="3"/>
      <c r="UMP119" s="3"/>
      <c r="UMQ119" s="3"/>
      <c r="UMR119" s="3"/>
      <c r="UMS119" s="3"/>
      <c r="UMT119" s="3"/>
      <c r="UMU119" s="3"/>
      <c r="UMV119" s="3"/>
      <c r="UMW119" s="3"/>
      <c r="UMX119" s="3"/>
      <c r="UMY119" s="3"/>
      <c r="UMZ119" s="3"/>
      <c r="UNA119" s="3"/>
      <c r="UNB119" s="3"/>
      <c r="UNC119" s="3"/>
      <c r="UND119" s="3"/>
      <c r="UNE119" s="3"/>
      <c r="UNF119" s="3"/>
      <c r="UNG119" s="3"/>
      <c r="UNH119" s="3"/>
      <c r="UNI119" s="3"/>
      <c r="UNJ119" s="3"/>
      <c r="UNK119" s="3"/>
      <c r="UNL119" s="3"/>
      <c r="UNM119" s="3"/>
      <c r="UNN119" s="3"/>
      <c r="UNO119" s="3"/>
      <c r="UNP119" s="3"/>
      <c r="UNQ119" s="3"/>
      <c r="UNR119" s="3"/>
      <c r="UNS119" s="3"/>
      <c r="UNT119" s="3"/>
      <c r="UNU119" s="3"/>
      <c r="UNV119" s="3"/>
      <c r="UNW119" s="3"/>
      <c r="UNX119" s="3"/>
      <c r="UNY119" s="3"/>
      <c r="UNZ119" s="3"/>
      <c r="UOA119" s="3"/>
      <c r="UOB119" s="3"/>
      <c r="UOC119" s="3"/>
      <c r="UOD119" s="3"/>
      <c r="UOE119" s="3"/>
      <c r="UOF119" s="3"/>
      <c r="UOG119" s="3"/>
      <c r="UOH119" s="3"/>
      <c r="UOI119" s="3"/>
      <c r="UOJ119" s="3"/>
      <c r="UOK119" s="3"/>
      <c r="UOL119" s="3"/>
      <c r="UOM119" s="3"/>
      <c r="UON119" s="3"/>
      <c r="UOO119" s="3"/>
      <c r="UOP119" s="3"/>
      <c r="UOQ119" s="3"/>
      <c r="UOR119" s="3"/>
      <c r="UOS119" s="3"/>
      <c r="UOT119" s="3"/>
      <c r="UOU119" s="3"/>
      <c r="UOV119" s="3"/>
      <c r="UOW119" s="3"/>
      <c r="UOX119" s="3"/>
      <c r="UOY119" s="3"/>
      <c r="UOZ119" s="3"/>
      <c r="UPA119" s="3"/>
      <c r="UPB119" s="3"/>
      <c r="UPC119" s="3"/>
      <c r="UPD119" s="3"/>
      <c r="UPE119" s="3"/>
      <c r="UPF119" s="3"/>
      <c r="UPG119" s="3"/>
      <c r="UPH119" s="3"/>
      <c r="UPI119" s="3"/>
      <c r="UPJ119" s="3"/>
      <c r="UPK119" s="3"/>
      <c r="UPL119" s="3"/>
      <c r="UPM119" s="3"/>
      <c r="UPN119" s="3"/>
      <c r="UPO119" s="3"/>
      <c r="UPP119" s="3"/>
      <c r="UPQ119" s="3"/>
      <c r="UPR119" s="3"/>
      <c r="UPS119" s="3"/>
      <c r="UPT119" s="3"/>
      <c r="UPU119" s="3"/>
      <c r="UPV119" s="3"/>
      <c r="UPW119" s="3"/>
      <c r="UPX119" s="3"/>
      <c r="UPY119" s="3"/>
      <c r="UPZ119" s="3"/>
      <c r="UQA119" s="3"/>
      <c r="UQB119" s="3"/>
      <c r="UQC119" s="3"/>
      <c r="UQD119" s="3"/>
      <c r="UQE119" s="3"/>
      <c r="UQF119" s="3"/>
      <c r="UQG119" s="3"/>
      <c r="UQH119" s="3"/>
      <c r="UQI119" s="3"/>
      <c r="UQJ119" s="3"/>
      <c r="UQK119" s="3"/>
      <c r="UQL119" s="3"/>
      <c r="UQM119" s="3"/>
      <c r="UQN119" s="3"/>
      <c r="UQO119" s="3"/>
      <c r="UQP119" s="3"/>
      <c r="UQQ119" s="3"/>
      <c r="UQR119" s="3"/>
      <c r="UQS119" s="3"/>
      <c r="UQT119" s="3"/>
      <c r="UQU119" s="3"/>
      <c r="UQV119" s="3"/>
      <c r="UQW119" s="3"/>
      <c r="UQX119" s="3"/>
      <c r="UQY119" s="3"/>
      <c r="UQZ119" s="3"/>
      <c r="URA119" s="3"/>
      <c r="URB119" s="3"/>
      <c r="URC119" s="3"/>
      <c r="URD119" s="3"/>
      <c r="URE119" s="3"/>
      <c r="URF119" s="3"/>
      <c r="URG119" s="3"/>
      <c r="URH119" s="3"/>
      <c r="URI119" s="3"/>
      <c r="URJ119" s="3"/>
      <c r="URK119" s="3"/>
      <c r="URL119" s="3"/>
      <c r="URM119" s="3"/>
      <c r="URN119" s="3"/>
      <c r="URO119" s="3"/>
      <c r="URP119" s="3"/>
      <c r="URQ119" s="3"/>
      <c r="URR119" s="3"/>
      <c r="URS119" s="3"/>
      <c r="URT119" s="3"/>
      <c r="URU119" s="3"/>
      <c r="URV119" s="3"/>
      <c r="URW119" s="3"/>
      <c r="URX119" s="3"/>
      <c r="URY119" s="3"/>
      <c r="URZ119" s="3"/>
      <c r="USA119" s="3"/>
      <c r="USB119" s="3"/>
      <c r="USC119" s="3"/>
      <c r="USD119" s="3"/>
      <c r="USE119" s="3"/>
      <c r="USF119" s="3"/>
      <c r="USG119" s="3"/>
      <c r="USH119" s="3"/>
      <c r="USI119" s="3"/>
      <c r="USJ119" s="3"/>
      <c r="USK119" s="3"/>
      <c r="USL119" s="3"/>
      <c r="USM119" s="3"/>
      <c r="USN119" s="3"/>
      <c r="USO119" s="3"/>
      <c r="USP119" s="3"/>
      <c r="USQ119" s="3"/>
      <c r="USR119" s="3"/>
      <c r="USS119" s="3"/>
      <c r="UST119" s="3"/>
      <c r="USU119" s="3"/>
      <c r="USV119" s="3"/>
      <c r="USW119" s="3"/>
      <c r="USX119" s="3"/>
      <c r="USY119" s="3"/>
      <c r="USZ119" s="3"/>
      <c r="UTA119" s="3"/>
      <c r="UTB119" s="3"/>
      <c r="UTC119" s="3"/>
      <c r="UTD119" s="3"/>
      <c r="UTE119" s="3"/>
      <c r="UTF119" s="3"/>
      <c r="UTG119" s="3"/>
      <c r="UTH119" s="3"/>
      <c r="UTI119" s="3"/>
      <c r="UTJ119" s="3"/>
      <c r="UTK119" s="3"/>
      <c r="UTL119" s="3"/>
      <c r="UTM119" s="3"/>
      <c r="UTN119" s="3"/>
      <c r="UTO119" s="3"/>
      <c r="UTP119" s="3"/>
      <c r="UTQ119" s="3"/>
      <c r="UTR119" s="3"/>
      <c r="UTS119" s="3"/>
      <c r="UTT119" s="3"/>
      <c r="UTU119" s="3"/>
      <c r="UTV119" s="3"/>
      <c r="UTW119" s="3"/>
      <c r="UTX119" s="3"/>
      <c r="UTY119" s="3"/>
      <c r="UTZ119" s="3"/>
      <c r="UUA119" s="3"/>
      <c r="UUB119" s="3"/>
      <c r="UUC119" s="3"/>
      <c r="UUD119" s="3"/>
      <c r="UUE119" s="3"/>
      <c r="UUF119" s="3"/>
      <c r="UUG119" s="3"/>
      <c r="UUH119" s="3"/>
      <c r="UUI119" s="3"/>
      <c r="UUJ119" s="3"/>
      <c r="UUK119" s="3"/>
      <c r="UUL119" s="3"/>
      <c r="UUM119" s="3"/>
      <c r="UUN119" s="3"/>
      <c r="UUO119" s="3"/>
      <c r="UUP119" s="3"/>
      <c r="UUQ119" s="3"/>
      <c r="UUR119" s="3"/>
      <c r="UUS119" s="3"/>
      <c r="UUT119" s="3"/>
      <c r="UUU119" s="3"/>
      <c r="UUV119" s="3"/>
      <c r="UUW119" s="3"/>
      <c r="UUX119" s="3"/>
      <c r="UUY119" s="3"/>
      <c r="UUZ119" s="3"/>
      <c r="UVA119" s="3"/>
      <c r="UVB119" s="3"/>
      <c r="UVC119" s="3"/>
      <c r="UVD119" s="3"/>
      <c r="UVE119" s="3"/>
      <c r="UVF119" s="3"/>
      <c r="UVG119" s="3"/>
      <c r="UVH119" s="3"/>
      <c r="UVI119" s="3"/>
      <c r="UVJ119" s="3"/>
      <c r="UVK119" s="3"/>
      <c r="UVL119" s="3"/>
      <c r="UVM119" s="3"/>
      <c r="UVN119" s="3"/>
      <c r="UVO119" s="3"/>
      <c r="UVP119" s="3"/>
      <c r="UVQ119" s="3"/>
      <c r="UVR119" s="3"/>
      <c r="UVS119" s="3"/>
      <c r="UVT119" s="3"/>
      <c r="UVU119" s="3"/>
      <c r="UVV119" s="3"/>
      <c r="UVW119" s="3"/>
      <c r="UVX119" s="3"/>
      <c r="UVY119" s="3"/>
      <c r="UVZ119" s="3"/>
      <c r="UWA119" s="3"/>
      <c r="UWB119" s="3"/>
      <c r="UWC119" s="3"/>
      <c r="UWD119" s="3"/>
      <c r="UWE119" s="3"/>
      <c r="UWF119" s="3"/>
      <c r="UWG119" s="3"/>
      <c r="UWH119" s="3"/>
      <c r="UWI119" s="3"/>
      <c r="UWJ119" s="3"/>
      <c r="UWK119" s="3"/>
      <c r="UWL119" s="3"/>
      <c r="UWM119" s="3"/>
      <c r="UWN119" s="3"/>
      <c r="UWO119" s="3"/>
      <c r="UWP119" s="3"/>
      <c r="UWQ119" s="3"/>
      <c r="UWR119" s="3"/>
      <c r="UWS119" s="3"/>
      <c r="UWT119" s="3"/>
      <c r="UWU119" s="3"/>
      <c r="UWV119" s="3"/>
      <c r="UWW119" s="3"/>
      <c r="UWX119" s="3"/>
      <c r="UWY119" s="3"/>
      <c r="UWZ119" s="3"/>
      <c r="UXA119" s="3"/>
      <c r="UXB119" s="3"/>
      <c r="UXC119" s="3"/>
      <c r="UXD119" s="3"/>
      <c r="UXE119" s="3"/>
      <c r="UXF119" s="3"/>
      <c r="UXG119" s="3"/>
      <c r="UXH119" s="3"/>
      <c r="UXI119" s="3"/>
      <c r="UXJ119" s="3"/>
      <c r="UXK119" s="3"/>
      <c r="UXL119" s="3"/>
      <c r="UXM119" s="3"/>
      <c r="UXN119" s="3"/>
      <c r="UXO119" s="3"/>
      <c r="UXP119" s="3"/>
      <c r="UXQ119" s="3"/>
      <c r="UXR119" s="3"/>
      <c r="UXS119" s="3"/>
      <c r="UXT119" s="3"/>
      <c r="UXU119" s="3"/>
      <c r="UXV119" s="3"/>
      <c r="UXW119" s="3"/>
      <c r="UXX119" s="3"/>
      <c r="UXY119" s="3"/>
      <c r="UXZ119" s="3"/>
      <c r="UYA119" s="3"/>
      <c r="UYB119" s="3"/>
      <c r="UYC119" s="3"/>
      <c r="UYD119" s="3"/>
      <c r="UYE119" s="3"/>
      <c r="UYF119" s="3"/>
      <c r="UYG119" s="3"/>
      <c r="UYH119" s="3"/>
      <c r="UYI119" s="3"/>
      <c r="UYJ119" s="3"/>
      <c r="UYK119" s="3"/>
      <c r="UYL119" s="3"/>
      <c r="UYM119" s="3"/>
      <c r="UYN119" s="3"/>
      <c r="UYO119" s="3"/>
      <c r="UYP119" s="3"/>
      <c r="UYQ119" s="3"/>
      <c r="UYR119" s="3"/>
      <c r="UYS119" s="3"/>
      <c r="UYT119" s="3"/>
      <c r="UYU119" s="3"/>
      <c r="UYV119" s="3"/>
      <c r="UYW119" s="3"/>
      <c r="UYX119" s="3"/>
      <c r="UYY119" s="3"/>
      <c r="UYZ119" s="3"/>
      <c r="UZA119" s="3"/>
      <c r="UZB119" s="3"/>
      <c r="UZC119" s="3"/>
      <c r="UZD119" s="3"/>
      <c r="UZE119" s="3"/>
      <c r="UZF119" s="3"/>
      <c r="UZG119" s="3"/>
      <c r="UZH119" s="3"/>
      <c r="UZI119" s="3"/>
      <c r="UZJ119" s="3"/>
      <c r="UZK119" s="3"/>
      <c r="UZL119" s="3"/>
      <c r="UZM119" s="3"/>
      <c r="UZN119" s="3"/>
      <c r="UZO119" s="3"/>
      <c r="UZP119" s="3"/>
      <c r="UZQ119" s="3"/>
      <c r="UZR119" s="3"/>
      <c r="UZS119" s="3"/>
      <c r="UZT119" s="3"/>
      <c r="UZU119" s="3"/>
      <c r="UZV119" s="3"/>
      <c r="UZW119" s="3"/>
      <c r="UZX119" s="3"/>
      <c r="UZY119" s="3"/>
      <c r="UZZ119" s="3"/>
      <c r="VAA119" s="3"/>
      <c r="VAB119" s="3"/>
      <c r="VAC119" s="3"/>
      <c r="VAD119" s="3"/>
      <c r="VAE119" s="3"/>
      <c r="VAF119" s="3"/>
      <c r="VAG119" s="3"/>
      <c r="VAH119" s="3"/>
      <c r="VAI119" s="3"/>
      <c r="VAJ119" s="3"/>
      <c r="VAK119" s="3"/>
      <c r="VAL119" s="3"/>
      <c r="VAM119" s="3"/>
      <c r="VAN119" s="3"/>
      <c r="VAO119" s="3"/>
      <c r="VAP119" s="3"/>
      <c r="VAQ119" s="3"/>
      <c r="VAR119" s="3"/>
      <c r="VAS119" s="3"/>
      <c r="VAT119" s="3"/>
      <c r="VAU119" s="3"/>
      <c r="VAV119" s="3"/>
      <c r="VAW119" s="3"/>
      <c r="VAX119" s="3"/>
      <c r="VAY119" s="3"/>
      <c r="VAZ119" s="3"/>
      <c r="VBA119" s="3"/>
      <c r="VBB119" s="3"/>
      <c r="VBC119" s="3"/>
      <c r="VBD119" s="3"/>
      <c r="VBE119" s="3"/>
      <c r="VBF119" s="3"/>
      <c r="VBG119" s="3"/>
      <c r="VBH119" s="3"/>
      <c r="VBI119" s="3"/>
      <c r="VBJ119" s="3"/>
      <c r="VBK119" s="3"/>
      <c r="VBL119" s="3"/>
      <c r="VBM119" s="3"/>
      <c r="VBN119" s="3"/>
      <c r="VBO119" s="3"/>
      <c r="VBP119" s="3"/>
      <c r="VBQ119" s="3"/>
      <c r="VBR119" s="3"/>
      <c r="VBS119" s="3"/>
      <c r="VBT119" s="3"/>
      <c r="VBU119" s="3"/>
      <c r="VBV119" s="3"/>
      <c r="VBW119" s="3"/>
      <c r="VBX119" s="3"/>
      <c r="VBY119" s="3"/>
      <c r="VBZ119" s="3"/>
      <c r="VCA119" s="3"/>
      <c r="VCB119" s="3"/>
      <c r="VCC119" s="3"/>
      <c r="VCD119" s="3"/>
      <c r="VCE119" s="3"/>
      <c r="VCF119" s="3"/>
      <c r="VCG119" s="3"/>
      <c r="VCH119" s="3"/>
      <c r="VCI119" s="3"/>
      <c r="VCJ119" s="3"/>
      <c r="VCK119" s="3"/>
      <c r="VCL119" s="3"/>
      <c r="VCM119" s="3"/>
      <c r="VCN119" s="3"/>
      <c r="VCO119" s="3"/>
      <c r="VCP119" s="3"/>
      <c r="VCQ119" s="3"/>
      <c r="VCR119" s="3"/>
      <c r="VCS119" s="3"/>
      <c r="VCT119" s="3"/>
      <c r="VCU119" s="3"/>
      <c r="VCV119" s="3"/>
      <c r="VCW119" s="3"/>
      <c r="VCX119" s="3"/>
      <c r="VCY119" s="3"/>
      <c r="VCZ119" s="3"/>
      <c r="VDA119" s="3"/>
      <c r="VDB119" s="3"/>
      <c r="VDC119" s="3"/>
      <c r="VDD119" s="3"/>
      <c r="VDE119" s="3"/>
      <c r="VDF119" s="3"/>
      <c r="VDG119" s="3"/>
      <c r="VDH119" s="3"/>
      <c r="VDI119" s="3"/>
      <c r="VDJ119" s="3"/>
      <c r="VDK119" s="3"/>
      <c r="VDL119" s="3"/>
      <c r="VDM119" s="3"/>
      <c r="VDN119" s="3"/>
      <c r="VDO119" s="3"/>
      <c r="VDP119" s="3"/>
      <c r="VDQ119" s="3"/>
      <c r="VDR119" s="3"/>
      <c r="VDS119" s="3"/>
      <c r="VDT119" s="3"/>
      <c r="VDU119" s="3"/>
      <c r="VDV119" s="3"/>
      <c r="VDW119" s="3"/>
      <c r="VDX119" s="3"/>
      <c r="VDY119" s="3"/>
      <c r="VDZ119" s="3"/>
      <c r="VEA119" s="3"/>
      <c r="VEB119" s="3"/>
      <c r="VEC119" s="3"/>
      <c r="VED119" s="3"/>
      <c r="VEE119" s="3"/>
      <c r="VEF119" s="3"/>
      <c r="VEG119" s="3"/>
      <c r="VEH119" s="3"/>
      <c r="VEI119" s="3"/>
      <c r="VEJ119" s="3"/>
      <c r="VEK119" s="3"/>
      <c r="VEL119" s="3"/>
      <c r="VEM119" s="3"/>
      <c r="VEN119" s="3"/>
      <c r="VEO119" s="3"/>
      <c r="VEP119" s="3"/>
      <c r="VEQ119" s="3"/>
      <c r="VER119" s="3"/>
      <c r="VES119" s="3"/>
      <c r="VET119" s="3"/>
      <c r="VEU119" s="3"/>
      <c r="VEV119" s="3"/>
      <c r="VEW119" s="3"/>
      <c r="VEX119" s="3"/>
      <c r="VEY119" s="3"/>
      <c r="VEZ119" s="3"/>
      <c r="VFA119" s="3"/>
      <c r="VFB119" s="3"/>
      <c r="VFC119" s="3"/>
      <c r="VFD119" s="3"/>
      <c r="VFE119" s="3"/>
      <c r="VFF119" s="3"/>
      <c r="VFG119" s="3"/>
      <c r="VFH119" s="3"/>
      <c r="VFI119" s="3"/>
      <c r="VFJ119" s="3"/>
      <c r="VFK119" s="3"/>
      <c r="VFL119" s="3"/>
      <c r="VFM119" s="3"/>
      <c r="VFN119" s="3"/>
      <c r="VFO119" s="3"/>
      <c r="VFP119" s="3"/>
      <c r="VFQ119" s="3"/>
      <c r="VFR119" s="3"/>
      <c r="VFS119" s="3"/>
      <c r="VFT119" s="3"/>
      <c r="VFU119" s="3"/>
      <c r="VFV119" s="3"/>
      <c r="VFW119" s="3"/>
      <c r="VFX119" s="3"/>
      <c r="VFY119" s="3"/>
      <c r="VFZ119" s="3"/>
      <c r="VGA119" s="3"/>
      <c r="VGB119" s="3"/>
      <c r="VGC119" s="3"/>
      <c r="VGD119" s="3"/>
      <c r="VGE119" s="3"/>
      <c r="VGF119" s="3"/>
      <c r="VGG119" s="3"/>
      <c r="VGH119" s="3"/>
      <c r="VGI119" s="3"/>
      <c r="VGJ119" s="3"/>
      <c r="VGK119" s="3"/>
      <c r="VGL119" s="3"/>
      <c r="VGM119" s="3"/>
      <c r="VGN119" s="3"/>
      <c r="VGO119" s="3"/>
      <c r="VGP119" s="3"/>
      <c r="VGQ119" s="3"/>
      <c r="VGR119" s="3"/>
      <c r="VGS119" s="3"/>
      <c r="VGT119" s="3"/>
      <c r="VGU119" s="3"/>
      <c r="VGV119" s="3"/>
      <c r="VGW119" s="3"/>
      <c r="VGX119" s="3"/>
      <c r="VGY119" s="3"/>
      <c r="VGZ119" s="3"/>
      <c r="VHA119" s="3"/>
      <c r="VHB119" s="3"/>
      <c r="VHC119" s="3"/>
      <c r="VHD119" s="3"/>
      <c r="VHE119" s="3"/>
      <c r="VHF119" s="3"/>
      <c r="VHG119" s="3"/>
      <c r="VHH119" s="3"/>
      <c r="VHI119" s="3"/>
      <c r="VHJ119" s="3"/>
      <c r="VHK119" s="3"/>
      <c r="VHL119" s="3"/>
      <c r="VHM119" s="3"/>
      <c r="VHN119" s="3"/>
      <c r="VHO119" s="3"/>
      <c r="VHP119" s="3"/>
      <c r="VHQ119" s="3"/>
      <c r="VHR119" s="3"/>
      <c r="VHS119" s="3"/>
      <c r="VHT119" s="3"/>
      <c r="VHU119" s="3"/>
      <c r="VHV119" s="3"/>
      <c r="VHW119" s="3"/>
      <c r="VHX119" s="3"/>
      <c r="VHY119" s="3"/>
      <c r="VHZ119" s="3"/>
      <c r="VIA119" s="3"/>
      <c r="VIB119" s="3"/>
      <c r="VIC119" s="3"/>
      <c r="VID119" s="3"/>
      <c r="VIE119" s="3"/>
      <c r="VIF119" s="3"/>
      <c r="VIG119" s="3"/>
      <c r="VIH119" s="3"/>
      <c r="VII119" s="3"/>
      <c r="VIJ119" s="3"/>
      <c r="VIK119" s="3"/>
      <c r="VIL119" s="3"/>
      <c r="VIM119" s="3"/>
      <c r="VIN119" s="3"/>
      <c r="VIO119" s="3"/>
      <c r="VIP119" s="3"/>
      <c r="VIQ119" s="3"/>
      <c r="VIR119"/>
      <c r="VIS119"/>
      <c r="VIT119"/>
      <c r="VIU119"/>
      <c r="VIV119"/>
      <c r="VIW119"/>
      <c r="VIX119"/>
      <c r="VIY119"/>
      <c r="VIZ119"/>
      <c r="VJA119"/>
      <c r="VJB119"/>
      <c r="VJC119"/>
      <c r="VJD119"/>
      <c r="VJE119"/>
      <c r="VJF119"/>
      <c r="VJG119"/>
      <c r="VJH119"/>
      <c r="VJI119"/>
      <c r="VJJ119"/>
      <c r="VJK119"/>
      <c r="VJL119"/>
      <c r="VJM119"/>
      <c r="VJN119"/>
      <c r="VJO119"/>
      <c r="VJP119"/>
      <c r="VJQ119"/>
      <c r="VJR119"/>
      <c r="VJS119"/>
      <c r="VJT119"/>
      <c r="VJU119"/>
      <c r="VJV119"/>
      <c r="VJW119"/>
      <c r="VJX119"/>
      <c r="VJY119"/>
      <c r="VJZ119"/>
      <c r="VKA119"/>
      <c r="VKB119"/>
      <c r="VKC119"/>
      <c r="VKD119"/>
      <c r="VKE119"/>
      <c r="VKF119"/>
      <c r="VKG119"/>
      <c r="VKH119"/>
      <c r="VKI119"/>
      <c r="VKJ119"/>
      <c r="VKK119"/>
      <c r="VKL119"/>
      <c r="VKM119"/>
      <c r="VKN119"/>
      <c r="VKO119"/>
      <c r="VKP119"/>
      <c r="VKQ119"/>
      <c r="VKR119"/>
      <c r="VKS119"/>
      <c r="VKT119"/>
      <c r="VKU119"/>
      <c r="VKV119"/>
      <c r="VKW119"/>
      <c r="VKX119"/>
      <c r="VKY119"/>
      <c r="VKZ119"/>
      <c r="VLA119"/>
      <c r="VLB119"/>
      <c r="VLC119"/>
      <c r="VLD119"/>
      <c r="VLE119"/>
      <c r="VLF119"/>
      <c r="VLG119"/>
      <c r="VLH119"/>
      <c r="VLI119"/>
      <c r="VLJ119"/>
      <c r="VLK119"/>
      <c r="VLL119"/>
      <c r="VLM119"/>
      <c r="VLN119"/>
      <c r="VLO119"/>
      <c r="VLP119"/>
      <c r="VLQ119"/>
      <c r="VLR119"/>
      <c r="VLS119"/>
      <c r="VLT119"/>
      <c r="VLU119"/>
      <c r="VLV119"/>
      <c r="VLW119"/>
      <c r="VLX119"/>
      <c r="VLY119"/>
      <c r="VLZ119"/>
      <c r="VMA119"/>
      <c r="VMB119"/>
      <c r="VMC119"/>
      <c r="VMD119"/>
      <c r="VME119"/>
      <c r="VMF119"/>
      <c r="VMG119"/>
      <c r="VMH119"/>
      <c r="VMI119"/>
      <c r="VMJ119"/>
      <c r="VMK119"/>
      <c r="VML119"/>
      <c r="VMM119"/>
      <c r="VMN119"/>
      <c r="VMO119"/>
      <c r="VMP119"/>
      <c r="VMQ119"/>
      <c r="VMR119"/>
      <c r="VMS119"/>
      <c r="VMT119"/>
      <c r="VMU119"/>
      <c r="VMV119"/>
      <c r="VMW119"/>
      <c r="VMX119"/>
      <c r="VMY119"/>
      <c r="VMZ119"/>
      <c r="VNA119"/>
      <c r="VNB119"/>
      <c r="VNC119"/>
      <c r="VND119"/>
      <c r="VNE119"/>
      <c r="VNF119"/>
      <c r="VNG119"/>
      <c r="VNH119"/>
      <c r="VNI119"/>
      <c r="VNJ119"/>
      <c r="VNK119"/>
      <c r="VNL119"/>
      <c r="VNM119"/>
      <c r="VNN119"/>
      <c r="VNO119"/>
      <c r="VNP119"/>
      <c r="VNQ119"/>
      <c r="VNR119"/>
      <c r="VNS119"/>
      <c r="VNT119"/>
      <c r="VNU119"/>
      <c r="VNV119"/>
      <c r="VNW119"/>
      <c r="VNX119"/>
      <c r="VNY119"/>
      <c r="VNZ119"/>
      <c r="VOA119"/>
      <c r="VOB119"/>
      <c r="VOC119"/>
      <c r="VOD119"/>
      <c r="VOE119"/>
      <c r="VOF119"/>
      <c r="VOG119"/>
      <c r="VOH119"/>
      <c r="VOI119"/>
      <c r="VOJ119"/>
      <c r="VOK119"/>
      <c r="VOL119"/>
      <c r="VOM119"/>
      <c r="VON119"/>
      <c r="VOO119"/>
      <c r="VOP119"/>
      <c r="VOQ119"/>
      <c r="VOR119"/>
      <c r="VOS119"/>
      <c r="VOT119"/>
      <c r="VOU119"/>
      <c r="VOV119"/>
      <c r="VOW119"/>
      <c r="VOX119"/>
      <c r="VOY119"/>
      <c r="VOZ119"/>
      <c r="VPA119"/>
      <c r="VPB119"/>
      <c r="VPC119"/>
      <c r="VPD119"/>
      <c r="VPE119"/>
      <c r="VPF119"/>
      <c r="VPG119"/>
      <c r="VPH119"/>
      <c r="VPI119"/>
      <c r="VPJ119"/>
      <c r="VPK119"/>
      <c r="VPL119"/>
      <c r="VPM119"/>
      <c r="VPN119"/>
      <c r="VPO119"/>
      <c r="VPP119"/>
      <c r="VPQ119"/>
      <c r="VPR119"/>
      <c r="VPS119"/>
      <c r="VPT119"/>
      <c r="VPU119"/>
      <c r="VPV119"/>
      <c r="VPW119"/>
      <c r="VPX119"/>
      <c r="VPY119"/>
      <c r="VPZ119"/>
      <c r="VQA119"/>
      <c r="VQB119"/>
      <c r="VQC119"/>
      <c r="VQD119"/>
      <c r="VQE119"/>
      <c r="VQF119"/>
      <c r="VQG119"/>
      <c r="VQH119"/>
      <c r="VQI119"/>
      <c r="VQJ119"/>
      <c r="VQK119"/>
      <c r="VQL119"/>
      <c r="VQM119"/>
      <c r="VQN119"/>
      <c r="VQO119"/>
      <c r="VQP119"/>
      <c r="VQQ119"/>
      <c r="VQR119"/>
      <c r="VQS119"/>
      <c r="VQT119"/>
      <c r="VQU119"/>
      <c r="VQV119"/>
      <c r="VQW119"/>
      <c r="VQX119"/>
      <c r="VQY119"/>
      <c r="VQZ119"/>
      <c r="VRA119"/>
      <c r="VRB119"/>
      <c r="VRC119"/>
      <c r="VRD119"/>
      <c r="VRE119"/>
      <c r="VRF119"/>
      <c r="VRG119"/>
      <c r="VRH119"/>
      <c r="VRI119"/>
      <c r="VRJ119"/>
      <c r="VRK119"/>
      <c r="VRL119"/>
      <c r="VRM119"/>
      <c r="VRN119"/>
      <c r="VRO119"/>
      <c r="VRP119"/>
      <c r="VRQ119"/>
      <c r="VRR119"/>
      <c r="VRS119"/>
      <c r="VRT119"/>
      <c r="VRU119"/>
      <c r="VRV119"/>
      <c r="VRW119"/>
      <c r="VRX119"/>
      <c r="VRY119"/>
      <c r="VRZ119"/>
      <c r="VSA119"/>
      <c r="VSB119"/>
      <c r="VSC119"/>
      <c r="VSD119"/>
      <c r="VSE119"/>
      <c r="VSF119"/>
      <c r="VSG119"/>
      <c r="VSH119"/>
      <c r="VSI119"/>
      <c r="VSJ119"/>
      <c r="VSK119"/>
      <c r="VSL119"/>
      <c r="VSM119"/>
      <c r="VSN119"/>
      <c r="VSO119"/>
      <c r="VSP119"/>
      <c r="VSQ119"/>
      <c r="VSR119"/>
      <c r="VSS119"/>
      <c r="VST119"/>
      <c r="VSU119"/>
      <c r="VSV119"/>
      <c r="VSW119"/>
      <c r="VSX119"/>
      <c r="VSY119"/>
      <c r="VSZ119"/>
      <c r="VTA119"/>
      <c r="VTB119"/>
      <c r="VTC119"/>
      <c r="VTD119"/>
      <c r="VTE119"/>
      <c r="VTF119"/>
      <c r="VTG119"/>
      <c r="VTH119"/>
      <c r="VTI119"/>
      <c r="VTJ119"/>
      <c r="VTK119"/>
      <c r="VTL119"/>
      <c r="VTM119"/>
      <c r="VTN119"/>
      <c r="VTO119"/>
      <c r="VTP119"/>
      <c r="VTQ119"/>
      <c r="VTR119"/>
      <c r="VTS119"/>
      <c r="VTT119"/>
      <c r="VTU119"/>
      <c r="VTV119"/>
      <c r="VTW119"/>
      <c r="VTX119"/>
      <c r="VTY119"/>
      <c r="VTZ119"/>
      <c r="VUA119"/>
      <c r="VUB119"/>
      <c r="VUC119"/>
      <c r="VUD119"/>
      <c r="VUE119"/>
      <c r="VUF119"/>
      <c r="VUG119"/>
      <c r="VUH119"/>
      <c r="VUI119"/>
      <c r="VUJ119"/>
      <c r="VUK119"/>
      <c r="VUL119"/>
      <c r="VUM119"/>
      <c r="VUN119"/>
      <c r="VUO119"/>
      <c r="VUP119"/>
      <c r="VUQ119"/>
      <c r="VUR119"/>
      <c r="VUS119"/>
      <c r="VUT119"/>
      <c r="VUU119"/>
      <c r="VUV119"/>
      <c r="VUW119"/>
      <c r="VUX119"/>
      <c r="VUY119"/>
      <c r="VUZ119"/>
      <c r="VVA119"/>
      <c r="VVB119"/>
      <c r="VVC119"/>
      <c r="VVD119"/>
      <c r="VVE119"/>
      <c r="VVF119"/>
      <c r="VVG119"/>
      <c r="VVH119"/>
      <c r="VVI119"/>
      <c r="VVJ119"/>
      <c r="VVK119"/>
      <c r="VVL119"/>
      <c r="VVM119"/>
      <c r="VVN119"/>
      <c r="VVO119"/>
      <c r="VVP119"/>
      <c r="VVQ119"/>
      <c r="VVR119"/>
      <c r="VVS119"/>
      <c r="VVT119"/>
      <c r="VVU119"/>
      <c r="VVV119"/>
      <c r="VVW119"/>
      <c r="VVX119"/>
      <c r="VVY119"/>
      <c r="VVZ119"/>
      <c r="VWA119"/>
      <c r="VWB119"/>
      <c r="VWC119"/>
      <c r="VWD119"/>
      <c r="VWE119"/>
      <c r="VWF119"/>
      <c r="VWG119"/>
      <c r="VWH119"/>
      <c r="VWI119"/>
      <c r="VWJ119"/>
      <c r="VWK119"/>
      <c r="VWL119"/>
      <c r="VWM119"/>
      <c r="VWN119"/>
      <c r="VWO119"/>
      <c r="VWP119"/>
      <c r="VWQ119"/>
      <c r="VWR119"/>
      <c r="VWS119"/>
      <c r="VWT119"/>
      <c r="VWU119"/>
      <c r="VWV119"/>
      <c r="VWW119"/>
      <c r="VWX119"/>
      <c r="VWY119"/>
      <c r="VWZ119"/>
      <c r="VXA119"/>
      <c r="VXB119"/>
      <c r="VXC119"/>
      <c r="VXD119"/>
      <c r="VXE119"/>
      <c r="VXF119"/>
      <c r="VXG119"/>
      <c r="VXH119"/>
      <c r="VXI119"/>
      <c r="VXJ119"/>
      <c r="VXK119"/>
      <c r="VXL119"/>
      <c r="VXM119"/>
      <c r="VXN119"/>
      <c r="VXO119"/>
      <c r="VXP119"/>
      <c r="VXQ119"/>
      <c r="VXR119"/>
      <c r="VXS119"/>
      <c r="VXT119"/>
    </row>
    <row r="120" spans="1:15516" s="1" customFormat="1">
      <c r="B120" s="75"/>
      <c r="C120" s="246" t="s">
        <v>144</v>
      </c>
      <c r="D120" s="156"/>
      <c r="E120" s="247" t="s">
        <v>10</v>
      </c>
      <c r="F120" s="157">
        <v>0</v>
      </c>
      <c r="G120" s="157">
        <v>0</v>
      </c>
      <c r="H120" s="157">
        <v>0</v>
      </c>
      <c r="I120" s="157">
        <v>0</v>
      </c>
      <c r="J120" s="157">
        <v>0</v>
      </c>
      <c r="K120" s="157">
        <v>0</v>
      </c>
      <c r="L120" s="157">
        <v>0</v>
      </c>
      <c r="M120" s="157">
        <v>0</v>
      </c>
      <c r="N120" s="157">
        <v>0</v>
      </c>
      <c r="O120" s="157">
        <v>0</v>
      </c>
      <c r="P120" s="157">
        <v>0</v>
      </c>
      <c r="Q120" s="157">
        <v>10450</v>
      </c>
      <c r="R120" s="157">
        <v>0</v>
      </c>
      <c r="S120" s="157">
        <v>0</v>
      </c>
      <c r="T120" s="157">
        <v>0</v>
      </c>
      <c r="U120" s="157">
        <v>0</v>
      </c>
      <c r="V120" s="157">
        <v>0</v>
      </c>
      <c r="W120" s="157">
        <v>0</v>
      </c>
      <c r="X120" s="157">
        <v>0</v>
      </c>
      <c r="Y120" s="157">
        <f>10063+10351</f>
        <v>20414</v>
      </c>
      <c r="Z120" s="157">
        <v>10927</v>
      </c>
      <c r="AA120" s="157">
        <v>10412</v>
      </c>
      <c r="AB120" s="157">
        <v>12461</v>
      </c>
      <c r="AC120" s="157">
        <v>10978</v>
      </c>
      <c r="AD120" s="157">
        <v>0</v>
      </c>
      <c r="AE120" s="157">
        <v>18141</v>
      </c>
      <c r="AF120" s="157">
        <v>11012</v>
      </c>
      <c r="AG120" s="157">
        <v>10104</v>
      </c>
      <c r="AH120" s="157">
        <v>11205</v>
      </c>
      <c r="AI120" s="157">
        <v>10454</v>
      </c>
      <c r="AJ120" s="179"/>
      <c r="AK120" s="177">
        <f>SUM(F120:AI120)</f>
        <v>136558</v>
      </c>
      <c r="AM120" s="127"/>
      <c r="BV120" s="294">
        <f>141000</f>
        <v>141000</v>
      </c>
      <c r="BW120" s="294"/>
    </row>
    <row r="121" spans="1:15516" s="1" customFormat="1">
      <c r="B121" s="75"/>
      <c r="C121" s="246" t="s">
        <v>141</v>
      </c>
      <c r="D121" s="156"/>
      <c r="E121" s="247" t="s">
        <v>10</v>
      </c>
      <c r="F121" s="157">
        <v>0</v>
      </c>
      <c r="G121" s="157">
        <v>0</v>
      </c>
      <c r="H121" s="157">
        <v>0</v>
      </c>
      <c r="I121" s="157">
        <v>0</v>
      </c>
      <c r="J121" s="157">
        <v>0</v>
      </c>
      <c r="K121" s="157">
        <v>0</v>
      </c>
      <c r="L121" s="157">
        <v>0</v>
      </c>
      <c r="M121" s="157">
        <v>0</v>
      </c>
      <c r="N121" s="157">
        <v>0</v>
      </c>
      <c r="O121" s="157">
        <v>0</v>
      </c>
      <c r="P121" s="157">
        <v>0</v>
      </c>
      <c r="Q121" s="157">
        <v>0</v>
      </c>
      <c r="R121" s="157">
        <v>7369.6</v>
      </c>
      <c r="S121" s="157">
        <v>3293.84</v>
      </c>
      <c r="T121" s="157">
        <v>0</v>
      </c>
      <c r="U121" s="157">
        <v>0</v>
      </c>
      <c r="V121" s="157">
        <v>0</v>
      </c>
      <c r="W121" s="157">
        <v>0</v>
      </c>
      <c r="X121" s="157">
        <v>0</v>
      </c>
      <c r="Y121" s="157">
        <v>10311.57</v>
      </c>
      <c r="Z121" s="157">
        <v>0</v>
      </c>
      <c r="AA121" s="157">
        <v>0</v>
      </c>
      <c r="AB121" s="157">
        <v>0</v>
      </c>
      <c r="AC121" s="157">
        <v>0</v>
      </c>
      <c r="AD121" s="157">
        <v>0</v>
      </c>
      <c r="AE121" s="157">
        <v>8786.8260000000009</v>
      </c>
      <c r="AF121" s="157">
        <v>0</v>
      </c>
      <c r="AG121" s="157">
        <v>0</v>
      </c>
      <c r="AH121" s="157">
        <v>0</v>
      </c>
      <c r="AI121" s="157">
        <v>0</v>
      </c>
      <c r="AJ121" s="179"/>
      <c r="AK121" s="177">
        <f>SUM(AK122:AK123)</f>
        <v>29664.089999999997</v>
      </c>
      <c r="AM121" s="127"/>
      <c r="BV121" s="294">
        <f>BV119-BV120</f>
        <v>143608</v>
      </c>
    </row>
    <row r="122" spans="1:15516" s="1" customFormat="1" ht="14.25">
      <c r="B122" s="75"/>
      <c r="C122" s="248" t="s">
        <v>67</v>
      </c>
      <c r="D122" s="79"/>
      <c r="E122" s="249" t="s">
        <v>10</v>
      </c>
      <c r="F122" s="92">
        <f t="shared" ref="F122:P122" si="76">SUM(F125:F126)*10.86</f>
        <v>0</v>
      </c>
      <c r="G122" s="92">
        <f t="shared" si="76"/>
        <v>0</v>
      </c>
      <c r="H122" s="92">
        <f t="shared" si="76"/>
        <v>0</v>
      </c>
      <c r="I122" s="92">
        <f t="shared" si="76"/>
        <v>0</v>
      </c>
      <c r="J122" s="92">
        <f t="shared" si="76"/>
        <v>0</v>
      </c>
      <c r="K122" s="92">
        <f t="shared" si="76"/>
        <v>0</v>
      </c>
      <c r="L122" s="92">
        <f t="shared" si="76"/>
        <v>0</v>
      </c>
      <c r="M122" s="92">
        <f t="shared" si="76"/>
        <v>0</v>
      </c>
      <c r="N122" s="92">
        <f t="shared" si="76"/>
        <v>0</v>
      </c>
      <c r="O122" s="92">
        <f t="shared" si="76"/>
        <v>0</v>
      </c>
      <c r="P122" s="92">
        <f t="shared" si="76"/>
        <v>0</v>
      </c>
      <c r="Q122" s="92">
        <f>SUM(Q125:Q126)*10.86</f>
        <v>0</v>
      </c>
      <c r="R122" s="92">
        <f>SUM(R125:R126)*9.774</f>
        <v>7271.8559999999998</v>
      </c>
      <c r="S122" s="92">
        <f t="shared" ref="S122:X122" si="77">SUM(S125:S126)*9.774</f>
        <v>3293.8379999999997</v>
      </c>
      <c r="T122" s="92">
        <f t="shared" si="77"/>
        <v>0</v>
      </c>
      <c r="U122" s="92">
        <f t="shared" si="77"/>
        <v>0</v>
      </c>
      <c r="V122" s="92">
        <f t="shared" si="77"/>
        <v>0</v>
      </c>
      <c r="W122" s="92">
        <f t="shared" si="77"/>
        <v>0</v>
      </c>
      <c r="X122" s="92">
        <f t="shared" si="77"/>
        <v>0</v>
      </c>
      <c r="Y122" s="92">
        <f>SUM(Y125:Y126)*9.774</f>
        <v>10311.57</v>
      </c>
      <c r="Z122" s="92">
        <f t="shared" ref="Z122:AG122" si="78">SUM(Z125:Z126)*9.774</f>
        <v>0</v>
      </c>
      <c r="AA122" s="92">
        <f t="shared" si="78"/>
        <v>0</v>
      </c>
      <c r="AB122" s="92">
        <f t="shared" si="78"/>
        <v>0</v>
      </c>
      <c r="AC122" s="92">
        <f t="shared" si="78"/>
        <v>0</v>
      </c>
      <c r="AD122" s="92">
        <f t="shared" si="78"/>
        <v>0</v>
      </c>
      <c r="AE122" s="92">
        <f>SUM(AE125:AE126)*9.774</f>
        <v>8786.8259999999991</v>
      </c>
      <c r="AF122" s="92">
        <f t="shared" si="78"/>
        <v>0</v>
      </c>
      <c r="AG122" s="92">
        <f t="shared" si="78"/>
        <v>0</v>
      </c>
      <c r="AH122" s="92">
        <f t="shared" ref="AH122:AI122" si="79">SUM(AH125:AH126)*10.86</f>
        <v>0</v>
      </c>
      <c r="AI122" s="92">
        <f t="shared" si="79"/>
        <v>0</v>
      </c>
      <c r="AJ122" s="126"/>
      <c r="AK122" s="128">
        <f>SUM(F122:AI122)</f>
        <v>29664.089999999997</v>
      </c>
      <c r="AM122" s="127"/>
      <c r="BV122" s="294"/>
    </row>
    <row r="123" spans="1:15516" s="1" customFormat="1" ht="14.25">
      <c r="B123" s="75"/>
      <c r="C123" s="248" t="s">
        <v>68</v>
      </c>
      <c r="D123" s="79"/>
      <c r="E123" s="249" t="s">
        <v>10</v>
      </c>
      <c r="F123" s="92">
        <f t="shared" ref="F123:AI123" si="80">F121-F122</f>
        <v>0</v>
      </c>
      <c r="G123" s="92">
        <f t="shared" si="80"/>
        <v>0</v>
      </c>
      <c r="H123" s="92">
        <f t="shared" si="80"/>
        <v>0</v>
      </c>
      <c r="I123" s="92">
        <f t="shared" si="80"/>
        <v>0</v>
      </c>
      <c r="J123" s="92">
        <f t="shared" si="80"/>
        <v>0</v>
      </c>
      <c r="K123" s="92">
        <f t="shared" si="80"/>
        <v>0</v>
      </c>
      <c r="L123" s="92">
        <f t="shared" si="80"/>
        <v>0</v>
      </c>
      <c r="M123" s="92">
        <f t="shared" si="80"/>
        <v>0</v>
      </c>
      <c r="N123" s="92">
        <f t="shared" si="80"/>
        <v>0</v>
      </c>
      <c r="O123" s="92">
        <f t="shared" si="80"/>
        <v>0</v>
      </c>
      <c r="P123" s="92">
        <f t="shared" si="80"/>
        <v>0</v>
      </c>
      <c r="Q123" s="92">
        <f t="shared" si="80"/>
        <v>0</v>
      </c>
      <c r="R123" s="64">
        <v>0</v>
      </c>
      <c r="S123" s="64">
        <v>0</v>
      </c>
      <c r="T123" s="92">
        <f t="shared" si="80"/>
        <v>0</v>
      </c>
      <c r="U123" s="92">
        <f t="shared" si="80"/>
        <v>0</v>
      </c>
      <c r="V123" s="92">
        <f t="shared" si="80"/>
        <v>0</v>
      </c>
      <c r="W123" s="92">
        <f t="shared" si="80"/>
        <v>0</v>
      </c>
      <c r="X123" s="92">
        <f t="shared" si="80"/>
        <v>0</v>
      </c>
      <c r="Y123" s="92">
        <f t="shared" si="80"/>
        <v>0</v>
      </c>
      <c r="Z123" s="92">
        <f t="shared" si="80"/>
        <v>0</v>
      </c>
      <c r="AA123" s="92">
        <f t="shared" si="80"/>
        <v>0</v>
      </c>
      <c r="AB123" s="92">
        <f t="shared" si="80"/>
        <v>0</v>
      </c>
      <c r="AC123" s="92">
        <f t="shared" si="80"/>
        <v>0</v>
      </c>
      <c r="AD123" s="92">
        <f t="shared" si="80"/>
        <v>0</v>
      </c>
      <c r="AE123" s="92">
        <f t="shared" si="80"/>
        <v>0</v>
      </c>
      <c r="AF123" s="92">
        <f t="shared" si="80"/>
        <v>0</v>
      </c>
      <c r="AG123" s="92">
        <f t="shared" si="80"/>
        <v>0</v>
      </c>
      <c r="AH123" s="92">
        <f t="shared" si="80"/>
        <v>0</v>
      </c>
      <c r="AI123" s="92">
        <f t="shared" si="80"/>
        <v>0</v>
      </c>
      <c r="AJ123" s="126"/>
      <c r="AK123" s="128">
        <f>SUM(F123:AI123)</f>
        <v>0</v>
      </c>
      <c r="AM123" s="127"/>
      <c r="BV123" s="180">
        <f>AK120</f>
        <v>136558</v>
      </c>
    </row>
    <row r="124" spans="1:15516" s="1" customFormat="1" ht="14.25">
      <c r="B124" s="75"/>
      <c r="C124" s="248" t="s">
        <v>69</v>
      </c>
      <c r="D124" s="79"/>
      <c r="E124" s="75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126"/>
      <c r="AK124" s="181" t="s">
        <v>69</v>
      </c>
      <c r="AM124" s="127"/>
      <c r="BV124" s="294">
        <f>BV121-BV123</f>
        <v>7050</v>
      </c>
    </row>
    <row r="125" spans="1:15516" s="7" customFormat="1" ht="14.25">
      <c r="B125" s="158"/>
      <c r="C125" s="159" t="s">
        <v>142</v>
      </c>
      <c r="D125" s="45"/>
      <c r="E125" s="251" t="s">
        <v>71</v>
      </c>
      <c r="F125" s="160">
        <v>0</v>
      </c>
      <c r="G125" s="160">
        <v>0</v>
      </c>
      <c r="H125" s="160">
        <v>0</v>
      </c>
      <c r="I125" s="160">
        <v>0</v>
      </c>
      <c r="J125" s="160">
        <v>0</v>
      </c>
      <c r="K125" s="160">
        <v>0</v>
      </c>
      <c r="L125" s="160">
        <v>0</v>
      </c>
      <c r="M125" s="160">
        <v>0</v>
      </c>
      <c r="N125" s="160">
        <v>0</v>
      </c>
      <c r="O125" s="160">
        <v>0</v>
      </c>
      <c r="P125" s="160">
        <v>0</v>
      </c>
      <c r="Q125" s="160">
        <v>0</v>
      </c>
      <c r="R125" s="160">
        <v>0</v>
      </c>
      <c r="S125" s="160">
        <v>0</v>
      </c>
      <c r="T125" s="160">
        <v>0</v>
      </c>
      <c r="U125" s="160">
        <v>0</v>
      </c>
      <c r="V125" s="160">
        <v>0</v>
      </c>
      <c r="W125" s="160">
        <v>0</v>
      </c>
      <c r="X125" s="160">
        <v>0</v>
      </c>
      <c r="Y125" s="160">
        <v>0</v>
      </c>
      <c r="Z125" s="160">
        <v>0</v>
      </c>
      <c r="AA125" s="160">
        <v>0</v>
      </c>
      <c r="AB125" s="160">
        <v>0</v>
      </c>
      <c r="AC125" s="160">
        <v>0</v>
      </c>
      <c r="AD125" s="160">
        <v>0</v>
      </c>
      <c r="AE125" s="160">
        <v>0</v>
      </c>
      <c r="AF125" s="160">
        <v>0</v>
      </c>
      <c r="AG125" s="160">
        <v>0</v>
      </c>
      <c r="AH125" s="160">
        <v>0</v>
      </c>
      <c r="AI125" s="160">
        <v>0</v>
      </c>
      <c r="AJ125" s="182"/>
      <c r="AK125" s="185">
        <f>SUM(F125:AI125)</f>
        <v>0</v>
      </c>
      <c r="AM125" s="184"/>
    </row>
    <row r="126" spans="1:15516" s="7" customFormat="1" ht="14.25">
      <c r="B126" s="158"/>
      <c r="C126" s="159" t="s">
        <v>143</v>
      </c>
      <c r="D126" s="45"/>
      <c r="E126" s="251" t="s">
        <v>71</v>
      </c>
      <c r="F126" s="160">
        <v>0</v>
      </c>
      <c r="G126" s="160">
        <v>0</v>
      </c>
      <c r="H126" s="160">
        <v>0</v>
      </c>
      <c r="I126" s="160">
        <v>0</v>
      </c>
      <c r="J126" s="160">
        <v>0</v>
      </c>
      <c r="K126" s="160">
        <v>0</v>
      </c>
      <c r="L126" s="160">
        <v>0</v>
      </c>
      <c r="M126" s="160">
        <v>0</v>
      </c>
      <c r="N126" s="160">
        <v>0</v>
      </c>
      <c r="O126" s="160">
        <v>0</v>
      </c>
      <c r="P126" s="160">
        <v>0</v>
      </c>
      <c r="Q126" s="160">
        <v>0</v>
      </c>
      <c r="R126" s="160">
        <v>744</v>
      </c>
      <c r="S126" s="160">
        <v>337</v>
      </c>
      <c r="T126" s="160">
        <v>0</v>
      </c>
      <c r="U126" s="160">
        <v>0</v>
      </c>
      <c r="V126" s="160">
        <v>0</v>
      </c>
      <c r="W126" s="160">
        <v>0</v>
      </c>
      <c r="X126" s="160">
        <v>0</v>
      </c>
      <c r="Y126" s="160">
        <v>1055</v>
      </c>
      <c r="Z126" s="160">
        <v>0</v>
      </c>
      <c r="AA126" s="160">
        <v>0</v>
      </c>
      <c r="AB126" s="160">
        <v>0</v>
      </c>
      <c r="AC126" s="160">
        <v>0</v>
      </c>
      <c r="AD126" s="160">
        <v>0</v>
      </c>
      <c r="AE126" s="160">
        <v>899</v>
      </c>
      <c r="AF126" s="160">
        <v>0</v>
      </c>
      <c r="AG126" s="160">
        <v>0</v>
      </c>
      <c r="AH126" s="160">
        <v>0</v>
      </c>
      <c r="AI126" s="160">
        <v>0</v>
      </c>
      <c r="AJ126" s="182"/>
      <c r="AK126" s="185">
        <f>SUM(F126:AI126)</f>
        <v>3035</v>
      </c>
      <c r="AM126" s="184"/>
      <c r="BV126" s="295">
        <f>BV123-AK121</f>
        <v>106893.91</v>
      </c>
    </row>
    <row r="127" spans="1:15516" s="1" customFormat="1" ht="14.25">
      <c r="B127" s="75"/>
      <c r="C127" s="248" t="s">
        <v>73</v>
      </c>
      <c r="D127" s="79"/>
      <c r="E127" s="75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126"/>
      <c r="AK127" s="181" t="s">
        <v>73</v>
      </c>
      <c r="AM127" s="127"/>
    </row>
    <row r="128" spans="1:15516" s="1" customFormat="1" ht="14.25">
      <c r="B128" s="75"/>
      <c r="C128" s="159" t="s">
        <v>142</v>
      </c>
      <c r="D128" s="79"/>
      <c r="E128" s="249" t="s">
        <v>73</v>
      </c>
      <c r="F128" s="64">
        <f t="shared" ref="F128:AI128" si="81">F125*12</f>
        <v>0</v>
      </c>
      <c r="G128" s="64">
        <f t="shared" si="81"/>
        <v>0</v>
      </c>
      <c r="H128" s="64">
        <f t="shared" si="81"/>
        <v>0</v>
      </c>
      <c r="I128" s="64">
        <f t="shared" si="81"/>
        <v>0</v>
      </c>
      <c r="J128" s="64">
        <f t="shared" si="81"/>
        <v>0</v>
      </c>
      <c r="K128" s="64">
        <f t="shared" si="81"/>
        <v>0</v>
      </c>
      <c r="L128" s="64">
        <f t="shared" si="81"/>
        <v>0</v>
      </c>
      <c r="M128" s="64">
        <f t="shared" si="81"/>
        <v>0</v>
      </c>
      <c r="N128" s="64">
        <f t="shared" si="81"/>
        <v>0</v>
      </c>
      <c r="O128" s="64">
        <f t="shared" si="81"/>
        <v>0</v>
      </c>
      <c r="P128" s="64">
        <f t="shared" si="81"/>
        <v>0</v>
      </c>
      <c r="Q128" s="64">
        <f t="shared" si="81"/>
        <v>0</v>
      </c>
      <c r="R128" s="64">
        <f t="shared" si="81"/>
        <v>0</v>
      </c>
      <c r="S128" s="64">
        <f t="shared" si="81"/>
        <v>0</v>
      </c>
      <c r="T128" s="64">
        <f t="shared" si="81"/>
        <v>0</v>
      </c>
      <c r="U128" s="64">
        <f t="shared" si="81"/>
        <v>0</v>
      </c>
      <c r="V128" s="64">
        <f t="shared" si="81"/>
        <v>0</v>
      </c>
      <c r="W128" s="64">
        <f t="shared" si="81"/>
        <v>0</v>
      </c>
      <c r="X128" s="64">
        <f t="shared" si="81"/>
        <v>0</v>
      </c>
      <c r="Y128" s="64">
        <f t="shared" si="81"/>
        <v>0</v>
      </c>
      <c r="Z128" s="64">
        <f t="shared" si="81"/>
        <v>0</v>
      </c>
      <c r="AA128" s="64">
        <f t="shared" si="81"/>
        <v>0</v>
      </c>
      <c r="AB128" s="64">
        <f t="shared" si="81"/>
        <v>0</v>
      </c>
      <c r="AC128" s="64">
        <f t="shared" si="81"/>
        <v>0</v>
      </c>
      <c r="AD128" s="64">
        <f t="shared" si="81"/>
        <v>0</v>
      </c>
      <c r="AE128" s="64">
        <f t="shared" si="81"/>
        <v>0</v>
      </c>
      <c r="AF128" s="64">
        <f t="shared" si="81"/>
        <v>0</v>
      </c>
      <c r="AG128" s="64">
        <f t="shared" si="81"/>
        <v>0</v>
      </c>
      <c r="AH128" s="64">
        <f t="shared" si="81"/>
        <v>0</v>
      </c>
      <c r="AI128" s="64">
        <f t="shared" si="81"/>
        <v>0</v>
      </c>
      <c r="AJ128" s="126"/>
      <c r="AK128" s="183">
        <f>AK125*12</f>
        <v>0</v>
      </c>
      <c r="AM128" s="127"/>
    </row>
    <row r="129" spans="1:15516" s="1" customFormat="1" ht="14.25">
      <c r="B129" s="75"/>
      <c r="C129" s="159" t="s">
        <v>143</v>
      </c>
      <c r="D129" s="79"/>
      <c r="E129" s="249" t="s">
        <v>73</v>
      </c>
      <c r="F129" s="64">
        <f t="shared" ref="F129:AI129" si="82">F126*6</f>
        <v>0</v>
      </c>
      <c r="G129" s="64">
        <f t="shared" si="82"/>
        <v>0</v>
      </c>
      <c r="H129" s="64">
        <f t="shared" si="82"/>
        <v>0</v>
      </c>
      <c r="I129" s="64">
        <f t="shared" si="82"/>
        <v>0</v>
      </c>
      <c r="J129" s="64">
        <f t="shared" si="82"/>
        <v>0</v>
      </c>
      <c r="K129" s="64">
        <f t="shared" si="82"/>
        <v>0</v>
      </c>
      <c r="L129" s="64">
        <f t="shared" si="82"/>
        <v>0</v>
      </c>
      <c r="M129" s="64">
        <f t="shared" si="82"/>
        <v>0</v>
      </c>
      <c r="N129" s="64">
        <f t="shared" si="82"/>
        <v>0</v>
      </c>
      <c r="O129" s="64">
        <f t="shared" si="82"/>
        <v>0</v>
      </c>
      <c r="P129" s="64">
        <f t="shared" si="82"/>
        <v>0</v>
      </c>
      <c r="Q129" s="64">
        <f t="shared" si="82"/>
        <v>0</v>
      </c>
      <c r="R129" s="64">
        <f>R126*12</f>
        <v>8928</v>
      </c>
      <c r="S129" s="64">
        <f t="shared" ref="S129:AC129" si="83">S126*12</f>
        <v>4044</v>
      </c>
      <c r="T129" s="64">
        <f t="shared" si="83"/>
        <v>0</v>
      </c>
      <c r="U129" s="64">
        <f t="shared" si="83"/>
        <v>0</v>
      </c>
      <c r="V129" s="64">
        <f t="shared" si="83"/>
        <v>0</v>
      </c>
      <c r="W129" s="64">
        <f t="shared" si="83"/>
        <v>0</v>
      </c>
      <c r="X129" s="64">
        <f t="shared" si="83"/>
        <v>0</v>
      </c>
      <c r="Y129" s="64">
        <f t="shared" si="83"/>
        <v>12660</v>
      </c>
      <c r="Z129" s="64">
        <f t="shared" si="83"/>
        <v>0</v>
      </c>
      <c r="AA129" s="64">
        <f t="shared" si="83"/>
        <v>0</v>
      </c>
      <c r="AB129" s="64">
        <f t="shared" si="83"/>
        <v>0</v>
      </c>
      <c r="AC129" s="64">
        <f t="shared" si="83"/>
        <v>0</v>
      </c>
      <c r="AD129" s="64">
        <f t="shared" si="82"/>
        <v>0</v>
      </c>
      <c r="AE129" s="64">
        <f t="shared" si="82"/>
        <v>5394</v>
      </c>
      <c r="AF129" s="64">
        <f t="shared" si="82"/>
        <v>0</v>
      </c>
      <c r="AG129" s="64">
        <f t="shared" si="82"/>
        <v>0</v>
      </c>
      <c r="AH129" s="64">
        <f t="shared" si="82"/>
        <v>0</v>
      </c>
      <c r="AI129" s="64">
        <f t="shared" si="82"/>
        <v>0</v>
      </c>
      <c r="AJ129" s="126"/>
      <c r="AK129" s="183">
        <f>AK126*12</f>
        <v>36420</v>
      </c>
      <c r="AM129" s="127"/>
    </row>
    <row r="130" spans="1:15516" s="1" customFormat="1" ht="14.25">
      <c r="B130" s="75"/>
      <c r="C130" s="248" t="s">
        <v>74</v>
      </c>
      <c r="D130" s="79"/>
      <c r="E130" s="249" t="s">
        <v>75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192</v>
      </c>
      <c r="S130" s="64">
        <f>(S121*45)/1700</f>
        <v>87.189882352941183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f>(Y121*45)/1700</f>
        <v>272.95332352941176</v>
      </c>
      <c r="Z130" s="64">
        <v>0</v>
      </c>
      <c r="AA130" s="64">
        <v>0</v>
      </c>
      <c r="AB130" s="64">
        <v>0</v>
      </c>
      <c r="AC130" s="64">
        <v>0</v>
      </c>
      <c r="AD130" s="64">
        <v>0</v>
      </c>
      <c r="AE130" s="64">
        <f>(AE121*45)/1700</f>
        <v>232.5924529411765</v>
      </c>
      <c r="AF130" s="64">
        <v>0</v>
      </c>
      <c r="AG130" s="64">
        <v>0</v>
      </c>
      <c r="AH130" s="64">
        <v>0</v>
      </c>
      <c r="AI130" s="64">
        <v>0</v>
      </c>
      <c r="AJ130" s="126"/>
      <c r="AK130" s="183">
        <f>SUM(F130:AI130)</f>
        <v>784.73565882352943</v>
      </c>
      <c r="AM130" s="127"/>
    </row>
    <row r="131" spans="1:15516" s="1" customFormat="1" ht="14.25">
      <c r="B131" s="75"/>
      <c r="C131" s="248" t="s">
        <v>76</v>
      </c>
      <c r="D131" s="79"/>
      <c r="E131" s="249" t="s">
        <v>77</v>
      </c>
      <c r="F131" s="64">
        <f t="shared" ref="F131:AI131" si="84">SUM(F125:F126)/500</f>
        <v>0</v>
      </c>
      <c r="G131" s="64">
        <f t="shared" si="84"/>
        <v>0</v>
      </c>
      <c r="H131" s="64">
        <f t="shared" si="84"/>
        <v>0</v>
      </c>
      <c r="I131" s="64">
        <f t="shared" si="84"/>
        <v>0</v>
      </c>
      <c r="J131" s="64">
        <f t="shared" si="84"/>
        <v>0</v>
      </c>
      <c r="K131" s="64">
        <f t="shared" si="84"/>
        <v>0</v>
      </c>
      <c r="L131" s="64">
        <f t="shared" si="84"/>
        <v>0</v>
      </c>
      <c r="M131" s="64">
        <f t="shared" si="84"/>
        <v>0</v>
      </c>
      <c r="N131" s="64">
        <f t="shared" si="84"/>
        <v>0</v>
      </c>
      <c r="O131" s="64">
        <f t="shared" si="84"/>
        <v>0</v>
      </c>
      <c r="P131" s="64">
        <f t="shared" si="84"/>
        <v>0</v>
      </c>
      <c r="Q131" s="64">
        <f t="shared" si="84"/>
        <v>0</v>
      </c>
      <c r="R131" s="64">
        <f t="shared" si="84"/>
        <v>1.488</v>
      </c>
      <c r="S131" s="64">
        <f t="shared" si="84"/>
        <v>0.67400000000000004</v>
      </c>
      <c r="T131" s="64">
        <f t="shared" si="84"/>
        <v>0</v>
      </c>
      <c r="U131" s="64">
        <f t="shared" si="84"/>
        <v>0</v>
      </c>
      <c r="V131" s="64">
        <f t="shared" si="84"/>
        <v>0</v>
      </c>
      <c r="W131" s="64">
        <f t="shared" si="84"/>
        <v>0</v>
      </c>
      <c r="X131" s="64">
        <f t="shared" si="84"/>
        <v>0</v>
      </c>
      <c r="Y131" s="64">
        <f t="shared" si="84"/>
        <v>2.11</v>
      </c>
      <c r="Z131" s="64">
        <f t="shared" si="84"/>
        <v>0</v>
      </c>
      <c r="AA131" s="64">
        <f t="shared" si="84"/>
        <v>0</v>
      </c>
      <c r="AB131" s="64">
        <f t="shared" si="84"/>
        <v>0</v>
      </c>
      <c r="AC131" s="64">
        <f t="shared" si="84"/>
        <v>0</v>
      </c>
      <c r="AD131" s="64">
        <f t="shared" si="84"/>
        <v>0</v>
      </c>
      <c r="AE131" s="64">
        <f t="shared" si="84"/>
        <v>1.798</v>
      </c>
      <c r="AF131" s="64">
        <f t="shared" si="84"/>
        <v>0</v>
      </c>
      <c r="AG131" s="64">
        <f t="shared" si="84"/>
        <v>0</v>
      </c>
      <c r="AH131" s="64">
        <f t="shared" si="84"/>
        <v>0</v>
      </c>
      <c r="AI131" s="64">
        <f t="shared" si="84"/>
        <v>0</v>
      </c>
      <c r="AJ131" s="126"/>
      <c r="AK131" s="183">
        <f>SUM(F131:AI131)</f>
        <v>6.07</v>
      </c>
      <c r="AM131" s="127"/>
    </row>
    <row r="132" spans="1:15516" s="1" customFormat="1">
      <c r="A132" s="3"/>
      <c r="B132" s="61"/>
      <c r="C132" s="40" t="s">
        <v>78</v>
      </c>
      <c r="D132" s="59"/>
      <c r="E132" s="59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112"/>
      <c r="AD132" s="60"/>
      <c r="AE132" s="60"/>
      <c r="AF132" s="60"/>
      <c r="AG132" s="60"/>
      <c r="AH132" s="60"/>
      <c r="AI132" s="112"/>
      <c r="AJ132" s="116"/>
      <c r="AK132" s="233" t="s">
        <v>79</v>
      </c>
      <c r="AL132" s="3"/>
      <c r="AM132" s="3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  <c r="XX132" s="3"/>
      <c r="XY132" s="3"/>
      <c r="XZ132" s="3"/>
      <c r="YA132" s="3"/>
      <c r="YB132" s="3"/>
      <c r="YC132" s="3"/>
      <c r="YD132" s="3"/>
      <c r="YE132" s="3"/>
      <c r="YF132" s="3"/>
      <c r="YG132" s="3"/>
      <c r="YH132" s="3"/>
      <c r="YI132" s="3"/>
      <c r="YJ132" s="3"/>
      <c r="YK132" s="3"/>
      <c r="YL132" s="3"/>
      <c r="YM132" s="3"/>
      <c r="YN132" s="3"/>
      <c r="YO132" s="3"/>
      <c r="YP132" s="3"/>
      <c r="YQ132" s="3"/>
      <c r="YR132" s="3"/>
      <c r="YS132" s="3"/>
      <c r="YT132" s="3"/>
      <c r="YU132" s="3"/>
      <c r="YV132" s="3"/>
      <c r="YW132" s="3"/>
      <c r="YX132" s="3"/>
      <c r="YY132" s="3"/>
      <c r="YZ132" s="3"/>
      <c r="ZA132" s="3"/>
      <c r="ZB132" s="3"/>
      <c r="ZC132" s="3"/>
      <c r="ZD132" s="3"/>
      <c r="ZE132" s="3"/>
      <c r="ZF132" s="3"/>
      <c r="ZG132" s="3"/>
      <c r="ZH132" s="3"/>
      <c r="ZI132" s="3"/>
      <c r="ZJ132" s="3"/>
      <c r="ZK132" s="3"/>
      <c r="ZL132" s="3"/>
      <c r="ZM132" s="3"/>
      <c r="ZN132" s="3"/>
      <c r="ZO132" s="3"/>
      <c r="ZP132" s="3"/>
      <c r="ZQ132" s="3"/>
      <c r="ZR132" s="3"/>
      <c r="ZS132" s="3"/>
      <c r="ZT132" s="3"/>
      <c r="ZU132" s="3"/>
      <c r="ZV132" s="3"/>
      <c r="ZW132" s="3"/>
      <c r="ZX132" s="3"/>
      <c r="ZY132" s="3"/>
      <c r="ZZ132" s="3"/>
      <c r="AAA132" s="3"/>
      <c r="AAB132" s="3"/>
      <c r="AAC132" s="3"/>
      <c r="AAD132" s="3"/>
      <c r="AAE132" s="3"/>
      <c r="AAF132" s="3"/>
      <c r="AAG132" s="3"/>
      <c r="AAH132" s="3"/>
      <c r="AAI132" s="3"/>
      <c r="AAJ132" s="3"/>
      <c r="AAK132" s="3"/>
      <c r="AAL132" s="3"/>
      <c r="AAM132" s="3"/>
      <c r="AAN132" s="3"/>
      <c r="AAO132" s="3"/>
      <c r="AAP132" s="3"/>
      <c r="AAQ132" s="3"/>
      <c r="AAR132" s="3"/>
      <c r="AAS132" s="3"/>
      <c r="AAT132" s="3"/>
      <c r="AAU132" s="3"/>
      <c r="AAV132" s="3"/>
      <c r="AAW132" s="3"/>
      <c r="AAX132" s="3"/>
      <c r="AAY132" s="3"/>
      <c r="AAZ132" s="3"/>
      <c r="ABA132" s="3"/>
      <c r="ABB132" s="3"/>
      <c r="ABC132" s="3"/>
      <c r="ABD132" s="3"/>
      <c r="ABE132" s="3"/>
      <c r="ABF132" s="3"/>
      <c r="ABG132" s="3"/>
      <c r="ABH132" s="3"/>
      <c r="ABI132" s="3"/>
      <c r="ABJ132" s="3"/>
      <c r="ABK132" s="3"/>
      <c r="ABL132" s="3"/>
      <c r="ABM132" s="3"/>
      <c r="ABN132" s="3"/>
      <c r="ABO132" s="3"/>
      <c r="ABP132" s="3"/>
      <c r="ABQ132" s="3"/>
      <c r="ABR132" s="3"/>
      <c r="ABS132" s="3"/>
      <c r="ABT132" s="3"/>
      <c r="ABU132" s="3"/>
      <c r="ABV132" s="3"/>
      <c r="ABW132" s="3"/>
      <c r="ABX132" s="3"/>
      <c r="ABY132" s="3"/>
      <c r="ABZ132" s="3"/>
      <c r="ACA132" s="3"/>
      <c r="ACB132" s="3"/>
      <c r="ACC132" s="3"/>
      <c r="ACD132" s="3"/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/>
      <c r="ACW132" s="3"/>
      <c r="ACX132" s="3"/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3"/>
      <c r="ANL132" s="3"/>
      <c r="ANM132" s="3"/>
      <c r="ANN132" s="3"/>
      <c r="ANO132" s="3"/>
      <c r="ANP132" s="3"/>
      <c r="ANQ132" s="3"/>
      <c r="ANR132" s="3"/>
      <c r="ANS132" s="3"/>
      <c r="ANT132" s="3"/>
      <c r="ANU132" s="3"/>
      <c r="ANV132" s="3"/>
      <c r="ANW132" s="3"/>
      <c r="ANX132" s="3"/>
      <c r="ANY132" s="3"/>
      <c r="ANZ132" s="3"/>
      <c r="AOA132" s="3"/>
      <c r="AOB132" s="3"/>
      <c r="AOC132" s="3"/>
      <c r="AOD132" s="3"/>
      <c r="AOE132" s="3"/>
      <c r="AOF132" s="3"/>
      <c r="AOG132" s="3"/>
      <c r="AOH132" s="3"/>
      <c r="AOI132" s="3"/>
      <c r="AOJ132" s="3"/>
      <c r="AOK132" s="3"/>
      <c r="AOL132" s="3"/>
      <c r="AOM132" s="3"/>
      <c r="AON132" s="3"/>
      <c r="AOO132" s="3"/>
      <c r="AOP132" s="3"/>
      <c r="AOQ132" s="3"/>
      <c r="AOR132" s="3"/>
      <c r="AOS132" s="3"/>
      <c r="AOT132" s="3"/>
      <c r="AOU132" s="3"/>
      <c r="AOV132" s="3"/>
      <c r="AOW132" s="3"/>
      <c r="AOX132" s="3"/>
      <c r="AOY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  <c r="AQE132" s="3"/>
      <c r="AQF132" s="3"/>
      <c r="AQG132" s="3"/>
      <c r="AQH132" s="3"/>
      <c r="AQI132" s="3"/>
      <c r="AQJ132" s="3"/>
      <c r="AQK132" s="3"/>
      <c r="AQL132" s="3"/>
      <c r="AQM132" s="3"/>
      <c r="AQN132" s="3"/>
      <c r="AQO132" s="3"/>
      <c r="AQP132" s="3"/>
      <c r="AQQ132" s="3"/>
      <c r="AQR132" s="3"/>
      <c r="AQS132" s="3"/>
      <c r="AQT132" s="3"/>
      <c r="AQU132" s="3"/>
      <c r="AQV132" s="3"/>
      <c r="AQW132" s="3"/>
      <c r="AQX132" s="3"/>
      <c r="AQY132" s="3"/>
      <c r="AQZ132" s="3"/>
      <c r="ARA132" s="3"/>
      <c r="ARB132" s="3"/>
      <c r="ARC132" s="3"/>
      <c r="ARD132" s="3"/>
      <c r="ARE132" s="3"/>
      <c r="ARF132" s="3"/>
      <c r="ARG132" s="3"/>
      <c r="ARH132" s="3"/>
      <c r="ARI132" s="3"/>
      <c r="ARJ132" s="3"/>
      <c r="ARK132" s="3"/>
      <c r="ARL132" s="3"/>
      <c r="ARM132" s="3"/>
      <c r="ARN132" s="3"/>
      <c r="ARO132" s="3"/>
      <c r="ARP132" s="3"/>
      <c r="ARQ132" s="3"/>
      <c r="ARR132" s="3"/>
      <c r="ARS132" s="3"/>
      <c r="ART132" s="3"/>
      <c r="ARU132" s="3"/>
      <c r="ARV132" s="3"/>
      <c r="ARW132" s="3"/>
      <c r="ARX132" s="3"/>
      <c r="ARY132" s="3"/>
      <c r="ARZ132" s="3"/>
      <c r="ASA132" s="3"/>
      <c r="ASB132" s="3"/>
      <c r="ASC132" s="3"/>
      <c r="ASD132" s="3"/>
      <c r="ASE132" s="3"/>
      <c r="ASF132" s="3"/>
      <c r="ASG132" s="3"/>
      <c r="ASH132" s="3"/>
      <c r="ASI132" s="3"/>
      <c r="ASJ132" s="3"/>
      <c r="ASK132" s="3"/>
      <c r="ASL132" s="3"/>
      <c r="ASM132" s="3"/>
      <c r="ASN132" s="3"/>
      <c r="ASO132" s="3"/>
      <c r="ASP132" s="3"/>
      <c r="ASQ132" s="3"/>
      <c r="ASR132" s="3"/>
      <c r="ASS132" s="3"/>
      <c r="AST132" s="3"/>
      <c r="ASU132" s="3"/>
      <c r="ASV132" s="3"/>
      <c r="ASW132" s="3"/>
      <c r="ASX132" s="3"/>
      <c r="ASY132" s="3"/>
      <c r="ASZ132" s="3"/>
      <c r="ATA132" s="3"/>
      <c r="ATB132" s="3"/>
      <c r="ATC132" s="3"/>
      <c r="ATD132" s="3"/>
      <c r="ATE132" s="3"/>
      <c r="ATF132" s="3"/>
      <c r="ATG132" s="3"/>
      <c r="ATH132" s="3"/>
      <c r="ATI132" s="3"/>
      <c r="ATJ132" s="3"/>
      <c r="ATK132" s="3"/>
      <c r="ATL132" s="3"/>
      <c r="ATM132" s="3"/>
      <c r="ATN132" s="3"/>
      <c r="ATO132" s="3"/>
      <c r="ATP132" s="3"/>
      <c r="ATQ132" s="3"/>
      <c r="ATR132" s="3"/>
      <c r="ATS132" s="3"/>
      <c r="ATT132" s="3"/>
      <c r="ATU132" s="3"/>
      <c r="ATV132" s="3"/>
      <c r="ATW132" s="3"/>
      <c r="ATX132" s="3"/>
      <c r="ATY132" s="3"/>
      <c r="ATZ132" s="3"/>
      <c r="AUA132" s="3"/>
      <c r="AUB132" s="3"/>
      <c r="AUC132" s="3"/>
      <c r="AUD132" s="3"/>
      <c r="AUE132" s="3"/>
      <c r="AUF132" s="3"/>
      <c r="AUG132" s="3"/>
      <c r="AUH132" s="3"/>
      <c r="AUI132" s="3"/>
      <c r="AUJ132" s="3"/>
      <c r="AUK132" s="3"/>
      <c r="AUL132" s="3"/>
      <c r="AUM132" s="3"/>
      <c r="AUN132" s="3"/>
      <c r="AUO132" s="3"/>
      <c r="AUP132" s="3"/>
      <c r="AUQ132" s="3"/>
      <c r="AUR132" s="3"/>
      <c r="AUS132" s="3"/>
      <c r="AUT132" s="3"/>
      <c r="AUU132" s="3"/>
      <c r="AUV132" s="3"/>
      <c r="AUW132" s="3"/>
      <c r="AUX132" s="3"/>
      <c r="AUY132" s="3"/>
      <c r="AUZ132" s="3"/>
      <c r="AVA132" s="3"/>
      <c r="AVB132" s="3"/>
      <c r="AVC132" s="3"/>
      <c r="AVD132" s="3"/>
      <c r="AVE132" s="3"/>
      <c r="AVF132" s="3"/>
      <c r="AVG132" s="3"/>
      <c r="AVH132" s="3"/>
      <c r="AVI132" s="3"/>
      <c r="AVJ132" s="3"/>
      <c r="AVK132" s="3"/>
      <c r="AVL132" s="3"/>
      <c r="AVM132" s="3"/>
      <c r="AVN132" s="3"/>
      <c r="AVO132" s="3"/>
      <c r="AVP132" s="3"/>
      <c r="AVQ132" s="3"/>
      <c r="AVR132" s="3"/>
      <c r="AVS132" s="3"/>
      <c r="AVT132" s="3"/>
      <c r="AVU132" s="3"/>
      <c r="AVV132" s="3"/>
      <c r="AVW132" s="3"/>
      <c r="AVX132" s="3"/>
      <c r="AVY132" s="3"/>
      <c r="AVZ132" s="3"/>
      <c r="AWA132" s="3"/>
      <c r="AWB132" s="3"/>
      <c r="AWC132" s="3"/>
      <c r="AWD132" s="3"/>
      <c r="AWE132" s="3"/>
      <c r="AWF132" s="3"/>
      <c r="AWG132" s="3"/>
      <c r="AWH132" s="3"/>
      <c r="AWI132" s="3"/>
      <c r="AWJ132" s="3"/>
      <c r="AWK132" s="3"/>
      <c r="AWL132" s="3"/>
      <c r="AWM132" s="3"/>
      <c r="AWN132" s="3"/>
      <c r="AWO132" s="3"/>
      <c r="AWP132" s="3"/>
      <c r="AWQ132" s="3"/>
      <c r="AWR132" s="3"/>
      <c r="AWS132" s="3"/>
      <c r="AWT132" s="3"/>
      <c r="AWU132" s="3"/>
      <c r="AWV132" s="3"/>
      <c r="AWW132" s="3"/>
      <c r="AWX132" s="3"/>
      <c r="AWY132" s="3"/>
      <c r="AWZ132" s="3"/>
      <c r="AXA132" s="3"/>
      <c r="AXB132" s="3"/>
      <c r="AXC132" s="3"/>
      <c r="AXD132" s="3"/>
      <c r="AXE132" s="3"/>
      <c r="AXF132" s="3"/>
      <c r="AXG132" s="3"/>
      <c r="AXH132" s="3"/>
      <c r="AXI132" s="3"/>
      <c r="AXJ132" s="3"/>
      <c r="AXK132" s="3"/>
      <c r="AXL132" s="3"/>
      <c r="AXM132" s="3"/>
      <c r="AXN132" s="3"/>
      <c r="AXO132" s="3"/>
      <c r="AXP132" s="3"/>
      <c r="AXQ132" s="3"/>
      <c r="AXR132" s="3"/>
      <c r="AXS132" s="3"/>
      <c r="AXT132" s="3"/>
      <c r="AXU132" s="3"/>
      <c r="AXV132" s="3"/>
      <c r="AXW132" s="3"/>
      <c r="AXX132" s="3"/>
      <c r="AXY132" s="3"/>
      <c r="AXZ132" s="3"/>
      <c r="AYA132" s="3"/>
      <c r="AYB132" s="3"/>
      <c r="AYC132" s="3"/>
      <c r="AYD132" s="3"/>
      <c r="AYE132" s="3"/>
      <c r="AYF132" s="3"/>
      <c r="AYG132" s="3"/>
      <c r="AYH132" s="3"/>
      <c r="AYI132" s="3"/>
      <c r="AYJ132" s="3"/>
      <c r="AYK132" s="3"/>
      <c r="AYL132" s="3"/>
      <c r="AYM132" s="3"/>
      <c r="AYN132" s="3"/>
      <c r="AYO132" s="3"/>
      <c r="AYP132" s="3"/>
      <c r="AYQ132" s="3"/>
      <c r="AYR132" s="3"/>
      <c r="AYS132" s="3"/>
      <c r="AYT132" s="3"/>
      <c r="AYU132" s="3"/>
      <c r="AYV132" s="3"/>
      <c r="AYW132" s="3"/>
      <c r="AYX132" s="3"/>
      <c r="AYY132" s="3"/>
      <c r="AYZ132" s="3"/>
      <c r="AZA132" s="3"/>
      <c r="AZB132" s="3"/>
      <c r="AZC132" s="3"/>
      <c r="AZD132" s="3"/>
      <c r="AZE132" s="3"/>
      <c r="AZF132" s="3"/>
      <c r="AZG132" s="3"/>
      <c r="AZH132" s="3"/>
      <c r="AZI132" s="3"/>
      <c r="AZJ132" s="3"/>
      <c r="AZK132" s="3"/>
      <c r="AZL132" s="3"/>
      <c r="AZM132" s="3"/>
      <c r="AZN132" s="3"/>
      <c r="AZO132" s="3"/>
      <c r="AZP132" s="3"/>
      <c r="AZQ132" s="3"/>
      <c r="AZR132" s="3"/>
      <c r="AZS132" s="3"/>
      <c r="AZT132" s="3"/>
      <c r="AZU132" s="3"/>
      <c r="AZV132" s="3"/>
      <c r="AZW132" s="3"/>
      <c r="AZX132" s="3"/>
      <c r="AZY132" s="3"/>
      <c r="AZZ132" s="3"/>
      <c r="BAA132" s="3"/>
      <c r="BAB132" s="3"/>
      <c r="BAC132" s="3"/>
      <c r="BAD132" s="3"/>
      <c r="BAE132" s="3"/>
      <c r="BAF132" s="3"/>
      <c r="BAG132" s="3"/>
      <c r="BAH132" s="3"/>
      <c r="BAI132" s="3"/>
      <c r="BAJ132" s="3"/>
      <c r="BAK132" s="3"/>
      <c r="BAL132" s="3"/>
      <c r="BAM132" s="3"/>
      <c r="BAN132" s="3"/>
      <c r="BAO132" s="3"/>
      <c r="BAP132" s="3"/>
      <c r="BAQ132" s="3"/>
      <c r="BAR132" s="3"/>
      <c r="BAS132" s="3"/>
      <c r="BAT132" s="3"/>
      <c r="BAU132" s="3"/>
      <c r="BAV132" s="3"/>
      <c r="BAW132" s="3"/>
      <c r="BAX132" s="3"/>
      <c r="BAY132" s="3"/>
      <c r="BAZ132" s="3"/>
      <c r="BBA132" s="3"/>
      <c r="BBB132" s="3"/>
      <c r="BBC132" s="3"/>
      <c r="BBD132" s="3"/>
      <c r="BBE132" s="3"/>
      <c r="BBF132" s="3"/>
      <c r="BBG132" s="3"/>
      <c r="BBH132" s="3"/>
      <c r="BBI132" s="3"/>
      <c r="BBJ132" s="3"/>
      <c r="BBK132" s="3"/>
      <c r="BBL132" s="3"/>
      <c r="BBM132" s="3"/>
      <c r="BBN132" s="3"/>
      <c r="BBO132" s="3"/>
      <c r="BBP132" s="3"/>
      <c r="BBQ132" s="3"/>
      <c r="BBR132" s="3"/>
      <c r="BBS132" s="3"/>
      <c r="BBT132" s="3"/>
      <c r="BBU132" s="3"/>
      <c r="BBV132" s="3"/>
      <c r="BBW132" s="3"/>
      <c r="BBX132" s="3"/>
      <c r="BBY132" s="3"/>
      <c r="BBZ132" s="3"/>
      <c r="BCA132" s="3"/>
      <c r="BCB132" s="3"/>
      <c r="BCC132" s="3"/>
      <c r="BCD132" s="3"/>
      <c r="BCE132" s="3"/>
      <c r="BCF132" s="3"/>
      <c r="BCG132" s="3"/>
      <c r="BCH132" s="3"/>
      <c r="BCI132" s="3"/>
      <c r="BCJ132" s="3"/>
      <c r="BCK132" s="3"/>
      <c r="BCL132" s="3"/>
      <c r="BCM132" s="3"/>
      <c r="BCN132" s="3"/>
      <c r="BCO132" s="3"/>
      <c r="BCP132" s="3"/>
      <c r="BCQ132" s="3"/>
      <c r="BCR132" s="3"/>
      <c r="BCS132" s="3"/>
      <c r="BCT132" s="3"/>
      <c r="BCU132" s="3"/>
      <c r="BCV132" s="3"/>
      <c r="BCW132" s="3"/>
      <c r="BCX132" s="3"/>
      <c r="BCY132" s="3"/>
      <c r="BCZ132" s="3"/>
      <c r="BDA132" s="3"/>
      <c r="BDB132" s="3"/>
      <c r="BDC132" s="3"/>
      <c r="BDD132" s="3"/>
      <c r="BDE132" s="3"/>
      <c r="BDF132" s="3"/>
      <c r="BDG132" s="3"/>
      <c r="BDH132" s="3"/>
      <c r="BDI132" s="3"/>
      <c r="BDJ132" s="3"/>
      <c r="BDK132" s="3"/>
      <c r="BDL132" s="3"/>
      <c r="BDM132" s="3"/>
      <c r="BDN132" s="3"/>
      <c r="BDO132" s="3"/>
      <c r="BDP132" s="3"/>
      <c r="BDQ132" s="3"/>
      <c r="BDR132" s="3"/>
      <c r="BDS132" s="3"/>
      <c r="BDT132" s="3"/>
      <c r="BDU132" s="3"/>
      <c r="BDV132" s="3"/>
      <c r="BDW132" s="3"/>
      <c r="BDX132" s="3"/>
      <c r="BDY132" s="3"/>
      <c r="BDZ132" s="3"/>
      <c r="BEA132" s="3"/>
      <c r="BEB132" s="3"/>
      <c r="BEC132" s="3"/>
      <c r="BED132" s="3"/>
      <c r="BEE132" s="3"/>
      <c r="BEF132" s="3"/>
      <c r="BEG132" s="3"/>
      <c r="BEH132" s="3"/>
      <c r="BEI132" s="3"/>
      <c r="BEJ132" s="3"/>
      <c r="BEK132" s="3"/>
      <c r="BEL132" s="3"/>
      <c r="BEM132" s="3"/>
      <c r="BEN132" s="3"/>
      <c r="BEO132" s="3"/>
      <c r="BEP132" s="3"/>
      <c r="BEQ132" s="3"/>
      <c r="BER132" s="3"/>
      <c r="BES132" s="3"/>
      <c r="BET132" s="3"/>
      <c r="BEU132" s="3"/>
      <c r="BEV132" s="3"/>
      <c r="BEW132" s="3"/>
      <c r="BEX132" s="3"/>
      <c r="BEY132" s="3"/>
      <c r="BEZ132" s="3"/>
      <c r="BFA132" s="3"/>
      <c r="BFB132" s="3"/>
      <c r="BFC132" s="3"/>
      <c r="BFD132" s="3"/>
      <c r="BFE132" s="3"/>
      <c r="BFF132" s="3"/>
      <c r="BFG132" s="3"/>
      <c r="BFH132" s="3"/>
      <c r="BFI132" s="3"/>
      <c r="BFJ132" s="3"/>
      <c r="BFK132" s="3"/>
      <c r="BFL132" s="3"/>
      <c r="BFM132" s="3"/>
      <c r="BFN132" s="3"/>
      <c r="BFO132" s="3"/>
      <c r="BFP132" s="3"/>
      <c r="BFQ132" s="3"/>
      <c r="BFR132" s="3"/>
      <c r="BFS132" s="3"/>
      <c r="BFT132" s="3"/>
      <c r="BFU132" s="3"/>
      <c r="BFV132" s="3"/>
      <c r="BFW132" s="3"/>
      <c r="BFX132" s="3"/>
      <c r="BFY132" s="3"/>
      <c r="BFZ132" s="3"/>
      <c r="BGA132" s="3"/>
      <c r="BGB132" s="3"/>
      <c r="BGC132" s="3"/>
      <c r="BGD132" s="3"/>
      <c r="BGE132" s="3"/>
      <c r="BGF132" s="3"/>
      <c r="BGG132" s="3"/>
      <c r="BGH132" s="3"/>
      <c r="BGI132" s="3"/>
      <c r="BGJ132" s="3"/>
      <c r="BGK132" s="3"/>
      <c r="BGL132" s="3"/>
      <c r="BGM132" s="3"/>
      <c r="BGN132" s="3"/>
      <c r="BGO132" s="3"/>
      <c r="BGP132" s="3"/>
      <c r="BGQ132" s="3"/>
      <c r="BGR132" s="3"/>
      <c r="BGS132" s="3"/>
      <c r="BGT132" s="3"/>
      <c r="BGU132" s="3"/>
      <c r="BGV132" s="3"/>
      <c r="BGW132" s="3"/>
      <c r="BGX132" s="3"/>
      <c r="BGY132" s="3"/>
      <c r="BGZ132" s="3"/>
      <c r="BHA132" s="3"/>
      <c r="BHB132" s="3"/>
      <c r="BHC132" s="3"/>
      <c r="BHD132" s="3"/>
      <c r="BHE132" s="3"/>
      <c r="BHF132" s="3"/>
      <c r="BHG132" s="3"/>
      <c r="BHH132" s="3"/>
      <c r="BHI132" s="3"/>
      <c r="BHJ132" s="3"/>
      <c r="BHK132" s="3"/>
      <c r="BHL132" s="3"/>
      <c r="BHM132" s="3"/>
      <c r="BHN132" s="3"/>
      <c r="BHO132" s="3"/>
      <c r="BHP132" s="3"/>
      <c r="BHQ132" s="3"/>
      <c r="BHR132" s="3"/>
      <c r="BHS132" s="3"/>
      <c r="BHT132" s="3"/>
      <c r="BHU132" s="3"/>
      <c r="BHV132" s="3"/>
      <c r="BHW132" s="3"/>
      <c r="BHX132" s="3"/>
      <c r="BHY132" s="3"/>
      <c r="BHZ132" s="3"/>
      <c r="BIA132" s="3"/>
      <c r="BIB132" s="3"/>
      <c r="BIC132" s="3"/>
      <c r="BID132" s="3"/>
      <c r="BIE132" s="3"/>
      <c r="BIF132" s="3"/>
      <c r="BIG132" s="3"/>
      <c r="BIH132" s="3"/>
      <c r="BII132" s="3"/>
      <c r="BIJ132" s="3"/>
      <c r="BIK132" s="3"/>
      <c r="BIL132" s="3"/>
      <c r="BIM132" s="3"/>
      <c r="BIN132" s="3"/>
      <c r="BIO132" s="3"/>
      <c r="BIP132" s="3"/>
      <c r="BIQ132" s="3"/>
      <c r="BIR132" s="3"/>
      <c r="BIS132" s="3"/>
      <c r="BIT132" s="3"/>
      <c r="BIU132" s="3"/>
      <c r="BIV132" s="3"/>
      <c r="BIW132" s="3"/>
      <c r="BIX132" s="3"/>
      <c r="BIY132" s="3"/>
      <c r="BIZ132" s="3"/>
      <c r="BJA132" s="3"/>
      <c r="BJB132" s="3"/>
      <c r="BJC132" s="3"/>
      <c r="BJD132" s="3"/>
      <c r="BJE132" s="3"/>
      <c r="BJF132" s="3"/>
      <c r="BJG132" s="3"/>
      <c r="BJH132" s="3"/>
      <c r="BJI132" s="3"/>
      <c r="BJJ132" s="3"/>
      <c r="BJK132" s="3"/>
      <c r="BJL132" s="3"/>
      <c r="BJM132" s="3"/>
      <c r="BJN132" s="3"/>
      <c r="BJO132" s="3"/>
      <c r="BJP132" s="3"/>
      <c r="BJQ132" s="3"/>
      <c r="BJR132" s="3"/>
      <c r="BJS132" s="3"/>
      <c r="BJT132" s="3"/>
      <c r="BJU132" s="3"/>
      <c r="BJV132" s="3"/>
      <c r="BJW132" s="3"/>
      <c r="BJX132" s="3"/>
      <c r="BJY132" s="3"/>
      <c r="BJZ132" s="3"/>
      <c r="BKA132" s="3"/>
      <c r="BKB132" s="3"/>
      <c r="BKC132" s="3"/>
      <c r="BKD132" s="3"/>
      <c r="BKE132" s="3"/>
      <c r="BKF132" s="3"/>
      <c r="BKG132" s="3"/>
      <c r="BKH132" s="3"/>
      <c r="BKI132" s="3"/>
      <c r="BKJ132" s="3"/>
      <c r="BKK132" s="3"/>
      <c r="BKL132" s="3"/>
      <c r="BKM132" s="3"/>
      <c r="BKN132" s="3"/>
      <c r="BKO132" s="3"/>
      <c r="BKP132" s="3"/>
      <c r="BKQ132" s="3"/>
      <c r="BKR132" s="3"/>
      <c r="BKS132" s="3"/>
      <c r="BKT132" s="3"/>
      <c r="BKU132" s="3"/>
      <c r="BKV132" s="3"/>
      <c r="BKW132" s="3"/>
      <c r="BKX132" s="3"/>
      <c r="BKY132" s="3"/>
      <c r="BKZ132" s="3"/>
      <c r="BLA132" s="3"/>
      <c r="BLB132" s="3"/>
      <c r="BLC132" s="3"/>
      <c r="BLD132" s="3"/>
      <c r="BLE132" s="3"/>
      <c r="BLF132" s="3"/>
      <c r="BLG132" s="3"/>
      <c r="BLH132" s="3"/>
      <c r="BLI132" s="3"/>
      <c r="BLJ132" s="3"/>
      <c r="BLK132" s="3"/>
      <c r="BLL132" s="3"/>
      <c r="BLM132" s="3"/>
      <c r="BLN132" s="3"/>
      <c r="BLO132" s="3"/>
      <c r="BLP132" s="3"/>
      <c r="BLQ132" s="3"/>
      <c r="BLR132" s="3"/>
      <c r="BLS132" s="3"/>
      <c r="BLT132" s="3"/>
      <c r="BLU132" s="3"/>
      <c r="BLV132" s="3"/>
      <c r="BLW132" s="3"/>
      <c r="BLX132" s="3"/>
      <c r="BLY132" s="3"/>
      <c r="BLZ132" s="3"/>
      <c r="BMA132" s="3"/>
      <c r="BMB132" s="3"/>
      <c r="BMC132" s="3"/>
      <c r="BMD132" s="3"/>
      <c r="BME132" s="3"/>
      <c r="BMF132" s="3"/>
      <c r="BMG132" s="3"/>
      <c r="BMH132" s="3"/>
      <c r="BMI132" s="3"/>
      <c r="BMJ132" s="3"/>
      <c r="BMK132" s="3"/>
      <c r="BML132" s="3"/>
      <c r="BMM132" s="3"/>
      <c r="BMN132" s="3"/>
      <c r="BMO132" s="3"/>
      <c r="BMP132" s="3"/>
      <c r="BMQ132" s="3"/>
      <c r="BMR132" s="3"/>
      <c r="BMS132" s="3"/>
      <c r="BMT132" s="3"/>
      <c r="BMU132" s="3"/>
      <c r="BMV132" s="3"/>
      <c r="BMW132" s="3"/>
      <c r="BMX132" s="3"/>
      <c r="BMY132" s="3"/>
      <c r="BMZ132" s="3"/>
      <c r="BNA132" s="3"/>
      <c r="BNB132" s="3"/>
      <c r="BNC132" s="3"/>
      <c r="BND132" s="3"/>
      <c r="BNE132" s="3"/>
      <c r="BNF132" s="3"/>
      <c r="BNG132" s="3"/>
      <c r="BNH132" s="3"/>
      <c r="BNI132" s="3"/>
      <c r="BNJ132" s="3"/>
      <c r="BNK132" s="3"/>
      <c r="BNL132" s="3"/>
      <c r="BNM132" s="3"/>
      <c r="BNN132" s="3"/>
      <c r="BNO132" s="3"/>
      <c r="BNP132" s="3"/>
      <c r="BNQ132" s="3"/>
      <c r="BNR132" s="3"/>
      <c r="BNS132" s="3"/>
      <c r="BNT132" s="3"/>
      <c r="BNU132" s="3"/>
      <c r="BNV132" s="3"/>
      <c r="BNW132" s="3"/>
      <c r="BNX132" s="3"/>
      <c r="BNY132" s="3"/>
      <c r="BNZ132" s="3"/>
      <c r="BOA132" s="3"/>
      <c r="BOB132" s="3"/>
      <c r="BOC132" s="3"/>
      <c r="BOD132" s="3"/>
      <c r="BOE132" s="3"/>
      <c r="BOF132" s="3"/>
      <c r="BOG132" s="3"/>
      <c r="BOH132" s="3"/>
      <c r="BOI132" s="3"/>
      <c r="BOJ132" s="3"/>
      <c r="BOK132" s="3"/>
      <c r="BOL132" s="3"/>
      <c r="BOM132" s="3"/>
      <c r="BON132" s="3"/>
      <c r="BOO132" s="3"/>
      <c r="BOP132" s="3"/>
      <c r="BOQ132" s="3"/>
      <c r="BOR132" s="3"/>
      <c r="BOS132" s="3"/>
      <c r="BOT132" s="3"/>
      <c r="BOU132" s="3"/>
      <c r="BOV132" s="3"/>
      <c r="BOW132" s="3"/>
      <c r="BOX132" s="3"/>
      <c r="BOY132" s="3"/>
      <c r="BOZ132" s="3"/>
      <c r="BPA132" s="3"/>
      <c r="BPB132" s="3"/>
      <c r="BPC132" s="3"/>
      <c r="BPD132" s="3"/>
      <c r="BPE132" s="3"/>
      <c r="BPF132" s="3"/>
      <c r="BPG132" s="3"/>
      <c r="BPH132" s="3"/>
      <c r="BPI132" s="3"/>
      <c r="BPJ132" s="3"/>
      <c r="BPK132" s="3"/>
      <c r="BPL132" s="3"/>
      <c r="BPM132" s="3"/>
      <c r="BPN132" s="3"/>
      <c r="BPO132" s="3"/>
      <c r="BPP132" s="3"/>
      <c r="BPQ132" s="3"/>
      <c r="BPR132" s="3"/>
      <c r="BPS132" s="3"/>
      <c r="BPT132" s="3"/>
      <c r="BPU132" s="3"/>
      <c r="BPV132" s="3"/>
      <c r="BPW132" s="3"/>
      <c r="BPX132" s="3"/>
      <c r="BPY132" s="3"/>
      <c r="BPZ132" s="3"/>
      <c r="BQA132" s="3"/>
      <c r="BQB132" s="3"/>
      <c r="BQC132" s="3"/>
      <c r="BQD132" s="3"/>
      <c r="BQE132" s="3"/>
      <c r="BQF132" s="3"/>
      <c r="BQG132" s="3"/>
      <c r="BQH132" s="3"/>
      <c r="BQI132" s="3"/>
      <c r="BQJ132" s="3"/>
      <c r="BQK132" s="3"/>
      <c r="BQL132" s="3"/>
      <c r="BQM132" s="3"/>
      <c r="BQN132" s="3"/>
      <c r="BQO132" s="3"/>
      <c r="BQP132" s="3"/>
      <c r="BQQ132" s="3"/>
      <c r="BQR132" s="3"/>
      <c r="BQS132" s="3"/>
      <c r="BQT132" s="3"/>
      <c r="BQU132" s="3"/>
      <c r="BQV132" s="3"/>
      <c r="BQW132" s="3"/>
      <c r="BQX132" s="3"/>
      <c r="BQY132" s="3"/>
      <c r="BQZ132" s="3"/>
      <c r="BRA132" s="3"/>
      <c r="BRB132" s="3"/>
      <c r="BRC132" s="3"/>
      <c r="BRD132" s="3"/>
      <c r="BRE132" s="3"/>
      <c r="BRF132" s="3"/>
      <c r="BRG132" s="3"/>
      <c r="BRH132" s="3"/>
      <c r="BRI132" s="3"/>
      <c r="BRJ132" s="3"/>
      <c r="BRK132" s="3"/>
      <c r="BRL132" s="3"/>
      <c r="BRM132" s="3"/>
      <c r="BRN132" s="3"/>
      <c r="BRO132" s="3"/>
      <c r="BRP132" s="3"/>
      <c r="BRQ132" s="3"/>
      <c r="BRR132" s="3"/>
      <c r="BRS132" s="3"/>
      <c r="BRT132" s="3"/>
      <c r="BRU132" s="3"/>
      <c r="BRV132" s="3"/>
      <c r="BRW132" s="3"/>
      <c r="BRX132" s="3"/>
      <c r="BRY132" s="3"/>
      <c r="BRZ132" s="3"/>
      <c r="BSA132" s="3"/>
      <c r="BSB132" s="3"/>
      <c r="BSC132" s="3"/>
      <c r="BSD132" s="3"/>
      <c r="BSE132" s="3"/>
      <c r="BSF132" s="3"/>
      <c r="BSG132" s="3"/>
      <c r="BSH132" s="3"/>
      <c r="BSI132" s="3"/>
      <c r="BSJ132" s="3"/>
      <c r="BSK132" s="3"/>
      <c r="BSL132" s="3"/>
      <c r="BSM132" s="3"/>
      <c r="BSN132" s="3"/>
      <c r="BSO132" s="3"/>
      <c r="BSP132" s="3"/>
      <c r="BSQ132" s="3"/>
      <c r="BSR132" s="3"/>
      <c r="BSS132" s="3"/>
      <c r="BST132" s="3"/>
      <c r="BSU132" s="3"/>
      <c r="BSV132" s="3"/>
      <c r="BSW132" s="3"/>
      <c r="BSX132" s="3"/>
      <c r="BSY132" s="3"/>
      <c r="BSZ132" s="3"/>
      <c r="BTA132" s="3"/>
      <c r="BTB132" s="3"/>
      <c r="BTC132" s="3"/>
      <c r="BTD132" s="3"/>
      <c r="BTE132" s="3"/>
      <c r="BTF132" s="3"/>
      <c r="BTG132" s="3"/>
      <c r="BTH132" s="3"/>
      <c r="BTI132" s="3"/>
      <c r="BTJ132" s="3"/>
      <c r="BTK132" s="3"/>
      <c r="BTL132" s="3"/>
      <c r="BTM132" s="3"/>
      <c r="BTN132" s="3"/>
      <c r="BTO132" s="3"/>
      <c r="BTP132" s="3"/>
      <c r="BTQ132" s="3"/>
      <c r="BTR132" s="3"/>
      <c r="BTS132" s="3"/>
      <c r="BTT132" s="3"/>
      <c r="BTU132" s="3"/>
      <c r="BTV132" s="3"/>
      <c r="BTW132" s="3"/>
      <c r="BTX132" s="3"/>
      <c r="BTY132" s="3"/>
      <c r="BTZ132" s="3"/>
      <c r="BUA132" s="3"/>
      <c r="BUB132" s="3"/>
      <c r="BUC132" s="3"/>
      <c r="BUD132" s="3"/>
      <c r="BUE132" s="3"/>
      <c r="BUF132" s="3"/>
      <c r="BUG132" s="3"/>
      <c r="BUH132" s="3"/>
      <c r="BUI132" s="3"/>
      <c r="BUJ132" s="3"/>
      <c r="BUK132" s="3"/>
      <c r="BUL132" s="3"/>
      <c r="BUM132" s="3"/>
      <c r="BUN132" s="3"/>
      <c r="BUO132" s="3"/>
      <c r="BUP132" s="3"/>
      <c r="BUQ132" s="3"/>
      <c r="BUR132" s="3"/>
      <c r="BUS132" s="3"/>
      <c r="BUT132" s="3"/>
      <c r="BUU132" s="3"/>
      <c r="BUV132" s="3"/>
      <c r="BUW132" s="3"/>
      <c r="BUX132" s="3"/>
      <c r="BUY132" s="3"/>
      <c r="BUZ132" s="3"/>
      <c r="BVA132" s="3"/>
      <c r="BVB132" s="3"/>
      <c r="BVC132" s="3"/>
      <c r="BVD132" s="3"/>
      <c r="BVE132" s="3"/>
      <c r="BVF132" s="3"/>
      <c r="BVG132" s="3"/>
      <c r="BVH132" s="3"/>
      <c r="BVI132" s="3"/>
      <c r="BVJ132" s="3"/>
      <c r="BVK132" s="3"/>
      <c r="BVL132" s="3"/>
      <c r="BVM132" s="3"/>
      <c r="BVN132" s="3"/>
      <c r="BVO132" s="3"/>
      <c r="BVP132" s="3"/>
      <c r="BVQ132" s="3"/>
      <c r="BVR132" s="3"/>
      <c r="BVS132" s="3"/>
      <c r="BVT132" s="3"/>
      <c r="BVU132" s="3"/>
      <c r="BVV132" s="3"/>
      <c r="BVW132" s="3"/>
      <c r="BVX132" s="3"/>
      <c r="BVY132" s="3"/>
      <c r="BVZ132" s="3"/>
      <c r="BWA132" s="3"/>
      <c r="BWB132" s="3"/>
      <c r="BWC132" s="3"/>
      <c r="BWD132" s="3"/>
      <c r="BWE132" s="3"/>
      <c r="BWF132" s="3"/>
      <c r="BWG132" s="3"/>
      <c r="BWH132" s="3"/>
      <c r="BWI132" s="3"/>
      <c r="BWJ132" s="3"/>
      <c r="BWK132" s="3"/>
      <c r="BWL132" s="3"/>
      <c r="BWM132" s="3"/>
      <c r="BWN132" s="3"/>
      <c r="BWO132" s="3"/>
      <c r="BWP132" s="3"/>
      <c r="BWQ132" s="3"/>
      <c r="BWR132" s="3"/>
      <c r="BWS132" s="3"/>
      <c r="BWT132" s="3"/>
      <c r="BWU132" s="3"/>
      <c r="BWV132" s="3"/>
      <c r="BWW132" s="3"/>
      <c r="BWX132" s="3"/>
      <c r="BWY132" s="3"/>
      <c r="BWZ132" s="3"/>
      <c r="BXA132" s="3"/>
      <c r="BXB132" s="3"/>
      <c r="BXC132" s="3"/>
      <c r="BXD132" s="3"/>
      <c r="BXE132" s="3"/>
      <c r="BXF132" s="3"/>
      <c r="BXG132" s="3"/>
      <c r="BXH132" s="3"/>
      <c r="BXI132" s="3"/>
      <c r="BXJ132" s="3"/>
      <c r="BXK132" s="3"/>
      <c r="BXL132" s="3"/>
      <c r="BXM132" s="3"/>
      <c r="BXN132" s="3"/>
      <c r="BXO132" s="3"/>
      <c r="BXP132" s="3"/>
      <c r="BXQ132" s="3"/>
      <c r="BXR132" s="3"/>
      <c r="BXS132" s="3"/>
      <c r="BXT132" s="3"/>
      <c r="BXU132" s="3"/>
      <c r="BXV132" s="3"/>
      <c r="BXW132" s="3"/>
      <c r="BXX132" s="3"/>
      <c r="BXY132" s="3"/>
      <c r="BXZ132" s="3"/>
      <c r="BYA132" s="3"/>
      <c r="BYB132" s="3"/>
      <c r="BYC132" s="3"/>
      <c r="BYD132" s="3"/>
      <c r="BYE132" s="3"/>
      <c r="BYF132" s="3"/>
      <c r="BYG132" s="3"/>
      <c r="BYH132" s="3"/>
      <c r="BYI132" s="3"/>
      <c r="BYJ132" s="3"/>
      <c r="BYK132" s="3"/>
      <c r="BYL132" s="3"/>
      <c r="BYM132" s="3"/>
      <c r="BYN132" s="3"/>
      <c r="BYO132" s="3"/>
      <c r="BYP132" s="3"/>
      <c r="BYQ132" s="3"/>
      <c r="BYR132" s="3"/>
      <c r="BYS132" s="3"/>
      <c r="BYT132" s="3"/>
      <c r="BYU132" s="3"/>
      <c r="BYV132" s="3"/>
      <c r="BYW132" s="3"/>
      <c r="BYX132" s="3"/>
      <c r="BYY132" s="3"/>
      <c r="BYZ132" s="3"/>
      <c r="BZA132" s="3"/>
      <c r="BZB132" s="3"/>
      <c r="BZC132" s="3"/>
      <c r="BZD132" s="3"/>
      <c r="BZE132" s="3"/>
      <c r="BZF132" s="3"/>
      <c r="BZG132" s="3"/>
      <c r="BZH132" s="3"/>
      <c r="BZI132" s="3"/>
      <c r="BZJ132" s="3"/>
      <c r="BZK132" s="3"/>
      <c r="BZL132" s="3"/>
      <c r="BZM132" s="3"/>
      <c r="BZN132" s="3"/>
      <c r="BZO132" s="3"/>
      <c r="BZP132" s="3"/>
      <c r="BZQ132" s="3"/>
      <c r="BZR132" s="3"/>
      <c r="BZS132" s="3"/>
      <c r="BZT132" s="3"/>
      <c r="BZU132" s="3"/>
      <c r="BZV132" s="3"/>
      <c r="BZW132" s="3"/>
      <c r="BZX132" s="3"/>
      <c r="BZY132" s="3"/>
      <c r="BZZ132" s="3"/>
      <c r="CAA132" s="3"/>
      <c r="CAB132" s="3"/>
      <c r="CAC132" s="3"/>
      <c r="CAD132" s="3"/>
      <c r="CAE132" s="3"/>
      <c r="CAF132" s="3"/>
      <c r="CAG132" s="3"/>
      <c r="CAH132" s="3"/>
      <c r="CAI132" s="3"/>
      <c r="CAJ132" s="3"/>
      <c r="CAK132" s="3"/>
      <c r="CAL132" s="3"/>
      <c r="CAM132" s="3"/>
      <c r="CAN132" s="3"/>
      <c r="CAO132" s="3"/>
      <c r="CAP132" s="3"/>
      <c r="CAQ132" s="3"/>
      <c r="CAR132" s="3"/>
      <c r="CAS132" s="3"/>
      <c r="CAT132" s="3"/>
      <c r="CAU132" s="3"/>
      <c r="CAV132" s="3"/>
      <c r="CAW132" s="3"/>
      <c r="CAX132" s="3"/>
      <c r="CAY132" s="3"/>
      <c r="CAZ132" s="3"/>
      <c r="CBA132" s="3"/>
      <c r="CBB132" s="3"/>
      <c r="CBC132" s="3"/>
      <c r="CBD132" s="3"/>
      <c r="CBE132" s="3"/>
      <c r="CBF132" s="3"/>
      <c r="CBG132" s="3"/>
      <c r="CBH132" s="3"/>
      <c r="CBI132" s="3"/>
      <c r="CBJ132" s="3"/>
      <c r="CBK132" s="3"/>
      <c r="CBL132" s="3"/>
      <c r="CBM132" s="3"/>
      <c r="CBN132" s="3"/>
      <c r="CBO132" s="3"/>
      <c r="CBP132" s="3"/>
      <c r="CBQ132" s="3"/>
      <c r="CBR132" s="3"/>
      <c r="CBS132" s="3"/>
      <c r="CBT132" s="3"/>
      <c r="CBU132" s="3"/>
      <c r="CBV132" s="3"/>
      <c r="CBW132" s="3"/>
      <c r="CBX132" s="3"/>
      <c r="CBY132" s="3"/>
      <c r="CBZ132" s="3"/>
      <c r="CCA132" s="3"/>
      <c r="CCB132" s="3"/>
      <c r="CCC132" s="3"/>
      <c r="CCD132" s="3"/>
      <c r="CCE132" s="3"/>
      <c r="CCF132" s="3"/>
      <c r="CCG132" s="3"/>
      <c r="CCH132" s="3"/>
      <c r="CCI132" s="3"/>
      <c r="CCJ132" s="3"/>
      <c r="CCK132" s="3"/>
      <c r="CCL132" s="3"/>
      <c r="CCM132" s="3"/>
      <c r="CCN132" s="3"/>
      <c r="CCO132" s="3"/>
      <c r="CCP132" s="3"/>
      <c r="CCQ132" s="3"/>
      <c r="CCR132" s="3"/>
      <c r="CCS132" s="3"/>
      <c r="CCT132" s="3"/>
      <c r="CCU132" s="3"/>
      <c r="CCV132" s="3"/>
      <c r="CCW132" s="3"/>
      <c r="CCX132" s="3"/>
      <c r="CCY132" s="3"/>
      <c r="CCZ132" s="3"/>
      <c r="CDA132" s="3"/>
      <c r="CDB132" s="3"/>
      <c r="CDC132" s="3"/>
      <c r="CDD132" s="3"/>
      <c r="CDE132" s="3"/>
      <c r="CDF132" s="3"/>
      <c r="CDG132" s="3"/>
      <c r="CDH132" s="3"/>
      <c r="CDI132" s="3"/>
      <c r="CDJ132" s="3"/>
      <c r="CDK132" s="3"/>
      <c r="CDL132" s="3"/>
      <c r="CDM132" s="3"/>
      <c r="CDN132" s="3"/>
      <c r="CDO132" s="3"/>
      <c r="CDP132" s="3"/>
      <c r="CDQ132" s="3"/>
      <c r="CDR132" s="3"/>
      <c r="CDS132" s="3"/>
      <c r="CDT132" s="3"/>
      <c r="CDU132" s="3"/>
      <c r="CDV132" s="3"/>
      <c r="CDW132" s="3"/>
      <c r="CDX132" s="3"/>
      <c r="CDY132" s="3"/>
      <c r="CDZ132" s="3"/>
      <c r="CEA132" s="3"/>
      <c r="CEB132" s="3"/>
      <c r="CEC132" s="3"/>
      <c r="CED132" s="3"/>
      <c r="CEE132" s="3"/>
      <c r="CEF132" s="3"/>
      <c r="CEG132" s="3"/>
      <c r="CEH132" s="3"/>
      <c r="CEI132" s="3"/>
      <c r="CEJ132" s="3"/>
      <c r="CEK132" s="3"/>
      <c r="CEL132" s="3"/>
      <c r="CEM132" s="3"/>
      <c r="CEN132" s="3"/>
      <c r="CEO132" s="3"/>
      <c r="CEP132" s="3"/>
      <c r="CEQ132" s="3"/>
      <c r="CER132" s="3"/>
      <c r="CES132" s="3"/>
      <c r="CET132" s="3"/>
      <c r="CEU132" s="3"/>
      <c r="CEV132" s="3"/>
      <c r="CEW132" s="3"/>
      <c r="CEX132" s="3"/>
      <c r="CEY132" s="3"/>
      <c r="CEZ132" s="3"/>
      <c r="CFA132" s="3"/>
      <c r="CFB132" s="3"/>
      <c r="CFC132" s="3"/>
      <c r="CFD132" s="3"/>
      <c r="CFE132" s="3"/>
      <c r="CFF132" s="3"/>
      <c r="CFG132" s="3"/>
      <c r="CFH132" s="3"/>
      <c r="CFI132" s="3"/>
      <c r="CFJ132" s="3"/>
      <c r="CFK132" s="3"/>
      <c r="CFL132" s="3"/>
      <c r="CFM132" s="3"/>
      <c r="CFN132" s="3"/>
      <c r="CFO132" s="3"/>
      <c r="CFP132" s="3"/>
      <c r="CFQ132" s="3"/>
      <c r="CFR132" s="3"/>
      <c r="CFS132" s="3"/>
      <c r="CFT132" s="3"/>
      <c r="CFU132" s="3"/>
      <c r="CFV132" s="3"/>
      <c r="CFW132" s="3"/>
      <c r="CFX132" s="3"/>
      <c r="CFY132" s="3"/>
      <c r="CFZ132" s="3"/>
      <c r="CGA132" s="3"/>
      <c r="CGB132" s="3"/>
      <c r="CGC132" s="3"/>
      <c r="CGD132" s="3"/>
      <c r="CGE132" s="3"/>
      <c r="CGF132" s="3"/>
      <c r="CGG132" s="3"/>
      <c r="CGH132" s="3"/>
      <c r="CGI132" s="3"/>
      <c r="CGJ132" s="3"/>
      <c r="CGK132" s="3"/>
      <c r="CGL132" s="3"/>
      <c r="CGM132" s="3"/>
      <c r="CGN132" s="3"/>
      <c r="CGO132" s="3"/>
      <c r="CGP132" s="3"/>
      <c r="CGQ132" s="3"/>
      <c r="CGR132" s="3"/>
      <c r="CGS132" s="3"/>
      <c r="CGT132" s="3"/>
      <c r="CGU132" s="3"/>
      <c r="CGV132" s="3"/>
      <c r="CGW132" s="3"/>
      <c r="CGX132" s="3"/>
      <c r="CGY132" s="3"/>
      <c r="CGZ132" s="3"/>
      <c r="CHA132" s="3"/>
      <c r="CHB132" s="3"/>
      <c r="CHC132" s="3"/>
      <c r="CHD132" s="3"/>
      <c r="CHE132" s="3"/>
      <c r="CHF132" s="3"/>
      <c r="CHG132" s="3"/>
      <c r="CHH132" s="3"/>
      <c r="CHI132" s="3"/>
      <c r="CHJ132" s="3"/>
      <c r="CHK132" s="3"/>
      <c r="CHL132" s="3"/>
      <c r="CHM132" s="3"/>
      <c r="CHN132" s="3"/>
      <c r="CHO132" s="3"/>
      <c r="CHP132" s="3"/>
      <c r="CHQ132" s="3"/>
      <c r="CHR132" s="3"/>
      <c r="CHS132" s="3"/>
      <c r="CHT132" s="3"/>
      <c r="CHU132" s="3"/>
      <c r="CHV132" s="3"/>
      <c r="CHW132" s="3"/>
      <c r="CHX132" s="3"/>
      <c r="CHY132" s="3"/>
      <c r="CHZ132" s="3"/>
      <c r="CIA132" s="3"/>
      <c r="CIB132" s="3"/>
      <c r="CIC132" s="3"/>
      <c r="CID132" s="3"/>
      <c r="CIE132" s="3"/>
      <c r="CIF132" s="3"/>
      <c r="CIG132" s="3"/>
      <c r="CIH132" s="3"/>
      <c r="CII132" s="3"/>
      <c r="CIJ132" s="3"/>
      <c r="CIK132" s="3"/>
      <c r="CIL132" s="3"/>
      <c r="CIM132" s="3"/>
      <c r="CIN132" s="3"/>
      <c r="CIO132" s="3"/>
      <c r="CIP132" s="3"/>
      <c r="CIQ132" s="3"/>
      <c r="CIR132" s="3"/>
      <c r="CIS132" s="3"/>
      <c r="CIT132" s="3"/>
      <c r="CIU132" s="3"/>
      <c r="CIV132" s="3"/>
      <c r="CIW132" s="3"/>
      <c r="CIX132" s="3"/>
      <c r="CIY132" s="3"/>
      <c r="CIZ132" s="3"/>
      <c r="CJA132" s="3"/>
      <c r="CJB132" s="3"/>
      <c r="CJC132" s="3"/>
      <c r="CJD132" s="3"/>
      <c r="CJE132" s="3"/>
      <c r="CJF132" s="3"/>
      <c r="CJG132" s="3"/>
      <c r="CJH132" s="3"/>
      <c r="CJI132" s="3"/>
      <c r="CJJ132" s="3"/>
      <c r="CJK132" s="3"/>
      <c r="CJL132" s="3"/>
      <c r="CJM132" s="3"/>
      <c r="CJN132" s="3"/>
      <c r="CJO132" s="3"/>
      <c r="CJP132" s="3"/>
      <c r="CJQ132" s="3"/>
      <c r="CJR132" s="3"/>
      <c r="CJS132" s="3"/>
      <c r="CJT132" s="3"/>
      <c r="CJU132" s="3"/>
      <c r="CJV132" s="3"/>
      <c r="CJW132" s="3"/>
      <c r="CJX132" s="3"/>
      <c r="CJY132" s="3"/>
      <c r="CJZ132" s="3"/>
      <c r="CKA132" s="3"/>
      <c r="CKB132" s="3"/>
      <c r="CKC132" s="3"/>
      <c r="CKD132" s="3"/>
      <c r="CKE132" s="3"/>
      <c r="CKF132" s="3"/>
      <c r="CKG132" s="3"/>
      <c r="CKH132" s="3"/>
      <c r="CKI132" s="3"/>
      <c r="CKJ132" s="3"/>
      <c r="CKK132" s="3"/>
      <c r="CKL132" s="3"/>
      <c r="CKM132" s="3"/>
      <c r="CKN132" s="3"/>
      <c r="CKO132" s="3"/>
      <c r="CKP132" s="3"/>
      <c r="CKQ132" s="3"/>
      <c r="CKR132" s="3"/>
      <c r="CKS132" s="3"/>
      <c r="CKT132" s="3"/>
      <c r="CKU132" s="3"/>
      <c r="CKV132" s="3"/>
      <c r="CKW132" s="3"/>
      <c r="CKX132" s="3"/>
      <c r="CKY132" s="3"/>
      <c r="CKZ132" s="3"/>
      <c r="CLA132" s="3"/>
      <c r="CLB132" s="3"/>
      <c r="CLC132" s="3"/>
      <c r="CLD132" s="3"/>
      <c r="CLE132" s="3"/>
      <c r="CLF132" s="3"/>
      <c r="CLG132" s="3"/>
      <c r="CLH132" s="3"/>
      <c r="CLI132" s="3"/>
      <c r="CLJ132" s="3"/>
      <c r="CLK132" s="3"/>
      <c r="CLL132" s="3"/>
      <c r="CLM132" s="3"/>
      <c r="CLN132" s="3"/>
      <c r="CLO132" s="3"/>
      <c r="CLP132" s="3"/>
      <c r="CLQ132" s="3"/>
      <c r="CLR132" s="3"/>
      <c r="CLS132" s="3"/>
      <c r="CLT132" s="3"/>
      <c r="CLU132" s="3"/>
      <c r="CLV132" s="3"/>
      <c r="CLW132" s="3"/>
      <c r="CLX132" s="3"/>
      <c r="CLY132" s="3"/>
      <c r="CLZ132" s="3"/>
      <c r="CMA132" s="3"/>
      <c r="CMB132" s="3"/>
      <c r="CMC132" s="3"/>
      <c r="CMD132" s="3"/>
      <c r="CME132" s="3"/>
      <c r="CMF132" s="3"/>
      <c r="CMG132" s="3"/>
      <c r="CMH132" s="3"/>
      <c r="CMI132" s="3"/>
      <c r="CMJ132" s="3"/>
      <c r="CMK132" s="3"/>
      <c r="CML132" s="3"/>
      <c r="CMM132" s="3"/>
      <c r="CMN132" s="3"/>
      <c r="CMO132" s="3"/>
      <c r="CMP132" s="3"/>
      <c r="CMQ132" s="3"/>
      <c r="CMR132" s="3"/>
      <c r="CMS132" s="3"/>
      <c r="CMT132" s="3"/>
      <c r="CMU132" s="3"/>
      <c r="CMV132" s="3"/>
      <c r="CMW132" s="3"/>
      <c r="CMX132" s="3"/>
      <c r="CMY132" s="3"/>
      <c r="CMZ132" s="3"/>
      <c r="CNA132" s="3"/>
      <c r="CNB132" s="3"/>
      <c r="CNC132" s="3"/>
      <c r="CND132" s="3"/>
      <c r="CNE132" s="3"/>
      <c r="CNF132" s="3"/>
      <c r="CNG132" s="3"/>
      <c r="CNH132" s="3"/>
      <c r="CNI132" s="3"/>
      <c r="CNJ132" s="3"/>
      <c r="CNK132" s="3"/>
      <c r="CNL132" s="3"/>
      <c r="CNM132" s="3"/>
      <c r="CNN132" s="3"/>
      <c r="CNO132" s="3"/>
      <c r="CNP132" s="3"/>
      <c r="CNQ132" s="3"/>
      <c r="CNR132" s="3"/>
      <c r="CNS132" s="3"/>
      <c r="CNT132" s="3"/>
      <c r="CNU132" s="3"/>
      <c r="CNV132" s="3"/>
      <c r="CNW132" s="3"/>
      <c r="CNX132" s="3"/>
      <c r="CNY132" s="3"/>
      <c r="CNZ132" s="3"/>
      <c r="COA132" s="3"/>
      <c r="COB132" s="3"/>
      <c r="COC132" s="3"/>
      <c r="COD132" s="3"/>
      <c r="COE132" s="3"/>
      <c r="COF132" s="3"/>
      <c r="COG132" s="3"/>
      <c r="COH132" s="3"/>
      <c r="COI132" s="3"/>
      <c r="COJ132" s="3"/>
      <c r="COK132" s="3"/>
      <c r="COL132" s="3"/>
      <c r="COM132" s="3"/>
      <c r="CON132" s="3"/>
      <c r="COO132" s="3"/>
      <c r="COP132" s="3"/>
      <c r="COQ132" s="3"/>
      <c r="COR132" s="3"/>
      <c r="COS132" s="3"/>
      <c r="COT132" s="3"/>
      <c r="COU132" s="3"/>
      <c r="COV132" s="3"/>
      <c r="COW132" s="3"/>
      <c r="COX132" s="3"/>
      <c r="COY132" s="3"/>
      <c r="COZ132" s="3"/>
      <c r="CPA132" s="3"/>
      <c r="CPB132" s="3"/>
      <c r="CPC132" s="3"/>
      <c r="CPD132" s="3"/>
      <c r="CPE132" s="3"/>
      <c r="CPF132" s="3"/>
      <c r="CPG132" s="3"/>
      <c r="CPH132" s="3"/>
      <c r="CPI132" s="3"/>
      <c r="CPJ132" s="3"/>
      <c r="CPK132" s="3"/>
      <c r="CPL132" s="3"/>
      <c r="CPM132" s="3"/>
      <c r="CPN132" s="3"/>
      <c r="CPO132" s="3"/>
      <c r="CPP132" s="3"/>
      <c r="CPQ132" s="3"/>
      <c r="CPR132" s="3"/>
      <c r="CPS132" s="3"/>
      <c r="CPT132" s="3"/>
      <c r="CPU132" s="3"/>
      <c r="CPV132" s="3"/>
      <c r="CPW132" s="3"/>
      <c r="CPX132" s="3"/>
      <c r="CPY132" s="3"/>
      <c r="CPZ132" s="3"/>
      <c r="CQA132" s="3"/>
      <c r="CQB132" s="3"/>
      <c r="CQC132" s="3"/>
      <c r="CQD132" s="3"/>
      <c r="CQE132" s="3"/>
      <c r="CQF132" s="3"/>
      <c r="CQG132" s="3"/>
      <c r="CQH132" s="3"/>
      <c r="CQI132" s="3"/>
      <c r="CQJ132" s="3"/>
      <c r="CQK132" s="3"/>
      <c r="CQL132" s="3"/>
      <c r="CQM132" s="3"/>
      <c r="CQN132" s="3"/>
      <c r="CQO132" s="3"/>
      <c r="CQP132" s="3"/>
      <c r="CQQ132" s="3"/>
      <c r="CQR132" s="3"/>
      <c r="CQS132" s="3"/>
      <c r="CQT132" s="3"/>
      <c r="CQU132" s="3"/>
      <c r="CQV132" s="3"/>
      <c r="CQW132" s="3"/>
      <c r="CQX132" s="3"/>
      <c r="CQY132" s="3"/>
      <c r="CQZ132" s="3"/>
      <c r="CRA132" s="3"/>
      <c r="CRB132" s="3"/>
      <c r="CRC132" s="3"/>
      <c r="CRD132" s="3"/>
      <c r="CRE132" s="3"/>
      <c r="CRF132" s="3"/>
      <c r="CRG132" s="3"/>
      <c r="CRH132" s="3"/>
      <c r="CRI132" s="3"/>
      <c r="CRJ132" s="3"/>
      <c r="CRK132" s="3"/>
      <c r="CRL132" s="3"/>
      <c r="CRM132" s="3"/>
      <c r="CRN132" s="3"/>
      <c r="CRO132" s="3"/>
      <c r="CRP132" s="3"/>
      <c r="CRQ132" s="3"/>
      <c r="CRR132" s="3"/>
      <c r="CRS132" s="3"/>
      <c r="CRT132" s="3"/>
      <c r="CRU132" s="3"/>
      <c r="CRV132" s="3"/>
      <c r="CRW132" s="3"/>
      <c r="CRX132" s="3"/>
      <c r="CRY132" s="3"/>
      <c r="CRZ132" s="3"/>
      <c r="CSA132" s="3"/>
      <c r="CSB132" s="3"/>
      <c r="CSC132" s="3"/>
      <c r="CSD132" s="3"/>
      <c r="CSE132" s="3"/>
      <c r="CSF132" s="3"/>
      <c r="CSG132" s="3"/>
      <c r="CSH132" s="3"/>
      <c r="CSI132" s="3"/>
      <c r="CSJ132" s="3"/>
      <c r="CSK132" s="3"/>
      <c r="CSL132" s="3"/>
      <c r="CSM132" s="3"/>
      <c r="CSN132" s="3"/>
      <c r="CSO132" s="3"/>
      <c r="CSP132" s="3"/>
      <c r="CSQ132" s="3"/>
      <c r="CSR132" s="3"/>
      <c r="CSS132" s="3"/>
      <c r="CST132" s="3"/>
      <c r="CSU132" s="3"/>
      <c r="CSV132" s="3"/>
      <c r="CSW132" s="3"/>
      <c r="CSX132" s="3"/>
      <c r="CSY132" s="3"/>
      <c r="CSZ132" s="3"/>
      <c r="CTA132" s="3"/>
      <c r="CTB132" s="3"/>
      <c r="CTC132" s="3"/>
      <c r="CTD132" s="3"/>
      <c r="CTE132" s="3"/>
      <c r="CTF132" s="3"/>
      <c r="CTG132" s="3"/>
      <c r="CTH132" s="3"/>
      <c r="CTI132" s="3"/>
      <c r="CTJ132" s="3"/>
      <c r="CTK132" s="3"/>
      <c r="CTL132" s="3"/>
      <c r="CTM132" s="3"/>
      <c r="CTN132" s="3"/>
      <c r="CTO132" s="3"/>
      <c r="CTP132" s="3"/>
      <c r="CTQ132" s="3"/>
      <c r="CTR132" s="3"/>
      <c r="CTS132" s="3"/>
      <c r="CTT132" s="3"/>
      <c r="CTU132" s="3"/>
      <c r="CTV132" s="3"/>
      <c r="CTW132" s="3"/>
      <c r="CTX132" s="3"/>
      <c r="CTY132" s="3"/>
      <c r="CTZ132" s="3"/>
      <c r="CUA132" s="3"/>
      <c r="CUB132" s="3"/>
      <c r="CUC132" s="3"/>
      <c r="CUD132" s="3"/>
      <c r="CUE132" s="3"/>
      <c r="CUF132" s="3"/>
      <c r="CUG132" s="3"/>
      <c r="CUH132" s="3"/>
      <c r="CUI132" s="3"/>
      <c r="CUJ132" s="3"/>
      <c r="CUK132" s="3"/>
      <c r="CUL132" s="3"/>
      <c r="CUM132" s="3"/>
      <c r="CUN132" s="3"/>
      <c r="CUO132" s="3"/>
      <c r="CUP132" s="3"/>
      <c r="CUQ132" s="3"/>
      <c r="CUR132" s="3"/>
      <c r="CUS132" s="3"/>
      <c r="CUT132" s="3"/>
      <c r="CUU132" s="3"/>
      <c r="CUV132" s="3"/>
      <c r="CUW132" s="3"/>
      <c r="CUX132" s="3"/>
      <c r="CUY132" s="3"/>
      <c r="CUZ132" s="3"/>
      <c r="CVA132" s="3"/>
      <c r="CVB132" s="3"/>
      <c r="CVC132" s="3"/>
      <c r="CVD132" s="3"/>
      <c r="CVE132" s="3"/>
      <c r="CVF132" s="3"/>
      <c r="CVG132" s="3"/>
      <c r="CVH132" s="3"/>
      <c r="CVI132" s="3"/>
      <c r="CVJ132" s="3"/>
      <c r="CVK132" s="3"/>
      <c r="CVL132" s="3"/>
      <c r="CVM132" s="3"/>
      <c r="CVN132" s="3"/>
      <c r="CVO132" s="3"/>
      <c r="CVP132" s="3"/>
      <c r="CVQ132" s="3"/>
      <c r="CVR132" s="3"/>
      <c r="CVS132" s="3"/>
      <c r="CVT132" s="3"/>
      <c r="CVU132" s="3"/>
      <c r="CVV132" s="3"/>
      <c r="CVW132" s="3"/>
      <c r="CVX132" s="3"/>
      <c r="CVY132" s="3"/>
      <c r="CVZ132" s="3"/>
      <c r="CWA132" s="3"/>
      <c r="CWB132" s="3"/>
      <c r="CWC132" s="3"/>
      <c r="CWD132" s="3"/>
      <c r="CWE132" s="3"/>
      <c r="CWF132" s="3"/>
      <c r="CWG132" s="3"/>
      <c r="CWH132" s="3"/>
      <c r="CWI132" s="3"/>
      <c r="CWJ132" s="3"/>
      <c r="CWK132" s="3"/>
      <c r="CWL132" s="3"/>
      <c r="CWM132" s="3"/>
      <c r="CWN132" s="3"/>
      <c r="CWO132" s="3"/>
      <c r="CWP132" s="3"/>
      <c r="CWQ132" s="3"/>
      <c r="CWR132" s="3"/>
      <c r="CWS132" s="3"/>
      <c r="CWT132" s="3"/>
      <c r="CWU132" s="3"/>
      <c r="CWV132" s="3"/>
      <c r="CWW132" s="3"/>
      <c r="CWX132" s="3"/>
      <c r="CWY132" s="3"/>
      <c r="CWZ132" s="3"/>
      <c r="CXA132" s="3"/>
      <c r="CXB132" s="3"/>
      <c r="CXC132" s="3"/>
      <c r="CXD132" s="3"/>
      <c r="CXE132" s="3"/>
      <c r="CXF132" s="3"/>
      <c r="CXG132" s="3"/>
      <c r="CXH132" s="3"/>
      <c r="CXI132" s="3"/>
      <c r="CXJ132" s="3"/>
      <c r="CXK132" s="3"/>
      <c r="CXL132" s="3"/>
      <c r="CXM132" s="3"/>
      <c r="CXN132" s="3"/>
      <c r="CXO132" s="3"/>
      <c r="CXP132" s="3"/>
      <c r="CXQ132" s="3"/>
      <c r="CXR132" s="3"/>
      <c r="CXS132" s="3"/>
      <c r="CXT132" s="3"/>
      <c r="CXU132" s="3"/>
      <c r="CXV132" s="3"/>
      <c r="CXW132" s="3"/>
      <c r="CXX132" s="3"/>
      <c r="CXY132" s="3"/>
      <c r="CXZ132" s="3"/>
      <c r="CYA132" s="3"/>
      <c r="CYB132" s="3"/>
      <c r="CYC132" s="3"/>
      <c r="CYD132" s="3"/>
      <c r="CYE132" s="3"/>
      <c r="CYF132" s="3"/>
      <c r="CYG132" s="3"/>
      <c r="CYH132" s="3"/>
      <c r="CYI132" s="3"/>
      <c r="CYJ132" s="3"/>
      <c r="CYK132" s="3"/>
      <c r="CYL132" s="3"/>
      <c r="CYM132" s="3"/>
      <c r="CYN132" s="3"/>
      <c r="CYO132" s="3"/>
      <c r="CYP132" s="3"/>
      <c r="CYQ132" s="3"/>
      <c r="CYR132" s="3"/>
      <c r="CYS132" s="3"/>
      <c r="CYT132" s="3"/>
      <c r="CYU132" s="3"/>
      <c r="CYV132" s="3"/>
      <c r="CYW132" s="3"/>
      <c r="CYX132" s="3"/>
      <c r="CYY132" s="3"/>
      <c r="CYZ132" s="3"/>
      <c r="CZA132" s="3"/>
      <c r="CZB132" s="3"/>
      <c r="CZC132" s="3"/>
      <c r="CZD132" s="3"/>
      <c r="CZE132" s="3"/>
      <c r="CZF132" s="3"/>
      <c r="CZG132" s="3"/>
      <c r="CZH132" s="3"/>
      <c r="CZI132" s="3"/>
      <c r="CZJ132" s="3"/>
      <c r="CZK132" s="3"/>
      <c r="CZL132" s="3"/>
      <c r="CZM132" s="3"/>
      <c r="CZN132" s="3"/>
      <c r="CZO132" s="3"/>
      <c r="CZP132" s="3"/>
      <c r="CZQ132" s="3"/>
      <c r="CZR132" s="3"/>
      <c r="CZS132" s="3"/>
      <c r="CZT132" s="3"/>
      <c r="CZU132" s="3"/>
      <c r="CZV132" s="3"/>
      <c r="CZW132" s="3"/>
      <c r="CZX132" s="3"/>
      <c r="CZY132" s="3"/>
      <c r="CZZ132" s="3"/>
      <c r="DAA132" s="3"/>
      <c r="DAB132" s="3"/>
      <c r="DAC132" s="3"/>
      <c r="DAD132" s="3"/>
      <c r="DAE132" s="3"/>
      <c r="DAF132" s="3"/>
      <c r="DAG132" s="3"/>
      <c r="DAH132" s="3"/>
      <c r="DAI132" s="3"/>
      <c r="DAJ132" s="3"/>
      <c r="DAK132" s="3"/>
      <c r="DAL132" s="3"/>
      <c r="DAM132" s="3"/>
      <c r="DAN132" s="3"/>
      <c r="DAO132" s="3"/>
      <c r="DAP132" s="3"/>
      <c r="DAQ132" s="3"/>
      <c r="DAR132" s="3"/>
      <c r="DAS132" s="3"/>
      <c r="DAT132" s="3"/>
      <c r="DAU132" s="3"/>
      <c r="DAV132" s="3"/>
      <c r="DAW132" s="3"/>
      <c r="DAX132" s="3"/>
      <c r="DAY132" s="3"/>
      <c r="DAZ132" s="3"/>
      <c r="DBA132" s="3"/>
      <c r="DBB132" s="3"/>
      <c r="DBC132" s="3"/>
      <c r="DBD132" s="3"/>
      <c r="DBE132" s="3"/>
      <c r="DBF132" s="3"/>
      <c r="DBG132" s="3"/>
      <c r="DBH132" s="3"/>
      <c r="DBI132" s="3"/>
      <c r="DBJ132" s="3"/>
      <c r="DBK132" s="3"/>
      <c r="DBL132" s="3"/>
      <c r="DBM132" s="3"/>
      <c r="DBN132" s="3"/>
      <c r="DBO132" s="3"/>
      <c r="DBP132" s="3"/>
      <c r="DBQ132" s="3"/>
      <c r="DBR132" s="3"/>
      <c r="DBS132" s="3"/>
      <c r="DBT132" s="3"/>
      <c r="DBU132" s="3"/>
      <c r="DBV132" s="3"/>
      <c r="DBW132" s="3"/>
      <c r="DBX132" s="3"/>
      <c r="DBY132" s="3"/>
      <c r="DBZ132" s="3"/>
      <c r="DCA132" s="3"/>
      <c r="DCB132" s="3"/>
      <c r="DCC132" s="3"/>
      <c r="DCD132" s="3"/>
      <c r="DCE132" s="3"/>
      <c r="DCF132" s="3"/>
      <c r="DCG132" s="3"/>
      <c r="DCH132" s="3"/>
      <c r="DCI132" s="3"/>
      <c r="DCJ132" s="3"/>
      <c r="DCK132" s="3"/>
      <c r="DCL132" s="3"/>
      <c r="DCM132" s="3"/>
      <c r="DCN132" s="3"/>
      <c r="DCO132" s="3"/>
      <c r="DCP132" s="3"/>
      <c r="DCQ132" s="3"/>
      <c r="DCR132" s="3"/>
      <c r="DCS132" s="3"/>
      <c r="DCT132" s="3"/>
      <c r="DCU132" s="3"/>
      <c r="DCV132" s="3"/>
      <c r="DCW132" s="3"/>
      <c r="DCX132" s="3"/>
      <c r="DCY132" s="3"/>
      <c r="DCZ132" s="3"/>
      <c r="DDA132" s="3"/>
      <c r="DDB132" s="3"/>
      <c r="DDC132" s="3"/>
      <c r="DDD132" s="3"/>
      <c r="DDE132" s="3"/>
      <c r="DDF132" s="3"/>
      <c r="DDG132" s="3"/>
      <c r="DDH132" s="3"/>
      <c r="DDI132" s="3"/>
      <c r="DDJ132" s="3"/>
      <c r="DDK132" s="3"/>
      <c r="DDL132" s="3"/>
      <c r="DDM132" s="3"/>
      <c r="DDN132" s="3"/>
      <c r="DDO132" s="3"/>
      <c r="DDP132" s="3"/>
      <c r="DDQ132" s="3"/>
      <c r="DDR132" s="3"/>
      <c r="DDS132" s="3"/>
      <c r="DDT132" s="3"/>
      <c r="DDU132" s="3"/>
      <c r="DDV132" s="3"/>
      <c r="DDW132" s="3"/>
      <c r="DDX132" s="3"/>
      <c r="DDY132" s="3"/>
      <c r="DDZ132" s="3"/>
      <c r="DEA132" s="3"/>
      <c r="DEB132" s="3"/>
      <c r="DEC132" s="3"/>
      <c r="DED132" s="3"/>
      <c r="DEE132" s="3"/>
      <c r="DEF132" s="3"/>
      <c r="DEG132" s="3"/>
      <c r="DEH132" s="3"/>
      <c r="DEI132" s="3"/>
      <c r="DEJ132" s="3"/>
      <c r="DEK132" s="3"/>
      <c r="DEL132" s="3"/>
      <c r="DEM132" s="3"/>
      <c r="DEN132" s="3"/>
      <c r="DEO132" s="3"/>
      <c r="DEP132" s="3"/>
      <c r="DEQ132" s="3"/>
      <c r="DER132" s="3"/>
      <c r="DES132" s="3"/>
      <c r="DET132" s="3"/>
      <c r="DEU132" s="3"/>
      <c r="DEV132" s="3"/>
      <c r="DEW132" s="3"/>
      <c r="DEX132" s="3"/>
      <c r="DEY132" s="3"/>
      <c r="DEZ132" s="3"/>
      <c r="DFA132" s="3"/>
      <c r="DFB132" s="3"/>
      <c r="DFC132" s="3"/>
      <c r="DFD132" s="3"/>
      <c r="DFE132" s="3"/>
      <c r="DFF132" s="3"/>
      <c r="DFG132" s="3"/>
      <c r="DFH132" s="3"/>
      <c r="DFI132" s="3"/>
      <c r="DFJ132" s="3"/>
      <c r="DFK132" s="3"/>
      <c r="DFL132" s="3"/>
      <c r="DFM132" s="3"/>
      <c r="DFN132" s="3"/>
      <c r="DFO132" s="3"/>
      <c r="DFP132" s="3"/>
      <c r="DFQ132" s="3"/>
      <c r="DFR132" s="3"/>
      <c r="DFS132" s="3"/>
      <c r="DFT132" s="3"/>
      <c r="DFU132" s="3"/>
      <c r="DFV132" s="3"/>
      <c r="DFW132" s="3"/>
      <c r="DFX132" s="3"/>
      <c r="DFY132" s="3"/>
      <c r="DFZ132" s="3"/>
      <c r="DGA132" s="3"/>
      <c r="DGB132" s="3"/>
      <c r="DGC132" s="3"/>
      <c r="DGD132" s="3"/>
      <c r="DGE132" s="3"/>
      <c r="DGF132" s="3"/>
      <c r="DGG132" s="3"/>
      <c r="DGH132" s="3"/>
      <c r="DGI132" s="3"/>
      <c r="DGJ132" s="3"/>
      <c r="DGK132" s="3"/>
      <c r="DGL132" s="3"/>
      <c r="DGM132" s="3"/>
      <c r="DGN132" s="3"/>
      <c r="DGO132" s="3"/>
      <c r="DGP132" s="3"/>
      <c r="DGQ132" s="3"/>
      <c r="DGR132" s="3"/>
      <c r="DGS132" s="3"/>
      <c r="DGT132" s="3"/>
      <c r="DGU132" s="3"/>
      <c r="DGV132" s="3"/>
      <c r="DGW132" s="3"/>
      <c r="DGX132" s="3"/>
      <c r="DGY132" s="3"/>
      <c r="DGZ132" s="3"/>
      <c r="DHA132" s="3"/>
      <c r="DHB132" s="3"/>
      <c r="DHC132" s="3"/>
      <c r="DHD132" s="3"/>
      <c r="DHE132" s="3"/>
      <c r="DHF132" s="3"/>
      <c r="DHG132" s="3"/>
      <c r="DHH132" s="3"/>
      <c r="DHI132" s="3"/>
      <c r="DHJ132" s="3"/>
      <c r="DHK132" s="3"/>
      <c r="DHL132" s="3"/>
      <c r="DHM132" s="3"/>
      <c r="DHN132" s="3"/>
      <c r="DHO132" s="3"/>
      <c r="DHP132" s="3"/>
      <c r="DHQ132" s="3"/>
      <c r="DHR132" s="3"/>
      <c r="DHS132" s="3"/>
      <c r="DHT132" s="3"/>
      <c r="DHU132" s="3"/>
      <c r="DHV132" s="3"/>
      <c r="DHW132" s="3"/>
      <c r="DHX132" s="3"/>
      <c r="DHY132" s="3"/>
      <c r="DHZ132" s="3"/>
      <c r="DIA132" s="3"/>
      <c r="DIB132" s="3"/>
      <c r="DIC132" s="3"/>
      <c r="DID132" s="3"/>
      <c r="DIE132" s="3"/>
      <c r="DIF132" s="3"/>
      <c r="DIG132" s="3"/>
      <c r="DIH132" s="3"/>
      <c r="DII132" s="3"/>
      <c r="DIJ132" s="3"/>
      <c r="DIK132" s="3"/>
      <c r="DIL132" s="3"/>
      <c r="DIM132" s="3"/>
      <c r="DIN132" s="3"/>
      <c r="DIO132" s="3"/>
      <c r="DIP132" s="3"/>
      <c r="DIQ132" s="3"/>
      <c r="DIR132" s="3"/>
      <c r="DIS132" s="3"/>
      <c r="DIT132" s="3"/>
      <c r="DIU132" s="3"/>
      <c r="DIV132" s="3"/>
      <c r="DIW132" s="3"/>
      <c r="DIX132" s="3"/>
      <c r="DIY132" s="3"/>
      <c r="DIZ132" s="3"/>
      <c r="DJA132" s="3"/>
      <c r="DJB132" s="3"/>
      <c r="DJC132" s="3"/>
      <c r="DJD132" s="3"/>
      <c r="DJE132" s="3"/>
      <c r="DJF132" s="3"/>
      <c r="DJG132" s="3"/>
      <c r="DJH132" s="3"/>
      <c r="DJI132" s="3"/>
      <c r="DJJ132" s="3"/>
      <c r="DJK132" s="3"/>
      <c r="DJL132" s="3"/>
      <c r="DJM132" s="3"/>
      <c r="DJN132" s="3"/>
      <c r="DJO132" s="3"/>
      <c r="DJP132" s="3"/>
      <c r="DJQ132" s="3"/>
      <c r="DJR132" s="3"/>
      <c r="DJS132" s="3"/>
      <c r="DJT132" s="3"/>
      <c r="DJU132" s="3"/>
      <c r="DJV132" s="3"/>
      <c r="DJW132" s="3"/>
      <c r="DJX132" s="3"/>
      <c r="DJY132" s="3"/>
      <c r="DJZ132" s="3"/>
      <c r="DKA132" s="3"/>
      <c r="DKB132" s="3"/>
      <c r="DKC132" s="3"/>
      <c r="DKD132" s="3"/>
      <c r="DKE132" s="3"/>
      <c r="DKF132" s="3"/>
      <c r="DKG132" s="3"/>
      <c r="DKH132" s="3"/>
      <c r="DKI132" s="3"/>
      <c r="DKJ132" s="3"/>
      <c r="DKK132" s="3"/>
      <c r="DKL132" s="3"/>
      <c r="DKM132" s="3"/>
      <c r="DKN132" s="3"/>
      <c r="DKO132" s="3"/>
      <c r="DKP132" s="3"/>
      <c r="DKQ132" s="3"/>
      <c r="DKR132" s="3"/>
      <c r="DKS132" s="3"/>
      <c r="DKT132" s="3"/>
      <c r="DKU132" s="3"/>
      <c r="DKV132" s="3"/>
      <c r="DKW132" s="3"/>
      <c r="DKX132" s="3"/>
      <c r="DKY132" s="3"/>
      <c r="DKZ132" s="3"/>
      <c r="DLA132" s="3"/>
      <c r="DLB132" s="3"/>
      <c r="DLC132" s="3"/>
      <c r="DLD132" s="3"/>
      <c r="DLE132" s="3"/>
      <c r="DLF132" s="3"/>
      <c r="DLG132" s="3"/>
      <c r="DLH132" s="3"/>
      <c r="DLI132" s="3"/>
      <c r="DLJ132" s="3"/>
      <c r="DLK132" s="3"/>
      <c r="DLL132" s="3"/>
      <c r="DLM132" s="3"/>
      <c r="DLN132" s="3"/>
      <c r="DLO132" s="3"/>
      <c r="DLP132" s="3"/>
      <c r="DLQ132" s="3"/>
      <c r="DLR132" s="3"/>
      <c r="DLS132" s="3"/>
      <c r="DLT132" s="3"/>
      <c r="DLU132" s="3"/>
      <c r="DLV132" s="3"/>
      <c r="DLW132" s="3"/>
      <c r="DLX132" s="3"/>
      <c r="DLY132" s="3"/>
      <c r="DLZ132" s="3"/>
      <c r="DMA132" s="3"/>
      <c r="DMB132" s="3"/>
      <c r="DMC132" s="3"/>
      <c r="DMD132" s="3"/>
      <c r="DME132" s="3"/>
      <c r="DMF132" s="3"/>
      <c r="DMG132" s="3"/>
      <c r="DMH132" s="3"/>
      <c r="DMI132" s="3"/>
      <c r="DMJ132" s="3"/>
      <c r="DMK132" s="3"/>
      <c r="DML132" s="3"/>
      <c r="DMM132" s="3"/>
      <c r="DMN132" s="3"/>
      <c r="DMO132" s="3"/>
      <c r="DMP132" s="3"/>
      <c r="DMQ132" s="3"/>
      <c r="DMR132" s="3"/>
      <c r="DMS132" s="3"/>
      <c r="DMT132" s="3"/>
      <c r="DMU132" s="3"/>
      <c r="DMV132" s="3"/>
      <c r="DMW132" s="3"/>
      <c r="DMX132" s="3"/>
      <c r="DMY132" s="3"/>
      <c r="DMZ132" s="3"/>
      <c r="DNA132" s="3"/>
      <c r="DNB132" s="3"/>
      <c r="DNC132" s="3"/>
      <c r="DND132" s="3"/>
      <c r="DNE132" s="3"/>
      <c r="DNF132" s="3"/>
      <c r="DNG132" s="3"/>
      <c r="DNH132" s="3"/>
      <c r="DNI132" s="3"/>
      <c r="DNJ132" s="3"/>
      <c r="DNK132" s="3"/>
      <c r="DNL132" s="3"/>
      <c r="DNM132" s="3"/>
      <c r="DNN132" s="3"/>
      <c r="DNO132" s="3"/>
      <c r="DNP132" s="3"/>
      <c r="DNQ132" s="3"/>
      <c r="DNR132" s="3"/>
      <c r="DNS132" s="3"/>
      <c r="DNT132" s="3"/>
      <c r="DNU132" s="3"/>
      <c r="DNV132" s="3"/>
      <c r="DNW132" s="3"/>
      <c r="DNX132" s="3"/>
      <c r="DNY132" s="3"/>
      <c r="DNZ132" s="3"/>
      <c r="DOA132" s="3"/>
      <c r="DOB132" s="3"/>
      <c r="DOC132" s="3"/>
      <c r="DOD132" s="3"/>
      <c r="DOE132" s="3"/>
      <c r="DOF132" s="3"/>
      <c r="DOG132" s="3"/>
      <c r="DOH132" s="3"/>
      <c r="DOI132" s="3"/>
      <c r="DOJ132" s="3"/>
      <c r="DOK132" s="3"/>
      <c r="DOL132" s="3"/>
      <c r="DOM132" s="3"/>
      <c r="DON132" s="3"/>
      <c r="DOO132" s="3"/>
      <c r="DOP132" s="3"/>
      <c r="DOQ132" s="3"/>
      <c r="DOR132" s="3"/>
      <c r="DOS132" s="3"/>
      <c r="DOT132" s="3"/>
      <c r="DOU132" s="3"/>
      <c r="DOV132" s="3"/>
      <c r="DOW132" s="3"/>
      <c r="DOX132" s="3"/>
      <c r="DOY132" s="3"/>
      <c r="DOZ132" s="3"/>
      <c r="DPA132" s="3"/>
      <c r="DPB132" s="3"/>
      <c r="DPC132" s="3"/>
      <c r="DPD132" s="3"/>
      <c r="DPE132" s="3"/>
      <c r="DPF132" s="3"/>
      <c r="DPG132" s="3"/>
      <c r="DPH132" s="3"/>
      <c r="DPI132" s="3"/>
      <c r="DPJ132" s="3"/>
      <c r="DPK132" s="3"/>
      <c r="DPL132" s="3"/>
      <c r="DPM132" s="3"/>
      <c r="DPN132" s="3"/>
      <c r="DPO132" s="3"/>
      <c r="DPP132" s="3"/>
      <c r="DPQ132" s="3"/>
      <c r="DPR132" s="3"/>
      <c r="DPS132" s="3"/>
      <c r="DPT132" s="3"/>
      <c r="DPU132" s="3"/>
      <c r="DPV132" s="3"/>
      <c r="DPW132" s="3"/>
      <c r="DPX132" s="3"/>
      <c r="DPY132" s="3"/>
      <c r="DPZ132" s="3"/>
      <c r="DQA132" s="3"/>
      <c r="DQB132" s="3"/>
      <c r="DQC132" s="3"/>
      <c r="DQD132" s="3"/>
      <c r="DQE132" s="3"/>
      <c r="DQF132" s="3"/>
      <c r="DQG132" s="3"/>
      <c r="DQH132" s="3"/>
      <c r="DQI132" s="3"/>
      <c r="DQJ132" s="3"/>
      <c r="DQK132" s="3"/>
      <c r="DQL132" s="3"/>
      <c r="DQM132" s="3"/>
      <c r="DQN132" s="3"/>
      <c r="DQO132" s="3"/>
      <c r="DQP132" s="3"/>
      <c r="DQQ132" s="3"/>
      <c r="DQR132" s="3"/>
      <c r="DQS132" s="3"/>
      <c r="DQT132" s="3"/>
      <c r="DQU132" s="3"/>
      <c r="DQV132" s="3"/>
      <c r="DQW132" s="3"/>
      <c r="DQX132" s="3"/>
      <c r="DQY132" s="3"/>
      <c r="DQZ132" s="3"/>
      <c r="DRA132" s="3"/>
      <c r="DRB132" s="3"/>
      <c r="DRC132" s="3"/>
      <c r="DRD132" s="3"/>
      <c r="DRE132" s="3"/>
      <c r="DRF132" s="3"/>
      <c r="DRG132" s="3"/>
      <c r="DRH132" s="3"/>
      <c r="DRI132" s="3"/>
      <c r="DRJ132" s="3"/>
      <c r="DRK132" s="3"/>
      <c r="DRL132" s="3"/>
      <c r="DRM132" s="3"/>
      <c r="DRN132" s="3"/>
      <c r="DRO132" s="3"/>
      <c r="DRP132" s="3"/>
      <c r="DRQ132" s="3"/>
      <c r="DRR132" s="3"/>
      <c r="DRS132" s="3"/>
      <c r="DRT132" s="3"/>
      <c r="DRU132" s="3"/>
      <c r="DRV132" s="3"/>
      <c r="DRW132" s="3"/>
      <c r="DRX132" s="3"/>
      <c r="DRY132" s="3"/>
      <c r="DRZ132" s="3"/>
      <c r="DSA132" s="3"/>
      <c r="DSB132" s="3"/>
      <c r="DSC132" s="3"/>
      <c r="DSD132" s="3"/>
      <c r="DSE132" s="3"/>
      <c r="DSF132" s="3"/>
      <c r="DSG132" s="3"/>
      <c r="DSH132" s="3"/>
      <c r="DSI132" s="3"/>
      <c r="DSJ132" s="3"/>
      <c r="DSK132" s="3"/>
      <c r="DSL132" s="3"/>
      <c r="DSM132" s="3"/>
      <c r="DSN132" s="3"/>
      <c r="DSO132" s="3"/>
      <c r="DSP132" s="3"/>
      <c r="DSQ132" s="3"/>
      <c r="DSR132" s="3"/>
      <c r="DSS132" s="3"/>
      <c r="DST132" s="3"/>
      <c r="DSU132" s="3"/>
      <c r="DSV132" s="3"/>
      <c r="DSW132" s="3"/>
      <c r="DSX132" s="3"/>
      <c r="DSY132" s="3"/>
      <c r="DSZ132" s="3"/>
      <c r="DTA132" s="3"/>
      <c r="DTB132" s="3"/>
      <c r="DTC132" s="3"/>
      <c r="DTD132" s="3"/>
      <c r="DTE132" s="3"/>
      <c r="DTF132" s="3"/>
      <c r="DTG132" s="3"/>
      <c r="DTH132" s="3"/>
      <c r="DTI132" s="3"/>
      <c r="DTJ132" s="3"/>
      <c r="DTK132" s="3"/>
      <c r="DTL132" s="3"/>
      <c r="DTM132" s="3"/>
      <c r="DTN132" s="3"/>
      <c r="DTO132" s="3"/>
      <c r="DTP132" s="3"/>
      <c r="DTQ132" s="3"/>
      <c r="DTR132" s="3"/>
      <c r="DTS132" s="3"/>
      <c r="DTT132" s="3"/>
      <c r="DTU132" s="3"/>
      <c r="DTV132" s="3"/>
      <c r="DTW132" s="3"/>
      <c r="DTX132" s="3"/>
      <c r="DTY132" s="3"/>
      <c r="DTZ132" s="3"/>
      <c r="DUA132" s="3"/>
      <c r="DUB132" s="3"/>
      <c r="DUC132" s="3"/>
      <c r="DUD132" s="3"/>
      <c r="DUE132" s="3"/>
      <c r="DUF132" s="3"/>
      <c r="DUG132" s="3"/>
      <c r="DUH132" s="3"/>
      <c r="DUI132" s="3"/>
      <c r="DUJ132" s="3"/>
      <c r="DUK132" s="3"/>
      <c r="DUL132" s="3"/>
      <c r="DUM132" s="3"/>
      <c r="DUN132" s="3"/>
      <c r="DUO132" s="3"/>
      <c r="DUP132" s="3"/>
      <c r="DUQ132" s="3"/>
      <c r="DUR132" s="3"/>
      <c r="DUS132" s="3"/>
      <c r="DUT132" s="3"/>
      <c r="DUU132" s="3"/>
      <c r="DUV132" s="3"/>
      <c r="DUW132" s="3"/>
      <c r="DUX132" s="3"/>
      <c r="DUY132" s="3"/>
      <c r="DUZ132" s="3"/>
      <c r="DVA132" s="3"/>
      <c r="DVB132" s="3"/>
      <c r="DVC132" s="3"/>
      <c r="DVD132" s="3"/>
      <c r="DVE132" s="3"/>
      <c r="DVF132" s="3"/>
      <c r="DVG132" s="3"/>
      <c r="DVH132" s="3"/>
      <c r="DVI132" s="3"/>
      <c r="DVJ132" s="3"/>
      <c r="DVK132" s="3"/>
      <c r="DVL132" s="3"/>
      <c r="DVM132" s="3"/>
      <c r="DVN132" s="3"/>
      <c r="DVO132" s="3"/>
      <c r="DVP132" s="3"/>
      <c r="DVQ132" s="3"/>
      <c r="DVR132" s="3"/>
      <c r="DVS132" s="3"/>
      <c r="DVT132" s="3"/>
      <c r="DVU132" s="3"/>
      <c r="DVV132" s="3"/>
      <c r="DVW132" s="3"/>
      <c r="DVX132" s="3"/>
      <c r="DVY132" s="3"/>
      <c r="DVZ132" s="3"/>
      <c r="DWA132" s="3"/>
      <c r="DWB132" s="3"/>
      <c r="DWC132" s="3"/>
      <c r="DWD132" s="3"/>
      <c r="DWE132" s="3"/>
      <c r="DWF132" s="3"/>
      <c r="DWG132" s="3"/>
      <c r="DWH132" s="3"/>
      <c r="DWI132" s="3"/>
      <c r="DWJ132" s="3"/>
      <c r="DWK132" s="3"/>
      <c r="DWL132" s="3"/>
      <c r="DWM132" s="3"/>
      <c r="DWN132" s="3"/>
      <c r="DWO132" s="3"/>
      <c r="DWP132" s="3"/>
      <c r="DWQ132" s="3"/>
      <c r="DWR132" s="3"/>
      <c r="DWS132" s="3"/>
      <c r="DWT132" s="3"/>
      <c r="DWU132" s="3"/>
      <c r="DWV132" s="3"/>
      <c r="DWW132" s="3"/>
      <c r="DWX132" s="3"/>
      <c r="DWY132" s="3"/>
      <c r="DWZ132" s="3"/>
      <c r="DXA132" s="3"/>
      <c r="DXB132" s="3"/>
      <c r="DXC132" s="3"/>
      <c r="DXD132" s="3"/>
      <c r="DXE132" s="3"/>
      <c r="DXF132" s="3"/>
      <c r="DXG132" s="3"/>
      <c r="DXH132" s="3"/>
      <c r="DXI132" s="3"/>
      <c r="DXJ132" s="3"/>
      <c r="DXK132" s="3"/>
      <c r="DXL132" s="3"/>
      <c r="DXM132" s="3"/>
      <c r="DXN132" s="3"/>
      <c r="DXO132" s="3"/>
      <c r="DXP132" s="3"/>
      <c r="DXQ132" s="3"/>
      <c r="DXR132" s="3"/>
      <c r="DXS132" s="3"/>
      <c r="DXT132" s="3"/>
      <c r="DXU132" s="3"/>
      <c r="DXV132" s="3"/>
      <c r="DXW132" s="3"/>
      <c r="DXX132" s="3"/>
      <c r="DXY132" s="3"/>
      <c r="DXZ132" s="3"/>
      <c r="DYA132" s="3"/>
      <c r="DYB132" s="3"/>
      <c r="DYC132" s="3"/>
      <c r="DYD132" s="3"/>
      <c r="DYE132" s="3"/>
      <c r="DYF132" s="3"/>
      <c r="DYG132" s="3"/>
      <c r="DYH132" s="3"/>
      <c r="DYI132" s="3"/>
      <c r="DYJ132" s="3"/>
      <c r="DYK132" s="3"/>
      <c r="DYL132" s="3"/>
      <c r="DYM132" s="3"/>
      <c r="DYN132" s="3"/>
      <c r="DYO132" s="3"/>
      <c r="DYP132" s="3"/>
      <c r="DYQ132" s="3"/>
      <c r="DYR132" s="3"/>
      <c r="DYS132" s="3"/>
      <c r="DYT132" s="3"/>
      <c r="DYU132" s="3"/>
      <c r="DYV132" s="3"/>
      <c r="DYW132" s="3"/>
      <c r="DYX132" s="3"/>
      <c r="DYY132" s="3"/>
      <c r="DYZ132" s="3"/>
      <c r="DZA132" s="3"/>
      <c r="DZB132" s="3"/>
      <c r="DZC132" s="3"/>
      <c r="DZD132" s="3"/>
      <c r="DZE132" s="3"/>
      <c r="DZF132" s="3"/>
      <c r="DZG132" s="3"/>
      <c r="DZH132" s="3"/>
      <c r="DZI132" s="3"/>
      <c r="DZJ132" s="3"/>
      <c r="DZK132" s="3"/>
      <c r="DZL132" s="3"/>
      <c r="DZM132" s="3"/>
      <c r="DZN132" s="3"/>
      <c r="DZO132" s="3"/>
      <c r="DZP132" s="3"/>
      <c r="DZQ132" s="3"/>
      <c r="DZR132" s="3"/>
      <c r="DZS132" s="3"/>
      <c r="DZT132" s="3"/>
      <c r="DZU132" s="3"/>
      <c r="DZV132" s="3"/>
      <c r="DZW132" s="3"/>
      <c r="DZX132" s="3"/>
      <c r="DZY132" s="3"/>
      <c r="DZZ132" s="3"/>
      <c r="EAA132" s="3"/>
      <c r="EAB132" s="3"/>
      <c r="EAC132" s="3"/>
      <c r="EAD132" s="3"/>
      <c r="EAE132" s="3"/>
      <c r="EAF132" s="3"/>
      <c r="EAG132" s="3"/>
      <c r="EAH132" s="3"/>
      <c r="EAI132" s="3"/>
      <c r="EAJ132" s="3"/>
      <c r="EAK132" s="3"/>
      <c r="EAL132" s="3"/>
      <c r="EAM132" s="3"/>
      <c r="EAN132" s="3"/>
      <c r="EAO132" s="3"/>
      <c r="EAP132" s="3"/>
      <c r="EAQ132" s="3"/>
      <c r="EAR132" s="3"/>
      <c r="EAS132" s="3"/>
      <c r="EAT132" s="3"/>
      <c r="EAU132" s="3"/>
      <c r="EAV132" s="3"/>
      <c r="EAW132" s="3"/>
      <c r="EAX132" s="3"/>
      <c r="EAY132" s="3"/>
      <c r="EAZ132" s="3"/>
      <c r="EBA132" s="3"/>
      <c r="EBB132" s="3"/>
      <c r="EBC132" s="3"/>
      <c r="EBD132" s="3"/>
      <c r="EBE132" s="3"/>
      <c r="EBF132" s="3"/>
      <c r="EBG132" s="3"/>
      <c r="EBH132" s="3"/>
      <c r="EBI132" s="3"/>
      <c r="EBJ132" s="3"/>
      <c r="EBK132" s="3"/>
      <c r="EBL132" s="3"/>
      <c r="EBM132" s="3"/>
      <c r="EBN132" s="3"/>
      <c r="EBO132" s="3"/>
      <c r="EBP132" s="3"/>
      <c r="EBQ132" s="3"/>
      <c r="EBR132" s="3"/>
      <c r="EBS132" s="3"/>
      <c r="EBT132" s="3"/>
      <c r="EBU132" s="3"/>
      <c r="EBV132" s="3"/>
      <c r="EBW132" s="3"/>
      <c r="EBX132" s="3"/>
      <c r="EBY132" s="3"/>
      <c r="EBZ132" s="3"/>
      <c r="ECA132" s="3"/>
      <c r="ECB132" s="3"/>
      <c r="ECC132" s="3"/>
      <c r="ECD132" s="3"/>
      <c r="ECE132" s="3"/>
      <c r="ECF132" s="3"/>
      <c r="ECG132" s="3"/>
      <c r="ECH132" s="3"/>
      <c r="ECI132" s="3"/>
      <c r="ECJ132" s="3"/>
      <c r="ECK132" s="3"/>
      <c r="ECL132" s="3"/>
      <c r="ECM132" s="3"/>
      <c r="ECN132" s="3"/>
      <c r="ECO132" s="3"/>
      <c r="ECP132" s="3"/>
      <c r="ECQ132" s="3"/>
      <c r="ECR132" s="3"/>
      <c r="ECS132" s="3"/>
      <c r="ECT132" s="3"/>
      <c r="ECU132" s="3"/>
      <c r="ECV132" s="3"/>
      <c r="ECW132" s="3"/>
      <c r="ECX132" s="3"/>
      <c r="ECY132" s="3"/>
      <c r="ECZ132" s="3"/>
      <c r="EDA132" s="3"/>
      <c r="EDB132" s="3"/>
      <c r="EDC132" s="3"/>
      <c r="EDD132" s="3"/>
      <c r="EDE132" s="3"/>
      <c r="EDF132" s="3"/>
      <c r="EDG132" s="3"/>
      <c r="EDH132" s="3"/>
      <c r="EDI132" s="3"/>
      <c r="EDJ132" s="3"/>
      <c r="EDK132" s="3"/>
      <c r="EDL132" s="3"/>
      <c r="EDM132" s="3"/>
      <c r="EDN132" s="3"/>
      <c r="EDO132" s="3"/>
      <c r="EDP132" s="3"/>
      <c r="EDQ132" s="3"/>
      <c r="EDR132" s="3"/>
      <c r="EDS132" s="3"/>
      <c r="EDT132" s="3"/>
      <c r="EDU132" s="3"/>
      <c r="EDV132" s="3"/>
      <c r="EDW132" s="3"/>
      <c r="EDX132" s="3"/>
      <c r="EDY132" s="3"/>
      <c r="EDZ132" s="3"/>
      <c r="EEA132" s="3"/>
      <c r="EEB132" s="3"/>
      <c r="EEC132" s="3"/>
      <c r="EED132" s="3"/>
      <c r="EEE132" s="3"/>
      <c r="EEF132" s="3"/>
      <c r="EEG132" s="3"/>
      <c r="EEH132" s="3"/>
      <c r="EEI132" s="3"/>
      <c r="EEJ132" s="3"/>
      <c r="EEK132" s="3"/>
      <c r="EEL132" s="3"/>
      <c r="EEM132" s="3"/>
      <c r="EEN132" s="3"/>
      <c r="EEO132" s="3"/>
      <c r="EEP132" s="3"/>
      <c r="EEQ132" s="3"/>
      <c r="EER132" s="3"/>
      <c r="EES132" s="3"/>
      <c r="EET132" s="3"/>
      <c r="EEU132" s="3"/>
      <c r="EEV132" s="3"/>
      <c r="EEW132" s="3"/>
      <c r="EEX132" s="3"/>
      <c r="EEY132" s="3"/>
      <c r="EEZ132" s="3"/>
      <c r="EFA132" s="3"/>
      <c r="EFB132" s="3"/>
      <c r="EFC132" s="3"/>
      <c r="EFD132" s="3"/>
      <c r="EFE132" s="3"/>
      <c r="EFF132" s="3"/>
      <c r="EFG132" s="3"/>
      <c r="EFH132" s="3"/>
      <c r="EFI132" s="3"/>
      <c r="EFJ132" s="3"/>
      <c r="EFK132" s="3"/>
      <c r="EFL132" s="3"/>
      <c r="EFM132" s="3"/>
      <c r="EFN132" s="3"/>
      <c r="EFO132" s="3"/>
      <c r="EFP132" s="3"/>
      <c r="EFQ132" s="3"/>
      <c r="EFR132" s="3"/>
      <c r="EFS132" s="3"/>
      <c r="EFT132" s="3"/>
      <c r="EFU132" s="3"/>
      <c r="EFV132" s="3"/>
      <c r="EFW132" s="3"/>
      <c r="EFX132" s="3"/>
      <c r="EFY132" s="3"/>
      <c r="EFZ132" s="3"/>
      <c r="EGA132" s="3"/>
      <c r="EGB132" s="3"/>
      <c r="EGC132" s="3"/>
      <c r="EGD132" s="3"/>
      <c r="EGE132" s="3"/>
      <c r="EGF132" s="3"/>
      <c r="EGG132" s="3"/>
      <c r="EGH132" s="3"/>
      <c r="EGI132" s="3"/>
      <c r="EGJ132" s="3"/>
      <c r="EGK132" s="3"/>
      <c r="EGL132" s="3"/>
      <c r="EGM132" s="3"/>
      <c r="EGN132" s="3"/>
      <c r="EGO132" s="3"/>
      <c r="EGP132" s="3"/>
      <c r="EGQ132" s="3"/>
      <c r="EGR132" s="3"/>
      <c r="EGS132" s="3"/>
      <c r="EGT132" s="3"/>
      <c r="EGU132" s="3"/>
      <c r="EGV132" s="3"/>
      <c r="EGW132" s="3"/>
      <c r="EGX132" s="3"/>
      <c r="EGY132" s="3"/>
      <c r="EGZ132" s="3"/>
      <c r="EHA132" s="3"/>
      <c r="EHB132" s="3"/>
      <c r="EHC132" s="3"/>
      <c r="EHD132" s="3"/>
      <c r="EHE132" s="3"/>
      <c r="EHF132" s="3"/>
      <c r="EHG132" s="3"/>
      <c r="EHH132" s="3"/>
      <c r="EHI132" s="3"/>
      <c r="EHJ132" s="3"/>
      <c r="EHK132" s="3"/>
      <c r="EHL132" s="3"/>
      <c r="EHM132" s="3"/>
      <c r="EHN132" s="3"/>
      <c r="EHO132" s="3"/>
      <c r="EHP132" s="3"/>
      <c r="EHQ132" s="3"/>
      <c r="EHR132" s="3"/>
      <c r="EHS132" s="3"/>
      <c r="EHT132" s="3"/>
      <c r="EHU132" s="3"/>
      <c r="EHV132" s="3"/>
      <c r="EHW132" s="3"/>
      <c r="EHX132" s="3"/>
      <c r="EHY132" s="3"/>
      <c r="EHZ132" s="3"/>
      <c r="EIA132" s="3"/>
      <c r="EIB132" s="3"/>
      <c r="EIC132" s="3"/>
      <c r="EID132" s="3"/>
      <c r="EIE132" s="3"/>
      <c r="EIF132" s="3"/>
      <c r="EIG132" s="3"/>
      <c r="EIH132" s="3"/>
      <c r="EII132" s="3"/>
      <c r="EIJ132" s="3"/>
      <c r="EIK132" s="3"/>
      <c r="EIL132" s="3"/>
      <c r="EIM132" s="3"/>
      <c r="EIN132" s="3"/>
      <c r="EIO132" s="3"/>
      <c r="EIP132" s="3"/>
      <c r="EIQ132" s="3"/>
      <c r="EIR132" s="3"/>
      <c r="EIS132" s="3"/>
      <c r="EIT132" s="3"/>
      <c r="EIU132" s="3"/>
      <c r="EIV132" s="3"/>
      <c r="EIW132" s="3"/>
      <c r="EIX132" s="3"/>
      <c r="EIY132" s="3"/>
      <c r="EIZ132" s="3"/>
      <c r="EJA132" s="3"/>
      <c r="EJB132" s="3"/>
      <c r="EJC132" s="3"/>
      <c r="EJD132" s="3"/>
      <c r="EJE132" s="3"/>
      <c r="EJF132" s="3"/>
      <c r="EJG132" s="3"/>
      <c r="EJH132" s="3"/>
      <c r="EJI132" s="3"/>
      <c r="EJJ132" s="3"/>
      <c r="EJK132" s="3"/>
      <c r="EJL132" s="3"/>
      <c r="EJM132" s="3"/>
      <c r="EJN132" s="3"/>
      <c r="EJO132" s="3"/>
      <c r="EJP132" s="3"/>
      <c r="EJQ132" s="3"/>
      <c r="EJR132" s="3"/>
      <c r="EJS132" s="3"/>
      <c r="EJT132" s="3"/>
      <c r="EJU132" s="3"/>
      <c r="EJV132" s="3"/>
      <c r="EJW132" s="3"/>
      <c r="EJX132" s="3"/>
      <c r="EJY132" s="3"/>
      <c r="EJZ132" s="3"/>
      <c r="EKA132" s="3"/>
      <c r="EKB132" s="3"/>
      <c r="EKC132" s="3"/>
      <c r="EKD132" s="3"/>
      <c r="EKE132" s="3"/>
      <c r="EKF132" s="3"/>
      <c r="EKG132" s="3"/>
      <c r="EKH132" s="3"/>
      <c r="EKI132" s="3"/>
      <c r="EKJ132" s="3"/>
      <c r="EKK132" s="3"/>
      <c r="EKL132" s="3"/>
      <c r="EKM132" s="3"/>
      <c r="EKN132" s="3"/>
      <c r="EKO132" s="3"/>
      <c r="EKP132" s="3"/>
      <c r="EKQ132" s="3"/>
      <c r="EKR132" s="3"/>
      <c r="EKS132" s="3"/>
      <c r="EKT132" s="3"/>
      <c r="EKU132" s="3"/>
      <c r="EKV132" s="3"/>
      <c r="EKW132" s="3"/>
      <c r="EKX132" s="3"/>
      <c r="EKY132" s="3"/>
      <c r="EKZ132" s="3"/>
      <c r="ELA132" s="3"/>
      <c r="ELB132" s="3"/>
      <c r="ELC132" s="3"/>
      <c r="ELD132" s="3"/>
      <c r="ELE132" s="3"/>
      <c r="ELF132" s="3"/>
      <c r="ELG132" s="3"/>
      <c r="ELH132" s="3"/>
      <c r="ELI132" s="3"/>
      <c r="ELJ132" s="3"/>
      <c r="ELK132" s="3"/>
      <c r="ELL132" s="3"/>
      <c r="ELM132" s="3"/>
      <c r="ELN132" s="3"/>
      <c r="ELO132" s="3"/>
      <c r="ELP132" s="3"/>
      <c r="ELQ132" s="3"/>
      <c r="ELR132" s="3"/>
      <c r="ELS132" s="3"/>
      <c r="ELT132" s="3"/>
      <c r="ELU132" s="3"/>
      <c r="ELV132" s="3"/>
      <c r="ELW132" s="3"/>
      <c r="ELX132" s="3"/>
      <c r="ELY132" s="3"/>
      <c r="ELZ132" s="3"/>
      <c r="EMA132" s="3"/>
      <c r="EMB132" s="3"/>
      <c r="EMC132" s="3"/>
      <c r="EMD132" s="3"/>
      <c r="EME132" s="3"/>
      <c r="EMF132" s="3"/>
      <c r="EMG132" s="3"/>
      <c r="EMH132" s="3"/>
      <c r="EMI132" s="3"/>
      <c r="EMJ132" s="3"/>
      <c r="EMK132" s="3"/>
      <c r="EML132" s="3"/>
      <c r="EMM132" s="3"/>
      <c r="EMN132" s="3"/>
      <c r="EMO132" s="3"/>
      <c r="EMP132" s="3"/>
      <c r="EMQ132" s="3"/>
      <c r="EMR132" s="3"/>
      <c r="EMS132" s="3"/>
      <c r="EMT132" s="3"/>
      <c r="EMU132" s="3"/>
      <c r="EMV132" s="3"/>
      <c r="EMW132" s="3"/>
      <c r="EMX132" s="3"/>
      <c r="EMY132" s="3"/>
      <c r="EMZ132" s="3"/>
      <c r="ENA132" s="3"/>
      <c r="ENB132" s="3"/>
      <c r="ENC132" s="3"/>
      <c r="END132" s="3"/>
      <c r="ENE132" s="3"/>
      <c r="ENF132" s="3"/>
      <c r="ENG132" s="3"/>
      <c r="ENH132" s="3"/>
      <c r="ENI132" s="3"/>
      <c r="ENJ132" s="3"/>
      <c r="ENK132" s="3"/>
      <c r="ENL132" s="3"/>
      <c r="ENM132" s="3"/>
      <c r="ENN132" s="3"/>
      <c r="ENO132" s="3"/>
      <c r="ENP132" s="3"/>
      <c r="ENQ132" s="3"/>
      <c r="ENR132" s="3"/>
      <c r="ENS132" s="3"/>
      <c r="ENT132" s="3"/>
      <c r="ENU132" s="3"/>
      <c r="ENV132" s="3"/>
      <c r="ENW132" s="3"/>
      <c r="ENX132" s="3"/>
      <c r="ENY132" s="3"/>
      <c r="ENZ132" s="3"/>
      <c r="EOA132" s="3"/>
      <c r="EOB132" s="3"/>
      <c r="EOC132" s="3"/>
      <c r="EOD132" s="3"/>
      <c r="EOE132" s="3"/>
      <c r="EOF132" s="3"/>
      <c r="EOG132" s="3"/>
      <c r="EOH132" s="3"/>
      <c r="EOI132" s="3"/>
      <c r="EOJ132" s="3"/>
      <c r="EOK132" s="3"/>
      <c r="EOL132" s="3"/>
      <c r="EOM132" s="3"/>
      <c r="EON132" s="3"/>
      <c r="EOO132" s="3"/>
      <c r="EOP132" s="3"/>
      <c r="EOQ132" s="3"/>
      <c r="EOR132" s="3"/>
      <c r="EOS132" s="3"/>
      <c r="EOT132" s="3"/>
      <c r="EOU132" s="3"/>
      <c r="EOV132" s="3"/>
      <c r="EOW132" s="3"/>
      <c r="EOX132" s="3"/>
      <c r="EOY132" s="3"/>
      <c r="EOZ132" s="3"/>
      <c r="EPA132" s="3"/>
      <c r="EPB132" s="3"/>
      <c r="EPC132" s="3"/>
      <c r="EPD132" s="3"/>
      <c r="EPE132" s="3"/>
      <c r="EPF132" s="3"/>
      <c r="EPG132" s="3"/>
      <c r="EPH132" s="3"/>
      <c r="EPI132" s="3"/>
      <c r="EPJ132" s="3"/>
      <c r="EPK132" s="3"/>
      <c r="EPL132" s="3"/>
      <c r="EPM132" s="3"/>
      <c r="EPN132" s="3"/>
      <c r="EPO132" s="3"/>
      <c r="EPP132" s="3"/>
      <c r="EPQ132" s="3"/>
      <c r="EPR132" s="3"/>
      <c r="EPS132" s="3"/>
      <c r="EPT132" s="3"/>
      <c r="EPU132" s="3"/>
      <c r="EPV132" s="3"/>
      <c r="EPW132" s="3"/>
      <c r="EPX132" s="3"/>
      <c r="EPY132" s="3"/>
      <c r="EPZ132" s="3"/>
      <c r="EQA132" s="3"/>
      <c r="EQB132" s="3"/>
      <c r="EQC132" s="3"/>
      <c r="EQD132" s="3"/>
      <c r="EQE132" s="3"/>
      <c r="EQF132" s="3"/>
      <c r="EQG132" s="3"/>
      <c r="EQH132" s="3"/>
      <c r="EQI132" s="3"/>
      <c r="EQJ132" s="3"/>
      <c r="EQK132" s="3"/>
      <c r="EQL132" s="3"/>
      <c r="EQM132" s="3"/>
      <c r="EQN132" s="3"/>
      <c r="EQO132" s="3"/>
      <c r="EQP132" s="3"/>
      <c r="EQQ132" s="3"/>
      <c r="EQR132" s="3"/>
      <c r="EQS132" s="3"/>
      <c r="EQT132" s="3"/>
      <c r="EQU132" s="3"/>
      <c r="EQV132" s="3"/>
      <c r="EQW132" s="3"/>
      <c r="EQX132" s="3"/>
      <c r="EQY132" s="3"/>
      <c r="EQZ132" s="3"/>
      <c r="ERA132" s="3"/>
      <c r="ERB132" s="3"/>
      <c r="ERC132" s="3"/>
      <c r="ERD132" s="3"/>
      <c r="ERE132" s="3"/>
      <c r="ERF132" s="3"/>
      <c r="ERG132" s="3"/>
      <c r="ERH132" s="3"/>
      <c r="ERI132" s="3"/>
      <c r="ERJ132" s="3"/>
      <c r="ERK132" s="3"/>
      <c r="ERL132" s="3"/>
      <c r="ERM132" s="3"/>
      <c r="ERN132" s="3"/>
      <c r="ERO132" s="3"/>
      <c r="ERP132" s="3"/>
      <c r="ERQ132" s="3"/>
      <c r="ERR132" s="3"/>
      <c r="ERS132" s="3"/>
      <c r="ERT132" s="3"/>
      <c r="ERU132" s="3"/>
      <c r="ERV132" s="3"/>
      <c r="ERW132" s="3"/>
      <c r="ERX132" s="3"/>
      <c r="ERY132" s="3"/>
      <c r="ERZ132" s="3"/>
      <c r="ESA132" s="3"/>
      <c r="ESB132" s="3"/>
      <c r="ESC132" s="3"/>
      <c r="ESD132" s="3"/>
      <c r="ESE132" s="3"/>
      <c r="ESF132" s="3"/>
      <c r="ESG132" s="3"/>
      <c r="ESH132" s="3"/>
      <c r="ESI132" s="3"/>
      <c r="ESJ132" s="3"/>
      <c r="ESK132" s="3"/>
      <c r="ESL132" s="3"/>
      <c r="ESM132" s="3"/>
      <c r="ESN132" s="3"/>
      <c r="ESO132" s="3"/>
      <c r="ESP132" s="3"/>
      <c r="ESQ132" s="3"/>
      <c r="ESR132" s="3"/>
      <c r="ESS132" s="3"/>
      <c r="EST132" s="3"/>
      <c r="ESU132" s="3"/>
      <c r="ESV132" s="3"/>
      <c r="ESW132" s="3"/>
      <c r="ESX132" s="3"/>
      <c r="ESY132" s="3"/>
      <c r="ESZ132" s="3"/>
      <c r="ETA132" s="3"/>
      <c r="ETB132" s="3"/>
      <c r="ETC132" s="3"/>
      <c r="ETD132" s="3"/>
      <c r="ETE132" s="3"/>
      <c r="ETF132" s="3"/>
      <c r="ETG132" s="3"/>
      <c r="ETH132" s="3"/>
      <c r="ETI132" s="3"/>
      <c r="ETJ132" s="3"/>
      <c r="ETK132" s="3"/>
      <c r="ETL132" s="3"/>
      <c r="ETM132" s="3"/>
      <c r="ETN132" s="3"/>
      <c r="ETO132" s="3"/>
      <c r="ETP132" s="3"/>
      <c r="ETQ132" s="3"/>
      <c r="ETR132" s="3"/>
      <c r="ETS132" s="3"/>
      <c r="ETT132" s="3"/>
      <c r="ETU132" s="3"/>
      <c r="ETV132" s="3"/>
      <c r="ETW132" s="3"/>
      <c r="ETX132" s="3"/>
      <c r="ETY132" s="3"/>
      <c r="ETZ132" s="3"/>
      <c r="EUA132" s="3"/>
      <c r="EUB132" s="3"/>
      <c r="EUC132" s="3"/>
      <c r="EUD132" s="3"/>
      <c r="EUE132" s="3"/>
      <c r="EUF132" s="3"/>
      <c r="EUG132" s="3"/>
      <c r="EUH132" s="3"/>
      <c r="EUI132" s="3"/>
      <c r="EUJ132" s="3"/>
      <c r="EUK132" s="3"/>
      <c r="EUL132" s="3"/>
      <c r="EUM132" s="3"/>
      <c r="EUN132" s="3"/>
      <c r="EUO132" s="3"/>
      <c r="EUP132" s="3"/>
      <c r="EUQ132" s="3"/>
      <c r="EUR132" s="3"/>
      <c r="EUS132" s="3"/>
      <c r="EUT132" s="3"/>
      <c r="EUU132" s="3"/>
      <c r="EUV132" s="3"/>
      <c r="EUW132" s="3"/>
      <c r="EUX132" s="3"/>
      <c r="EUY132" s="3"/>
      <c r="EUZ132" s="3"/>
      <c r="EVA132" s="3"/>
      <c r="EVB132" s="3"/>
      <c r="EVC132" s="3"/>
      <c r="EVD132" s="3"/>
      <c r="EVE132" s="3"/>
      <c r="EVF132" s="3"/>
      <c r="EVG132" s="3"/>
      <c r="EVH132" s="3"/>
      <c r="EVI132" s="3"/>
      <c r="EVJ132" s="3"/>
      <c r="EVK132" s="3"/>
      <c r="EVL132" s="3"/>
      <c r="EVM132" s="3"/>
      <c r="EVN132" s="3"/>
      <c r="EVO132" s="3"/>
      <c r="EVP132" s="3"/>
      <c r="EVQ132" s="3"/>
      <c r="EVR132" s="3"/>
      <c r="EVS132" s="3"/>
      <c r="EVT132" s="3"/>
      <c r="EVU132" s="3"/>
      <c r="EVV132" s="3"/>
      <c r="EVW132" s="3"/>
      <c r="EVX132" s="3"/>
      <c r="EVY132" s="3"/>
      <c r="EVZ132" s="3"/>
      <c r="EWA132" s="3"/>
      <c r="EWB132" s="3"/>
      <c r="EWC132" s="3"/>
      <c r="EWD132" s="3"/>
      <c r="EWE132" s="3"/>
      <c r="EWF132" s="3"/>
      <c r="EWG132" s="3"/>
      <c r="EWH132" s="3"/>
      <c r="EWI132" s="3"/>
      <c r="EWJ132" s="3"/>
      <c r="EWK132" s="3"/>
      <c r="EWL132" s="3"/>
      <c r="EWM132" s="3"/>
      <c r="EWN132" s="3"/>
      <c r="EWO132" s="3"/>
      <c r="EWP132" s="3"/>
      <c r="EWQ132" s="3"/>
      <c r="EWR132" s="3"/>
      <c r="EWS132" s="3"/>
      <c r="EWT132" s="3"/>
      <c r="EWU132" s="3"/>
      <c r="EWV132" s="3"/>
      <c r="EWW132" s="3"/>
      <c r="EWX132" s="3"/>
      <c r="EWY132" s="3"/>
      <c r="EWZ132" s="3"/>
      <c r="EXA132" s="3"/>
      <c r="EXB132" s="3"/>
      <c r="EXC132" s="3"/>
      <c r="EXD132" s="3"/>
      <c r="EXE132" s="3"/>
      <c r="EXF132" s="3"/>
      <c r="EXG132" s="3"/>
      <c r="EXH132" s="3"/>
      <c r="EXI132" s="3"/>
      <c r="EXJ132" s="3"/>
      <c r="EXK132" s="3"/>
      <c r="EXL132" s="3"/>
      <c r="EXM132" s="3"/>
      <c r="EXN132" s="3"/>
      <c r="EXO132" s="3"/>
      <c r="EXP132" s="3"/>
      <c r="EXQ132" s="3"/>
      <c r="EXR132" s="3"/>
      <c r="EXS132" s="3"/>
      <c r="EXT132" s="3"/>
      <c r="EXU132" s="3"/>
      <c r="EXV132" s="3"/>
      <c r="EXW132" s="3"/>
      <c r="EXX132" s="3"/>
      <c r="EXY132" s="3"/>
      <c r="EXZ132" s="3"/>
      <c r="EYA132" s="3"/>
      <c r="EYB132" s="3"/>
      <c r="EYC132" s="3"/>
      <c r="EYD132" s="3"/>
      <c r="EYE132" s="3"/>
      <c r="EYF132" s="3"/>
      <c r="EYG132" s="3"/>
      <c r="EYH132" s="3"/>
      <c r="EYI132" s="3"/>
      <c r="EYJ132" s="3"/>
      <c r="EYK132" s="3"/>
      <c r="EYL132" s="3"/>
      <c r="EYM132" s="3"/>
      <c r="EYN132" s="3"/>
      <c r="EYO132" s="3"/>
      <c r="EYP132" s="3"/>
      <c r="EYQ132" s="3"/>
      <c r="EYR132" s="3"/>
      <c r="EYS132" s="3"/>
      <c r="EYT132" s="3"/>
      <c r="EYU132" s="3"/>
      <c r="EYV132" s="3"/>
      <c r="EYW132" s="3"/>
      <c r="EYX132" s="3"/>
      <c r="EYY132" s="3"/>
      <c r="EYZ132" s="3"/>
      <c r="EZA132" s="3"/>
      <c r="EZB132" s="3"/>
      <c r="EZC132" s="3"/>
      <c r="EZD132" s="3"/>
      <c r="EZE132" s="3"/>
      <c r="EZF132" s="3"/>
      <c r="EZG132" s="3"/>
      <c r="EZH132" s="3"/>
      <c r="EZI132" s="3"/>
      <c r="EZJ132" s="3"/>
      <c r="EZK132" s="3"/>
      <c r="EZL132" s="3"/>
      <c r="EZM132" s="3"/>
      <c r="EZN132" s="3"/>
      <c r="EZO132" s="3"/>
      <c r="EZP132" s="3"/>
      <c r="EZQ132" s="3"/>
      <c r="EZR132" s="3"/>
      <c r="EZS132" s="3"/>
      <c r="EZT132" s="3"/>
      <c r="EZU132" s="3"/>
      <c r="EZV132" s="3"/>
      <c r="EZW132" s="3"/>
      <c r="EZX132" s="3"/>
      <c r="EZY132" s="3"/>
      <c r="EZZ132" s="3"/>
      <c r="FAA132" s="3"/>
      <c r="FAB132" s="3"/>
      <c r="FAC132" s="3"/>
      <c r="FAD132" s="3"/>
      <c r="FAE132" s="3"/>
      <c r="FAF132" s="3"/>
      <c r="FAG132" s="3"/>
      <c r="FAH132" s="3"/>
      <c r="FAI132" s="3"/>
      <c r="FAJ132" s="3"/>
      <c r="FAK132" s="3"/>
      <c r="FAL132" s="3"/>
      <c r="FAM132" s="3"/>
      <c r="FAN132" s="3"/>
      <c r="FAO132" s="3"/>
      <c r="FAP132" s="3"/>
      <c r="FAQ132" s="3"/>
      <c r="FAR132" s="3"/>
      <c r="FAS132" s="3"/>
      <c r="FAT132" s="3"/>
      <c r="FAU132" s="3"/>
      <c r="FAV132" s="3"/>
      <c r="FAW132" s="3"/>
      <c r="FAX132" s="3"/>
      <c r="FAY132" s="3"/>
      <c r="FAZ132" s="3"/>
      <c r="FBA132" s="3"/>
      <c r="FBB132" s="3"/>
      <c r="FBC132" s="3"/>
      <c r="FBD132" s="3"/>
      <c r="FBE132" s="3"/>
      <c r="FBF132" s="3"/>
      <c r="FBG132" s="3"/>
      <c r="FBH132" s="3"/>
      <c r="FBI132" s="3"/>
      <c r="FBJ132" s="3"/>
      <c r="FBK132" s="3"/>
      <c r="FBL132" s="3"/>
      <c r="FBM132" s="3"/>
      <c r="FBN132" s="3"/>
      <c r="FBO132" s="3"/>
      <c r="FBP132" s="3"/>
      <c r="FBQ132" s="3"/>
      <c r="FBR132" s="3"/>
      <c r="FBS132" s="3"/>
      <c r="FBT132" s="3"/>
      <c r="FBU132" s="3"/>
      <c r="FBV132" s="3"/>
      <c r="FBW132" s="3"/>
      <c r="FBX132" s="3"/>
      <c r="FBY132" s="3"/>
      <c r="FBZ132" s="3"/>
      <c r="FCA132" s="3"/>
      <c r="FCB132" s="3"/>
      <c r="FCC132" s="3"/>
      <c r="FCD132" s="3"/>
      <c r="FCE132" s="3"/>
      <c r="FCF132" s="3"/>
      <c r="FCG132" s="3"/>
      <c r="FCH132" s="3"/>
      <c r="FCI132" s="3"/>
      <c r="FCJ132" s="3"/>
      <c r="FCK132" s="3"/>
      <c r="FCL132" s="3"/>
      <c r="FCM132" s="3"/>
      <c r="FCN132" s="3"/>
      <c r="FCO132" s="3"/>
      <c r="FCP132" s="3"/>
      <c r="FCQ132" s="3"/>
      <c r="FCR132" s="3"/>
      <c r="FCS132" s="3"/>
      <c r="FCT132" s="3"/>
      <c r="FCU132" s="3"/>
      <c r="FCV132" s="3"/>
      <c r="FCW132" s="3"/>
      <c r="FCX132" s="3"/>
      <c r="FCY132" s="3"/>
      <c r="FCZ132" s="3"/>
      <c r="FDA132" s="3"/>
      <c r="FDB132" s="3"/>
      <c r="FDC132" s="3"/>
      <c r="FDD132" s="3"/>
      <c r="FDE132" s="3"/>
      <c r="FDF132" s="3"/>
      <c r="FDG132" s="3"/>
      <c r="FDH132" s="3"/>
      <c r="FDI132" s="3"/>
      <c r="FDJ132" s="3"/>
      <c r="FDK132" s="3"/>
      <c r="FDL132" s="3"/>
      <c r="FDM132" s="3"/>
      <c r="FDN132" s="3"/>
      <c r="FDO132" s="3"/>
      <c r="FDP132" s="3"/>
      <c r="FDQ132" s="3"/>
      <c r="FDR132" s="3"/>
      <c r="FDS132" s="3"/>
      <c r="FDT132" s="3"/>
      <c r="FDU132" s="3"/>
      <c r="FDV132" s="3"/>
      <c r="FDW132" s="3"/>
      <c r="FDX132" s="3"/>
      <c r="FDY132" s="3"/>
      <c r="FDZ132" s="3"/>
      <c r="FEA132" s="3"/>
      <c r="FEB132" s="3"/>
      <c r="FEC132" s="3"/>
      <c r="FED132" s="3"/>
      <c r="FEE132" s="3"/>
      <c r="FEF132" s="3"/>
      <c r="FEG132" s="3"/>
      <c r="FEH132" s="3"/>
      <c r="FEI132" s="3"/>
      <c r="FEJ132" s="3"/>
      <c r="FEK132" s="3"/>
      <c r="FEL132" s="3"/>
      <c r="FEM132" s="3"/>
      <c r="FEN132" s="3"/>
      <c r="FEO132" s="3"/>
      <c r="FEP132" s="3"/>
      <c r="FEQ132" s="3"/>
      <c r="FER132" s="3"/>
      <c r="FES132" s="3"/>
      <c r="FET132" s="3"/>
      <c r="FEU132" s="3"/>
      <c r="FEV132" s="3"/>
      <c r="FEW132" s="3"/>
      <c r="FEX132" s="3"/>
      <c r="FEY132" s="3"/>
      <c r="FEZ132" s="3"/>
      <c r="FFA132" s="3"/>
      <c r="FFB132" s="3"/>
      <c r="FFC132" s="3"/>
      <c r="FFD132" s="3"/>
      <c r="FFE132" s="3"/>
      <c r="FFF132" s="3"/>
      <c r="FFG132" s="3"/>
      <c r="FFH132" s="3"/>
      <c r="FFI132" s="3"/>
      <c r="FFJ132" s="3"/>
      <c r="FFK132" s="3"/>
      <c r="FFL132" s="3"/>
      <c r="FFM132" s="3"/>
      <c r="FFN132" s="3"/>
      <c r="FFO132" s="3"/>
      <c r="FFP132" s="3"/>
      <c r="FFQ132" s="3"/>
      <c r="FFR132" s="3"/>
      <c r="FFS132" s="3"/>
      <c r="FFT132" s="3"/>
      <c r="FFU132" s="3"/>
      <c r="FFV132" s="3"/>
      <c r="FFW132" s="3"/>
      <c r="FFX132" s="3"/>
      <c r="FFY132" s="3"/>
      <c r="FFZ132" s="3"/>
      <c r="FGA132" s="3"/>
      <c r="FGB132" s="3"/>
      <c r="FGC132" s="3"/>
      <c r="FGD132" s="3"/>
      <c r="FGE132" s="3"/>
      <c r="FGF132" s="3"/>
      <c r="FGG132" s="3"/>
      <c r="FGH132" s="3"/>
      <c r="FGI132" s="3"/>
      <c r="FGJ132" s="3"/>
      <c r="FGK132" s="3"/>
      <c r="FGL132" s="3"/>
      <c r="FGM132" s="3"/>
      <c r="FGN132" s="3"/>
      <c r="FGO132" s="3"/>
      <c r="FGP132" s="3"/>
      <c r="FGQ132" s="3"/>
      <c r="FGR132" s="3"/>
      <c r="FGS132" s="3"/>
      <c r="FGT132" s="3"/>
      <c r="FGU132" s="3"/>
      <c r="FGV132" s="3"/>
      <c r="FGW132" s="3"/>
      <c r="FGX132" s="3"/>
      <c r="FGY132" s="3"/>
      <c r="FGZ132" s="3"/>
      <c r="FHA132" s="3"/>
      <c r="FHB132" s="3"/>
      <c r="FHC132" s="3"/>
      <c r="FHD132" s="3"/>
      <c r="FHE132" s="3"/>
      <c r="FHF132" s="3"/>
      <c r="FHG132" s="3"/>
      <c r="FHH132" s="3"/>
      <c r="FHI132" s="3"/>
      <c r="FHJ132" s="3"/>
      <c r="FHK132" s="3"/>
      <c r="FHL132" s="3"/>
      <c r="FHM132" s="3"/>
      <c r="FHN132" s="3"/>
      <c r="FHO132" s="3"/>
      <c r="FHP132" s="3"/>
      <c r="FHQ132" s="3"/>
      <c r="FHR132" s="3"/>
      <c r="FHS132" s="3"/>
      <c r="FHT132" s="3"/>
      <c r="FHU132" s="3"/>
      <c r="FHV132" s="3"/>
      <c r="FHW132" s="3"/>
      <c r="FHX132" s="3"/>
      <c r="FHY132" s="3"/>
      <c r="FHZ132" s="3"/>
      <c r="FIA132" s="3"/>
      <c r="FIB132" s="3"/>
      <c r="FIC132" s="3"/>
      <c r="FID132" s="3"/>
      <c r="FIE132" s="3"/>
      <c r="FIF132" s="3"/>
      <c r="FIG132" s="3"/>
      <c r="FIH132" s="3"/>
      <c r="FII132" s="3"/>
      <c r="FIJ132" s="3"/>
      <c r="FIK132" s="3"/>
      <c r="FIL132" s="3"/>
      <c r="FIM132" s="3"/>
      <c r="FIN132" s="3"/>
      <c r="FIO132" s="3"/>
      <c r="FIP132" s="3"/>
      <c r="FIQ132" s="3"/>
      <c r="FIR132" s="3"/>
      <c r="FIS132" s="3"/>
      <c r="FIT132" s="3"/>
      <c r="FIU132" s="3"/>
      <c r="FIV132" s="3"/>
      <c r="FIW132" s="3"/>
      <c r="FIX132" s="3"/>
      <c r="FIY132" s="3"/>
      <c r="FIZ132" s="3"/>
      <c r="FJA132" s="3"/>
      <c r="FJB132" s="3"/>
      <c r="FJC132" s="3"/>
      <c r="FJD132" s="3"/>
      <c r="FJE132" s="3"/>
      <c r="FJF132" s="3"/>
      <c r="FJG132" s="3"/>
      <c r="FJH132" s="3"/>
      <c r="FJI132" s="3"/>
      <c r="FJJ132" s="3"/>
      <c r="FJK132" s="3"/>
      <c r="FJL132" s="3"/>
      <c r="FJM132" s="3"/>
      <c r="FJN132" s="3"/>
      <c r="FJO132" s="3"/>
      <c r="FJP132" s="3"/>
      <c r="FJQ132" s="3"/>
      <c r="FJR132" s="3"/>
      <c r="FJS132" s="3"/>
      <c r="FJT132" s="3"/>
      <c r="FJU132" s="3"/>
      <c r="FJV132" s="3"/>
      <c r="FJW132" s="3"/>
      <c r="FJX132" s="3"/>
      <c r="FJY132" s="3"/>
      <c r="FJZ132" s="3"/>
      <c r="FKA132" s="3"/>
      <c r="FKB132" s="3"/>
      <c r="FKC132" s="3"/>
      <c r="FKD132" s="3"/>
      <c r="FKE132" s="3"/>
      <c r="FKF132" s="3"/>
      <c r="FKG132" s="3"/>
      <c r="FKH132" s="3"/>
      <c r="FKI132" s="3"/>
      <c r="FKJ132" s="3"/>
      <c r="FKK132" s="3"/>
      <c r="FKL132" s="3"/>
      <c r="FKM132" s="3"/>
      <c r="FKN132" s="3"/>
      <c r="FKO132" s="3"/>
      <c r="FKP132" s="3"/>
      <c r="FKQ132" s="3"/>
      <c r="FKR132" s="3"/>
      <c r="FKS132" s="3"/>
      <c r="FKT132" s="3"/>
      <c r="FKU132" s="3"/>
      <c r="FKV132" s="3"/>
      <c r="FKW132" s="3"/>
      <c r="FKX132" s="3"/>
      <c r="FKY132" s="3"/>
      <c r="FKZ132" s="3"/>
      <c r="FLA132" s="3"/>
      <c r="FLB132" s="3"/>
      <c r="FLC132" s="3"/>
      <c r="FLD132" s="3"/>
      <c r="FLE132" s="3"/>
      <c r="FLF132" s="3"/>
      <c r="FLG132" s="3"/>
      <c r="FLH132" s="3"/>
      <c r="FLI132" s="3"/>
      <c r="FLJ132" s="3"/>
      <c r="FLK132" s="3"/>
      <c r="FLL132" s="3"/>
      <c r="FLM132" s="3"/>
      <c r="FLN132" s="3"/>
      <c r="FLO132" s="3"/>
      <c r="FLP132" s="3"/>
      <c r="FLQ132" s="3"/>
      <c r="FLR132" s="3"/>
      <c r="FLS132" s="3"/>
      <c r="FLT132" s="3"/>
      <c r="FLU132" s="3"/>
      <c r="FLV132" s="3"/>
      <c r="FLW132" s="3"/>
      <c r="FLX132" s="3"/>
      <c r="FLY132" s="3"/>
      <c r="FLZ132" s="3"/>
      <c r="FMA132" s="3"/>
      <c r="FMB132" s="3"/>
      <c r="FMC132" s="3"/>
      <c r="FMD132" s="3"/>
      <c r="FME132" s="3"/>
      <c r="FMF132" s="3"/>
      <c r="FMG132" s="3"/>
      <c r="FMH132" s="3"/>
      <c r="FMI132" s="3"/>
      <c r="FMJ132" s="3"/>
      <c r="FMK132" s="3"/>
      <c r="FML132" s="3"/>
      <c r="FMM132" s="3"/>
      <c r="FMN132" s="3"/>
      <c r="FMO132" s="3"/>
      <c r="FMP132" s="3"/>
      <c r="FMQ132" s="3"/>
      <c r="FMR132" s="3"/>
      <c r="FMS132" s="3"/>
      <c r="FMT132" s="3"/>
      <c r="FMU132" s="3"/>
      <c r="FMV132" s="3"/>
      <c r="FMW132" s="3"/>
      <c r="FMX132" s="3"/>
      <c r="FMY132" s="3"/>
      <c r="FMZ132" s="3"/>
      <c r="FNA132" s="3"/>
      <c r="FNB132" s="3"/>
      <c r="FNC132" s="3"/>
      <c r="FND132" s="3"/>
      <c r="FNE132" s="3"/>
      <c r="FNF132" s="3"/>
      <c r="FNG132" s="3"/>
      <c r="FNH132" s="3"/>
      <c r="FNI132" s="3"/>
      <c r="FNJ132" s="3"/>
      <c r="FNK132" s="3"/>
      <c r="FNL132" s="3"/>
      <c r="FNM132" s="3"/>
      <c r="FNN132" s="3"/>
      <c r="FNO132" s="3"/>
      <c r="FNP132" s="3"/>
      <c r="FNQ132" s="3"/>
      <c r="FNR132" s="3"/>
      <c r="FNS132" s="3"/>
      <c r="FNT132" s="3"/>
      <c r="FNU132" s="3"/>
      <c r="FNV132" s="3"/>
      <c r="FNW132" s="3"/>
      <c r="FNX132" s="3"/>
      <c r="FNY132" s="3"/>
      <c r="FNZ132" s="3"/>
      <c r="FOA132" s="3"/>
      <c r="FOB132" s="3"/>
      <c r="FOC132" s="3"/>
      <c r="FOD132" s="3"/>
      <c r="FOE132" s="3"/>
      <c r="FOF132" s="3"/>
      <c r="FOG132" s="3"/>
      <c r="FOH132" s="3"/>
      <c r="FOI132" s="3"/>
      <c r="FOJ132" s="3"/>
      <c r="FOK132" s="3"/>
      <c r="FOL132" s="3"/>
      <c r="FOM132" s="3"/>
      <c r="FON132" s="3"/>
      <c r="FOO132" s="3"/>
      <c r="FOP132" s="3"/>
      <c r="FOQ132" s="3"/>
      <c r="FOR132" s="3"/>
      <c r="FOS132" s="3"/>
      <c r="FOT132" s="3"/>
      <c r="FOU132" s="3"/>
      <c r="FOV132" s="3"/>
      <c r="FOW132" s="3"/>
      <c r="FOX132" s="3"/>
      <c r="FOY132" s="3"/>
      <c r="FOZ132" s="3"/>
      <c r="FPA132" s="3"/>
      <c r="FPB132" s="3"/>
      <c r="FPC132" s="3"/>
      <c r="FPD132" s="3"/>
      <c r="FPE132" s="3"/>
      <c r="FPF132" s="3"/>
      <c r="FPG132" s="3"/>
      <c r="FPH132" s="3"/>
      <c r="FPI132" s="3"/>
      <c r="FPJ132" s="3"/>
      <c r="FPK132" s="3"/>
      <c r="FPL132" s="3"/>
      <c r="FPM132" s="3"/>
      <c r="FPN132" s="3"/>
      <c r="FPO132" s="3"/>
      <c r="FPP132" s="3"/>
      <c r="FPQ132" s="3"/>
      <c r="FPR132" s="3"/>
      <c r="FPS132" s="3"/>
      <c r="FPT132" s="3"/>
      <c r="FPU132" s="3"/>
      <c r="FPV132" s="3"/>
      <c r="FPW132" s="3"/>
      <c r="FPX132" s="3"/>
      <c r="FPY132" s="3"/>
      <c r="FPZ132" s="3"/>
      <c r="FQA132" s="3"/>
      <c r="FQB132" s="3"/>
      <c r="FQC132" s="3"/>
      <c r="FQD132" s="3"/>
      <c r="FQE132" s="3"/>
      <c r="FQF132" s="3"/>
      <c r="FQG132" s="3"/>
      <c r="FQH132" s="3"/>
      <c r="FQI132" s="3"/>
      <c r="FQJ132" s="3"/>
      <c r="FQK132" s="3"/>
      <c r="FQL132" s="3"/>
      <c r="FQM132" s="3"/>
      <c r="FQN132" s="3"/>
      <c r="FQO132" s="3"/>
      <c r="FQP132" s="3"/>
      <c r="FQQ132" s="3"/>
      <c r="FQR132" s="3"/>
      <c r="FQS132" s="3"/>
      <c r="FQT132" s="3"/>
      <c r="FQU132" s="3"/>
      <c r="FQV132" s="3"/>
      <c r="FQW132" s="3"/>
      <c r="FQX132" s="3"/>
      <c r="FQY132" s="3"/>
      <c r="FQZ132" s="3"/>
      <c r="FRA132" s="3"/>
      <c r="FRB132" s="3"/>
      <c r="FRC132" s="3"/>
      <c r="FRD132" s="3"/>
      <c r="FRE132" s="3"/>
      <c r="FRF132" s="3"/>
      <c r="FRG132" s="3"/>
      <c r="FRH132" s="3"/>
      <c r="FRI132" s="3"/>
      <c r="FRJ132" s="3"/>
      <c r="FRK132" s="3"/>
      <c r="FRL132" s="3"/>
      <c r="FRM132" s="3"/>
      <c r="FRN132" s="3"/>
      <c r="FRO132" s="3"/>
      <c r="FRP132" s="3"/>
      <c r="FRQ132" s="3"/>
      <c r="FRR132" s="3"/>
      <c r="FRS132" s="3"/>
      <c r="FRT132" s="3"/>
      <c r="FRU132" s="3"/>
      <c r="FRV132" s="3"/>
      <c r="FRW132" s="3"/>
      <c r="FRX132" s="3"/>
      <c r="FRY132" s="3"/>
      <c r="FRZ132" s="3"/>
      <c r="FSA132" s="3"/>
      <c r="FSB132" s="3"/>
      <c r="FSC132" s="3"/>
      <c r="FSD132" s="3"/>
      <c r="FSE132" s="3"/>
      <c r="FSF132" s="3"/>
      <c r="FSG132" s="3"/>
      <c r="FSH132" s="3"/>
      <c r="FSI132" s="3"/>
      <c r="FSJ132" s="3"/>
      <c r="FSK132" s="3"/>
      <c r="FSL132" s="3"/>
      <c r="FSM132" s="3"/>
      <c r="FSN132" s="3"/>
      <c r="FSO132" s="3"/>
      <c r="FSP132" s="3"/>
      <c r="FSQ132" s="3"/>
      <c r="FSR132" s="3"/>
      <c r="FSS132" s="3"/>
      <c r="FST132" s="3"/>
      <c r="FSU132" s="3"/>
      <c r="FSV132" s="3"/>
      <c r="FSW132" s="3"/>
      <c r="FSX132" s="3"/>
      <c r="FSY132" s="3"/>
      <c r="FSZ132" s="3"/>
      <c r="FTA132" s="3"/>
      <c r="FTB132" s="3"/>
      <c r="FTC132" s="3"/>
      <c r="FTD132" s="3"/>
      <c r="FTE132" s="3"/>
      <c r="FTF132" s="3"/>
      <c r="FTG132" s="3"/>
      <c r="FTH132" s="3"/>
      <c r="FTI132" s="3"/>
      <c r="FTJ132" s="3"/>
      <c r="FTK132" s="3"/>
      <c r="FTL132" s="3"/>
      <c r="FTM132" s="3"/>
      <c r="FTN132" s="3"/>
      <c r="FTO132" s="3"/>
      <c r="FTP132" s="3"/>
      <c r="FTQ132" s="3"/>
      <c r="FTR132" s="3"/>
      <c r="FTS132" s="3"/>
      <c r="FTT132" s="3"/>
      <c r="FTU132" s="3"/>
      <c r="FTV132" s="3"/>
      <c r="FTW132" s="3"/>
      <c r="FTX132" s="3"/>
      <c r="FTY132" s="3"/>
      <c r="FTZ132" s="3"/>
      <c r="FUA132" s="3"/>
      <c r="FUB132" s="3"/>
      <c r="FUC132" s="3"/>
      <c r="FUD132" s="3"/>
      <c r="FUE132" s="3"/>
      <c r="FUF132" s="3"/>
      <c r="FUG132" s="3"/>
      <c r="FUH132" s="3"/>
      <c r="FUI132" s="3"/>
      <c r="FUJ132" s="3"/>
      <c r="FUK132" s="3"/>
      <c r="FUL132" s="3"/>
      <c r="FUM132" s="3"/>
      <c r="FUN132" s="3"/>
      <c r="FUO132" s="3"/>
      <c r="FUP132" s="3"/>
      <c r="FUQ132" s="3"/>
      <c r="FUR132" s="3"/>
      <c r="FUS132" s="3"/>
      <c r="FUT132" s="3"/>
      <c r="FUU132" s="3"/>
      <c r="FUV132" s="3"/>
      <c r="FUW132" s="3"/>
      <c r="FUX132" s="3"/>
      <c r="FUY132" s="3"/>
      <c r="FUZ132" s="3"/>
      <c r="FVA132" s="3"/>
      <c r="FVB132" s="3"/>
      <c r="FVC132" s="3"/>
      <c r="FVD132" s="3"/>
      <c r="FVE132" s="3"/>
      <c r="FVF132" s="3"/>
      <c r="FVG132" s="3"/>
      <c r="FVH132" s="3"/>
      <c r="FVI132" s="3"/>
      <c r="FVJ132" s="3"/>
      <c r="FVK132" s="3"/>
      <c r="FVL132" s="3"/>
      <c r="FVM132" s="3"/>
      <c r="FVN132" s="3"/>
      <c r="FVO132" s="3"/>
      <c r="FVP132" s="3"/>
      <c r="FVQ132" s="3"/>
      <c r="FVR132" s="3"/>
      <c r="FVS132" s="3"/>
      <c r="FVT132" s="3"/>
      <c r="FVU132" s="3"/>
      <c r="FVV132" s="3"/>
      <c r="FVW132" s="3"/>
      <c r="FVX132" s="3"/>
      <c r="FVY132" s="3"/>
      <c r="FVZ132" s="3"/>
      <c r="FWA132" s="3"/>
      <c r="FWB132" s="3"/>
      <c r="FWC132" s="3"/>
      <c r="FWD132" s="3"/>
      <c r="FWE132" s="3"/>
      <c r="FWF132" s="3"/>
      <c r="FWG132" s="3"/>
      <c r="FWH132" s="3"/>
      <c r="FWI132" s="3"/>
      <c r="FWJ132" s="3"/>
      <c r="FWK132" s="3"/>
      <c r="FWL132" s="3"/>
      <c r="FWM132" s="3"/>
      <c r="FWN132" s="3"/>
      <c r="FWO132" s="3"/>
      <c r="FWP132" s="3"/>
      <c r="FWQ132" s="3"/>
      <c r="FWR132" s="3"/>
      <c r="FWS132" s="3"/>
      <c r="FWT132" s="3"/>
      <c r="FWU132" s="3"/>
      <c r="FWV132" s="3"/>
      <c r="FWW132" s="3"/>
      <c r="FWX132" s="3"/>
      <c r="FWY132" s="3"/>
      <c r="FWZ132" s="3"/>
      <c r="FXA132" s="3"/>
      <c r="FXB132" s="3"/>
      <c r="FXC132" s="3"/>
      <c r="FXD132" s="3"/>
      <c r="FXE132" s="3"/>
      <c r="FXF132" s="3"/>
      <c r="FXG132" s="3"/>
      <c r="FXH132" s="3"/>
      <c r="FXI132" s="3"/>
      <c r="FXJ132" s="3"/>
      <c r="FXK132" s="3"/>
      <c r="FXL132" s="3"/>
      <c r="FXM132" s="3"/>
      <c r="FXN132" s="3"/>
      <c r="FXO132" s="3"/>
      <c r="FXP132" s="3"/>
      <c r="FXQ132" s="3"/>
      <c r="FXR132" s="3"/>
      <c r="FXS132" s="3"/>
      <c r="FXT132" s="3"/>
      <c r="FXU132" s="3"/>
      <c r="FXV132" s="3"/>
      <c r="FXW132" s="3"/>
      <c r="FXX132" s="3"/>
      <c r="FXY132" s="3"/>
      <c r="FXZ132" s="3"/>
      <c r="FYA132" s="3"/>
      <c r="FYB132" s="3"/>
      <c r="FYC132" s="3"/>
      <c r="FYD132" s="3"/>
      <c r="FYE132" s="3"/>
      <c r="FYF132" s="3"/>
      <c r="FYG132" s="3"/>
      <c r="FYH132" s="3"/>
      <c r="FYI132" s="3"/>
      <c r="FYJ132" s="3"/>
      <c r="FYK132" s="3"/>
      <c r="FYL132" s="3"/>
      <c r="FYM132" s="3"/>
      <c r="FYN132" s="3"/>
      <c r="FYO132" s="3"/>
      <c r="FYP132" s="3"/>
      <c r="FYQ132" s="3"/>
      <c r="FYR132" s="3"/>
      <c r="FYS132" s="3"/>
      <c r="FYT132" s="3"/>
      <c r="FYU132" s="3"/>
      <c r="FYV132" s="3"/>
      <c r="FYW132" s="3"/>
      <c r="FYX132" s="3"/>
      <c r="FYY132" s="3"/>
      <c r="FYZ132" s="3"/>
      <c r="FZA132" s="3"/>
      <c r="FZB132" s="3"/>
      <c r="FZC132" s="3"/>
      <c r="FZD132" s="3"/>
      <c r="FZE132" s="3"/>
      <c r="FZF132" s="3"/>
      <c r="FZG132" s="3"/>
      <c r="FZH132" s="3"/>
      <c r="FZI132" s="3"/>
      <c r="FZJ132" s="3"/>
      <c r="FZK132" s="3"/>
      <c r="FZL132" s="3"/>
      <c r="FZM132" s="3"/>
      <c r="FZN132" s="3"/>
      <c r="FZO132" s="3"/>
      <c r="FZP132" s="3"/>
      <c r="FZQ132" s="3"/>
      <c r="FZR132" s="3"/>
      <c r="FZS132" s="3"/>
      <c r="FZT132" s="3"/>
      <c r="FZU132" s="3"/>
      <c r="FZV132" s="3"/>
      <c r="FZW132" s="3"/>
      <c r="FZX132" s="3"/>
      <c r="FZY132" s="3"/>
      <c r="FZZ132" s="3"/>
      <c r="GAA132" s="3"/>
      <c r="GAB132" s="3"/>
      <c r="GAC132" s="3"/>
      <c r="GAD132" s="3"/>
      <c r="GAE132" s="3"/>
      <c r="GAF132" s="3"/>
      <c r="GAG132" s="3"/>
      <c r="GAH132" s="3"/>
      <c r="GAI132" s="3"/>
      <c r="GAJ132" s="3"/>
      <c r="GAK132" s="3"/>
      <c r="GAL132" s="3"/>
      <c r="GAM132" s="3"/>
      <c r="GAN132" s="3"/>
      <c r="GAO132" s="3"/>
      <c r="GAP132" s="3"/>
      <c r="GAQ132" s="3"/>
      <c r="GAR132" s="3"/>
      <c r="GAS132" s="3"/>
      <c r="GAT132" s="3"/>
      <c r="GAU132" s="3"/>
      <c r="GAV132" s="3"/>
      <c r="GAW132" s="3"/>
      <c r="GAX132" s="3"/>
      <c r="GAY132" s="3"/>
      <c r="GAZ132" s="3"/>
      <c r="GBA132" s="3"/>
      <c r="GBB132" s="3"/>
      <c r="GBC132" s="3"/>
      <c r="GBD132" s="3"/>
      <c r="GBE132" s="3"/>
      <c r="GBF132" s="3"/>
      <c r="GBG132" s="3"/>
      <c r="GBH132" s="3"/>
      <c r="GBI132" s="3"/>
      <c r="GBJ132" s="3"/>
      <c r="GBK132" s="3"/>
      <c r="GBL132" s="3"/>
      <c r="GBM132" s="3"/>
      <c r="GBN132" s="3"/>
      <c r="GBO132" s="3"/>
      <c r="GBP132" s="3"/>
      <c r="GBQ132" s="3"/>
      <c r="GBR132" s="3"/>
      <c r="GBS132" s="3"/>
      <c r="GBT132" s="3"/>
      <c r="GBU132" s="3"/>
      <c r="GBV132" s="3"/>
      <c r="GBW132" s="3"/>
      <c r="GBX132" s="3"/>
      <c r="GBY132" s="3"/>
      <c r="GBZ132" s="3"/>
      <c r="GCA132" s="3"/>
      <c r="GCB132" s="3"/>
      <c r="GCC132" s="3"/>
      <c r="GCD132" s="3"/>
      <c r="GCE132" s="3"/>
      <c r="GCF132" s="3"/>
      <c r="GCG132" s="3"/>
      <c r="GCH132" s="3"/>
      <c r="GCI132" s="3"/>
      <c r="GCJ132" s="3"/>
      <c r="GCK132" s="3"/>
      <c r="GCL132" s="3"/>
      <c r="GCM132" s="3"/>
      <c r="GCN132" s="3"/>
      <c r="GCO132" s="3"/>
      <c r="GCP132" s="3"/>
      <c r="GCQ132" s="3"/>
      <c r="GCR132" s="3"/>
      <c r="GCS132" s="3"/>
      <c r="GCT132" s="3"/>
      <c r="GCU132" s="3"/>
      <c r="GCV132" s="3"/>
      <c r="GCW132" s="3"/>
      <c r="GCX132" s="3"/>
      <c r="GCY132" s="3"/>
      <c r="GCZ132" s="3"/>
      <c r="GDA132" s="3"/>
      <c r="GDB132" s="3"/>
      <c r="GDC132" s="3"/>
      <c r="GDD132" s="3"/>
      <c r="GDE132" s="3"/>
      <c r="GDF132" s="3"/>
      <c r="GDG132" s="3"/>
      <c r="GDH132" s="3"/>
      <c r="GDI132" s="3"/>
      <c r="GDJ132" s="3"/>
      <c r="GDK132" s="3"/>
      <c r="GDL132" s="3"/>
      <c r="GDM132" s="3"/>
      <c r="GDN132" s="3"/>
      <c r="GDO132" s="3"/>
      <c r="GDP132" s="3"/>
      <c r="GDQ132" s="3"/>
      <c r="GDR132" s="3"/>
      <c r="GDS132" s="3"/>
      <c r="GDT132" s="3"/>
      <c r="GDU132" s="3"/>
      <c r="GDV132" s="3"/>
      <c r="GDW132" s="3"/>
      <c r="GDX132" s="3"/>
      <c r="GDY132" s="3"/>
      <c r="GDZ132" s="3"/>
      <c r="GEA132" s="3"/>
      <c r="GEB132" s="3"/>
      <c r="GEC132" s="3"/>
      <c r="GED132" s="3"/>
      <c r="GEE132" s="3"/>
      <c r="GEF132" s="3"/>
      <c r="GEG132" s="3"/>
      <c r="GEH132" s="3"/>
      <c r="GEI132" s="3"/>
      <c r="GEJ132" s="3"/>
      <c r="GEK132" s="3"/>
      <c r="GEL132" s="3"/>
      <c r="GEM132" s="3"/>
      <c r="GEN132" s="3"/>
      <c r="GEO132" s="3"/>
      <c r="GEP132" s="3"/>
      <c r="GEQ132" s="3"/>
      <c r="GER132" s="3"/>
      <c r="GES132" s="3"/>
      <c r="GET132" s="3"/>
      <c r="GEU132" s="3"/>
      <c r="GEV132" s="3"/>
      <c r="GEW132" s="3"/>
      <c r="GEX132" s="3"/>
      <c r="GEY132" s="3"/>
      <c r="GEZ132" s="3"/>
      <c r="GFA132" s="3"/>
      <c r="GFB132" s="3"/>
      <c r="GFC132" s="3"/>
      <c r="GFD132" s="3"/>
      <c r="GFE132" s="3"/>
      <c r="GFF132" s="3"/>
      <c r="GFG132" s="3"/>
      <c r="GFH132" s="3"/>
      <c r="GFI132" s="3"/>
      <c r="GFJ132" s="3"/>
      <c r="GFK132" s="3"/>
      <c r="GFL132" s="3"/>
      <c r="GFM132" s="3"/>
      <c r="GFN132" s="3"/>
      <c r="GFO132" s="3"/>
      <c r="GFP132" s="3"/>
      <c r="GFQ132" s="3"/>
      <c r="GFR132" s="3"/>
      <c r="GFS132" s="3"/>
      <c r="GFT132" s="3"/>
      <c r="GFU132" s="3"/>
      <c r="GFV132" s="3"/>
      <c r="GFW132" s="3"/>
      <c r="GFX132" s="3"/>
      <c r="GFY132" s="3"/>
      <c r="GFZ132" s="3"/>
      <c r="GGA132" s="3"/>
      <c r="GGB132" s="3"/>
      <c r="GGC132" s="3"/>
      <c r="GGD132" s="3"/>
      <c r="GGE132" s="3"/>
      <c r="GGF132" s="3"/>
      <c r="GGG132" s="3"/>
      <c r="GGH132" s="3"/>
      <c r="GGI132" s="3"/>
      <c r="GGJ132" s="3"/>
      <c r="GGK132" s="3"/>
      <c r="GGL132" s="3"/>
      <c r="GGM132" s="3"/>
      <c r="GGN132" s="3"/>
      <c r="GGO132" s="3"/>
      <c r="GGP132" s="3"/>
      <c r="GGQ132" s="3"/>
      <c r="GGR132" s="3"/>
      <c r="GGS132" s="3"/>
      <c r="GGT132" s="3"/>
      <c r="GGU132" s="3"/>
      <c r="GGV132" s="3"/>
      <c r="GGW132" s="3"/>
      <c r="GGX132" s="3"/>
      <c r="GGY132" s="3"/>
      <c r="GGZ132" s="3"/>
      <c r="GHA132" s="3"/>
      <c r="GHB132" s="3"/>
      <c r="GHC132" s="3"/>
      <c r="GHD132" s="3"/>
      <c r="GHE132" s="3"/>
      <c r="GHF132" s="3"/>
      <c r="GHG132" s="3"/>
      <c r="GHH132" s="3"/>
      <c r="GHI132" s="3"/>
      <c r="GHJ132" s="3"/>
      <c r="GHK132" s="3"/>
      <c r="GHL132" s="3"/>
      <c r="GHM132" s="3"/>
      <c r="GHN132" s="3"/>
      <c r="GHO132" s="3"/>
      <c r="GHP132" s="3"/>
      <c r="GHQ132" s="3"/>
      <c r="GHR132" s="3"/>
      <c r="GHS132" s="3"/>
      <c r="GHT132" s="3"/>
      <c r="GHU132" s="3"/>
      <c r="GHV132" s="3"/>
      <c r="GHW132" s="3"/>
      <c r="GHX132" s="3"/>
      <c r="GHY132" s="3"/>
      <c r="GHZ132" s="3"/>
      <c r="GIA132" s="3"/>
      <c r="GIB132" s="3"/>
      <c r="GIC132" s="3"/>
      <c r="GID132" s="3"/>
      <c r="GIE132" s="3"/>
      <c r="GIF132" s="3"/>
      <c r="GIG132" s="3"/>
      <c r="GIH132" s="3"/>
      <c r="GII132" s="3"/>
      <c r="GIJ132" s="3"/>
      <c r="GIK132" s="3"/>
      <c r="GIL132" s="3"/>
      <c r="GIM132" s="3"/>
      <c r="GIN132" s="3"/>
      <c r="GIO132" s="3"/>
      <c r="GIP132" s="3"/>
      <c r="GIQ132" s="3"/>
      <c r="GIR132" s="3"/>
      <c r="GIS132" s="3"/>
      <c r="GIT132" s="3"/>
      <c r="GIU132" s="3"/>
      <c r="GIV132" s="3"/>
      <c r="GIW132" s="3"/>
      <c r="GIX132" s="3"/>
      <c r="GIY132" s="3"/>
      <c r="GIZ132" s="3"/>
      <c r="GJA132" s="3"/>
      <c r="GJB132" s="3"/>
      <c r="GJC132" s="3"/>
      <c r="GJD132" s="3"/>
      <c r="GJE132" s="3"/>
      <c r="GJF132" s="3"/>
      <c r="GJG132" s="3"/>
      <c r="GJH132" s="3"/>
      <c r="GJI132" s="3"/>
      <c r="GJJ132" s="3"/>
      <c r="GJK132" s="3"/>
      <c r="GJL132" s="3"/>
      <c r="GJM132" s="3"/>
      <c r="GJN132" s="3"/>
      <c r="GJO132" s="3"/>
      <c r="GJP132" s="3"/>
      <c r="GJQ132" s="3"/>
      <c r="GJR132" s="3"/>
      <c r="GJS132" s="3"/>
      <c r="GJT132" s="3"/>
      <c r="GJU132" s="3"/>
      <c r="GJV132" s="3"/>
      <c r="GJW132" s="3"/>
      <c r="GJX132" s="3"/>
      <c r="GJY132" s="3"/>
      <c r="GJZ132" s="3"/>
      <c r="GKA132" s="3"/>
      <c r="GKB132" s="3"/>
      <c r="GKC132" s="3"/>
      <c r="GKD132" s="3"/>
      <c r="GKE132" s="3"/>
      <c r="GKF132" s="3"/>
      <c r="GKG132" s="3"/>
      <c r="GKH132" s="3"/>
      <c r="GKI132" s="3"/>
      <c r="GKJ132" s="3"/>
      <c r="GKK132" s="3"/>
      <c r="GKL132" s="3"/>
      <c r="GKM132" s="3"/>
      <c r="GKN132" s="3"/>
      <c r="GKO132" s="3"/>
      <c r="GKP132" s="3"/>
      <c r="GKQ132" s="3"/>
      <c r="GKR132" s="3"/>
      <c r="GKS132" s="3"/>
      <c r="GKT132" s="3"/>
      <c r="GKU132" s="3"/>
      <c r="GKV132" s="3"/>
      <c r="GKW132" s="3"/>
      <c r="GKX132" s="3"/>
      <c r="GKY132" s="3"/>
      <c r="GKZ132" s="3"/>
      <c r="GLA132" s="3"/>
      <c r="GLB132" s="3"/>
      <c r="GLC132" s="3"/>
      <c r="GLD132" s="3"/>
      <c r="GLE132" s="3"/>
      <c r="GLF132" s="3"/>
      <c r="GLG132" s="3"/>
      <c r="GLH132" s="3"/>
      <c r="GLI132" s="3"/>
      <c r="GLJ132" s="3"/>
      <c r="GLK132" s="3"/>
      <c r="GLL132" s="3"/>
      <c r="GLM132" s="3"/>
      <c r="GLN132" s="3"/>
      <c r="GLO132" s="3"/>
      <c r="GLP132" s="3"/>
      <c r="GLQ132" s="3"/>
      <c r="GLR132" s="3"/>
      <c r="GLS132" s="3"/>
      <c r="GLT132" s="3"/>
      <c r="GLU132" s="3"/>
      <c r="GLV132" s="3"/>
      <c r="GLW132" s="3"/>
      <c r="GLX132" s="3"/>
      <c r="GLY132" s="3"/>
      <c r="GLZ132" s="3"/>
      <c r="GMA132" s="3"/>
      <c r="GMB132" s="3"/>
      <c r="GMC132" s="3"/>
      <c r="GMD132" s="3"/>
      <c r="GME132" s="3"/>
      <c r="GMF132" s="3"/>
      <c r="GMG132" s="3"/>
      <c r="GMH132" s="3"/>
      <c r="GMI132" s="3"/>
      <c r="GMJ132" s="3"/>
      <c r="GMK132" s="3"/>
      <c r="GML132" s="3"/>
      <c r="GMM132" s="3"/>
      <c r="GMN132" s="3"/>
      <c r="GMO132" s="3"/>
      <c r="GMP132" s="3"/>
      <c r="GMQ132" s="3"/>
      <c r="GMR132" s="3"/>
      <c r="GMS132" s="3"/>
      <c r="GMT132" s="3"/>
      <c r="GMU132" s="3"/>
      <c r="GMV132" s="3"/>
      <c r="GMW132" s="3"/>
      <c r="GMX132" s="3"/>
      <c r="GMY132" s="3"/>
      <c r="GMZ132" s="3"/>
      <c r="GNA132" s="3"/>
      <c r="GNB132" s="3"/>
      <c r="GNC132" s="3"/>
      <c r="GND132" s="3"/>
      <c r="GNE132" s="3"/>
      <c r="GNF132" s="3"/>
      <c r="GNG132" s="3"/>
      <c r="GNH132" s="3"/>
      <c r="GNI132" s="3"/>
      <c r="GNJ132" s="3"/>
      <c r="GNK132" s="3"/>
      <c r="GNL132" s="3"/>
      <c r="GNM132" s="3"/>
      <c r="GNN132" s="3"/>
      <c r="GNO132" s="3"/>
      <c r="GNP132" s="3"/>
      <c r="GNQ132" s="3"/>
      <c r="GNR132" s="3"/>
      <c r="GNS132" s="3"/>
      <c r="GNT132" s="3"/>
      <c r="GNU132" s="3"/>
      <c r="GNV132" s="3"/>
      <c r="GNW132" s="3"/>
      <c r="GNX132" s="3"/>
      <c r="GNY132" s="3"/>
      <c r="GNZ132" s="3"/>
      <c r="GOA132" s="3"/>
      <c r="GOB132" s="3"/>
      <c r="GOC132" s="3"/>
      <c r="GOD132" s="3"/>
      <c r="GOE132" s="3"/>
      <c r="GOF132" s="3"/>
      <c r="GOG132" s="3"/>
      <c r="GOH132" s="3"/>
      <c r="GOI132" s="3"/>
      <c r="GOJ132" s="3"/>
      <c r="GOK132" s="3"/>
      <c r="GOL132" s="3"/>
      <c r="GOM132" s="3"/>
      <c r="GON132" s="3"/>
      <c r="GOO132" s="3"/>
      <c r="GOP132" s="3"/>
      <c r="GOQ132" s="3"/>
      <c r="GOR132" s="3"/>
      <c r="GOS132" s="3"/>
      <c r="GOT132" s="3"/>
      <c r="GOU132" s="3"/>
      <c r="GOV132" s="3"/>
      <c r="GOW132" s="3"/>
      <c r="GOX132" s="3"/>
      <c r="GOY132" s="3"/>
      <c r="GOZ132" s="3"/>
      <c r="GPA132" s="3"/>
      <c r="GPB132" s="3"/>
      <c r="GPC132" s="3"/>
      <c r="GPD132" s="3"/>
      <c r="GPE132" s="3"/>
      <c r="GPF132" s="3"/>
      <c r="GPG132" s="3"/>
      <c r="GPH132" s="3"/>
      <c r="GPI132" s="3"/>
      <c r="GPJ132" s="3"/>
      <c r="GPK132" s="3"/>
      <c r="GPL132" s="3"/>
      <c r="GPM132" s="3"/>
      <c r="GPN132" s="3"/>
      <c r="GPO132" s="3"/>
      <c r="GPP132" s="3"/>
      <c r="GPQ132" s="3"/>
      <c r="GPR132" s="3"/>
      <c r="GPS132" s="3"/>
      <c r="GPT132" s="3"/>
      <c r="GPU132" s="3"/>
      <c r="GPV132" s="3"/>
      <c r="GPW132" s="3"/>
      <c r="GPX132" s="3"/>
      <c r="GPY132" s="3"/>
      <c r="GPZ132" s="3"/>
      <c r="GQA132" s="3"/>
      <c r="GQB132" s="3"/>
      <c r="GQC132" s="3"/>
      <c r="GQD132" s="3"/>
      <c r="GQE132" s="3"/>
      <c r="GQF132" s="3"/>
      <c r="GQG132" s="3"/>
      <c r="GQH132" s="3"/>
      <c r="GQI132" s="3"/>
      <c r="GQJ132" s="3"/>
      <c r="GQK132" s="3"/>
      <c r="GQL132" s="3"/>
      <c r="GQM132" s="3"/>
      <c r="GQN132" s="3"/>
      <c r="GQO132" s="3"/>
      <c r="GQP132" s="3"/>
      <c r="GQQ132" s="3"/>
      <c r="GQR132" s="3"/>
      <c r="GQS132" s="3"/>
      <c r="GQT132" s="3"/>
      <c r="GQU132" s="3"/>
      <c r="GQV132" s="3"/>
      <c r="GQW132" s="3"/>
      <c r="GQX132" s="3"/>
      <c r="GQY132" s="3"/>
      <c r="GQZ132" s="3"/>
      <c r="GRA132" s="3"/>
      <c r="GRB132" s="3"/>
      <c r="GRC132" s="3"/>
      <c r="GRD132" s="3"/>
      <c r="GRE132" s="3"/>
      <c r="GRF132" s="3"/>
      <c r="GRG132" s="3"/>
      <c r="GRH132" s="3"/>
      <c r="GRI132" s="3"/>
      <c r="GRJ132" s="3"/>
      <c r="GRK132" s="3"/>
      <c r="GRL132" s="3"/>
      <c r="GRM132" s="3"/>
      <c r="GRN132" s="3"/>
      <c r="GRO132" s="3"/>
      <c r="GRP132" s="3"/>
      <c r="GRQ132" s="3"/>
      <c r="GRR132" s="3"/>
      <c r="GRS132" s="3"/>
      <c r="GRT132" s="3"/>
      <c r="GRU132" s="3"/>
      <c r="GRV132" s="3"/>
      <c r="GRW132" s="3"/>
      <c r="GRX132" s="3"/>
      <c r="GRY132" s="3"/>
      <c r="GRZ132" s="3"/>
      <c r="GSA132" s="3"/>
      <c r="GSB132" s="3"/>
      <c r="GSC132" s="3"/>
      <c r="GSD132" s="3"/>
      <c r="GSE132" s="3"/>
      <c r="GSF132" s="3"/>
      <c r="GSG132" s="3"/>
      <c r="GSH132" s="3"/>
      <c r="GSI132" s="3"/>
      <c r="GSJ132" s="3"/>
      <c r="GSK132" s="3"/>
      <c r="GSL132" s="3"/>
      <c r="GSM132" s="3"/>
      <c r="GSN132" s="3"/>
      <c r="GSO132" s="3"/>
      <c r="GSP132" s="3"/>
      <c r="GSQ132" s="3"/>
      <c r="GSR132" s="3"/>
      <c r="GSS132" s="3"/>
      <c r="GST132" s="3"/>
      <c r="GSU132" s="3"/>
      <c r="GSV132" s="3"/>
      <c r="GSW132" s="3"/>
      <c r="GSX132" s="3"/>
      <c r="GSY132" s="3"/>
      <c r="GSZ132" s="3"/>
      <c r="GTA132" s="3"/>
      <c r="GTB132" s="3"/>
      <c r="GTC132" s="3"/>
      <c r="GTD132" s="3"/>
      <c r="GTE132" s="3"/>
      <c r="GTF132" s="3"/>
      <c r="GTG132" s="3"/>
      <c r="GTH132" s="3"/>
      <c r="GTI132" s="3"/>
      <c r="GTJ132" s="3"/>
      <c r="GTK132" s="3"/>
      <c r="GTL132" s="3"/>
      <c r="GTM132" s="3"/>
      <c r="GTN132" s="3"/>
      <c r="GTO132" s="3"/>
      <c r="GTP132" s="3"/>
      <c r="GTQ132" s="3"/>
      <c r="GTR132" s="3"/>
      <c r="GTS132" s="3"/>
      <c r="GTT132" s="3"/>
      <c r="GTU132" s="3"/>
      <c r="GTV132" s="3"/>
      <c r="GTW132" s="3"/>
      <c r="GTX132" s="3"/>
      <c r="GTY132" s="3"/>
      <c r="GTZ132" s="3"/>
      <c r="GUA132" s="3"/>
      <c r="GUB132" s="3"/>
      <c r="GUC132" s="3"/>
      <c r="GUD132" s="3"/>
      <c r="GUE132" s="3"/>
      <c r="GUF132" s="3"/>
      <c r="GUG132" s="3"/>
      <c r="GUH132" s="3"/>
      <c r="GUI132" s="3"/>
      <c r="GUJ132" s="3"/>
      <c r="GUK132" s="3"/>
      <c r="GUL132" s="3"/>
      <c r="GUM132" s="3"/>
      <c r="GUN132" s="3"/>
      <c r="GUO132" s="3"/>
      <c r="GUP132" s="3"/>
      <c r="GUQ132" s="3"/>
      <c r="GUR132" s="3"/>
      <c r="GUS132" s="3"/>
      <c r="GUT132" s="3"/>
      <c r="GUU132" s="3"/>
      <c r="GUV132" s="3"/>
      <c r="GUW132" s="3"/>
      <c r="GUX132" s="3"/>
      <c r="GUY132" s="3"/>
      <c r="GUZ132" s="3"/>
      <c r="GVA132" s="3"/>
      <c r="GVB132" s="3"/>
      <c r="GVC132" s="3"/>
      <c r="GVD132" s="3"/>
      <c r="GVE132" s="3"/>
      <c r="GVF132" s="3"/>
      <c r="GVG132" s="3"/>
      <c r="GVH132" s="3"/>
      <c r="GVI132" s="3"/>
      <c r="GVJ132" s="3"/>
      <c r="GVK132" s="3"/>
      <c r="GVL132" s="3"/>
      <c r="GVM132" s="3"/>
      <c r="GVN132" s="3"/>
      <c r="GVO132" s="3"/>
      <c r="GVP132" s="3"/>
      <c r="GVQ132" s="3"/>
      <c r="GVR132" s="3"/>
      <c r="GVS132" s="3"/>
      <c r="GVT132" s="3"/>
      <c r="GVU132" s="3"/>
      <c r="GVV132" s="3"/>
      <c r="GVW132" s="3"/>
      <c r="GVX132" s="3"/>
      <c r="GVY132" s="3"/>
      <c r="GVZ132" s="3"/>
      <c r="GWA132" s="3"/>
      <c r="GWB132" s="3"/>
      <c r="GWC132" s="3"/>
      <c r="GWD132" s="3"/>
      <c r="GWE132" s="3"/>
      <c r="GWF132" s="3"/>
      <c r="GWG132" s="3"/>
      <c r="GWH132" s="3"/>
      <c r="GWI132" s="3"/>
      <c r="GWJ132" s="3"/>
      <c r="GWK132" s="3"/>
      <c r="GWL132" s="3"/>
      <c r="GWM132" s="3"/>
      <c r="GWN132" s="3"/>
      <c r="GWO132" s="3"/>
      <c r="GWP132" s="3"/>
      <c r="GWQ132" s="3"/>
      <c r="GWR132" s="3"/>
      <c r="GWS132" s="3"/>
      <c r="GWT132" s="3"/>
      <c r="GWU132" s="3"/>
      <c r="GWV132" s="3"/>
      <c r="GWW132" s="3"/>
      <c r="GWX132" s="3"/>
      <c r="GWY132" s="3"/>
      <c r="GWZ132" s="3"/>
      <c r="GXA132" s="3"/>
      <c r="GXB132" s="3"/>
      <c r="GXC132" s="3"/>
      <c r="GXD132" s="3"/>
      <c r="GXE132" s="3"/>
      <c r="GXF132" s="3"/>
      <c r="GXG132" s="3"/>
      <c r="GXH132" s="3"/>
      <c r="GXI132" s="3"/>
      <c r="GXJ132" s="3"/>
      <c r="GXK132" s="3"/>
      <c r="GXL132" s="3"/>
      <c r="GXM132" s="3"/>
      <c r="GXN132" s="3"/>
      <c r="GXO132" s="3"/>
      <c r="GXP132" s="3"/>
      <c r="GXQ132" s="3"/>
      <c r="GXR132" s="3"/>
      <c r="GXS132" s="3"/>
      <c r="GXT132" s="3"/>
      <c r="GXU132" s="3"/>
      <c r="GXV132" s="3"/>
      <c r="GXW132" s="3"/>
      <c r="GXX132" s="3"/>
      <c r="GXY132" s="3"/>
      <c r="GXZ132" s="3"/>
      <c r="GYA132" s="3"/>
      <c r="GYB132" s="3"/>
      <c r="GYC132" s="3"/>
      <c r="GYD132" s="3"/>
      <c r="GYE132" s="3"/>
      <c r="GYF132" s="3"/>
      <c r="GYG132" s="3"/>
      <c r="GYH132" s="3"/>
      <c r="GYI132" s="3"/>
      <c r="GYJ132" s="3"/>
      <c r="GYK132" s="3"/>
      <c r="GYL132" s="3"/>
      <c r="GYM132" s="3"/>
      <c r="GYN132" s="3"/>
      <c r="GYO132" s="3"/>
      <c r="GYP132" s="3"/>
      <c r="GYQ132" s="3"/>
      <c r="GYR132" s="3"/>
      <c r="GYS132" s="3"/>
      <c r="GYT132" s="3"/>
      <c r="GYU132" s="3"/>
      <c r="GYV132" s="3"/>
      <c r="GYW132" s="3"/>
      <c r="GYX132" s="3"/>
      <c r="GYY132" s="3"/>
      <c r="GYZ132" s="3"/>
      <c r="GZA132" s="3"/>
      <c r="GZB132" s="3"/>
      <c r="GZC132" s="3"/>
      <c r="GZD132" s="3"/>
      <c r="GZE132" s="3"/>
      <c r="GZF132" s="3"/>
      <c r="GZG132" s="3"/>
      <c r="GZH132" s="3"/>
      <c r="GZI132" s="3"/>
      <c r="GZJ132" s="3"/>
      <c r="GZK132" s="3"/>
      <c r="GZL132" s="3"/>
      <c r="GZM132" s="3"/>
      <c r="GZN132" s="3"/>
      <c r="GZO132" s="3"/>
      <c r="GZP132" s="3"/>
      <c r="GZQ132" s="3"/>
      <c r="GZR132" s="3"/>
      <c r="GZS132" s="3"/>
      <c r="GZT132" s="3"/>
      <c r="GZU132" s="3"/>
      <c r="GZV132" s="3"/>
      <c r="GZW132" s="3"/>
      <c r="GZX132" s="3"/>
      <c r="GZY132" s="3"/>
      <c r="GZZ132" s="3"/>
      <c r="HAA132" s="3"/>
      <c r="HAB132" s="3"/>
      <c r="HAC132" s="3"/>
      <c r="HAD132" s="3"/>
      <c r="HAE132" s="3"/>
      <c r="HAF132" s="3"/>
      <c r="HAG132" s="3"/>
      <c r="HAH132" s="3"/>
      <c r="HAI132" s="3"/>
      <c r="HAJ132" s="3"/>
      <c r="HAK132" s="3"/>
      <c r="HAL132" s="3"/>
      <c r="HAM132" s="3"/>
      <c r="HAN132" s="3"/>
      <c r="HAO132" s="3"/>
      <c r="HAP132" s="3"/>
      <c r="HAQ132" s="3"/>
      <c r="HAR132" s="3"/>
      <c r="HAS132" s="3"/>
      <c r="HAT132" s="3"/>
      <c r="HAU132" s="3"/>
      <c r="HAV132" s="3"/>
      <c r="HAW132" s="3"/>
      <c r="HAX132" s="3"/>
      <c r="HAY132" s="3"/>
      <c r="HAZ132" s="3"/>
      <c r="HBA132" s="3"/>
      <c r="HBB132" s="3"/>
      <c r="HBC132" s="3"/>
      <c r="HBD132" s="3"/>
      <c r="HBE132" s="3"/>
      <c r="HBF132" s="3"/>
      <c r="HBG132" s="3"/>
      <c r="HBH132" s="3"/>
      <c r="HBI132" s="3"/>
      <c r="HBJ132" s="3"/>
      <c r="HBK132" s="3"/>
      <c r="HBL132" s="3"/>
      <c r="HBM132" s="3"/>
      <c r="HBN132" s="3"/>
      <c r="HBO132" s="3"/>
      <c r="HBP132" s="3"/>
      <c r="HBQ132" s="3"/>
      <c r="HBR132" s="3"/>
      <c r="HBS132" s="3"/>
      <c r="HBT132" s="3"/>
      <c r="HBU132" s="3"/>
      <c r="HBV132" s="3"/>
      <c r="HBW132" s="3"/>
      <c r="HBX132" s="3"/>
      <c r="HBY132" s="3"/>
      <c r="HBZ132" s="3"/>
      <c r="HCA132" s="3"/>
      <c r="HCB132" s="3"/>
      <c r="HCC132" s="3"/>
      <c r="HCD132" s="3"/>
      <c r="HCE132" s="3"/>
      <c r="HCF132" s="3"/>
      <c r="HCG132" s="3"/>
      <c r="HCH132" s="3"/>
      <c r="HCI132" s="3"/>
      <c r="HCJ132" s="3"/>
      <c r="HCK132" s="3"/>
      <c r="HCL132" s="3"/>
      <c r="HCM132" s="3"/>
      <c r="HCN132" s="3"/>
      <c r="HCO132" s="3"/>
      <c r="HCP132" s="3"/>
      <c r="HCQ132" s="3"/>
      <c r="HCR132" s="3"/>
      <c r="HCS132" s="3"/>
      <c r="HCT132" s="3"/>
      <c r="HCU132" s="3"/>
      <c r="HCV132" s="3"/>
      <c r="HCW132" s="3"/>
      <c r="HCX132" s="3"/>
      <c r="HCY132" s="3"/>
      <c r="HCZ132" s="3"/>
      <c r="HDA132" s="3"/>
      <c r="HDB132" s="3"/>
      <c r="HDC132" s="3"/>
      <c r="HDD132" s="3"/>
      <c r="HDE132" s="3"/>
      <c r="HDF132" s="3"/>
      <c r="HDG132" s="3"/>
      <c r="HDH132" s="3"/>
      <c r="HDI132" s="3"/>
      <c r="HDJ132" s="3"/>
      <c r="HDK132" s="3"/>
      <c r="HDL132" s="3"/>
      <c r="HDM132" s="3"/>
      <c r="HDN132" s="3"/>
      <c r="HDO132" s="3"/>
      <c r="HDP132" s="3"/>
      <c r="HDQ132" s="3"/>
      <c r="HDR132" s="3"/>
      <c r="HDS132" s="3"/>
      <c r="HDT132" s="3"/>
      <c r="HDU132" s="3"/>
      <c r="HDV132" s="3"/>
      <c r="HDW132" s="3"/>
      <c r="HDX132" s="3"/>
      <c r="HDY132" s="3"/>
      <c r="HDZ132" s="3"/>
      <c r="HEA132" s="3"/>
      <c r="HEB132" s="3"/>
      <c r="HEC132" s="3"/>
      <c r="HED132" s="3"/>
      <c r="HEE132" s="3"/>
      <c r="HEF132" s="3"/>
      <c r="HEG132" s="3"/>
      <c r="HEH132" s="3"/>
      <c r="HEI132" s="3"/>
      <c r="HEJ132" s="3"/>
      <c r="HEK132" s="3"/>
      <c r="HEL132" s="3"/>
      <c r="HEM132" s="3"/>
      <c r="HEN132" s="3"/>
      <c r="HEO132" s="3"/>
      <c r="HEP132" s="3"/>
      <c r="HEQ132" s="3"/>
      <c r="HER132" s="3"/>
      <c r="HES132" s="3"/>
      <c r="HET132" s="3"/>
      <c r="HEU132" s="3"/>
      <c r="HEV132" s="3"/>
      <c r="HEW132" s="3"/>
      <c r="HEX132" s="3"/>
      <c r="HEY132" s="3"/>
      <c r="HEZ132" s="3"/>
      <c r="HFA132" s="3"/>
      <c r="HFB132" s="3"/>
      <c r="HFC132" s="3"/>
      <c r="HFD132" s="3"/>
      <c r="HFE132" s="3"/>
      <c r="HFF132" s="3"/>
      <c r="HFG132" s="3"/>
      <c r="HFH132" s="3"/>
      <c r="HFI132" s="3"/>
      <c r="HFJ132" s="3"/>
      <c r="HFK132" s="3"/>
      <c r="HFL132" s="3"/>
      <c r="HFM132" s="3"/>
      <c r="HFN132" s="3"/>
      <c r="HFO132" s="3"/>
      <c r="HFP132" s="3"/>
      <c r="HFQ132" s="3"/>
      <c r="HFR132" s="3"/>
      <c r="HFS132" s="3"/>
      <c r="HFT132" s="3"/>
      <c r="HFU132" s="3"/>
      <c r="HFV132" s="3"/>
      <c r="HFW132" s="3"/>
      <c r="HFX132" s="3"/>
      <c r="HFY132" s="3"/>
      <c r="HFZ132" s="3"/>
      <c r="HGA132" s="3"/>
      <c r="HGB132" s="3"/>
      <c r="HGC132" s="3"/>
      <c r="HGD132" s="3"/>
      <c r="HGE132" s="3"/>
      <c r="HGF132" s="3"/>
      <c r="HGG132" s="3"/>
      <c r="HGH132" s="3"/>
      <c r="HGI132" s="3"/>
      <c r="HGJ132" s="3"/>
      <c r="HGK132" s="3"/>
      <c r="HGL132" s="3"/>
      <c r="HGM132" s="3"/>
      <c r="HGN132" s="3"/>
      <c r="HGO132" s="3"/>
      <c r="HGP132" s="3"/>
      <c r="HGQ132" s="3"/>
      <c r="HGR132" s="3"/>
      <c r="HGS132" s="3"/>
      <c r="HGT132" s="3"/>
      <c r="HGU132" s="3"/>
      <c r="HGV132" s="3"/>
      <c r="HGW132" s="3"/>
      <c r="HGX132" s="3"/>
      <c r="HGY132" s="3"/>
      <c r="HGZ132" s="3"/>
      <c r="HHA132" s="3"/>
      <c r="HHB132" s="3"/>
      <c r="HHC132" s="3"/>
      <c r="HHD132" s="3"/>
      <c r="HHE132" s="3"/>
      <c r="HHF132" s="3"/>
      <c r="HHG132" s="3"/>
      <c r="HHH132" s="3"/>
      <c r="HHI132" s="3"/>
      <c r="HHJ132" s="3"/>
      <c r="HHK132" s="3"/>
      <c r="HHL132" s="3"/>
      <c r="HHM132" s="3"/>
      <c r="HHN132" s="3"/>
      <c r="HHO132" s="3"/>
      <c r="HHP132" s="3"/>
      <c r="HHQ132" s="3"/>
      <c r="HHR132" s="3"/>
      <c r="HHS132" s="3"/>
      <c r="HHT132" s="3"/>
      <c r="HHU132" s="3"/>
      <c r="HHV132" s="3"/>
      <c r="HHW132" s="3"/>
      <c r="HHX132" s="3"/>
      <c r="HHY132" s="3"/>
      <c r="HHZ132" s="3"/>
      <c r="HIA132" s="3"/>
      <c r="HIB132" s="3"/>
      <c r="HIC132" s="3"/>
      <c r="HID132" s="3"/>
      <c r="HIE132" s="3"/>
      <c r="HIF132" s="3"/>
      <c r="HIG132" s="3"/>
      <c r="HIH132" s="3"/>
      <c r="HII132" s="3"/>
      <c r="HIJ132" s="3"/>
      <c r="HIK132" s="3"/>
      <c r="HIL132" s="3"/>
      <c r="HIM132" s="3"/>
      <c r="HIN132" s="3"/>
      <c r="HIO132" s="3"/>
      <c r="HIP132" s="3"/>
      <c r="HIQ132" s="3"/>
      <c r="HIR132" s="3"/>
      <c r="HIS132" s="3"/>
      <c r="HIT132" s="3"/>
      <c r="HIU132" s="3"/>
      <c r="HIV132" s="3"/>
      <c r="HIW132" s="3"/>
      <c r="HIX132" s="3"/>
      <c r="HIY132" s="3"/>
      <c r="HIZ132" s="3"/>
      <c r="HJA132" s="3"/>
      <c r="HJB132" s="3"/>
      <c r="HJC132" s="3"/>
      <c r="HJD132" s="3"/>
      <c r="HJE132" s="3"/>
      <c r="HJF132" s="3"/>
      <c r="HJG132" s="3"/>
      <c r="HJH132" s="3"/>
      <c r="HJI132" s="3"/>
      <c r="HJJ132" s="3"/>
      <c r="HJK132" s="3"/>
      <c r="HJL132" s="3"/>
      <c r="HJM132" s="3"/>
      <c r="HJN132" s="3"/>
      <c r="HJO132" s="3"/>
      <c r="HJP132" s="3"/>
      <c r="HJQ132" s="3"/>
      <c r="HJR132" s="3"/>
      <c r="HJS132" s="3"/>
      <c r="HJT132" s="3"/>
      <c r="HJU132" s="3"/>
      <c r="HJV132" s="3"/>
      <c r="HJW132" s="3"/>
      <c r="HJX132" s="3"/>
      <c r="HJY132" s="3"/>
      <c r="HJZ132" s="3"/>
      <c r="HKA132" s="3"/>
      <c r="HKB132" s="3"/>
      <c r="HKC132" s="3"/>
      <c r="HKD132" s="3"/>
      <c r="HKE132" s="3"/>
      <c r="HKF132" s="3"/>
      <c r="HKG132" s="3"/>
      <c r="HKH132" s="3"/>
      <c r="HKI132" s="3"/>
      <c r="HKJ132" s="3"/>
      <c r="HKK132" s="3"/>
      <c r="HKL132" s="3"/>
      <c r="HKM132" s="3"/>
      <c r="HKN132" s="3"/>
      <c r="HKO132" s="3"/>
      <c r="HKP132" s="3"/>
      <c r="HKQ132" s="3"/>
      <c r="HKR132" s="3"/>
      <c r="HKS132" s="3"/>
      <c r="HKT132" s="3"/>
      <c r="HKU132" s="3"/>
      <c r="HKV132" s="3"/>
      <c r="HKW132" s="3"/>
      <c r="HKX132" s="3"/>
      <c r="HKY132" s="3"/>
      <c r="HKZ132" s="3"/>
      <c r="HLA132" s="3"/>
      <c r="HLB132" s="3"/>
      <c r="HLC132" s="3"/>
      <c r="HLD132" s="3"/>
      <c r="HLE132" s="3"/>
      <c r="HLF132" s="3"/>
      <c r="HLG132" s="3"/>
      <c r="HLH132" s="3"/>
      <c r="HLI132" s="3"/>
      <c r="HLJ132" s="3"/>
      <c r="HLK132" s="3"/>
      <c r="HLL132" s="3"/>
      <c r="HLM132" s="3"/>
      <c r="HLN132" s="3"/>
      <c r="HLO132" s="3"/>
      <c r="HLP132" s="3"/>
      <c r="HLQ132" s="3"/>
      <c r="HLR132" s="3"/>
      <c r="HLS132" s="3"/>
      <c r="HLT132" s="3"/>
      <c r="HLU132" s="3"/>
      <c r="HLV132" s="3"/>
      <c r="HLW132" s="3"/>
      <c r="HLX132" s="3"/>
      <c r="HLY132" s="3"/>
      <c r="HLZ132" s="3"/>
      <c r="HMA132" s="3"/>
      <c r="HMB132" s="3"/>
      <c r="HMC132" s="3"/>
      <c r="HMD132" s="3"/>
      <c r="HME132" s="3"/>
      <c r="HMF132" s="3"/>
      <c r="HMG132" s="3"/>
      <c r="HMH132" s="3"/>
      <c r="HMI132" s="3"/>
      <c r="HMJ132" s="3"/>
      <c r="HMK132" s="3"/>
      <c r="HML132" s="3"/>
      <c r="HMM132" s="3"/>
      <c r="HMN132" s="3"/>
      <c r="HMO132" s="3"/>
      <c r="HMP132" s="3"/>
      <c r="HMQ132" s="3"/>
      <c r="HMR132" s="3"/>
      <c r="HMS132" s="3"/>
      <c r="HMT132" s="3"/>
      <c r="HMU132" s="3"/>
      <c r="HMV132" s="3"/>
      <c r="HMW132" s="3"/>
      <c r="HMX132" s="3"/>
      <c r="HMY132" s="3"/>
      <c r="HMZ132" s="3"/>
      <c r="HNA132" s="3"/>
      <c r="HNB132" s="3"/>
      <c r="HNC132" s="3"/>
      <c r="HND132" s="3"/>
      <c r="HNE132" s="3"/>
      <c r="HNF132" s="3"/>
      <c r="HNG132" s="3"/>
      <c r="HNH132" s="3"/>
      <c r="HNI132" s="3"/>
      <c r="HNJ132" s="3"/>
      <c r="HNK132" s="3"/>
      <c r="HNL132" s="3"/>
      <c r="HNM132" s="3"/>
      <c r="HNN132" s="3"/>
      <c r="HNO132" s="3"/>
      <c r="HNP132" s="3"/>
      <c r="HNQ132" s="3"/>
      <c r="HNR132" s="3"/>
      <c r="HNS132" s="3"/>
      <c r="HNT132" s="3"/>
      <c r="HNU132" s="3"/>
      <c r="HNV132" s="3"/>
      <c r="HNW132" s="3"/>
      <c r="HNX132" s="3"/>
      <c r="HNY132" s="3"/>
      <c r="HNZ132" s="3"/>
      <c r="HOA132" s="3"/>
      <c r="HOB132" s="3"/>
      <c r="HOC132" s="3"/>
      <c r="HOD132" s="3"/>
      <c r="HOE132" s="3"/>
      <c r="HOF132" s="3"/>
      <c r="HOG132" s="3"/>
      <c r="HOH132" s="3"/>
      <c r="HOI132" s="3"/>
      <c r="HOJ132" s="3"/>
      <c r="HOK132" s="3"/>
      <c r="HOL132" s="3"/>
      <c r="HOM132" s="3"/>
      <c r="HON132" s="3"/>
      <c r="HOO132" s="3"/>
      <c r="HOP132" s="3"/>
      <c r="HOQ132" s="3"/>
      <c r="HOR132" s="3"/>
      <c r="HOS132" s="3"/>
      <c r="HOT132" s="3"/>
      <c r="HOU132" s="3"/>
      <c r="HOV132" s="3"/>
      <c r="HOW132" s="3"/>
      <c r="HOX132" s="3"/>
      <c r="HOY132" s="3"/>
      <c r="HOZ132" s="3"/>
      <c r="HPA132" s="3"/>
      <c r="HPB132" s="3"/>
      <c r="HPC132" s="3"/>
      <c r="HPD132" s="3"/>
      <c r="HPE132" s="3"/>
      <c r="HPF132" s="3"/>
      <c r="HPG132" s="3"/>
      <c r="HPH132" s="3"/>
      <c r="HPI132" s="3"/>
      <c r="HPJ132" s="3"/>
      <c r="HPK132" s="3"/>
      <c r="HPL132" s="3"/>
      <c r="HPM132" s="3"/>
      <c r="HPN132" s="3"/>
      <c r="HPO132" s="3"/>
      <c r="HPP132" s="3"/>
      <c r="HPQ132" s="3"/>
      <c r="HPR132" s="3"/>
      <c r="HPS132" s="3"/>
      <c r="HPT132" s="3"/>
      <c r="HPU132" s="3"/>
      <c r="HPV132" s="3"/>
      <c r="HPW132" s="3"/>
      <c r="HPX132" s="3"/>
      <c r="HPY132" s="3"/>
      <c r="HPZ132" s="3"/>
      <c r="HQA132" s="3"/>
      <c r="HQB132" s="3"/>
      <c r="HQC132" s="3"/>
      <c r="HQD132" s="3"/>
      <c r="HQE132" s="3"/>
      <c r="HQF132" s="3"/>
      <c r="HQG132" s="3"/>
      <c r="HQH132" s="3"/>
      <c r="HQI132" s="3"/>
      <c r="HQJ132" s="3"/>
      <c r="HQK132" s="3"/>
      <c r="HQL132" s="3"/>
      <c r="HQM132" s="3"/>
      <c r="HQN132" s="3"/>
      <c r="HQO132" s="3"/>
      <c r="HQP132" s="3"/>
      <c r="HQQ132" s="3"/>
      <c r="HQR132" s="3"/>
      <c r="HQS132" s="3"/>
      <c r="HQT132" s="3"/>
      <c r="HQU132" s="3"/>
      <c r="HQV132" s="3"/>
      <c r="HQW132" s="3"/>
      <c r="HQX132" s="3"/>
      <c r="HQY132" s="3"/>
      <c r="HQZ132" s="3"/>
      <c r="HRA132" s="3"/>
      <c r="HRB132" s="3"/>
      <c r="HRC132" s="3"/>
      <c r="HRD132" s="3"/>
      <c r="HRE132" s="3"/>
      <c r="HRF132" s="3"/>
      <c r="HRG132" s="3"/>
      <c r="HRH132" s="3"/>
      <c r="HRI132" s="3"/>
      <c r="HRJ132" s="3"/>
      <c r="HRK132" s="3"/>
      <c r="HRL132" s="3"/>
      <c r="HRM132" s="3"/>
      <c r="HRN132" s="3"/>
      <c r="HRO132" s="3"/>
      <c r="HRP132" s="3"/>
      <c r="HRQ132" s="3"/>
      <c r="HRR132" s="3"/>
      <c r="HRS132" s="3"/>
      <c r="HRT132" s="3"/>
      <c r="HRU132" s="3"/>
      <c r="HRV132" s="3"/>
      <c r="HRW132" s="3"/>
      <c r="HRX132" s="3"/>
      <c r="HRY132" s="3"/>
      <c r="HRZ132" s="3"/>
      <c r="HSA132" s="3"/>
      <c r="HSB132" s="3"/>
      <c r="HSC132" s="3"/>
      <c r="HSD132" s="3"/>
      <c r="HSE132" s="3"/>
      <c r="HSF132" s="3"/>
      <c r="HSG132" s="3"/>
      <c r="HSH132" s="3"/>
      <c r="HSI132" s="3"/>
      <c r="HSJ132" s="3"/>
      <c r="HSK132" s="3"/>
      <c r="HSL132" s="3"/>
      <c r="HSM132" s="3"/>
      <c r="HSN132" s="3"/>
      <c r="HSO132" s="3"/>
      <c r="HSP132" s="3"/>
      <c r="HSQ132" s="3"/>
      <c r="HSR132" s="3"/>
      <c r="HSS132" s="3"/>
      <c r="HST132" s="3"/>
      <c r="HSU132" s="3"/>
      <c r="HSV132" s="3"/>
      <c r="HSW132" s="3"/>
      <c r="HSX132" s="3"/>
      <c r="HSY132" s="3"/>
      <c r="HSZ132" s="3"/>
      <c r="HTA132" s="3"/>
      <c r="HTB132" s="3"/>
      <c r="HTC132" s="3"/>
      <c r="HTD132" s="3"/>
      <c r="HTE132" s="3"/>
      <c r="HTF132" s="3"/>
      <c r="HTG132" s="3"/>
      <c r="HTH132" s="3"/>
      <c r="HTI132" s="3"/>
      <c r="HTJ132" s="3"/>
      <c r="HTK132" s="3"/>
      <c r="HTL132" s="3"/>
      <c r="HTM132" s="3"/>
      <c r="HTN132" s="3"/>
      <c r="HTO132" s="3"/>
      <c r="HTP132" s="3"/>
      <c r="HTQ132" s="3"/>
      <c r="HTR132" s="3"/>
      <c r="HTS132" s="3"/>
      <c r="HTT132" s="3"/>
      <c r="HTU132" s="3"/>
      <c r="HTV132" s="3"/>
      <c r="HTW132" s="3"/>
      <c r="HTX132" s="3"/>
      <c r="HTY132" s="3"/>
      <c r="HTZ132" s="3"/>
      <c r="HUA132" s="3"/>
      <c r="HUB132" s="3"/>
      <c r="HUC132" s="3"/>
      <c r="HUD132" s="3"/>
      <c r="HUE132" s="3"/>
      <c r="HUF132" s="3"/>
      <c r="HUG132" s="3"/>
      <c r="HUH132" s="3"/>
      <c r="HUI132" s="3"/>
      <c r="HUJ132" s="3"/>
      <c r="HUK132" s="3"/>
      <c r="HUL132" s="3"/>
      <c r="HUM132" s="3"/>
      <c r="HUN132" s="3"/>
      <c r="HUO132" s="3"/>
      <c r="HUP132" s="3"/>
      <c r="HUQ132" s="3"/>
      <c r="HUR132" s="3"/>
      <c r="HUS132" s="3"/>
      <c r="HUT132" s="3"/>
      <c r="HUU132" s="3"/>
      <c r="HUV132" s="3"/>
      <c r="HUW132" s="3"/>
      <c r="HUX132" s="3"/>
      <c r="HUY132" s="3"/>
      <c r="HUZ132" s="3"/>
      <c r="HVA132" s="3"/>
      <c r="HVB132" s="3"/>
      <c r="HVC132" s="3"/>
      <c r="HVD132" s="3"/>
      <c r="HVE132" s="3"/>
      <c r="HVF132" s="3"/>
      <c r="HVG132" s="3"/>
      <c r="HVH132" s="3"/>
      <c r="HVI132" s="3"/>
      <c r="HVJ132" s="3"/>
      <c r="HVK132" s="3"/>
      <c r="HVL132" s="3"/>
      <c r="HVM132" s="3"/>
      <c r="HVN132" s="3"/>
      <c r="HVO132" s="3"/>
      <c r="HVP132" s="3"/>
      <c r="HVQ132" s="3"/>
      <c r="HVR132" s="3"/>
      <c r="HVS132" s="3"/>
      <c r="HVT132" s="3"/>
      <c r="HVU132" s="3"/>
      <c r="HVV132" s="3"/>
      <c r="HVW132" s="3"/>
      <c r="HVX132" s="3"/>
      <c r="HVY132" s="3"/>
      <c r="HVZ132" s="3"/>
      <c r="HWA132" s="3"/>
      <c r="HWB132" s="3"/>
      <c r="HWC132" s="3"/>
      <c r="HWD132" s="3"/>
      <c r="HWE132" s="3"/>
      <c r="HWF132" s="3"/>
      <c r="HWG132" s="3"/>
      <c r="HWH132" s="3"/>
      <c r="HWI132" s="3"/>
      <c r="HWJ132" s="3"/>
      <c r="HWK132" s="3"/>
      <c r="HWL132" s="3"/>
      <c r="HWM132" s="3"/>
      <c r="HWN132" s="3"/>
      <c r="HWO132" s="3"/>
      <c r="HWP132" s="3"/>
      <c r="HWQ132" s="3"/>
      <c r="HWR132" s="3"/>
      <c r="HWS132" s="3"/>
      <c r="HWT132" s="3"/>
      <c r="HWU132" s="3"/>
      <c r="HWV132" s="3"/>
      <c r="HWW132" s="3"/>
      <c r="HWX132" s="3"/>
      <c r="HWY132" s="3"/>
      <c r="HWZ132" s="3"/>
      <c r="HXA132" s="3"/>
      <c r="HXB132" s="3"/>
      <c r="HXC132" s="3"/>
      <c r="HXD132" s="3"/>
      <c r="HXE132" s="3"/>
      <c r="HXF132" s="3"/>
      <c r="HXG132" s="3"/>
      <c r="HXH132" s="3"/>
      <c r="HXI132" s="3"/>
      <c r="HXJ132" s="3"/>
      <c r="HXK132" s="3"/>
      <c r="HXL132" s="3"/>
      <c r="HXM132" s="3"/>
      <c r="HXN132" s="3"/>
      <c r="HXO132" s="3"/>
      <c r="HXP132" s="3"/>
      <c r="HXQ132" s="3"/>
      <c r="HXR132" s="3"/>
      <c r="HXS132" s="3"/>
      <c r="HXT132" s="3"/>
      <c r="HXU132" s="3"/>
      <c r="HXV132" s="3"/>
      <c r="HXW132" s="3"/>
      <c r="HXX132" s="3"/>
      <c r="HXY132" s="3"/>
      <c r="HXZ132" s="3"/>
      <c r="HYA132" s="3"/>
      <c r="HYB132" s="3"/>
      <c r="HYC132" s="3"/>
      <c r="HYD132" s="3"/>
      <c r="HYE132" s="3"/>
      <c r="HYF132" s="3"/>
      <c r="HYG132" s="3"/>
      <c r="HYH132" s="3"/>
      <c r="HYI132" s="3"/>
      <c r="HYJ132" s="3"/>
      <c r="HYK132" s="3"/>
      <c r="HYL132" s="3"/>
      <c r="HYM132" s="3"/>
      <c r="HYN132" s="3"/>
      <c r="HYO132" s="3"/>
      <c r="HYP132" s="3"/>
      <c r="HYQ132" s="3"/>
      <c r="HYR132" s="3"/>
      <c r="HYS132" s="3"/>
      <c r="HYT132" s="3"/>
      <c r="HYU132" s="3"/>
      <c r="HYV132" s="3"/>
      <c r="HYW132" s="3"/>
      <c r="HYX132" s="3"/>
      <c r="HYY132" s="3"/>
      <c r="HYZ132" s="3"/>
      <c r="HZA132" s="3"/>
      <c r="HZB132" s="3"/>
      <c r="HZC132" s="3"/>
      <c r="HZD132" s="3"/>
      <c r="HZE132" s="3"/>
      <c r="HZF132" s="3"/>
      <c r="HZG132" s="3"/>
      <c r="HZH132" s="3"/>
      <c r="HZI132" s="3"/>
      <c r="HZJ132" s="3"/>
      <c r="HZK132" s="3"/>
      <c r="HZL132" s="3"/>
      <c r="HZM132" s="3"/>
      <c r="HZN132" s="3"/>
      <c r="HZO132" s="3"/>
      <c r="HZP132" s="3"/>
      <c r="HZQ132" s="3"/>
      <c r="HZR132" s="3"/>
      <c r="HZS132" s="3"/>
      <c r="HZT132" s="3"/>
      <c r="HZU132" s="3"/>
      <c r="HZV132" s="3"/>
      <c r="HZW132" s="3"/>
      <c r="HZX132" s="3"/>
      <c r="HZY132" s="3"/>
      <c r="HZZ132" s="3"/>
      <c r="IAA132" s="3"/>
      <c r="IAB132" s="3"/>
      <c r="IAC132" s="3"/>
      <c r="IAD132" s="3"/>
      <c r="IAE132" s="3"/>
      <c r="IAF132" s="3"/>
      <c r="IAG132" s="3"/>
      <c r="IAH132" s="3"/>
      <c r="IAI132" s="3"/>
      <c r="IAJ132" s="3"/>
      <c r="IAK132" s="3"/>
      <c r="IAL132" s="3"/>
      <c r="IAM132" s="3"/>
      <c r="IAN132" s="3"/>
      <c r="IAO132" s="3"/>
      <c r="IAP132" s="3"/>
      <c r="IAQ132" s="3"/>
      <c r="IAR132" s="3"/>
      <c r="IAS132" s="3"/>
      <c r="IAT132" s="3"/>
      <c r="IAU132" s="3"/>
      <c r="IAV132" s="3"/>
      <c r="IAW132" s="3"/>
      <c r="IAX132" s="3"/>
      <c r="IAY132" s="3"/>
      <c r="IAZ132" s="3"/>
      <c r="IBA132" s="3"/>
      <c r="IBB132" s="3"/>
      <c r="IBC132" s="3"/>
      <c r="IBD132" s="3"/>
      <c r="IBE132" s="3"/>
      <c r="IBF132" s="3"/>
      <c r="IBG132" s="3"/>
      <c r="IBH132" s="3"/>
      <c r="IBI132" s="3"/>
      <c r="IBJ132" s="3"/>
      <c r="IBK132" s="3"/>
      <c r="IBL132" s="3"/>
      <c r="IBM132" s="3"/>
      <c r="IBN132" s="3"/>
      <c r="IBO132" s="3"/>
      <c r="IBP132" s="3"/>
      <c r="IBQ132" s="3"/>
      <c r="IBR132" s="3"/>
      <c r="IBS132" s="3"/>
      <c r="IBT132" s="3"/>
      <c r="IBU132" s="3"/>
      <c r="IBV132" s="3"/>
      <c r="IBW132" s="3"/>
      <c r="IBX132" s="3"/>
      <c r="IBY132" s="3"/>
      <c r="IBZ132" s="3"/>
      <c r="ICA132" s="3"/>
      <c r="ICB132" s="3"/>
      <c r="ICC132" s="3"/>
      <c r="ICD132" s="3"/>
      <c r="ICE132" s="3"/>
      <c r="ICF132" s="3"/>
      <c r="ICG132" s="3"/>
      <c r="ICH132" s="3"/>
      <c r="ICI132" s="3"/>
      <c r="ICJ132" s="3"/>
      <c r="ICK132" s="3"/>
      <c r="ICL132" s="3"/>
      <c r="ICM132" s="3"/>
      <c r="ICN132" s="3"/>
      <c r="ICO132" s="3"/>
      <c r="ICP132" s="3"/>
      <c r="ICQ132" s="3"/>
      <c r="ICR132" s="3"/>
      <c r="ICS132" s="3"/>
      <c r="ICT132" s="3"/>
      <c r="ICU132" s="3"/>
      <c r="ICV132" s="3"/>
      <c r="ICW132" s="3"/>
      <c r="ICX132" s="3"/>
      <c r="ICY132" s="3"/>
      <c r="ICZ132" s="3"/>
      <c r="IDA132" s="3"/>
      <c r="IDB132" s="3"/>
      <c r="IDC132" s="3"/>
      <c r="IDD132" s="3"/>
      <c r="IDE132" s="3"/>
      <c r="IDF132" s="3"/>
      <c r="IDG132" s="3"/>
      <c r="IDH132" s="3"/>
      <c r="IDI132" s="3"/>
      <c r="IDJ132" s="3"/>
      <c r="IDK132" s="3"/>
      <c r="IDL132" s="3"/>
      <c r="IDM132" s="3"/>
      <c r="IDN132" s="3"/>
      <c r="IDO132" s="3"/>
      <c r="IDP132" s="3"/>
      <c r="IDQ132" s="3"/>
      <c r="IDR132" s="3"/>
      <c r="IDS132" s="3"/>
      <c r="IDT132" s="3"/>
      <c r="IDU132" s="3"/>
      <c r="IDV132" s="3"/>
      <c r="IDW132" s="3"/>
      <c r="IDX132" s="3"/>
      <c r="IDY132" s="3"/>
      <c r="IDZ132" s="3"/>
      <c r="IEA132" s="3"/>
      <c r="IEB132" s="3"/>
      <c r="IEC132" s="3"/>
      <c r="IED132" s="3"/>
      <c r="IEE132" s="3"/>
      <c r="IEF132" s="3"/>
      <c r="IEG132" s="3"/>
      <c r="IEH132" s="3"/>
      <c r="IEI132" s="3"/>
      <c r="IEJ132" s="3"/>
      <c r="IEK132" s="3"/>
      <c r="IEL132" s="3"/>
      <c r="IEM132" s="3"/>
      <c r="IEN132" s="3"/>
      <c r="IEO132" s="3"/>
      <c r="IEP132" s="3"/>
      <c r="IEQ132" s="3"/>
      <c r="IER132" s="3"/>
      <c r="IES132" s="3"/>
      <c r="IET132" s="3"/>
      <c r="IEU132" s="3"/>
      <c r="IEV132" s="3"/>
      <c r="IEW132" s="3"/>
      <c r="IEX132" s="3"/>
      <c r="IEY132" s="3"/>
      <c r="IEZ132" s="3"/>
      <c r="IFA132" s="3"/>
      <c r="IFB132" s="3"/>
      <c r="IFC132" s="3"/>
      <c r="IFD132" s="3"/>
      <c r="IFE132" s="3"/>
      <c r="IFF132" s="3"/>
      <c r="IFG132" s="3"/>
      <c r="IFH132" s="3"/>
      <c r="IFI132" s="3"/>
      <c r="IFJ132" s="3"/>
      <c r="IFK132" s="3"/>
      <c r="IFL132" s="3"/>
      <c r="IFM132" s="3"/>
      <c r="IFN132" s="3"/>
      <c r="IFO132" s="3"/>
      <c r="IFP132" s="3"/>
      <c r="IFQ132" s="3"/>
      <c r="IFR132" s="3"/>
      <c r="IFS132" s="3"/>
      <c r="IFT132" s="3"/>
      <c r="IFU132" s="3"/>
      <c r="IFV132" s="3"/>
      <c r="IFW132" s="3"/>
      <c r="IFX132" s="3"/>
      <c r="IFY132" s="3"/>
      <c r="IFZ132" s="3"/>
      <c r="IGA132" s="3"/>
      <c r="IGB132" s="3"/>
      <c r="IGC132" s="3"/>
      <c r="IGD132" s="3"/>
      <c r="IGE132" s="3"/>
      <c r="IGF132" s="3"/>
      <c r="IGG132" s="3"/>
      <c r="IGH132" s="3"/>
      <c r="IGI132" s="3"/>
      <c r="IGJ132" s="3"/>
      <c r="IGK132" s="3"/>
      <c r="IGL132" s="3"/>
      <c r="IGM132" s="3"/>
      <c r="IGN132" s="3"/>
      <c r="IGO132" s="3"/>
      <c r="IGP132" s="3"/>
      <c r="IGQ132" s="3"/>
      <c r="IGR132" s="3"/>
      <c r="IGS132" s="3"/>
      <c r="IGT132" s="3"/>
      <c r="IGU132" s="3"/>
      <c r="IGV132" s="3"/>
      <c r="IGW132" s="3"/>
      <c r="IGX132" s="3"/>
      <c r="IGY132" s="3"/>
      <c r="IGZ132" s="3"/>
      <c r="IHA132" s="3"/>
      <c r="IHB132" s="3"/>
      <c r="IHC132" s="3"/>
      <c r="IHD132" s="3"/>
      <c r="IHE132" s="3"/>
      <c r="IHF132" s="3"/>
      <c r="IHG132" s="3"/>
      <c r="IHH132" s="3"/>
      <c r="IHI132" s="3"/>
      <c r="IHJ132" s="3"/>
      <c r="IHK132" s="3"/>
      <c r="IHL132" s="3"/>
      <c r="IHM132" s="3"/>
      <c r="IHN132" s="3"/>
      <c r="IHO132" s="3"/>
      <c r="IHP132" s="3"/>
      <c r="IHQ132" s="3"/>
      <c r="IHR132" s="3"/>
      <c r="IHS132" s="3"/>
      <c r="IHT132" s="3"/>
      <c r="IHU132" s="3"/>
      <c r="IHV132" s="3"/>
      <c r="IHW132" s="3"/>
      <c r="IHX132" s="3"/>
      <c r="IHY132" s="3"/>
      <c r="IHZ132" s="3"/>
      <c r="IIA132" s="3"/>
      <c r="IIB132" s="3"/>
      <c r="IIC132" s="3"/>
      <c r="IID132" s="3"/>
      <c r="IIE132" s="3"/>
      <c r="IIF132" s="3"/>
      <c r="IIG132" s="3"/>
      <c r="IIH132" s="3"/>
      <c r="III132" s="3"/>
      <c r="IIJ132" s="3"/>
      <c r="IIK132" s="3"/>
      <c r="IIL132" s="3"/>
      <c r="IIM132" s="3"/>
      <c r="IIN132" s="3"/>
      <c r="IIO132" s="3"/>
      <c r="IIP132" s="3"/>
      <c r="IIQ132" s="3"/>
      <c r="IIR132" s="3"/>
      <c r="IIS132" s="3"/>
      <c r="IIT132" s="3"/>
      <c r="IIU132" s="3"/>
      <c r="IIV132" s="3"/>
      <c r="IIW132" s="3"/>
      <c r="IIX132" s="3"/>
      <c r="IIY132" s="3"/>
      <c r="IIZ132" s="3"/>
      <c r="IJA132" s="3"/>
      <c r="IJB132" s="3"/>
      <c r="IJC132" s="3"/>
      <c r="IJD132" s="3"/>
      <c r="IJE132" s="3"/>
      <c r="IJF132" s="3"/>
      <c r="IJG132" s="3"/>
      <c r="IJH132" s="3"/>
      <c r="IJI132" s="3"/>
      <c r="IJJ132" s="3"/>
      <c r="IJK132" s="3"/>
      <c r="IJL132" s="3"/>
      <c r="IJM132" s="3"/>
      <c r="IJN132" s="3"/>
      <c r="IJO132" s="3"/>
      <c r="IJP132" s="3"/>
      <c r="IJQ132" s="3"/>
      <c r="IJR132" s="3"/>
      <c r="IJS132" s="3"/>
      <c r="IJT132" s="3"/>
      <c r="IJU132" s="3"/>
      <c r="IJV132" s="3"/>
      <c r="IJW132" s="3"/>
      <c r="IJX132" s="3"/>
      <c r="IJY132" s="3"/>
      <c r="IJZ132" s="3"/>
      <c r="IKA132" s="3"/>
      <c r="IKB132" s="3"/>
      <c r="IKC132" s="3"/>
      <c r="IKD132" s="3"/>
      <c r="IKE132" s="3"/>
      <c r="IKF132" s="3"/>
      <c r="IKG132" s="3"/>
      <c r="IKH132" s="3"/>
      <c r="IKI132" s="3"/>
      <c r="IKJ132" s="3"/>
      <c r="IKK132" s="3"/>
      <c r="IKL132" s="3"/>
      <c r="IKM132" s="3"/>
      <c r="IKN132" s="3"/>
      <c r="IKO132" s="3"/>
      <c r="IKP132" s="3"/>
      <c r="IKQ132" s="3"/>
      <c r="IKR132" s="3"/>
      <c r="IKS132" s="3"/>
      <c r="IKT132" s="3"/>
      <c r="IKU132" s="3"/>
      <c r="IKV132" s="3"/>
      <c r="IKW132" s="3"/>
      <c r="IKX132" s="3"/>
      <c r="IKY132" s="3"/>
      <c r="IKZ132" s="3"/>
      <c r="ILA132" s="3"/>
      <c r="ILB132" s="3"/>
      <c r="ILC132" s="3"/>
      <c r="ILD132" s="3"/>
      <c r="ILE132" s="3"/>
      <c r="ILF132" s="3"/>
      <c r="ILG132" s="3"/>
      <c r="ILH132" s="3"/>
      <c r="ILI132" s="3"/>
      <c r="ILJ132" s="3"/>
      <c r="ILK132" s="3"/>
      <c r="ILL132" s="3"/>
      <c r="ILM132" s="3"/>
      <c r="ILN132" s="3"/>
      <c r="ILO132" s="3"/>
      <c r="ILP132" s="3"/>
      <c r="ILQ132" s="3"/>
      <c r="ILR132" s="3"/>
      <c r="ILS132" s="3"/>
      <c r="ILT132" s="3"/>
      <c r="ILU132" s="3"/>
      <c r="ILV132" s="3"/>
      <c r="ILW132" s="3"/>
      <c r="ILX132" s="3"/>
      <c r="ILY132" s="3"/>
      <c r="ILZ132" s="3"/>
      <c r="IMA132" s="3"/>
      <c r="IMB132" s="3"/>
      <c r="IMC132" s="3"/>
      <c r="IMD132" s="3"/>
      <c r="IME132" s="3"/>
      <c r="IMF132" s="3"/>
      <c r="IMG132" s="3"/>
      <c r="IMH132" s="3"/>
      <c r="IMI132" s="3"/>
      <c r="IMJ132" s="3"/>
      <c r="IMK132" s="3"/>
      <c r="IML132" s="3"/>
      <c r="IMM132" s="3"/>
      <c r="IMN132" s="3"/>
      <c r="IMO132" s="3"/>
      <c r="IMP132" s="3"/>
      <c r="IMQ132" s="3"/>
      <c r="IMR132" s="3"/>
      <c r="IMS132" s="3"/>
      <c r="IMT132" s="3"/>
      <c r="IMU132" s="3"/>
      <c r="IMV132" s="3"/>
      <c r="IMW132" s="3"/>
      <c r="IMX132" s="3"/>
      <c r="IMY132" s="3"/>
      <c r="IMZ132" s="3"/>
      <c r="INA132" s="3"/>
      <c r="INB132" s="3"/>
      <c r="INC132" s="3"/>
      <c r="IND132" s="3"/>
      <c r="INE132" s="3"/>
      <c r="INF132" s="3"/>
      <c r="ING132" s="3"/>
      <c r="INH132" s="3"/>
      <c r="INI132" s="3"/>
      <c r="INJ132" s="3"/>
      <c r="INK132" s="3"/>
      <c r="INL132" s="3"/>
      <c r="INM132" s="3"/>
      <c r="INN132" s="3"/>
      <c r="INO132" s="3"/>
      <c r="INP132" s="3"/>
      <c r="INQ132" s="3"/>
      <c r="INR132" s="3"/>
      <c r="INS132" s="3"/>
      <c r="INT132" s="3"/>
      <c r="INU132" s="3"/>
      <c r="INV132" s="3"/>
      <c r="INW132" s="3"/>
      <c r="INX132" s="3"/>
      <c r="INY132" s="3"/>
      <c r="INZ132" s="3"/>
      <c r="IOA132" s="3"/>
      <c r="IOB132" s="3"/>
      <c r="IOC132" s="3"/>
      <c r="IOD132" s="3"/>
      <c r="IOE132" s="3"/>
      <c r="IOF132" s="3"/>
      <c r="IOG132" s="3"/>
      <c r="IOH132" s="3"/>
      <c r="IOI132" s="3"/>
      <c r="IOJ132" s="3"/>
      <c r="IOK132" s="3"/>
      <c r="IOL132" s="3"/>
      <c r="IOM132" s="3"/>
      <c r="ION132" s="3"/>
      <c r="IOO132" s="3"/>
      <c r="IOP132" s="3"/>
      <c r="IOQ132" s="3"/>
      <c r="IOR132" s="3"/>
      <c r="IOS132" s="3"/>
      <c r="IOT132" s="3"/>
      <c r="IOU132" s="3"/>
      <c r="IOV132" s="3"/>
      <c r="IOW132" s="3"/>
      <c r="IOX132" s="3"/>
      <c r="IOY132" s="3"/>
      <c r="IOZ132" s="3"/>
      <c r="IPA132" s="3"/>
      <c r="IPB132" s="3"/>
      <c r="IPC132" s="3"/>
      <c r="IPD132" s="3"/>
      <c r="IPE132" s="3"/>
      <c r="IPF132" s="3"/>
      <c r="IPG132" s="3"/>
      <c r="IPH132" s="3"/>
      <c r="IPI132" s="3"/>
      <c r="IPJ132" s="3"/>
      <c r="IPK132" s="3"/>
      <c r="IPL132" s="3"/>
      <c r="IPM132" s="3"/>
      <c r="IPN132" s="3"/>
      <c r="IPO132" s="3"/>
      <c r="IPP132" s="3"/>
      <c r="IPQ132" s="3"/>
      <c r="IPR132" s="3"/>
      <c r="IPS132" s="3"/>
      <c r="IPT132" s="3"/>
      <c r="IPU132" s="3"/>
      <c r="IPV132" s="3"/>
      <c r="IPW132" s="3"/>
      <c r="IPX132" s="3"/>
      <c r="IPY132" s="3"/>
      <c r="IPZ132" s="3"/>
      <c r="IQA132" s="3"/>
      <c r="IQB132" s="3"/>
      <c r="IQC132" s="3"/>
      <c r="IQD132" s="3"/>
      <c r="IQE132" s="3"/>
      <c r="IQF132" s="3"/>
      <c r="IQG132" s="3"/>
      <c r="IQH132" s="3"/>
      <c r="IQI132" s="3"/>
      <c r="IQJ132" s="3"/>
      <c r="IQK132" s="3"/>
      <c r="IQL132" s="3"/>
      <c r="IQM132" s="3"/>
      <c r="IQN132" s="3"/>
      <c r="IQO132" s="3"/>
      <c r="IQP132" s="3"/>
      <c r="IQQ132" s="3"/>
      <c r="IQR132" s="3"/>
      <c r="IQS132" s="3"/>
      <c r="IQT132" s="3"/>
      <c r="IQU132" s="3"/>
      <c r="IQV132" s="3"/>
      <c r="IQW132" s="3"/>
      <c r="IQX132" s="3"/>
      <c r="IQY132" s="3"/>
      <c r="IQZ132" s="3"/>
      <c r="IRA132" s="3"/>
      <c r="IRB132" s="3"/>
      <c r="IRC132" s="3"/>
      <c r="IRD132" s="3"/>
      <c r="IRE132" s="3"/>
      <c r="IRF132" s="3"/>
      <c r="IRG132" s="3"/>
      <c r="IRH132" s="3"/>
      <c r="IRI132" s="3"/>
      <c r="IRJ132" s="3"/>
      <c r="IRK132" s="3"/>
      <c r="IRL132" s="3"/>
      <c r="IRM132" s="3"/>
      <c r="IRN132" s="3"/>
      <c r="IRO132" s="3"/>
      <c r="IRP132" s="3"/>
      <c r="IRQ132" s="3"/>
      <c r="IRR132" s="3"/>
      <c r="IRS132" s="3"/>
      <c r="IRT132" s="3"/>
      <c r="IRU132" s="3"/>
      <c r="IRV132" s="3"/>
      <c r="IRW132" s="3"/>
      <c r="IRX132" s="3"/>
      <c r="IRY132" s="3"/>
      <c r="IRZ132" s="3"/>
      <c r="ISA132" s="3"/>
      <c r="ISB132" s="3"/>
      <c r="ISC132" s="3"/>
      <c r="ISD132" s="3"/>
      <c r="ISE132" s="3"/>
      <c r="ISF132" s="3"/>
      <c r="ISG132" s="3"/>
      <c r="ISH132" s="3"/>
      <c r="ISI132" s="3"/>
      <c r="ISJ132" s="3"/>
      <c r="ISK132" s="3"/>
      <c r="ISL132" s="3"/>
      <c r="ISM132" s="3"/>
      <c r="ISN132" s="3"/>
      <c r="ISO132" s="3"/>
      <c r="ISP132" s="3"/>
      <c r="ISQ132" s="3"/>
      <c r="ISR132" s="3"/>
      <c r="ISS132" s="3"/>
      <c r="IST132" s="3"/>
      <c r="ISU132" s="3"/>
      <c r="ISV132" s="3"/>
      <c r="ISW132" s="3"/>
      <c r="ISX132" s="3"/>
      <c r="ISY132" s="3"/>
      <c r="ISZ132" s="3"/>
      <c r="ITA132" s="3"/>
      <c r="ITB132" s="3"/>
      <c r="ITC132" s="3"/>
      <c r="ITD132" s="3"/>
      <c r="ITE132" s="3"/>
      <c r="ITF132" s="3"/>
      <c r="ITG132" s="3"/>
      <c r="ITH132" s="3"/>
      <c r="ITI132" s="3"/>
      <c r="ITJ132" s="3"/>
      <c r="ITK132" s="3"/>
      <c r="ITL132" s="3"/>
      <c r="ITM132" s="3"/>
      <c r="ITN132" s="3"/>
      <c r="ITO132" s="3"/>
      <c r="ITP132" s="3"/>
      <c r="ITQ132" s="3"/>
      <c r="ITR132" s="3"/>
      <c r="ITS132" s="3"/>
      <c r="ITT132" s="3"/>
      <c r="ITU132" s="3"/>
      <c r="ITV132" s="3"/>
      <c r="ITW132" s="3"/>
      <c r="ITX132" s="3"/>
      <c r="ITY132" s="3"/>
      <c r="ITZ132" s="3"/>
      <c r="IUA132" s="3"/>
      <c r="IUB132" s="3"/>
      <c r="IUC132" s="3"/>
      <c r="IUD132" s="3"/>
      <c r="IUE132" s="3"/>
      <c r="IUF132" s="3"/>
      <c r="IUG132" s="3"/>
      <c r="IUH132" s="3"/>
      <c r="IUI132" s="3"/>
      <c r="IUJ132" s="3"/>
      <c r="IUK132" s="3"/>
      <c r="IUL132" s="3"/>
      <c r="IUM132" s="3"/>
      <c r="IUN132" s="3"/>
      <c r="IUO132" s="3"/>
      <c r="IUP132" s="3"/>
      <c r="IUQ132" s="3"/>
      <c r="IUR132" s="3"/>
      <c r="IUS132" s="3"/>
      <c r="IUT132" s="3"/>
      <c r="IUU132" s="3"/>
      <c r="IUV132" s="3"/>
      <c r="IUW132" s="3"/>
      <c r="IUX132" s="3"/>
      <c r="IUY132" s="3"/>
      <c r="IUZ132" s="3"/>
      <c r="IVA132" s="3"/>
      <c r="IVB132" s="3"/>
      <c r="IVC132" s="3"/>
      <c r="IVD132" s="3"/>
      <c r="IVE132" s="3"/>
      <c r="IVF132" s="3"/>
      <c r="IVG132" s="3"/>
      <c r="IVH132" s="3"/>
      <c r="IVI132" s="3"/>
      <c r="IVJ132" s="3"/>
      <c r="IVK132" s="3"/>
      <c r="IVL132" s="3"/>
      <c r="IVM132" s="3"/>
      <c r="IVN132" s="3"/>
      <c r="IVO132" s="3"/>
      <c r="IVP132" s="3"/>
      <c r="IVQ132" s="3"/>
      <c r="IVR132" s="3"/>
      <c r="IVS132" s="3"/>
      <c r="IVT132" s="3"/>
      <c r="IVU132" s="3"/>
      <c r="IVV132" s="3"/>
      <c r="IVW132" s="3"/>
      <c r="IVX132" s="3"/>
      <c r="IVY132" s="3"/>
      <c r="IVZ132" s="3"/>
      <c r="IWA132" s="3"/>
      <c r="IWB132" s="3"/>
      <c r="IWC132" s="3"/>
      <c r="IWD132" s="3"/>
      <c r="IWE132" s="3"/>
      <c r="IWF132" s="3"/>
      <c r="IWG132" s="3"/>
      <c r="IWH132" s="3"/>
      <c r="IWI132" s="3"/>
      <c r="IWJ132" s="3"/>
      <c r="IWK132" s="3"/>
      <c r="IWL132" s="3"/>
      <c r="IWM132" s="3"/>
      <c r="IWN132" s="3"/>
      <c r="IWO132" s="3"/>
      <c r="IWP132" s="3"/>
      <c r="IWQ132" s="3"/>
      <c r="IWR132" s="3"/>
      <c r="IWS132" s="3"/>
      <c r="IWT132" s="3"/>
      <c r="IWU132" s="3"/>
      <c r="IWV132" s="3"/>
      <c r="IWW132" s="3"/>
      <c r="IWX132" s="3"/>
      <c r="IWY132" s="3"/>
      <c r="IWZ132" s="3"/>
      <c r="IXA132" s="3"/>
      <c r="IXB132" s="3"/>
      <c r="IXC132" s="3"/>
      <c r="IXD132" s="3"/>
      <c r="IXE132" s="3"/>
      <c r="IXF132" s="3"/>
      <c r="IXG132" s="3"/>
      <c r="IXH132" s="3"/>
      <c r="IXI132" s="3"/>
      <c r="IXJ132" s="3"/>
      <c r="IXK132" s="3"/>
      <c r="IXL132" s="3"/>
      <c r="IXM132" s="3"/>
      <c r="IXN132" s="3"/>
      <c r="IXO132" s="3"/>
      <c r="IXP132" s="3"/>
      <c r="IXQ132" s="3"/>
      <c r="IXR132" s="3"/>
      <c r="IXS132" s="3"/>
      <c r="IXT132" s="3"/>
      <c r="IXU132" s="3"/>
      <c r="IXV132" s="3"/>
      <c r="IXW132" s="3"/>
      <c r="IXX132" s="3"/>
      <c r="IXY132" s="3"/>
      <c r="IXZ132" s="3"/>
      <c r="IYA132" s="3"/>
      <c r="IYB132" s="3"/>
      <c r="IYC132" s="3"/>
      <c r="IYD132" s="3"/>
      <c r="IYE132" s="3"/>
      <c r="IYF132" s="3"/>
      <c r="IYG132" s="3"/>
      <c r="IYH132" s="3"/>
      <c r="IYI132" s="3"/>
      <c r="IYJ132" s="3"/>
      <c r="IYK132" s="3"/>
      <c r="IYL132" s="3"/>
      <c r="IYM132" s="3"/>
      <c r="IYN132" s="3"/>
      <c r="IYO132" s="3"/>
      <c r="IYP132" s="3"/>
      <c r="IYQ132" s="3"/>
      <c r="IYR132" s="3"/>
      <c r="IYS132" s="3"/>
      <c r="IYT132" s="3"/>
      <c r="IYU132" s="3"/>
      <c r="IYV132" s="3"/>
      <c r="IYW132" s="3"/>
      <c r="IYX132" s="3"/>
      <c r="IYY132" s="3"/>
      <c r="IYZ132" s="3"/>
      <c r="IZA132" s="3"/>
      <c r="IZB132" s="3"/>
      <c r="IZC132" s="3"/>
      <c r="IZD132" s="3"/>
      <c r="IZE132" s="3"/>
      <c r="IZF132" s="3"/>
      <c r="IZG132" s="3"/>
      <c r="IZH132" s="3"/>
      <c r="IZI132" s="3"/>
      <c r="IZJ132" s="3"/>
      <c r="IZK132" s="3"/>
      <c r="IZL132" s="3"/>
      <c r="IZM132" s="3"/>
      <c r="IZN132" s="3"/>
      <c r="IZO132" s="3"/>
      <c r="IZP132" s="3"/>
      <c r="IZQ132" s="3"/>
      <c r="IZR132" s="3"/>
      <c r="IZS132" s="3"/>
      <c r="IZT132" s="3"/>
      <c r="IZU132" s="3"/>
      <c r="IZV132" s="3"/>
      <c r="IZW132" s="3"/>
      <c r="IZX132" s="3"/>
      <c r="IZY132" s="3"/>
      <c r="IZZ132" s="3"/>
      <c r="JAA132" s="3"/>
      <c r="JAB132" s="3"/>
      <c r="JAC132" s="3"/>
      <c r="JAD132" s="3"/>
      <c r="JAE132" s="3"/>
      <c r="JAF132" s="3"/>
      <c r="JAG132" s="3"/>
      <c r="JAH132" s="3"/>
      <c r="JAI132" s="3"/>
      <c r="JAJ132" s="3"/>
      <c r="JAK132" s="3"/>
      <c r="JAL132" s="3"/>
      <c r="JAM132" s="3"/>
      <c r="JAN132" s="3"/>
      <c r="JAO132" s="3"/>
      <c r="JAP132" s="3"/>
      <c r="JAQ132" s="3"/>
      <c r="JAR132" s="3"/>
      <c r="JAS132" s="3"/>
      <c r="JAT132" s="3"/>
      <c r="JAU132" s="3"/>
      <c r="JAV132" s="3"/>
      <c r="JAW132" s="3"/>
      <c r="JAX132" s="3"/>
      <c r="JAY132" s="3"/>
      <c r="JAZ132" s="3"/>
      <c r="JBA132" s="3"/>
      <c r="JBB132" s="3"/>
      <c r="JBC132" s="3"/>
      <c r="JBD132" s="3"/>
      <c r="JBE132" s="3"/>
      <c r="JBF132" s="3"/>
      <c r="JBG132" s="3"/>
      <c r="JBH132" s="3"/>
      <c r="JBI132" s="3"/>
      <c r="JBJ132" s="3"/>
      <c r="JBK132" s="3"/>
      <c r="JBL132" s="3"/>
      <c r="JBM132" s="3"/>
      <c r="JBN132" s="3"/>
      <c r="JBO132" s="3"/>
      <c r="JBP132" s="3"/>
      <c r="JBQ132" s="3"/>
      <c r="JBR132" s="3"/>
      <c r="JBS132" s="3"/>
      <c r="JBT132" s="3"/>
      <c r="JBU132" s="3"/>
      <c r="JBV132" s="3"/>
      <c r="JBW132" s="3"/>
      <c r="JBX132" s="3"/>
      <c r="JBY132" s="3"/>
      <c r="JBZ132" s="3"/>
      <c r="JCA132" s="3"/>
      <c r="JCB132" s="3"/>
      <c r="JCC132" s="3"/>
      <c r="JCD132" s="3"/>
      <c r="JCE132" s="3"/>
      <c r="JCF132" s="3"/>
      <c r="JCG132" s="3"/>
      <c r="JCH132" s="3"/>
      <c r="JCI132" s="3"/>
      <c r="JCJ132" s="3"/>
      <c r="JCK132" s="3"/>
      <c r="JCL132" s="3"/>
      <c r="JCM132" s="3"/>
      <c r="JCN132" s="3"/>
      <c r="JCO132" s="3"/>
      <c r="JCP132" s="3"/>
      <c r="JCQ132" s="3"/>
      <c r="JCR132" s="3"/>
      <c r="JCS132" s="3"/>
      <c r="JCT132" s="3"/>
      <c r="JCU132" s="3"/>
      <c r="JCV132" s="3"/>
      <c r="JCW132" s="3"/>
      <c r="JCX132" s="3"/>
      <c r="JCY132" s="3"/>
      <c r="JCZ132" s="3"/>
      <c r="JDA132" s="3"/>
      <c r="JDB132" s="3"/>
      <c r="JDC132" s="3"/>
      <c r="JDD132" s="3"/>
      <c r="JDE132" s="3"/>
      <c r="JDF132" s="3"/>
      <c r="JDG132" s="3"/>
      <c r="JDH132" s="3"/>
      <c r="JDI132" s="3"/>
      <c r="JDJ132" s="3"/>
      <c r="JDK132" s="3"/>
      <c r="JDL132" s="3"/>
      <c r="JDM132" s="3"/>
      <c r="JDN132" s="3"/>
      <c r="JDO132" s="3"/>
      <c r="JDP132" s="3"/>
      <c r="JDQ132" s="3"/>
      <c r="JDR132" s="3"/>
      <c r="JDS132" s="3"/>
      <c r="JDT132" s="3"/>
      <c r="JDU132" s="3"/>
      <c r="JDV132" s="3"/>
      <c r="JDW132" s="3"/>
      <c r="JDX132" s="3"/>
      <c r="JDY132" s="3"/>
      <c r="JDZ132" s="3"/>
      <c r="JEA132" s="3"/>
      <c r="JEB132" s="3"/>
      <c r="JEC132" s="3"/>
      <c r="JED132" s="3"/>
      <c r="JEE132" s="3"/>
      <c r="JEF132" s="3"/>
      <c r="JEG132" s="3"/>
      <c r="JEH132" s="3"/>
      <c r="JEI132" s="3"/>
      <c r="JEJ132" s="3"/>
      <c r="JEK132" s="3"/>
      <c r="JEL132" s="3"/>
      <c r="JEM132" s="3"/>
      <c r="JEN132" s="3"/>
      <c r="JEO132" s="3"/>
      <c r="JEP132" s="3"/>
      <c r="JEQ132" s="3"/>
      <c r="JER132" s="3"/>
      <c r="JES132" s="3"/>
      <c r="JET132" s="3"/>
      <c r="JEU132" s="3"/>
      <c r="JEV132" s="3"/>
      <c r="JEW132" s="3"/>
      <c r="JEX132" s="3"/>
      <c r="JEY132" s="3"/>
      <c r="JEZ132" s="3"/>
      <c r="JFA132" s="3"/>
      <c r="JFB132" s="3"/>
      <c r="JFC132" s="3"/>
      <c r="JFD132" s="3"/>
      <c r="JFE132" s="3"/>
      <c r="JFF132" s="3"/>
      <c r="JFG132" s="3"/>
      <c r="JFH132" s="3"/>
      <c r="JFI132" s="3"/>
      <c r="JFJ132" s="3"/>
      <c r="JFK132" s="3"/>
      <c r="JFL132" s="3"/>
      <c r="JFM132" s="3"/>
      <c r="JFN132" s="3"/>
      <c r="JFO132" s="3"/>
      <c r="JFP132" s="3"/>
      <c r="JFQ132" s="3"/>
      <c r="JFR132" s="3"/>
      <c r="JFS132" s="3"/>
      <c r="JFT132" s="3"/>
      <c r="JFU132" s="3"/>
      <c r="JFV132" s="3"/>
      <c r="JFW132" s="3"/>
      <c r="JFX132" s="3"/>
      <c r="JFY132" s="3"/>
      <c r="JFZ132" s="3"/>
      <c r="JGA132" s="3"/>
      <c r="JGB132" s="3"/>
      <c r="JGC132" s="3"/>
      <c r="JGD132" s="3"/>
      <c r="JGE132" s="3"/>
      <c r="JGF132" s="3"/>
      <c r="JGG132" s="3"/>
      <c r="JGH132" s="3"/>
      <c r="JGI132" s="3"/>
      <c r="JGJ132" s="3"/>
      <c r="JGK132" s="3"/>
      <c r="JGL132" s="3"/>
      <c r="JGM132" s="3"/>
      <c r="JGN132" s="3"/>
      <c r="JGO132" s="3"/>
      <c r="JGP132" s="3"/>
      <c r="JGQ132" s="3"/>
      <c r="JGR132" s="3"/>
      <c r="JGS132" s="3"/>
      <c r="JGT132" s="3"/>
      <c r="JGU132" s="3"/>
      <c r="JGV132" s="3"/>
      <c r="JGW132" s="3"/>
      <c r="JGX132" s="3"/>
      <c r="JGY132" s="3"/>
      <c r="JGZ132" s="3"/>
      <c r="JHA132" s="3"/>
      <c r="JHB132" s="3"/>
      <c r="JHC132" s="3"/>
      <c r="JHD132" s="3"/>
      <c r="JHE132" s="3"/>
      <c r="JHF132" s="3"/>
      <c r="JHG132" s="3"/>
      <c r="JHH132" s="3"/>
      <c r="JHI132" s="3"/>
      <c r="JHJ132" s="3"/>
      <c r="JHK132" s="3"/>
      <c r="JHL132" s="3"/>
      <c r="JHM132" s="3"/>
      <c r="JHN132" s="3"/>
      <c r="JHO132" s="3"/>
      <c r="JHP132" s="3"/>
      <c r="JHQ132" s="3"/>
      <c r="JHR132" s="3"/>
      <c r="JHS132" s="3"/>
      <c r="JHT132" s="3"/>
      <c r="JHU132" s="3"/>
      <c r="JHV132" s="3"/>
      <c r="JHW132" s="3"/>
      <c r="JHX132" s="3"/>
      <c r="JHY132" s="3"/>
      <c r="JHZ132" s="3"/>
      <c r="JIA132" s="3"/>
      <c r="JIB132" s="3"/>
      <c r="JIC132" s="3"/>
      <c r="JID132" s="3"/>
      <c r="JIE132" s="3"/>
      <c r="JIF132" s="3"/>
      <c r="JIG132" s="3"/>
      <c r="JIH132" s="3"/>
      <c r="JII132" s="3"/>
      <c r="JIJ132" s="3"/>
      <c r="JIK132" s="3"/>
      <c r="JIL132" s="3"/>
      <c r="JIM132" s="3"/>
      <c r="JIN132" s="3"/>
      <c r="JIO132" s="3"/>
      <c r="JIP132" s="3"/>
      <c r="JIQ132" s="3"/>
      <c r="JIR132" s="3"/>
      <c r="JIS132" s="3"/>
      <c r="JIT132" s="3"/>
      <c r="JIU132" s="3"/>
      <c r="JIV132" s="3"/>
      <c r="JIW132" s="3"/>
      <c r="JIX132" s="3"/>
      <c r="JIY132" s="3"/>
      <c r="JIZ132" s="3"/>
      <c r="JJA132" s="3"/>
      <c r="JJB132" s="3"/>
      <c r="JJC132" s="3"/>
      <c r="JJD132" s="3"/>
      <c r="JJE132" s="3"/>
      <c r="JJF132" s="3"/>
      <c r="JJG132" s="3"/>
      <c r="JJH132" s="3"/>
      <c r="JJI132" s="3"/>
      <c r="JJJ132" s="3"/>
      <c r="JJK132" s="3"/>
      <c r="JJL132" s="3"/>
      <c r="JJM132" s="3"/>
      <c r="JJN132" s="3"/>
      <c r="JJO132" s="3"/>
      <c r="JJP132" s="3"/>
      <c r="JJQ132" s="3"/>
      <c r="JJR132" s="3"/>
      <c r="JJS132" s="3"/>
      <c r="JJT132" s="3"/>
      <c r="JJU132" s="3"/>
      <c r="JJV132" s="3"/>
      <c r="JJW132" s="3"/>
      <c r="JJX132" s="3"/>
      <c r="JJY132" s="3"/>
      <c r="JJZ132" s="3"/>
      <c r="JKA132" s="3"/>
      <c r="JKB132" s="3"/>
      <c r="JKC132" s="3"/>
      <c r="JKD132" s="3"/>
      <c r="JKE132" s="3"/>
      <c r="JKF132" s="3"/>
      <c r="JKG132" s="3"/>
      <c r="JKH132" s="3"/>
      <c r="JKI132" s="3"/>
      <c r="JKJ132" s="3"/>
      <c r="JKK132" s="3"/>
      <c r="JKL132" s="3"/>
      <c r="JKM132" s="3"/>
      <c r="JKN132" s="3"/>
      <c r="JKO132" s="3"/>
      <c r="JKP132" s="3"/>
      <c r="JKQ132" s="3"/>
      <c r="JKR132" s="3"/>
      <c r="JKS132" s="3"/>
      <c r="JKT132" s="3"/>
      <c r="JKU132" s="3"/>
      <c r="JKV132" s="3"/>
      <c r="JKW132" s="3"/>
      <c r="JKX132" s="3"/>
      <c r="JKY132" s="3"/>
      <c r="JKZ132" s="3"/>
      <c r="JLA132" s="3"/>
      <c r="JLB132" s="3"/>
      <c r="JLC132" s="3"/>
      <c r="JLD132" s="3"/>
      <c r="JLE132" s="3"/>
      <c r="JLF132" s="3"/>
      <c r="JLG132" s="3"/>
      <c r="JLH132" s="3"/>
      <c r="JLI132" s="3"/>
      <c r="JLJ132" s="3"/>
      <c r="JLK132" s="3"/>
      <c r="JLL132" s="3"/>
      <c r="JLM132" s="3"/>
      <c r="JLN132" s="3"/>
      <c r="JLO132" s="3"/>
      <c r="JLP132" s="3"/>
      <c r="JLQ132" s="3"/>
      <c r="JLR132" s="3"/>
      <c r="JLS132" s="3"/>
      <c r="JLT132" s="3"/>
      <c r="JLU132" s="3"/>
      <c r="JLV132" s="3"/>
      <c r="JLW132" s="3"/>
      <c r="JLX132" s="3"/>
      <c r="JLY132" s="3"/>
      <c r="JLZ132" s="3"/>
      <c r="JMA132" s="3"/>
      <c r="JMB132" s="3"/>
      <c r="JMC132" s="3"/>
      <c r="JMD132" s="3"/>
      <c r="JME132" s="3"/>
      <c r="JMF132" s="3"/>
      <c r="JMG132" s="3"/>
      <c r="JMH132" s="3"/>
      <c r="JMI132" s="3"/>
      <c r="JMJ132" s="3"/>
      <c r="JMK132" s="3"/>
      <c r="JML132" s="3"/>
      <c r="JMM132" s="3"/>
      <c r="JMN132" s="3"/>
      <c r="JMO132" s="3"/>
      <c r="JMP132" s="3"/>
      <c r="JMQ132" s="3"/>
      <c r="JMR132" s="3"/>
      <c r="JMS132" s="3"/>
      <c r="JMT132" s="3"/>
      <c r="JMU132" s="3"/>
      <c r="JMV132" s="3"/>
      <c r="JMW132" s="3"/>
      <c r="JMX132" s="3"/>
      <c r="JMY132" s="3"/>
      <c r="JMZ132" s="3"/>
      <c r="JNA132" s="3"/>
      <c r="JNB132" s="3"/>
      <c r="JNC132" s="3"/>
      <c r="JND132" s="3"/>
      <c r="JNE132" s="3"/>
      <c r="JNF132" s="3"/>
      <c r="JNG132" s="3"/>
      <c r="JNH132" s="3"/>
      <c r="JNI132" s="3"/>
      <c r="JNJ132" s="3"/>
      <c r="JNK132" s="3"/>
      <c r="JNL132" s="3"/>
      <c r="JNM132" s="3"/>
      <c r="JNN132" s="3"/>
      <c r="JNO132" s="3"/>
      <c r="JNP132" s="3"/>
      <c r="JNQ132" s="3"/>
      <c r="JNR132" s="3"/>
      <c r="JNS132" s="3"/>
      <c r="JNT132" s="3"/>
      <c r="JNU132" s="3"/>
      <c r="JNV132" s="3"/>
      <c r="JNW132" s="3"/>
      <c r="JNX132" s="3"/>
      <c r="JNY132" s="3"/>
      <c r="JNZ132" s="3"/>
      <c r="JOA132" s="3"/>
      <c r="JOB132" s="3"/>
      <c r="JOC132" s="3"/>
      <c r="JOD132" s="3"/>
      <c r="JOE132" s="3"/>
      <c r="JOF132" s="3"/>
      <c r="JOG132" s="3"/>
      <c r="JOH132" s="3"/>
      <c r="JOI132" s="3"/>
      <c r="JOJ132" s="3"/>
      <c r="JOK132" s="3"/>
      <c r="JOL132" s="3"/>
      <c r="JOM132" s="3"/>
      <c r="JON132" s="3"/>
      <c r="JOO132" s="3"/>
      <c r="JOP132" s="3"/>
      <c r="JOQ132" s="3"/>
      <c r="JOR132" s="3"/>
      <c r="JOS132" s="3"/>
      <c r="JOT132" s="3"/>
      <c r="JOU132" s="3"/>
      <c r="JOV132" s="3"/>
      <c r="JOW132" s="3"/>
      <c r="JOX132" s="3"/>
      <c r="JOY132" s="3"/>
      <c r="JOZ132" s="3"/>
      <c r="JPA132" s="3"/>
      <c r="JPB132" s="3"/>
      <c r="JPC132" s="3"/>
      <c r="JPD132" s="3"/>
      <c r="JPE132" s="3"/>
      <c r="JPF132" s="3"/>
      <c r="JPG132" s="3"/>
      <c r="JPH132" s="3"/>
      <c r="JPI132" s="3"/>
      <c r="JPJ132" s="3"/>
      <c r="JPK132" s="3"/>
      <c r="JPL132" s="3"/>
      <c r="JPM132" s="3"/>
      <c r="JPN132" s="3"/>
      <c r="JPO132" s="3"/>
      <c r="JPP132" s="3"/>
      <c r="JPQ132" s="3"/>
      <c r="JPR132" s="3"/>
      <c r="JPS132" s="3"/>
      <c r="JPT132" s="3"/>
      <c r="JPU132" s="3"/>
      <c r="JPV132" s="3"/>
      <c r="JPW132" s="3"/>
      <c r="JPX132" s="3"/>
      <c r="JPY132" s="3"/>
      <c r="JPZ132" s="3"/>
      <c r="JQA132" s="3"/>
      <c r="JQB132" s="3"/>
      <c r="JQC132" s="3"/>
      <c r="JQD132" s="3"/>
      <c r="JQE132" s="3"/>
      <c r="JQF132" s="3"/>
      <c r="JQG132" s="3"/>
      <c r="JQH132" s="3"/>
      <c r="JQI132" s="3"/>
      <c r="JQJ132" s="3"/>
      <c r="JQK132" s="3"/>
      <c r="JQL132" s="3"/>
      <c r="JQM132" s="3"/>
      <c r="JQN132" s="3"/>
      <c r="JQO132" s="3"/>
      <c r="JQP132" s="3"/>
      <c r="JQQ132" s="3"/>
      <c r="JQR132" s="3"/>
      <c r="JQS132" s="3"/>
      <c r="JQT132" s="3"/>
      <c r="JQU132" s="3"/>
      <c r="JQV132" s="3"/>
      <c r="JQW132" s="3"/>
      <c r="JQX132" s="3"/>
      <c r="JQY132" s="3"/>
      <c r="JQZ132" s="3"/>
      <c r="JRA132" s="3"/>
      <c r="JRB132" s="3"/>
      <c r="JRC132" s="3"/>
      <c r="JRD132" s="3"/>
      <c r="JRE132" s="3"/>
      <c r="JRF132" s="3"/>
      <c r="JRG132" s="3"/>
      <c r="JRH132" s="3"/>
      <c r="JRI132" s="3"/>
      <c r="JRJ132" s="3"/>
      <c r="JRK132" s="3"/>
      <c r="JRL132" s="3"/>
      <c r="JRM132" s="3"/>
      <c r="JRN132" s="3"/>
      <c r="JRO132" s="3"/>
      <c r="JRP132" s="3"/>
      <c r="JRQ132" s="3"/>
      <c r="JRR132" s="3"/>
      <c r="JRS132" s="3"/>
      <c r="JRT132" s="3"/>
      <c r="JRU132" s="3"/>
      <c r="JRV132" s="3"/>
      <c r="JRW132" s="3"/>
      <c r="JRX132" s="3"/>
      <c r="JRY132" s="3"/>
      <c r="JRZ132" s="3"/>
      <c r="JSA132" s="3"/>
      <c r="JSB132" s="3"/>
      <c r="JSC132" s="3"/>
      <c r="JSD132" s="3"/>
      <c r="JSE132" s="3"/>
      <c r="JSF132" s="3"/>
      <c r="JSG132" s="3"/>
      <c r="JSH132" s="3"/>
      <c r="JSI132" s="3"/>
      <c r="JSJ132" s="3"/>
      <c r="JSK132" s="3"/>
      <c r="JSL132" s="3"/>
      <c r="JSM132" s="3"/>
      <c r="JSN132" s="3"/>
      <c r="JSO132" s="3"/>
      <c r="JSP132" s="3"/>
      <c r="JSQ132" s="3"/>
      <c r="JSR132" s="3"/>
      <c r="JSS132" s="3"/>
      <c r="JST132" s="3"/>
      <c r="JSU132" s="3"/>
      <c r="JSV132" s="3"/>
      <c r="JSW132" s="3"/>
      <c r="JSX132" s="3"/>
      <c r="JSY132" s="3"/>
      <c r="JSZ132" s="3"/>
      <c r="JTA132" s="3"/>
      <c r="JTB132" s="3"/>
      <c r="JTC132" s="3"/>
      <c r="JTD132" s="3"/>
      <c r="JTE132" s="3"/>
      <c r="JTF132" s="3"/>
      <c r="JTG132" s="3"/>
      <c r="JTH132" s="3"/>
      <c r="JTI132" s="3"/>
      <c r="JTJ132" s="3"/>
      <c r="JTK132" s="3"/>
      <c r="JTL132" s="3"/>
      <c r="JTM132" s="3"/>
      <c r="JTN132" s="3"/>
      <c r="JTO132" s="3"/>
      <c r="JTP132" s="3"/>
      <c r="JTQ132" s="3"/>
      <c r="JTR132" s="3"/>
      <c r="JTS132" s="3"/>
      <c r="JTT132" s="3"/>
      <c r="JTU132" s="3"/>
      <c r="JTV132" s="3"/>
      <c r="JTW132" s="3"/>
      <c r="JTX132" s="3"/>
      <c r="JTY132" s="3"/>
      <c r="JTZ132" s="3"/>
      <c r="JUA132" s="3"/>
      <c r="JUB132" s="3"/>
      <c r="JUC132" s="3"/>
      <c r="JUD132" s="3"/>
      <c r="JUE132" s="3"/>
      <c r="JUF132" s="3"/>
      <c r="JUG132" s="3"/>
      <c r="JUH132" s="3"/>
      <c r="JUI132" s="3"/>
      <c r="JUJ132" s="3"/>
      <c r="JUK132" s="3"/>
      <c r="JUL132" s="3"/>
      <c r="JUM132" s="3"/>
      <c r="JUN132" s="3"/>
      <c r="JUO132" s="3"/>
      <c r="JUP132" s="3"/>
      <c r="JUQ132" s="3"/>
      <c r="JUR132" s="3"/>
      <c r="JUS132" s="3"/>
      <c r="JUT132" s="3"/>
      <c r="JUU132" s="3"/>
      <c r="JUV132" s="3"/>
      <c r="JUW132" s="3"/>
      <c r="JUX132" s="3"/>
      <c r="JUY132" s="3"/>
      <c r="JUZ132" s="3"/>
      <c r="JVA132" s="3"/>
      <c r="JVB132" s="3"/>
      <c r="JVC132" s="3"/>
      <c r="JVD132" s="3"/>
      <c r="JVE132" s="3"/>
      <c r="JVF132" s="3"/>
      <c r="JVG132" s="3"/>
      <c r="JVH132" s="3"/>
      <c r="JVI132" s="3"/>
      <c r="JVJ132" s="3"/>
      <c r="JVK132" s="3"/>
      <c r="JVL132" s="3"/>
      <c r="JVM132" s="3"/>
      <c r="JVN132" s="3"/>
      <c r="JVO132" s="3"/>
      <c r="JVP132" s="3"/>
      <c r="JVQ132" s="3"/>
      <c r="JVR132" s="3"/>
      <c r="JVS132" s="3"/>
      <c r="JVT132" s="3"/>
      <c r="JVU132" s="3"/>
      <c r="JVV132" s="3"/>
      <c r="JVW132" s="3"/>
      <c r="JVX132" s="3"/>
      <c r="JVY132" s="3"/>
      <c r="JVZ132" s="3"/>
      <c r="JWA132" s="3"/>
      <c r="JWB132" s="3"/>
      <c r="JWC132" s="3"/>
      <c r="JWD132" s="3"/>
      <c r="JWE132" s="3"/>
      <c r="JWF132" s="3"/>
      <c r="JWG132" s="3"/>
      <c r="JWH132" s="3"/>
      <c r="JWI132" s="3"/>
      <c r="JWJ132" s="3"/>
      <c r="JWK132" s="3"/>
      <c r="JWL132" s="3"/>
      <c r="JWM132" s="3"/>
      <c r="JWN132" s="3"/>
      <c r="JWO132" s="3"/>
      <c r="JWP132" s="3"/>
      <c r="JWQ132" s="3"/>
      <c r="JWR132" s="3"/>
      <c r="JWS132" s="3"/>
      <c r="JWT132" s="3"/>
      <c r="JWU132" s="3"/>
      <c r="JWV132" s="3"/>
      <c r="JWW132" s="3"/>
      <c r="JWX132" s="3"/>
      <c r="JWY132" s="3"/>
      <c r="JWZ132" s="3"/>
      <c r="JXA132" s="3"/>
      <c r="JXB132" s="3"/>
      <c r="JXC132" s="3"/>
      <c r="JXD132" s="3"/>
      <c r="JXE132" s="3"/>
      <c r="JXF132" s="3"/>
      <c r="JXG132" s="3"/>
      <c r="JXH132" s="3"/>
      <c r="JXI132" s="3"/>
      <c r="JXJ132" s="3"/>
      <c r="JXK132" s="3"/>
      <c r="JXL132" s="3"/>
      <c r="JXM132" s="3"/>
      <c r="JXN132" s="3"/>
      <c r="JXO132" s="3"/>
      <c r="JXP132" s="3"/>
      <c r="JXQ132" s="3"/>
      <c r="JXR132" s="3"/>
      <c r="JXS132" s="3"/>
      <c r="JXT132" s="3"/>
      <c r="JXU132" s="3"/>
      <c r="JXV132" s="3"/>
      <c r="JXW132" s="3"/>
      <c r="JXX132" s="3"/>
      <c r="JXY132" s="3"/>
      <c r="JXZ132" s="3"/>
      <c r="JYA132" s="3"/>
      <c r="JYB132" s="3"/>
      <c r="JYC132" s="3"/>
      <c r="JYD132" s="3"/>
      <c r="JYE132" s="3"/>
      <c r="JYF132" s="3"/>
      <c r="JYG132" s="3"/>
      <c r="JYH132" s="3"/>
      <c r="JYI132" s="3"/>
      <c r="JYJ132" s="3"/>
      <c r="JYK132" s="3"/>
      <c r="JYL132" s="3"/>
      <c r="JYM132" s="3"/>
      <c r="JYN132" s="3"/>
      <c r="JYO132" s="3"/>
      <c r="JYP132" s="3"/>
      <c r="JYQ132" s="3"/>
      <c r="JYR132" s="3"/>
      <c r="JYS132" s="3"/>
      <c r="JYT132" s="3"/>
      <c r="JYU132" s="3"/>
      <c r="JYV132" s="3"/>
      <c r="JYW132" s="3"/>
      <c r="JYX132" s="3"/>
      <c r="JYY132" s="3"/>
      <c r="JYZ132" s="3"/>
      <c r="JZA132" s="3"/>
      <c r="JZB132" s="3"/>
      <c r="JZC132" s="3"/>
      <c r="JZD132" s="3"/>
      <c r="JZE132" s="3"/>
      <c r="JZF132" s="3"/>
      <c r="JZG132" s="3"/>
      <c r="JZH132" s="3"/>
      <c r="JZI132" s="3"/>
      <c r="JZJ132" s="3"/>
      <c r="JZK132" s="3"/>
      <c r="JZL132" s="3"/>
      <c r="JZM132" s="3"/>
      <c r="JZN132" s="3"/>
      <c r="JZO132" s="3"/>
      <c r="JZP132" s="3"/>
      <c r="JZQ132" s="3"/>
      <c r="JZR132" s="3"/>
      <c r="JZS132" s="3"/>
      <c r="JZT132" s="3"/>
      <c r="JZU132" s="3"/>
      <c r="JZV132" s="3"/>
      <c r="JZW132" s="3"/>
      <c r="JZX132" s="3"/>
      <c r="JZY132" s="3"/>
      <c r="JZZ132" s="3"/>
      <c r="KAA132" s="3"/>
      <c r="KAB132" s="3"/>
      <c r="KAC132" s="3"/>
      <c r="KAD132" s="3"/>
      <c r="KAE132" s="3"/>
      <c r="KAF132" s="3"/>
      <c r="KAG132" s="3"/>
      <c r="KAH132" s="3"/>
      <c r="KAI132" s="3"/>
      <c r="KAJ132" s="3"/>
      <c r="KAK132" s="3"/>
      <c r="KAL132" s="3"/>
      <c r="KAM132" s="3"/>
      <c r="KAN132" s="3"/>
      <c r="KAO132" s="3"/>
      <c r="KAP132" s="3"/>
      <c r="KAQ132" s="3"/>
      <c r="KAR132" s="3"/>
      <c r="KAS132" s="3"/>
      <c r="KAT132" s="3"/>
      <c r="KAU132" s="3"/>
      <c r="KAV132" s="3"/>
      <c r="KAW132" s="3"/>
      <c r="KAX132" s="3"/>
      <c r="KAY132" s="3"/>
      <c r="KAZ132" s="3"/>
      <c r="KBA132" s="3"/>
      <c r="KBB132" s="3"/>
      <c r="KBC132" s="3"/>
      <c r="KBD132" s="3"/>
      <c r="KBE132" s="3"/>
      <c r="KBF132" s="3"/>
      <c r="KBG132" s="3"/>
      <c r="KBH132" s="3"/>
      <c r="KBI132" s="3"/>
      <c r="KBJ132" s="3"/>
      <c r="KBK132" s="3"/>
      <c r="KBL132" s="3"/>
      <c r="KBM132" s="3"/>
      <c r="KBN132" s="3"/>
      <c r="KBO132" s="3"/>
      <c r="KBP132" s="3"/>
      <c r="KBQ132" s="3"/>
      <c r="KBR132" s="3"/>
      <c r="KBS132" s="3"/>
      <c r="KBT132" s="3"/>
      <c r="KBU132" s="3"/>
      <c r="KBV132" s="3"/>
      <c r="KBW132" s="3"/>
      <c r="KBX132" s="3"/>
      <c r="KBY132" s="3"/>
      <c r="KBZ132" s="3"/>
      <c r="KCA132" s="3"/>
      <c r="KCB132" s="3"/>
      <c r="KCC132" s="3"/>
      <c r="KCD132" s="3"/>
      <c r="KCE132" s="3"/>
      <c r="KCF132" s="3"/>
      <c r="KCG132" s="3"/>
      <c r="KCH132" s="3"/>
      <c r="KCI132" s="3"/>
      <c r="KCJ132" s="3"/>
      <c r="KCK132" s="3"/>
      <c r="KCL132" s="3"/>
      <c r="KCM132" s="3"/>
      <c r="KCN132" s="3"/>
      <c r="KCO132" s="3"/>
      <c r="KCP132" s="3"/>
      <c r="KCQ132" s="3"/>
      <c r="KCR132" s="3"/>
      <c r="KCS132" s="3"/>
      <c r="KCT132" s="3"/>
      <c r="KCU132" s="3"/>
      <c r="KCV132" s="3"/>
      <c r="KCW132" s="3"/>
      <c r="KCX132" s="3"/>
      <c r="KCY132" s="3"/>
      <c r="KCZ132" s="3"/>
      <c r="KDA132" s="3"/>
      <c r="KDB132" s="3"/>
      <c r="KDC132" s="3"/>
      <c r="KDD132" s="3"/>
      <c r="KDE132" s="3"/>
      <c r="KDF132" s="3"/>
      <c r="KDG132" s="3"/>
      <c r="KDH132" s="3"/>
      <c r="KDI132" s="3"/>
      <c r="KDJ132" s="3"/>
      <c r="KDK132" s="3"/>
      <c r="KDL132" s="3"/>
      <c r="KDM132" s="3"/>
      <c r="KDN132" s="3"/>
      <c r="KDO132" s="3"/>
      <c r="KDP132" s="3"/>
      <c r="KDQ132" s="3"/>
      <c r="KDR132" s="3"/>
      <c r="KDS132" s="3"/>
      <c r="KDT132" s="3"/>
      <c r="KDU132" s="3"/>
      <c r="KDV132" s="3"/>
      <c r="KDW132" s="3"/>
      <c r="KDX132" s="3"/>
      <c r="KDY132" s="3"/>
      <c r="KDZ132" s="3"/>
      <c r="KEA132" s="3"/>
      <c r="KEB132" s="3"/>
      <c r="KEC132" s="3"/>
      <c r="KED132" s="3"/>
      <c r="KEE132" s="3"/>
      <c r="KEF132" s="3"/>
      <c r="KEG132" s="3"/>
      <c r="KEH132" s="3"/>
      <c r="KEI132" s="3"/>
      <c r="KEJ132" s="3"/>
      <c r="KEK132" s="3"/>
      <c r="KEL132" s="3"/>
      <c r="KEM132" s="3"/>
      <c r="KEN132" s="3"/>
      <c r="KEO132" s="3"/>
      <c r="KEP132" s="3"/>
      <c r="KEQ132" s="3"/>
      <c r="KER132" s="3"/>
      <c r="KES132" s="3"/>
      <c r="KET132" s="3"/>
      <c r="KEU132" s="3"/>
      <c r="KEV132" s="3"/>
      <c r="KEW132" s="3"/>
      <c r="KEX132" s="3"/>
      <c r="KEY132" s="3"/>
      <c r="KEZ132" s="3"/>
      <c r="KFA132" s="3"/>
      <c r="KFB132" s="3"/>
      <c r="KFC132" s="3"/>
      <c r="KFD132" s="3"/>
      <c r="KFE132" s="3"/>
      <c r="KFF132" s="3"/>
      <c r="KFG132" s="3"/>
      <c r="KFH132" s="3"/>
      <c r="KFI132" s="3"/>
      <c r="KFJ132" s="3"/>
      <c r="KFK132" s="3"/>
      <c r="KFL132" s="3"/>
      <c r="KFM132" s="3"/>
      <c r="KFN132" s="3"/>
      <c r="KFO132" s="3"/>
      <c r="KFP132" s="3"/>
      <c r="KFQ132" s="3"/>
      <c r="KFR132" s="3"/>
      <c r="KFS132" s="3"/>
      <c r="KFT132" s="3"/>
      <c r="KFU132" s="3"/>
      <c r="KFV132" s="3"/>
      <c r="KFW132" s="3"/>
      <c r="KFX132" s="3"/>
      <c r="KFY132" s="3"/>
      <c r="KFZ132" s="3"/>
      <c r="KGA132" s="3"/>
      <c r="KGB132" s="3"/>
      <c r="KGC132" s="3"/>
      <c r="KGD132" s="3"/>
      <c r="KGE132" s="3"/>
      <c r="KGF132" s="3"/>
      <c r="KGG132" s="3"/>
      <c r="KGH132" s="3"/>
      <c r="KGI132" s="3"/>
      <c r="KGJ132" s="3"/>
      <c r="KGK132" s="3"/>
      <c r="KGL132" s="3"/>
      <c r="KGM132" s="3"/>
      <c r="KGN132" s="3"/>
      <c r="KGO132" s="3"/>
      <c r="KGP132" s="3"/>
      <c r="KGQ132" s="3"/>
      <c r="KGR132" s="3"/>
      <c r="KGS132" s="3"/>
      <c r="KGT132" s="3"/>
      <c r="KGU132" s="3"/>
      <c r="KGV132" s="3"/>
      <c r="KGW132" s="3"/>
      <c r="KGX132" s="3"/>
      <c r="KGY132" s="3"/>
      <c r="KGZ132" s="3"/>
      <c r="KHA132" s="3"/>
      <c r="KHB132" s="3"/>
      <c r="KHC132" s="3"/>
      <c r="KHD132" s="3"/>
      <c r="KHE132" s="3"/>
      <c r="KHF132" s="3"/>
      <c r="KHG132" s="3"/>
      <c r="KHH132" s="3"/>
      <c r="KHI132" s="3"/>
      <c r="KHJ132" s="3"/>
      <c r="KHK132" s="3"/>
      <c r="KHL132" s="3"/>
      <c r="KHM132" s="3"/>
      <c r="KHN132" s="3"/>
      <c r="KHO132" s="3"/>
      <c r="KHP132" s="3"/>
      <c r="KHQ132" s="3"/>
      <c r="KHR132" s="3"/>
      <c r="KHS132" s="3"/>
      <c r="KHT132" s="3"/>
      <c r="KHU132" s="3"/>
      <c r="KHV132" s="3"/>
      <c r="KHW132" s="3"/>
      <c r="KHX132" s="3"/>
      <c r="KHY132" s="3"/>
      <c r="KHZ132" s="3"/>
      <c r="KIA132" s="3"/>
      <c r="KIB132" s="3"/>
      <c r="KIC132" s="3"/>
      <c r="KID132" s="3"/>
      <c r="KIE132" s="3"/>
      <c r="KIF132" s="3"/>
      <c r="KIG132" s="3"/>
      <c r="KIH132" s="3"/>
      <c r="KII132" s="3"/>
      <c r="KIJ132" s="3"/>
      <c r="KIK132" s="3"/>
      <c r="KIL132" s="3"/>
      <c r="KIM132" s="3"/>
      <c r="KIN132" s="3"/>
      <c r="KIO132" s="3"/>
      <c r="KIP132" s="3"/>
      <c r="KIQ132" s="3"/>
      <c r="KIR132" s="3"/>
      <c r="KIS132" s="3"/>
      <c r="KIT132" s="3"/>
      <c r="KIU132" s="3"/>
      <c r="KIV132" s="3"/>
      <c r="KIW132" s="3"/>
      <c r="KIX132" s="3"/>
      <c r="KIY132" s="3"/>
      <c r="KIZ132" s="3"/>
      <c r="KJA132" s="3"/>
      <c r="KJB132" s="3"/>
      <c r="KJC132" s="3"/>
      <c r="KJD132" s="3"/>
      <c r="KJE132" s="3"/>
      <c r="KJF132" s="3"/>
      <c r="KJG132" s="3"/>
      <c r="KJH132" s="3"/>
      <c r="KJI132" s="3"/>
      <c r="KJJ132" s="3"/>
      <c r="KJK132" s="3"/>
      <c r="KJL132" s="3"/>
      <c r="KJM132" s="3"/>
      <c r="KJN132" s="3"/>
      <c r="KJO132" s="3"/>
      <c r="KJP132" s="3"/>
      <c r="KJQ132" s="3"/>
      <c r="KJR132" s="3"/>
      <c r="KJS132" s="3"/>
      <c r="KJT132" s="3"/>
      <c r="KJU132" s="3"/>
      <c r="KJV132" s="3"/>
      <c r="KJW132" s="3"/>
      <c r="KJX132" s="3"/>
      <c r="KJY132" s="3"/>
      <c r="KJZ132" s="3"/>
      <c r="KKA132" s="3"/>
      <c r="KKB132" s="3"/>
      <c r="KKC132" s="3"/>
      <c r="KKD132" s="3"/>
      <c r="KKE132" s="3"/>
      <c r="KKF132" s="3"/>
      <c r="KKG132" s="3"/>
      <c r="KKH132" s="3"/>
      <c r="KKI132" s="3"/>
      <c r="KKJ132" s="3"/>
      <c r="KKK132" s="3"/>
      <c r="KKL132" s="3"/>
      <c r="KKM132" s="3"/>
      <c r="KKN132" s="3"/>
      <c r="KKO132" s="3"/>
      <c r="KKP132" s="3"/>
      <c r="KKQ132" s="3"/>
      <c r="KKR132" s="3"/>
      <c r="KKS132" s="3"/>
      <c r="KKT132" s="3"/>
      <c r="KKU132" s="3"/>
      <c r="KKV132" s="3"/>
      <c r="KKW132" s="3"/>
      <c r="KKX132" s="3"/>
      <c r="KKY132" s="3"/>
      <c r="KKZ132" s="3"/>
      <c r="KLA132" s="3"/>
      <c r="KLB132" s="3"/>
      <c r="KLC132" s="3"/>
      <c r="KLD132" s="3"/>
      <c r="KLE132" s="3"/>
      <c r="KLF132" s="3"/>
      <c r="KLG132" s="3"/>
      <c r="KLH132" s="3"/>
      <c r="KLI132" s="3"/>
      <c r="KLJ132" s="3"/>
      <c r="KLK132" s="3"/>
      <c r="KLL132" s="3"/>
      <c r="KLM132" s="3"/>
      <c r="KLN132" s="3"/>
      <c r="KLO132" s="3"/>
      <c r="KLP132" s="3"/>
      <c r="KLQ132" s="3"/>
      <c r="KLR132" s="3"/>
      <c r="KLS132" s="3"/>
      <c r="KLT132" s="3"/>
      <c r="KLU132" s="3"/>
      <c r="KLV132" s="3"/>
      <c r="KLW132" s="3"/>
      <c r="KLX132" s="3"/>
      <c r="KLY132" s="3"/>
      <c r="KLZ132" s="3"/>
      <c r="KMA132" s="3"/>
      <c r="KMB132" s="3"/>
      <c r="KMC132" s="3"/>
      <c r="KMD132" s="3"/>
      <c r="KME132" s="3"/>
      <c r="KMF132" s="3"/>
      <c r="KMG132" s="3"/>
      <c r="KMH132" s="3"/>
      <c r="KMI132" s="3"/>
      <c r="KMJ132" s="3"/>
      <c r="KMK132" s="3"/>
      <c r="KML132" s="3"/>
      <c r="KMM132" s="3"/>
      <c r="KMN132" s="3"/>
      <c r="KMO132" s="3"/>
      <c r="KMP132" s="3"/>
      <c r="KMQ132" s="3"/>
      <c r="KMR132" s="3"/>
      <c r="KMS132" s="3"/>
      <c r="KMT132" s="3"/>
      <c r="KMU132" s="3"/>
      <c r="KMV132" s="3"/>
      <c r="KMW132" s="3"/>
      <c r="KMX132" s="3"/>
      <c r="KMY132" s="3"/>
      <c r="KMZ132" s="3"/>
      <c r="KNA132" s="3"/>
      <c r="KNB132" s="3"/>
      <c r="KNC132" s="3"/>
      <c r="KND132" s="3"/>
      <c r="KNE132" s="3"/>
      <c r="KNF132" s="3"/>
      <c r="KNG132" s="3"/>
      <c r="KNH132" s="3"/>
      <c r="KNI132" s="3"/>
      <c r="KNJ132" s="3"/>
      <c r="KNK132" s="3"/>
      <c r="KNL132" s="3"/>
      <c r="KNM132" s="3"/>
      <c r="KNN132" s="3"/>
      <c r="KNO132" s="3"/>
      <c r="KNP132" s="3"/>
      <c r="KNQ132" s="3"/>
      <c r="KNR132" s="3"/>
      <c r="KNS132" s="3"/>
      <c r="KNT132" s="3"/>
      <c r="KNU132" s="3"/>
      <c r="KNV132" s="3"/>
      <c r="KNW132" s="3"/>
      <c r="KNX132" s="3"/>
      <c r="KNY132" s="3"/>
      <c r="KNZ132" s="3"/>
      <c r="KOA132" s="3"/>
      <c r="KOB132" s="3"/>
      <c r="KOC132" s="3"/>
      <c r="KOD132" s="3"/>
      <c r="KOE132" s="3"/>
      <c r="KOF132" s="3"/>
      <c r="KOG132" s="3"/>
      <c r="KOH132" s="3"/>
      <c r="KOI132" s="3"/>
      <c r="KOJ132" s="3"/>
      <c r="KOK132" s="3"/>
      <c r="KOL132" s="3"/>
      <c r="KOM132" s="3"/>
      <c r="KON132" s="3"/>
      <c r="KOO132" s="3"/>
      <c r="KOP132" s="3"/>
      <c r="KOQ132" s="3"/>
      <c r="KOR132" s="3"/>
      <c r="KOS132" s="3"/>
      <c r="KOT132" s="3"/>
      <c r="KOU132" s="3"/>
      <c r="KOV132" s="3"/>
      <c r="KOW132" s="3"/>
      <c r="KOX132" s="3"/>
      <c r="KOY132" s="3"/>
      <c r="KOZ132" s="3"/>
      <c r="KPA132" s="3"/>
      <c r="KPB132" s="3"/>
      <c r="KPC132" s="3"/>
      <c r="KPD132" s="3"/>
      <c r="KPE132" s="3"/>
      <c r="KPF132" s="3"/>
      <c r="KPG132" s="3"/>
      <c r="KPH132" s="3"/>
      <c r="KPI132" s="3"/>
      <c r="KPJ132" s="3"/>
      <c r="KPK132" s="3"/>
      <c r="KPL132" s="3"/>
      <c r="KPM132" s="3"/>
      <c r="KPN132" s="3"/>
      <c r="KPO132" s="3"/>
      <c r="KPP132" s="3"/>
      <c r="KPQ132" s="3"/>
      <c r="KPR132" s="3"/>
      <c r="KPS132" s="3"/>
      <c r="KPT132" s="3"/>
      <c r="KPU132" s="3"/>
      <c r="KPV132" s="3"/>
      <c r="KPW132" s="3"/>
      <c r="KPX132" s="3"/>
      <c r="KPY132" s="3"/>
      <c r="KPZ132" s="3"/>
      <c r="KQA132" s="3"/>
      <c r="KQB132" s="3"/>
      <c r="KQC132" s="3"/>
      <c r="KQD132" s="3"/>
      <c r="KQE132" s="3"/>
      <c r="KQF132" s="3"/>
      <c r="KQG132" s="3"/>
      <c r="KQH132" s="3"/>
      <c r="KQI132" s="3"/>
      <c r="KQJ132" s="3"/>
      <c r="KQK132" s="3"/>
      <c r="KQL132" s="3"/>
      <c r="KQM132" s="3"/>
      <c r="KQN132" s="3"/>
      <c r="KQO132" s="3"/>
      <c r="KQP132" s="3"/>
      <c r="KQQ132" s="3"/>
      <c r="KQR132" s="3"/>
      <c r="KQS132" s="3"/>
      <c r="KQT132" s="3"/>
      <c r="KQU132" s="3"/>
      <c r="KQV132" s="3"/>
      <c r="KQW132" s="3"/>
      <c r="KQX132" s="3"/>
      <c r="KQY132" s="3"/>
      <c r="KQZ132" s="3"/>
      <c r="KRA132" s="3"/>
      <c r="KRB132" s="3"/>
      <c r="KRC132" s="3"/>
      <c r="KRD132" s="3"/>
      <c r="KRE132" s="3"/>
      <c r="KRF132" s="3"/>
      <c r="KRG132" s="3"/>
      <c r="KRH132" s="3"/>
      <c r="KRI132" s="3"/>
      <c r="KRJ132" s="3"/>
      <c r="KRK132" s="3"/>
      <c r="KRL132" s="3"/>
      <c r="KRM132" s="3"/>
      <c r="KRN132" s="3"/>
      <c r="KRO132" s="3"/>
      <c r="KRP132" s="3"/>
      <c r="KRQ132" s="3"/>
      <c r="KRR132" s="3"/>
      <c r="KRS132" s="3"/>
      <c r="KRT132" s="3"/>
      <c r="KRU132" s="3"/>
      <c r="KRV132" s="3"/>
      <c r="KRW132" s="3"/>
      <c r="KRX132" s="3"/>
      <c r="KRY132" s="3"/>
      <c r="KRZ132" s="3"/>
      <c r="KSA132" s="3"/>
      <c r="KSB132" s="3"/>
      <c r="KSC132" s="3"/>
      <c r="KSD132" s="3"/>
      <c r="KSE132" s="3"/>
      <c r="KSF132" s="3"/>
      <c r="KSG132" s="3"/>
      <c r="KSH132" s="3"/>
      <c r="KSI132" s="3"/>
      <c r="KSJ132" s="3"/>
      <c r="KSK132" s="3"/>
      <c r="KSL132" s="3"/>
      <c r="KSM132" s="3"/>
      <c r="KSN132" s="3"/>
      <c r="KSO132" s="3"/>
      <c r="KSP132" s="3"/>
      <c r="KSQ132" s="3"/>
      <c r="KSR132" s="3"/>
      <c r="KSS132" s="3"/>
      <c r="KST132" s="3"/>
      <c r="KSU132" s="3"/>
      <c r="KSV132" s="3"/>
      <c r="KSW132" s="3"/>
      <c r="KSX132" s="3"/>
      <c r="KSY132" s="3"/>
      <c r="KSZ132" s="3"/>
      <c r="KTA132" s="3"/>
      <c r="KTB132" s="3"/>
      <c r="KTC132" s="3"/>
      <c r="KTD132" s="3"/>
      <c r="KTE132" s="3"/>
      <c r="KTF132" s="3"/>
      <c r="KTG132" s="3"/>
      <c r="KTH132" s="3"/>
      <c r="KTI132" s="3"/>
      <c r="KTJ132" s="3"/>
      <c r="KTK132" s="3"/>
      <c r="KTL132" s="3"/>
      <c r="KTM132" s="3"/>
      <c r="KTN132" s="3"/>
      <c r="KTO132" s="3"/>
      <c r="KTP132" s="3"/>
      <c r="KTQ132" s="3"/>
      <c r="KTR132" s="3"/>
      <c r="KTS132" s="3"/>
      <c r="KTT132" s="3"/>
      <c r="KTU132" s="3"/>
      <c r="KTV132" s="3"/>
      <c r="KTW132" s="3"/>
      <c r="KTX132" s="3"/>
      <c r="KTY132" s="3"/>
      <c r="KTZ132" s="3"/>
      <c r="KUA132" s="3"/>
      <c r="KUB132" s="3"/>
      <c r="KUC132" s="3"/>
      <c r="KUD132" s="3"/>
      <c r="KUE132" s="3"/>
      <c r="KUF132" s="3"/>
      <c r="KUG132" s="3"/>
      <c r="KUH132" s="3"/>
      <c r="KUI132" s="3"/>
      <c r="KUJ132" s="3"/>
      <c r="KUK132" s="3"/>
      <c r="KUL132" s="3"/>
      <c r="KUM132" s="3"/>
      <c r="KUN132" s="3"/>
      <c r="KUO132" s="3"/>
      <c r="KUP132" s="3"/>
      <c r="KUQ132" s="3"/>
      <c r="KUR132" s="3"/>
      <c r="KUS132" s="3"/>
      <c r="KUT132" s="3"/>
      <c r="KUU132" s="3"/>
      <c r="KUV132" s="3"/>
      <c r="KUW132" s="3"/>
      <c r="KUX132" s="3"/>
      <c r="KUY132" s="3"/>
      <c r="KUZ132" s="3"/>
      <c r="KVA132" s="3"/>
      <c r="KVB132" s="3"/>
      <c r="KVC132" s="3"/>
      <c r="KVD132" s="3"/>
      <c r="KVE132" s="3"/>
      <c r="KVF132" s="3"/>
      <c r="KVG132" s="3"/>
      <c r="KVH132" s="3"/>
      <c r="KVI132" s="3"/>
      <c r="KVJ132" s="3"/>
      <c r="KVK132" s="3"/>
      <c r="KVL132" s="3"/>
      <c r="KVM132" s="3"/>
      <c r="KVN132" s="3"/>
      <c r="KVO132" s="3"/>
      <c r="KVP132" s="3"/>
      <c r="KVQ132" s="3"/>
      <c r="KVR132" s="3"/>
      <c r="KVS132" s="3"/>
      <c r="KVT132" s="3"/>
      <c r="KVU132" s="3"/>
      <c r="KVV132" s="3"/>
      <c r="KVW132" s="3"/>
      <c r="KVX132" s="3"/>
      <c r="KVY132" s="3"/>
      <c r="KVZ132" s="3"/>
      <c r="KWA132" s="3"/>
      <c r="KWB132" s="3"/>
      <c r="KWC132" s="3"/>
      <c r="KWD132" s="3"/>
      <c r="KWE132" s="3"/>
      <c r="KWF132" s="3"/>
      <c r="KWG132" s="3"/>
      <c r="KWH132" s="3"/>
      <c r="KWI132" s="3"/>
      <c r="KWJ132" s="3"/>
      <c r="KWK132" s="3"/>
      <c r="KWL132" s="3"/>
      <c r="KWM132" s="3"/>
      <c r="KWN132" s="3"/>
      <c r="KWO132" s="3"/>
      <c r="KWP132" s="3"/>
      <c r="KWQ132" s="3"/>
      <c r="KWR132" s="3"/>
      <c r="KWS132" s="3"/>
      <c r="KWT132" s="3"/>
      <c r="KWU132" s="3"/>
      <c r="KWV132" s="3"/>
      <c r="KWW132" s="3"/>
      <c r="KWX132" s="3"/>
      <c r="KWY132" s="3"/>
      <c r="KWZ132" s="3"/>
      <c r="KXA132" s="3"/>
      <c r="KXB132" s="3"/>
      <c r="KXC132" s="3"/>
      <c r="KXD132" s="3"/>
      <c r="KXE132" s="3"/>
      <c r="KXF132" s="3"/>
      <c r="KXG132" s="3"/>
      <c r="KXH132" s="3"/>
      <c r="KXI132" s="3"/>
      <c r="KXJ132" s="3"/>
      <c r="KXK132" s="3"/>
      <c r="KXL132" s="3"/>
      <c r="KXM132" s="3"/>
      <c r="KXN132" s="3"/>
      <c r="KXO132" s="3"/>
      <c r="KXP132" s="3"/>
      <c r="KXQ132" s="3"/>
      <c r="KXR132" s="3"/>
      <c r="KXS132" s="3"/>
      <c r="KXT132" s="3"/>
      <c r="KXU132" s="3"/>
      <c r="KXV132" s="3"/>
      <c r="KXW132" s="3"/>
      <c r="KXX132" s="3"/>
      <c r="KXY132" s="3"/>
      <c r="KXZ132" s="3"/>
      <c r="KYA132" s="3"/>
      <c r="KYB132" s="3"/>
      <c r="KYC132" s="3"/>
      <c r="KYD132" s="3"/>
      <c r="KYE132" s="3"/>
      <c r="KYF132" s="3"/>
      <c r="KYG132" s="3"/>
      <c r="KYH132" s="3"/>
      <c r="KYI132" s="3"/>
      <c r="KYJ132" s="3"/>
      <c r="KYK132" s="3"/>
      <c r="KYL132" s="3"/>
      <c r="KYM132" s="3"/>
      <c r="KYN132" s="3"/>
      <c r="KYO132" s="3"/>
      <c r="KYP132" s="3"/>
      <c r="KYQ132" s="3"/>
      <c r="KYR132" s="3"/>
      <c r="KYS132" s="3"/>
      <c r="KYT132" s="3"/>
      <c r="KYU132" s="3"/>
      <c r="KYV132" s="3"/>
      <c r="KYW132" s="3"/>
      <c r="KYX132" s="3"/>
      <c r="KYY132" s="3"/>
      <c r="KYZ132" s="3"/>
      <c r="KZA132" s="3"/>
      <c r="KZB132" s="3"/>
      <c r="KZC132" s="3"/>
      <c r="KZD132" s="3"/>
      <c r="KZE132" s="3"/>
      <c r="KZF132" s="3"/>
      <c r="KZG132" s="3"/>
      <c r="KZH132" s="3"/>
      <c r="KZI132" s="3"/>
      <c r="KZJ132" s="3"/>
      <c r="KZK132" s="3"/>
      <c r="KZL132" s="3"/>
      <c r="KZM132" s="3"/>
      <c r="KZN132" s="3"/>
      <c r="KZO132" s="3"/>
      <c r="KZP132" s="3"/>
      <c r="KZQ132" s="3"/>
      <c r="KZR132" s="3"/>
      <c r="KZS132" s="3"/>
      <c r="KZT132" s="3"/>
      <c r="KZU132" s="3"/>
      <c r="KZV132" s="3"/>
      <c r="KZW132" s="3"/>
      <c r="KZX132" s="3"/>
      <c r="KZY132" s="3"/>
      <c r="KZZ132" s="3"/>
      <c r="LAA132" s="3"/>
      <c r="LAB132" s="3"/>
      <c r="LAC132" s="3"/>
      <c r="LAD132" s="3"/>
      <c r="LAE132" s="3"/>
      <c r="LAF132" s="3"/>
      <c r="LAG132" s="3"/>
      <c r="LAH132" s="3"/>
      <c r="LAI132" s="3"/>
      <c r="LAJ132" s="3"/>
      <c r="LAK132" s="3"/>
      <c r="LAL132" s="3"/>
      <c r="LAM132" s="3"/>
      <c r="LAN132" s="3"/>
      <c r="LAO132" s="3"/>
      <c r="LAP132" s="3"/>
      <c r="LAQ132" s="3"/>
      <c r="LAR132" s="3"/>
      <c r="LAS132" s="3"/>
      <c r="LAT132" s="3"/>
      <c r="LAU132" s="3"/>
      <c r="LAV132" s="3"/>
      <c r="LAW132" s="3"/>
      <c r="LAX132" s="3"/>
      <c r="LAY132" s="3"/>
      <c r="LAZ132" s="3"/>
      <c r="LBA132" s="3"/>
      <c r="LBB132" s="3"/>
      <c r="LBC132" s="3"/>
      <c r="LBD132" s="3"/>
      <c r="LBE132" s="3"/>
      <c r="LBF132" s="3"/>
      <c r="LBG132" s="3"/>
      <c r="LBH132" s="3"/>
      <c r="LBI132" s="3"/>
      <c r="LBJ132" s="3"/>
      <c r="LBK132" s="3"/>
      <c r="LBL132" s="3"/>
      <c r="LBM132" s="3"/>
      <c r="LBN132" s="3"/>
      <c r="LBO132" s="3"/>
      <c r="LBP132" s="3"/>
      <c r="LBQ132" s="3"/>
      <c r="LBR132" s="3"/>
      <c r="LBS132" s="3"/>
      <c r="LBT132" s="3"/>
      <c r="LBU132" s="3"/>
      <c r="LBV132" s="3"/>
      <c r="LBW132" s="3"/>
      <c r="LBX132" s="3"/>
      <c r="LBY132" s="3"/>
      <c r="LBZ132" s="3"/>
      <c r="LCA132" s="3"/>
      <c r="LCB132" s="3"/>
      <c r="LCC132" s="3"/>
      <c r="LCD132" s="3"/>
      <c r="LCE132" s="3"/>
      <c r="LCF132" s="3"/>
      <c r="LCG132" s="3"/>
      <c r="LCH132" s="3"/>
      <c r="LCI132" s="3"/>
      <c r="LCJ132" s="3"/>
      <c r="LCK132" s="3"/>
      <c r="LCL132" s="3"/>
      <c r="LCM132" s="3"/>
      <c r="LCN132" s="3"/>
      <c r="LCO132" s="3"/>
      <c r="LCP132" s="3"/>
      <c r="LCQ132" s="3"/>
      <c r="LCR132" s="3"/>
      <c r="LCS132" s="3"/>
      <c r="LCT132" s="3"/>
      <c r="LCU132" s="3"/>
      <c r="LCV132" s="3"/>
      <c r="LCW132" s="3"/>
      <c r="LCX132" s="3"/>
      <c r="LCY132" s="3"/>
      <c r="LCZ132" s="3"/>
      <c r="LDA132" s="3"/>
      <c r="LDB132" s="3"/>
      <c r="LDC132" s="3"/>
      <c r="LDD132" s="3"/>
      <c r="LDE132" s="3"/>
      <c r="LDF132" s="3"/>
      <c r="LDG132" s="3"/>
      <c r="LDH132" s="3"/>
      <c r="LDI132" s="3"/>
      <c r="LDJ132" s="3"/>
      <c r="LDK132" s="3"/>
      <c r="LDL132" s="3"/>
      <c r="LDM132" s="3"/>
      <c r="LDN132" s="3"/>
      <c r="LDO132" s="3"/>
      <c r="LDP132" s="3"/>
      <c r="LDQ132" s="3"/>
      <c r="LDR132" s="3"/>
      <c r="LDS132" s="3"/>
      <c r="LDT132" s="3"/>
      <c r="LDU132" s="3"/>
      <c r="LDV132" s="3"/>
      <c r="LDW132" s="3"/>
      <c r="LDX132" s="3"/>
      <c r="LDY132" s="3"/>
      <c r="LDZ132" s="3"/>
      <c r="LEA132" s="3"/>
      <c r="LEB132" s="3"/>
      <c r="LEC132" s="3"/>
      <c r="LED132" s="3"/>
      <c r="LEE132" s="3"/>
      <c r="LEF132" s="3"/>
      <c r="LEG132" s="3"/>
      <c r="LEH132" s="3"/>
      <c r="LEI132" s="3"/>
      <c r="LEJ132" s="3"/>
      <c r="LEK132" s="3"/>
      <c r="LEL132" s="3"/>
      <c r="LEM132" s="3"/>
      <c r="LEN132" s="3"/>
      <c r="LEO132" s="3"/>
      <c r="LEP132" s="3"/>
      <c r="LEQ132" s="3"/>
      <c r="LER132" s="3"/>
      <c r="LES132" s="3"/>
      <c r="LET132" s="3"/>
      <c r="LEU132" s="3"/>
      <c r="LEV132" s="3"/>
      <c r="LEW132" s="3"/>
      <c r="LEX132" s="3"/>
      <c r="LEY132" s="3"/>
      <c r="LEZ132" s="3"/>
      <c r="LFA132" s="3"/>
      <c r="LFB132" s="3"/>
      <c r="LFC132" s="3"/>
      <c r="LFD132" s="3"/>
      <c r="LFE132" s="3"/>
      <c r="LFF132" s="3"/>
      <c r="LFG132" s="3"/>
      <c r="LFH132" s="3"/>
      <c r="LFI132" s="3"/>
      <c r="LFJ132" s="3"/>
      <c r="LFK132" s="3"/>
      <c r="LFL132" s="3"/>
      <c r="LFM132" s="3"/>
      <c r="LFN132" s="3"/>
      <c r="LFO132" s="3"/>
      <c r="LFP132" s="3"/>
      <c r="LFQ132" s="3"/>
      <c r="LFR132" s="3"/>
      <c r="LFS132" s="3"/>
      <c r="LFT132" s="3"/>
      <c r="LFU132" s="3"/>
      <c r="LFV132" s="3"/>
      <c r="LFW132" s="3"/>
      <c r="LFX132" s="3"/>
      <c r="LFY132" s="3"/>
      <c r="LFZ132" s="3"/>
      <c r="LGA132" s="3"/>
      <c r="LGB132" s="3"/>
      <c r="LGC132" s="3"/>
      <c r="LGD132" s="3"/>
      <c r="LGE132" s="3"/>
      <c r="LGF132" s="3"/>
      <c r="LGG132" s="3"/>
      <c r="LGH132" s="3"/>
      <c r="LGI132" s="3"/>
      <c r="LGJ132" s="3"/>
      <c r="LGK132" s="3"/>
      <c r="LGL132" s="3"/>
      <c r="LGM132" s="3"/>
      <c r="LGN132" s="3"/>
      <c r="LGO132" s="3"/>
      <c r="LGP132" s="3"/>
      <c r="LGQ132" s="3"/>
      <c r="LGR132" s="3"/>
      <c r="LGS132" s="3"/>
      <c r="LGT132" s="3"/>
      <c r="LGU132" s="3"/>
      <c r="LGV132" s="3"/>
      <c r="LGW132" s="3"/>
      <c r="LGX132" s="3"/>
      <c r="LGY132" s="3"/>
      <c r="LGZ132" s="3"/>
      <c r="LHA132" s="3"/>
      <c r="LHB132" s="3"/>
      <c r="LHC132" s="3"/>
      <c r="LHD132" s="3"/>
      <c r="LHE132" s="3"/>
      <c r="LHF132" s="3"/>
      <c r="LHG132" s="3"/>
      <c r="LHH132" s="3"/>
      <c r="LHI132" s="3"/>
      <c r="LHJ132" s="3"/>
      <c r="LHK132" s="3"/>
      <c r="LHL132" s="3"/>
      <c r="LHM132" s="3"/>
      <c r="LHN132" s="3"/>
      <c r="LHO132" s="3"/>
      <c r="LHP132" s="3"/>
      <c r="LHQ132" s="3"/>
      <c r="LHR132" s="3"/>
      <c r="LHS132" s="3"/>
      <c r="LHT132" s="3"/>
      <c r="LHU132" s="3"/>
      <c r="LHV132" s="3"/>
      <c r="LHW132" s="3"/>
      <c r="LHX132" s="3"/>
      <c r="LHY132" s="3"/>
      <c r="LHZ132" s="3"/>
      <c r="LIA132" s="3"/>
      <c r="LIB132" s="3"/>
      <c r="LIC132" s="3"/>
      <c r="LID132" s="3"/>
      <c r="LIE132" s="3"/>
      <c r="LIF132" s="3"/>
      <c r="LIG132" s="3"/>
      <c r="LIH132" s="3"/>
      <c r="LII132" s="3"/>
      <c r="LIJ132" s="3"/>
      <c r="LIK132" s="3"/>
      <c r="LIL132" s="3"/>
      <c r="LIM132" s="3"/>
      <c r="LIN132" s="3"/>
      <c r="LIO132" s="3"/>
      <c r="LIP132" s="3"/>
      <c r="LIQ132" s="3"/>
      <c r="LIR132" s="3"/>
      <c r="LIS132" s="3"/>
      <c r="LIT132" s="3"/>
      <c r="LIU132" s="3"/>
      <c r="LIV132" s="3"/>
      <c r="LIW132" s="3"/>
      <c r="LIX132" s="3"/>
      <c r="LIY132" s="3"/>
      <c r="LIZ132" s="3"/>
      <c r="LJA132" s="3"/>
      <c r="LJB132" s="3"/>
      <c r="LJC132" s="3"/>
      <c r="LJD132" s="3"/>
      <c r="LJE132" s="3"/>
      <c r="LJF132" s="3"/>
      <c r="LJG132" s="3"/>
      <c r="LJH132" s="3"/>
      <c r="LJI132" s="3"/>
      <c r="LJJ132" s="3"/>
      <c r="LJK132" s="3"/>
      <c r="LJL132" s="3"/>
      <c r="LJM132" s="3"/>
      <c r="LJN132" s="3"/>
      <c r="LJO132" s="3"/>
      <c r="LJP132" s="3"/>
      <c r="LJQ132" s="3"/>
      <c r="LJR132" s="3"/>
      <c r="LJS132" s="3"/>
      <c r="LJT132" s="3"/>
      <c r="LJU132" s="3"/>
      <c r="LJV132" s="3"/>
      <c r="LJW132" s="3"/>
      <c r="LJX132" s="3"/>
      <c r="LJY132" s="3"/>
      <c r="LJZ132" s="3"/>
      <c r="LKA132" s="3"/>
      <c r="LKB132" s="3"/>
      <c r="LKC132" s="3"/>
      <c r="LKD132" s="3"/>
      <c r="LKE132" s="3"/>
      <c r="LKF132" s="3"/>
      <c r="LKG132" s="3"/>
      <c r="LKH132" s="3"/>
      <c r="LKI132" s="3"/>
      <c r="LKJ132" s="3"/>
      <c r="LKK132" s="3"/>
      <c r="LKL132" s="3"/>
      <c r="LKM132" s="3"/>
      <c r="LKN132" s="3"/>
      <c r="LKO132" s="3"/>
      <c r="LKP132" s="3"/>
      <c r="LKQ132" s="3"/>
      <c r="LKR132" s="3"/>
      <c r="LKS132" s="3"/>
      <c r="LKT132" s="3"/>
      <c r="LKU132" s="3"/>
      <c r="LKV132" s="3"/>
      <c r="LKW132" s="3"/>
      <c r="LKX132" s="3"/>
      <c r="LKY132" s="3"/>
      <c r="LKZ132" s="3"/>
      <c r="LLA132" s="3"/>
      <c r="LLB132" s="3"/>
      <c r="LLC132" s="3"/>
      <c r="LLD132" s="3"/>
      <c r="LLE132" s="3"/>
      <c r="LLF132" s="3"/>
      <c r="LLG132" s="3"/>
      <c r="LLH132" s="3"/>
      <c r="LLI132" s="3"/>
      <c r="LLJ132" s="3"/>
      <c r="LLK132" s="3"/>
      <c r="LLL132" s="3"/>
      <c r="LLM132" s="3"/>
      <c r="LLN132" s="3"/>
      <c r="LLO132" s="3"/>
      <c r="LLP132" s="3"/>
      <c r="LLQ132" s="3"/>
      <c r="LLR132" s="3"/>
      <c r="LLS132" s="3"/>
      <c r="LLT132" s="3"/>
      <c r="LLU132" s="3"/>
      <c r="LLV132" s="3"/>
      <c r="LLW132" s="3"/>
      <c r="LLX132" s="3"/>
      <c r="LLY132" s="3"/>
      <c r="LLZ132" s="3"/>
      <c r="LMA132" s="3"/>
      <c r="LMB132" s="3"/>
      <c r="LMC132" s="3"/>
      <c r="LMD132" s="3"/>
      <c r="LME132" s="3"/>
      <c r="LMF132" s="3"/>
      <c r="LMG132" s="3"/>
      <c r="LMH132" s="3"/>
      <c r="LMI132" s="3"/>
      <c r="LMJ132" s="3"/>
      <c r="LMK132" s="3"/>
      <c r="LML132" s="3"/>
      <c r="LMM132" s="3"/>
      <c r="LMN132" s="3"/>
      <c r="LMO132" s="3"/>
      <c r="LMP132" s="3"/>
      <c r="LMQ132" s="3"/>
      <c r="LMR132" s="3"/>
      <c r="LMS132" s="3"/>
      <c r="LMT132" s="3"/>
      <c r="LMU132" s="3"/>
      <c r="LMV132" s="3"/>
      <c r="LMW132" s="3"/>
      <c r="LMX132" s="3"/>
      <c r="LMY132" s="3"/>
      <c r="LMZ132" s="3"/>
      <c r="LNA132" s="3"/>
      <c r="LNB132" s="3"/>
      <c r="LNC132" s="3"/>
      <c r="LND132" s="3"/>
      <c r="LNE132" s="3"/>
      <c r="LNF132" s="3"/>
      <c r="LNG132" s="3"/>
      <c r="LNH132" s="3"/>
      <c r="LNI132" s="3"/>
      <c r="LNJ132" s="3"/>
      <c r="LNK132" s="3"/>
      <c r="LNL132" s="3"/>
      <c r="LNM132" s="3"/>
      <c r="LNN132" s="3"/>
      <c r="LNO132" s="3"/>
      <c r="LNP132" s="3"/>
      <c r="LNQ132" s="3"/>
      <c r="LNR132" s="3"/>
      <c r="LNS132" s="3"/>
      <c r="LNT132" s="3"/>
      <c r="LNU132" s="3"/>
      <c r="LNV132" s="3"/>
      <c r="LNW132" s="3"/>
      <c r="LNX132" s="3"/>
      <c r="LNY132" s="3"/>
      <c r="LNZ132" s="3"/>
      <c r="LOA132" s="3"/>
      <c r="LOB132" s="3"/>
      <c r="LOC132" s="3"/>
      <c r="LOD132" s="3"/>
      <c r="LOE132" s="3"/>
      <c r="LOF132" s="3"/>
      <c r="LOG132" s="3"/>
      <c r="LOH132" s="3"/>
      <c r="LOI132" s="3"/>
      <c r="LOJ132" s="3"/>
      <c r="LOK132" s="3"/>
      <c r="LOL132" s="3"/>
      <c r="LOM132" s="3"/>
      <c r="LON132" s="3"/>
      <c r="LOO132" s="3"/>
      <c r="LOP132" s="3"/>
      <c r="LOQ132" s="3"/>
      <c r="LOR132" s="3"/>
      <c r="LOS132" s="3"/>
      <c r="LOT132" s="3"/>
      <c r="LOU132" s="3"/>
      <c r="LOV132" s="3"/>
      <c r="LOW132" s="3"/>
      <c r="LOX132" s="3"/>
      <c r="LOY132" s="3"/>
      <c r="LOZ132" s="3"/>
      <c r="LPA132" s="3"/>
      <c r="LPB132" s="3"/>
      <c r="LPC132" s="3"/>
      <c r="LPD132" s="3"/>
      <c r="LPE132" s="3"/>
      <c r="LPF132" s="3"/>
      <c r="LPG132" s="3"/>
      <c r="LPH132" s="3"/>
      <c r="LPI132" s="3"/>
      <c r="LPJ132" s="3"/>
      <c r="LPK132" s="3"/>
      <c r="LPL132" s="3"/>
      <c r="LPM132" s="3"/>
      <c r="LPN132" s="3"/>
      <c r="LPO132" s="3"/>
      <c r="LPP132" s="3"/>
      <c r="LPQ132" s="3"/>
      <c r="LPR132" s="3"/>
      <c r="LPS132" s="3"/>
      <c r="LPT132" s="3"/>
      <c r="LPU132" s="3"/>
      <c r="LPV132" s="3"/>
      <c r="LPW132" s="3"/>
      <c r="LPX132" s="3"/>
      <c r="LPY132" s="3"/>
      <c r="LPZ132" s="3"/>
      <c r="LQA132" s="3"/>
      <c r="LQB132" s="3"/>
      <c r="LQC132" s="3"/>
      <c r="LQD132" s="3"/>
      <c r="LQE132" s="3"/>
      <c r="LQF132" s="3"/>
      <c r="LQG132" s="3"/>
      <c r="LQH132" s="3"/>
      <c r="LQI132" s="3"/>
      <c r="LQJ132" s="3"/>
      <c r="LQK132" s="3"/>
      <c r="LQL132" s="3"/>
      <c r="LQM132" s="3"/>
      <c r="LQN132" s="3"/>
      <c r="LQO132" s="3"/>
      <c r="LQP132" s="3"/>
      <c r="LQQ132" s="3"/>
      <c r="LQR132" s="3"/>
      <c r="LQS132" s="3"/>
      <c r="LQT132" s="3"/>
      <c r="LQU132" s="3"/>
      <c r="LQV132" s="3"/>
      <c r="LQW132" s="3"/>
      <c r="LQX132" s="3"/>
      <c r="LQY132" s="3"/>
      <c r="LQZ132" s="3"/>
      <c r="LRA132" s="3"/>
      <c r="LRB132" s="3"/>
      <c r="LRC132" s="3"/>
      <c r="LRD132" s="3"/>
      <c r="LRE132" s="3"/>
      <c r="LRF132" s="3"/>
      <c r="LRG132" s="3"/>
      <c r="LRH132" s="3"/>
      <c r="LRI132" s="3"/>
      <c r="LRJ132" s="3"/>
      <c r="LRK132" s="3"/>
      <c r="LRL132" s="3"/>
      <c r="LRM132" s="3"/>
      <c r="LRN132" s="3"/>
      <c r="LRO132" s="3"/>
      <c r="LRP132" s="3"/>
      <c r="LRQ132" s="3"/>
      <c r="LRR132" s="3"/>
      <c r="LRS132" s="3"/>
      <c r="LRT132" s="3"/>
      <c r="LRU132" s="3"/>
      <c r="LRV132" s="3"/>
      <c r="LRW132" s="3"/>
      <c r="LRX132" s="3"/>
      <c r="LRY132" s="3"/>
      <c r="LRZ132" s="3"/>
      <c r="LSA132" s="3"/>
      <c r="LSB132" s="3"/>
      <c r="LSC132" s="3"/>
      <c r="LSD132" s="3"/>
      <c r="LSE132" s="3"/>
      <c r="LSF132" s="3"/>
      <c r="LSG132" s="3"/>
      <c r="LSH132" s="3"/>
      <c r="LSI132" s="3"/>
      <c r="LSJ132" s="3"/>
      <c r="LSK132" s="3"/>
      <c r="LSL132" s="3"/>
      <c r="LSM132" s="3"/>
      <c r="LSN132" s="3"/>
      <c r="LSO132" s="3"/>
      <c r="LSP132" s="3"/>
      <c r="LSQ132" s="3"/>
      <c r="LSR132" s="3"/>
      <c r="LSS132" s="3"/>
      <c r="LST132" s="3"/>
      <c r="LSU132" s="3"/>
      <c r="LSV132" s="3"/>
      <c r="LSW132" s="3"/>
      <c r="LSX132" s="3"/>
      <c r="LSY132" s="3"/>
      <c r="LSZ132" s="3"/>
      <c r="LTA132" s="3"/>
      <c r="LTB132" s="3"/>
      <c r="LTC132" s="3"/>
      <c r="LTD132" s="3"/>
      <c r="LTE132" s="3"/>
      <c r="LTF132" s="3"/>
      <c r="LTG132" s="3"/>
      <c r="LTH132" s="3"/>
      <c r="LTI132" s="3"/>
      <c r="LTJ132" s="3"/>
      <c r="LTK132" s="3"/>
      <c r="LTL132" s="3"/>
      <c r="LTM132" s="3"/>
      <c r="LTN132" s="3"/>
      <c r="LTO132" s="3"/>
      <c r="LTP132" s="3"/>
      <c r="LTQ132" s="3"/>
      <c r="LTR132" s="3"/>
      <c r="LTS132" s="3"/>
      <c r="LTT132" s="3"/>
      <c r="LTU132" s="3"/>
      <c r="LTV132" s="3"/>
      <c r="LTW132" s="3"/>
      <c r="LTX132" s="3"/>
      <c r="LTY132" s="3"/>
      <c r="LTZ132" s="3"/>
      <c r="LUA132" s="3"/>
      <c r="LUB132" s="3"/>
      <c r="LUC132" s="3"/>
      <c r="LUD132" s="3"/>
      <c r="LUE132" s="3"/>
      <c r="LUF132" s="3"/>
      <c r="LUG132" s="3"/>
      <c r="LUH132" s="3"/>
      <c r="LUI132" s="3"/>
      <c r="LUJ132" s="3"/>
      <c r="LUK132" s="3"/>
      <c r="LUL132" s="3"/>
      <c r="LUM132" s="3"/>
      <c r="LUN132" s="3"/>
      <c r="LUO132" s="3"/>
      <c r="LUP132" s="3"/>
      <c r="LUQ132" s="3"/>
      <c r="LUR132" s="3"/>
      <c r="LUS132" s="3"/>
      <c r="LUT132" s="3"/>
      <c r="LUU132" s="3"/>
      <c r="LUV132" s="3"/>
      <c r="LUW132" s="3"/>
      <c r="LUX132" s="3"/>
      <c r="LUY132" s="3"/>
      <c r="LUZ132" s="3"/>
      <c r="LVA132" s="3"/>
      <c r="LVB132" s="3"/>
      <c r="LVC132" s="3"/>
      <c r="LVD132" s="3"/>
      <c r="LVE132" s="3"/>
      <c r="LVF132" s="3"/>
      <c r="LVG132" s="3"/>
      <c r="LVH132" s="3"/>
      <c r="LVI132" s="3"/>
      <c r="LVJ132" s="3"/>
      <c r="LVK132" s="3"/>
      <c r="LVL132" s="3"/>
      <c r="LVM132" s="3"/>
      <c r="LVN132" s="3"/>
      <c r="LVO132" s="3"/>
      <c r="LVP132" s="3"/>
      <c r="LVQ132" s="3"/>
      <c r="LVR132" s="3"/>
      <c r="LVS132" s="3"/>
      <c r="LVT132" s="3"/>
      <c r="LVU132" s="3"/>
      <c r="LVV132" s="3"/>
      <c r="LVW132" s="3"/>
      <c r="LVX132" s="3"/>
      <c r="LVY132" s="3"/>
      <c r="LVZ132" s="3"/>
      <c r="LWA132" s="3"/>
      <c r="LWB132" s="3"/>
      <c r="LWC132" s="3"/>
      <c r="LWD132" s="3"/>
      <c r="LWE132" s="3"/>
      <c r="LWF132" s="3"/>
      <c r="LWG132" s="3"/>
      <c r="LWH132" s="3"/>
      <c r="LWI132" s="3"/>
      <c r="LWJ132" s="3"/>
      <c r="LWK132" s="3"/>
      <c r="LWL132" s="3"/>
      <c r="LWM132" s="3"/>
      <c r="LWN132" s="3"/>
      <c r="LWO132" s="3"/>
      <c r="LWP132" s="3"/>
      <c r="LWQ132" s="3"/>
      <c r="LWR132" s="3"/>
      <c r="LWS132" s="3"/>
      <c r="LWT132" s="3"/>
      <c r="LWU132" s="3"/>
      <c r="LWV132" s="3"/>
      <c r="LWW132" s="3"/>
      <c r="LWX132" s="3"/>
      <c r="LWY132" s="3"/>
      <c r="LWZ132" s="3"/>
      <c r="LXA132" s="3"/>
      <c r="LXB132" s="3"/>
      <c r="LXC132" s="3"/>
      <c r="LXD132" s="3"/>
      <c r="LXE132" s="3"/>
      <c r="LXF132" s="3"/>
      <c r="LXG132" s="3"/>
      <c r="LXH132" s="3"/>
      <c r="LXI132" s="3"/>
      <c r="LXJ132" s="3"/>
      <c r="LXK132" s="3"/>
      <c r="LXL132" s="3"/>
      <c r="LXM132" s="3"/>
      <c r="LXN132" s="3"/>
      <c r="LXO132" s="3"/>
      <c r="LXP132" s="3"/>
      <c r="LXQ132" s="3"/>
      <c r="LXR132" s="3"/>
      <c r="LXS132" s="3"/>
      <c r="LXT132" s="3"/>
      <c r="LXU132" s="3"/>
      <c r="LXV132" s="3"/>
      <c r="LXW132" s="3"/>
      <c r="LXX132" s="3"/>
      <c r="LXY132" s="3"/>
      <c r="LXZ132" s="3"/>
      <c r="LYA132" s="3"/>
      <c r="LYB132" s="3"/>
      <c r="LYC132" s="3"/>
      <c r="LYD132" s="3"/>
      <c r="LYE132" s="3"/>
      <c r="LYF132" s="3"/>
      <c r="LYG132" s="3"/>
      <c r="LYH132" s="3"/>
      <c r="LYI132" s="3"/>
      <c r="LYJ132" s="3"/>
      <c r="LYK132" s="3"/>
      <c r="LYL132" s="3"/>
      <c r="LYM132" s="3"/>
      <c r="LYN132" s="3"/>
      <c r="LYO132" s="3"/>
      <c r="LYP132" s="3"/>
      <c r="LYQ132" s="3"/>
      <c r="LYR132" s="3"/>
      <c r="LYS132" s="3"/>
      <c r="LYT132" s="3"/>
      <c r="LYU132" s="3"/>
      <c r="LYV132" s="3"/>
      <c r="LYW132" s="3"/>
      <c r="LYX132" s="3"/>
      <c r="LYY132" s="3"/>
      <c r="LYZ132" s="3"/>
      <c r="LZA132" s="3"/>
      <c r="LZB132" s="3"/>
      <c r="LZC132" s="3"/>
      <c r="LZD132" s="3"/>
      <c r="LZE132" s="3"/>
      <c r="LZF132" s="3"/>
      <c r="LZG132" s="3"/>
      <c r="LZH132" s="3"/>
      <c r="LZI132" s="3"/>
      <c r="LZJ132" s="3"/>
      <c r="LZK132" s="3"/>
      <c r="LZL132" s="3"/>
      <c r="LZM132" s="3"/>
      <c r="LZN132" s="3"/>
      <c r="LZO132" s="3"/>
      <c r="LZP132" s="3"/>
      <c r="LZQ132" s="3"/>
      <c r="LZR132" s="3"/>
      <c r="LZS132" s="3"/>
      <c r="LZT132" s="3"/>
      <c r="LZU132" s="3"/>
      <c r="LZV132" s="3"/>
      <c r="LZW132" s="3"/>
      <c r="LZX132" s="3"/>
      <c r="LZY132" s="3"/>
      <c r="LZZ132" s="3"/>
      <c r="MAA132" s="3"/>
      <c r="MAB132" s="3"/>
      <c r="MAC132" s="3"/>
      <c r="MAD132" s="3"/>
      <c r="MAE132" s="3"/>
      <c r="MAF132" s="3"/>
      <c r="MAG132" s="3"/>
      <c r="MAH132" s="3"/>
      <c r="MAI132" s="3"/>
      <c r="MAJ132" s="3"/>
      <c r="MAK132" s="3"/>
      <c r="MAL132" s="3"/>
      <c r="MAM132" s="3"/>
      <c r="MAN132" s="3"/>
      <c r="MAO132" s="3"/>
      <c r="MAP132" s="3"/>
      <c r="MAQ132" s="3"/>
      <c r="MAR132" s="3"/>
      <c r="MAS132" s="3"/>
      <c r="MAT132" s="3"/>
      <c r="MAU132" s="3"/>
      <c r="MAV132" s="3"/>
      <c r="MAW132" s="3"/>
      <c r="MAX132" s="3"/>
      <c r="MAY132" s="3"/>
      <c r="MAZ132" s="3"/>
      <c r="MBA132" s="3"/>
      <c r="MBB132" s="3"/>
      <c r="MBC132" s="3"/>
      <c r="MBD132" s="3"/>
      <c r="MBE132" s="3"/>
      <c r="MBF132" s="3"/>
      <c r="MBG132" s="3"/>
      <c r="MBH132" s="3"/>
      <c r="MBI132" s="3"/>
      <c r="MBJ132" s="3"/>
      <c r="MBK132" s="3"/>
      <c r="MBL132" s="3"/>
      <c r="MBM132" s="3"/>
      <c r="MBN132" s="3"/>
      <c r="MBO132" s="3"/>
      <c r="MBP132" s="3"/>
      <c r="MBQ132" s="3"/>
      <c r="MBR132" s="3"/>
      <c r="MBS132" s="3"/>
      <c r="MBT132" s="3"/>
      <c r="MBU132" s="3"/>
      <c r="MBV132" s="3"/>
      <c r="MBW132" s="3"/>
      <c r="MBX132" s="3"/>
      <c r="MBY132" s="3"/>
      <c r="MBZ132" s="3"/>
      <c r="MCA132" s="3"/>
      <c r="MCB132" s="3"/>
      <c r="MCC132" s="3"/>
      <c r="MCD132" s="3"/>
      <c r="MCE132" s="3"/>
      <c r="MCF132" s="3"/>
      <c r="MCG132" s="3"/>
      <c r="MCH132" s="3"/>
      <c r="MCI132" s="3"/>
      <c r="MCJ132" s="3"/>
      <c r="MCK132" s="3"/>
      <c r="MCL132" s="3"/>
      <c r="MCM132" s="3"/>
      <c r="MCN132" s="3"/>
      <c r="MCO132" s="3"/>
      <c r="MCP132" s="3"/>
      <c r="MCQ132" s="3"/>
      <c r="MCR132" s="3"/>
      <c r="MCS132" s="3"/>
      <c r="MCT132" s="3"/>
      <c r="MCU132" s="3"/>
      <c r="MCV132" s="3"/>
      <c r="MCW132" s="3"/>
      <c r="MCX132" s="3"/>
      <c r="MCY132" s="3"/>
      <c r="MCZ132" s="3"/>
      <c r="MDA132" s="3"/>
      <c r="MDB132" s="3"/>
      <c r="MDC132" s="3"/>
      <c r="MDD132" s="3"/>
      <c r="MDE132" s="3"/>
      <c r="MDF132" s="3"/>
      <c r="MDG132" s="3"/>
      <c r="MDH132" s="3"/>
      <c r="MDI132" s="3"/>
      <c r="MDJ132" s="3"/>
      <c r="MDK132" s="3"/>
      <c r="MDL132" s="3"/>
      <c r="MDM132" s="3"/>
      <c r="MDN132" s="3"/>
      <c r="MDO132" s="3"/>
      <c r="MDP132" s="3"/>
      <c r="MDQ132" s="3"/>
      <c r="MDR132" s="3"/>
      <c r="MDS132" s="3"/>
      <c r="MDT132" s="3"/>
      <c r="MDU132" s="3"/>
      <c r="MDV132" s="3"/>
      <c r="MDW132" s="3"/>
      <c r="MDX132" s="3"/>
      <c r="MDY132" s="3"/>
      <c r="MDZ132" s="3"/>
      <c r="MEA132" s="3"/>
      <c r="MEB132" s="3"/>
      <c r="MEC132" s="3"/>
      <c r="MED132" s="3"/>
      <c r="MEE132" s="3"/>
      <c r="MEF132" s="3"/>
      <c r="MEG132" s="3"/>
      <c r="MEH132" s="3"/>
      <c r="MEI132" s="3"/>
      <c r="MEJ132" s="3"/>
      <c r="MEK132" s="3"/>
      <c r="MEL132" s="3"/>
      <c r="MEM132" s="3"/>
      <c r="MEN132" s="3"/>
      <c r="MEO132" s="3"/>
      <c r="MEP132" s="3"/>
      <c r="MEQ132" s="3"/>
      <c r="MER132" s="3"/>
      <c r="MES132" s="3"/>
      <c r="MET132" s="3"/>
      <c r="MEU132" s="3"/>
      <c r="MEV132" s="3"/>
      <c r="MEW132" s="3"/>
      <c r="MEX132" s="3"/>
      <c r="MEY132" s="3"/>
      <c r="MEZ132" s="3"/>
      <c r="MFA132" s="3"/>
      <c r="MFB132" s="3"/>
      <c r="MFC132" s="3"/>
      <c r="MFD132" s="3"/>
      <c r="MFE132" s="3"/>
      <c r="MFF132" s="3"/>
      <c r="MFG132" s="3"/>
      <c r="MFH132" s="3"/>
      <c r="MFI132" s="3"/>
      <c r="MFJ132" s="3"/>
      <c r="MFK132" s="3"/>
      <c r="MFL132" s="3"/>
      <c r="MFM132" s="3"/>
      <c r="MFN132" s="3"/>
      <c r="MFO132" s="3"/>
      <c r="MFP132" s="3"/>
      <c r="MFQ132" s="3"/>
      <c r="MFR132" s="3"/>
      <c r="MFS132" s="3"/>
      <c r="MFT132" s="3"/>
      <c r="MFU132" s="3"/>
      <c r="MFV132" s="3"/>
      <c r="MFW132" s="3"/>
      <c r="MFX132" s="3"/>
      <c r="MFY132" s="3"/>
      <c r="MFZ132" s="3"/>
      <c r="MGA132" s="3"/>
      <c r="MGB132" s="3"/>
      <c r="MGC132" s="3"/>
      <c r="MGD132" s="3"/>
      <c r="MGE132" s="3"/>
      <c r="MGF132" s="3"/>
      <c r="MGG132" s="3"/>
      <c r="MGH132" s="3"/>
      <c r="MGI132" s="3"/>
      <c r="MGJ132" s="3"/>
      <c r="MGK132" s="3"/>
      <c r="MGL132" s="3"/>
      <c r="MGM132" s="3"/>
      <c r="MGN132" s="3"/>
      <c r="MGO132" s="3"/>
      <c r="MGP132" s="3"/>
      <c r="MGQ132" s="3"/>
      <c r="MGR132" s="3"/>
      <c r="MGS132" s="3"/>
      <c r="MGT132" s="3"/>
      <c r="MGU132" s="3"/>
      <c r="MGV132" s="3"/>
      <c r="MGW132" s="3"/>
      <c r="MGX132" s="3"/>
      <c r="MGY132" s="3"/>
      <c r="MGZ132" s="3"/>
      <c r="MHA132" s="3"/>
      <c r="MHB132" s="3"/>
      <c r="MHC132" s="3"/>
      <c r="MHD132" s="3"/>
      <c r="MHE132" s="3"/>
      <c r="MHF132" s="3"/>
      <c r="MHG132" s="3"/>
      <c r="MHH132" s="3"/>
      <c r="MHI132" s="3"/>
      <c r="MHJ132" s="3"/>
      <c r="MHK132" s="3"/>
      <c r="MHL132" s="3"/>
      <c r="MHM132" s="3"/>
      <c r="MHN132" s="3"/>
      <c r="MHO132" s="3"/>
      <c r="MHP132" s="3"/>
      <c r="MHQ132" s="3"/>
      <c r="MHR132" s="3"/>
      <c r="MHS132" s="3"/>
      <c r="MHT132" s="3"/>
      <c r="MHU132" s="3"/>
      <c r="MHV132" s="3"/>
      <c r="MHW132" s="3"/>
      <c r="MHX132" s="3"/>
      <c r="MHY132" s="3"/>
      <c r="MHZ132" s="3"/>
      <c r="MIA132" s="3"/>
      <c r="MIB132" s="3"/>
      <c r="MIC132" s="3"/>
      <c r="MID132" s="3"/>
      <c r="MIE132" s="3"/>
      <c r="MIF132" s="3"/>
      <c r="MIG132" s="3"/>
      <c r="MIH132" s="3"/>
      <c r="MII132" s="3"/>
      <c r="MIJ132" s="3"/>
      <c r="MIK132" s="3"/>
      <c r="MIL132" s="3"/>
      <c r="MIM132" s="3"/>
      <c r="MIN132" s="3"/>
      <c r="MIO132" s="3"/>
      <c r="MIP132" s="3"/>
      <c r="MIQ132" s="3"/>
      <c r="MIR132" s="3"/>
      <c r="MIS132" s="3"/>
      <c r="MIT132" s="3"/>
      <c r="MIU132" s="3"/>
      <c r="MIV132" s="3"/>
      <c r="MIW132" s="3"/>
      <c r="MIX132" s="3"/>
      <c r="MIY132" s="3"/>
      <c r="MIZ132" s="3"/>
      <c r="MJA132" s="3"/>
      <c r="MJB132" s="3"/>
      <c r="MJC132" s="3"/>
      <c r="MJD132" s="3"/>
      <c r="MJE132" s="3"/>
      <c r="MJF132" s="3"/>
      <c r="MJG132" s="3"/>
      <c r="MJH132" s="3"/>
      <c r="MJI132" s="3"/>
      <c r="MJJ132" s="3"/>
      <c r="MJK132" s="3"/>
      <c r="MJL132" s="3"/>
      <c r="MJM132" s="3"/>
      <c r="MJN132" s="3"/>
      <c r="MJO132" s="3"/>
      <c r="MJP132" s="3"/>
      <c r="MJQ132" s="3"/>
      <c r="MJR132" s="3"/>
      <c r="MJS132" s="3"/>
      <c r="MJT132" s="3"/>
      <c r="MJU132" s="3"/>
      <c r="MJV132" s="3"/>
      <c r="MJW132" s="3"/>
      <c r="MJX132" s="3"/>
      <c r="MJY132" s="3"/>
      <c r="MJZ132" s="3"/>
      <c r="MKA132" s="3"/>
      <c r="MKB132" s="3"/>
      <c r="MKC132" s="3"/>
      <c r="MKD132" s="3"/>
      <c r="MKE132" s="3"/>
      <c r="MKF132" s="3"/>
      <c r="MKG132" s="3"/>
      <c r="MKH132" s="3"/>
      <c r="MKI132" s="3"/>
      <c r="MKJ132" s="3"/>
      <c r="MKK132" s="3"/>
      <c r="MKL132" s="3"/>
      <c r="MKM132" s="3"/>
      <c r="MKN132" s="3"/>
      <c r="MKO132" s="3"/>
      <c r="MKP132" s="3"/>
      <c r="MKQ132" s="3"/>
      <c r="MKR132" s="3"/>
      <c r="MKS132" s="3"/>
      <c r="MKT132" s="3"/>
      <c r="MKU132" s="3"/>
      <c r="MKV132" s="3"/>
      <c r="MKW132" s="3"/>
      <c r="MKX132" s="3"/>
      <c r="MKY132" s="3"/>
      <c r="MKZ132" s="3"/>
      <c r="MLA132" s="3"/>
      <c r="MLB132" s="3"/>
      <c r="MLC132" s="3"/>
      <c r="MLD132" s="3"/>
      <c r="MLE132" s="3"/>
      <c r="MLF132" s="3"/>
      <c r="MLG132" s="3"/>
      <c r="MLH132" s="3"/>
      <c r="MLI132" s="3"/>
      <c r="MLJ132" s="3"/>
      <c r="MLK132" s="3"/>
      <c r="MLL132" s="3"/>
      <c r="MLM132" s="3"/>
      <c r="MLN132" s="3"/>
      <c r="MLO132" s="3"/>
      <c r="MLP132" s="3"/>
      <c r="MLQ132" s="3"/>
      <c r="MLR132" s="3"/>
      <c r="MLS132" s="3"/>
      <c r="MLT132" s="3"/>
      <c r="MLU132" s="3"/>
      <c r="MLV132" s="3"/>
      <c r="MLW132" s="3"/>
      <c r="MLX132" s="3"/>
      <c r="MLY132" s="3"/>
      <c r="MLZ132" s="3"/>
      <c r="MMA132" s="3"/>
      <c r="MMB132" s="3"/>
      <c r="MMC132" s="3"/>
      <c r="MMD132" s="3"/>
      <c r="MME132" s="3"/>
      <c r="MMF132" s="3"/>
      <c r="MMG132" s="3"/>
      <c r="MMH132" s="3"/>
      <c r="MMI132" s="3"/>
      <c r="MMJ132" s="3"/>
      <c r="MMK132" s="3"/>
      <c r="MML132" s="3"/>
      <c r="MMM132" s="3"/>
      <c r="MMN132" s="3"/>
      <c r="MMO132" s="3"/>
      <c r="MMP132" s="3"/>
      <c r="MMQ132" s="3"/>
      <c r="MMR132" s="3"/>
      <c r="MMS132" s="3"/>
      <c r="MMT132" s="3"/>
      <c r="MMU132" s="3"/>
      <c r="MMV132" s="3"/>
      <c r="MMW132" s="3"/>
      <c r="MMX132" s="3"/>
      <c r="MMY132" s="3"/>
      <c r="MMZ132" s="3"/>
      <c r="MNA132" s="3"/>
      <c r="MNB132" s="3"/>
      <c r="MNC132" s="3"/>
      <c r="MND132" s="3"/>
      <c r="MNE132" s="3"/>
      <c r="MNF132" s="3"/>
      <c r="MNG132" s="3"/>
      <c r="MNH132" s="3"/>
      <c r="MNI132" s="3"/>
      <c r="MNJ132" s="3"/>
      <c r="MNK132" s="3"/>
      <c r="MNL132" s="3"/>
      <c r="MNM132" s="3"/>
      <c r="MNN132" s="3"/>
      <c r="MNO132" s="3"/>
      <c r="MNP132" s="3"/>
      <c r="MNQ132" s="3"/>
      <c r="MNR132" s="3"/>
      <c r="MNS132" s="3"/>
      <c r="MNT132" s="3"/>
      <c r="MNU132" s="3"/>
      <c r="MNV132" s="3"/>
      <c r="MNW132" s="3"/>
      <c r="MNX132" s="3"/>
      <c r="MNY132" s="3"/>
      <c r="MNZ132" s="3"/>
      <c r="MOA132" s="3"/>
      <c r="MOB132" s="3"/>
      <c r="MOC132" s="3"/>
      <c r="MOD132" s="3"/>
      <c r="MOE132" s="3"/>
      <c r="MOF132" s="3"/>
      <c r="MOG132" s="3"/>
      <c r="MOH132" s="3"/>
      <c r="MOI132" s="3"/>
      <c r="MOJ132" s="3"/>
      <c r="MOK132" s="3"/>
      <c r="MOL132" s="3"/>
      <c r="MOM132" s="3"/>
      <c r="MON132" s="3"/>
      <c r="MOO132" s="3"/>
      <c r="MOP132" s="3"/>
      <c r="MOQ132" s="3"/>
      <c r="MOR132" s="3"/>
      <c r="MOS132" s="3"/>
      <c r="MOT132" s="3"/>
      <c r="MOU132" s="3"/>
      <c r="MOV132" s="3"/>
      <c r="MOW132" s="3"/>
      <c r="MOX132" s="3"/>
      <c r="MOY132" s="3"/>
      <c r="MOZ132" s="3"/>
      <c r="MPA132" s="3"/>
      <c r="MPB132" s="3"/>
      <c r="MPC132" s="3"/>
      <c r="MPD132" s="3"/>
      <c r="MPE132" s="3"/>
      <c r="MPF132" s="3"/>
      <c r="MPG132" s="3"/>
      <c r="MPH132" s="3"/>
      <c r="MPI132" s="3"/>
      <c r="MPJ132" s="3"/>
      <c r="MPK132" s="3"/>
      <c r="MPL132" s="3"/>
      <c r="MPM132" s="3"/>
      <c r="MPN132" s="3"/>
      <c r="MPO132" s="3"/>
      <c r="MPP132" s="3"/>
      <c r="MPQ132" s="3"/>
      <c r="MPR132" s="3"/>
      <c r="MPS132" s="3"/>
      <c r="MPT132" s="3"/>
      <c r="MPU132" s="3"/>
      <c r="MPV132" s="3"/>
      <c r="MPW132" s="3"/>
      <c r="MPX132" s="3"/>
      <c r="MPY132" s="3"/>
      <c r="MPZ132" s="3"/>
      <c r="MQA132" s="3"/>
      <c r="MQB132" s="3"/>
      <c r="MQC132" s="3"/>
      <c r="MQD132" s="3"/>
      <c r="MQE132" s="3"/>
      <c r="MQF132" s="3"/>
      <c r="MQG132" s="3"/>
      <c r="MQH132" s="3"/>
      <c r="MQI132" s="3"/>
      <c r="MQJ132" s="3"/>
      <c r="MQK132" s="3"/>
      <c r="MQL132" s="3"/>
      <c r="MQM132" s="3"/>
      <c r="MQN132" s="3"/>
      <c r="MQO132" s="3"/>
      <c r="MQP132" s="3"/>
      <c r="MQQ132" s="3"/>
      <c r="MQR132" s="3"/>
      <c r="MQS132" s="3"/>
      <c r="MQT132" s="3"/>
      <c r="MQU132" s="3"/>
      <c r="MQV132" s="3"/>
      <c r="MQW132" s="3"/>
      <c r="MQX132" s="3"/>
      <c r="MQY132" s="3"/>
      <c r="MQZ132" s="3"/>
      <c r="MRA132" s="3"/>
      <c r="MRB132" s="3"/>
      <c r="MRC132" s="3"/>
      <c r="MRD132" s="3"/>
      <c r="MRE132" s="3"/>
      <c r="MRF132" s="3"/>
      <c r="MRG132" s="3"/>
      <c r="MRH132" s="3"/>
      <c r="MRI132" s="3"/>
      <c r="MRJ132" s="3"/>
      <c r="MRK132" s="3"/>
      <c r="MRL132" s="3"/>
      <c r="MRM132" s="3"/>
      <c r="MRN132" s="3"/>
      <c r="MRO132" s="3"/>
      <c r="MRP132" s="3"/>
      <c r="MRQ132" s="3"/>
      <c r="MRR132" s="3"/>
      <c r="MRS132" s="3"/>
      <c r="MRT132" s="3"/>
      <c r="MRU132" s="3"/>
      <c r="MRV132" s="3"/>
      <c r="MRW132" s="3"/>
      <c r="MRX132" s="3"/>
      <c r="MRY132" s="3"/>
      <c r="MRZ132" s="3"/>
      <c r="MSA132" s="3"/>
      <c r="MSB132" s="3"/>
      <c r="MSC132" s="3"/>
      <c r="MSD132" s="3"/>
      <c r="MSE132" s="3"/>
      <c r="MSF132" s="3"/>
      <c r="MSG132" s="3"/>
      <c r="MSH132" s="3"/>
      <c r="MSI132" s="3"/>
      <c r="MSJ132" s="3"/>
      <c r="MSK132" s="3"/>
      <c r="MSL132" s="3"/>
      <c r="MSM132" s="3"/>
      <c r="MSN132" s="3"/>
      <c r="MSO132" s="3"/>
      <c r="MSP132" s="3"/>
      <c r="MSQ132" s="3"/>
      <c r="MSR132" s="3"/>
      <c r="MSS132" s="3"/>
      <c r="MST132" s="3"/>
      <c r="MSU132" s="3"/>
      <c r="MSV132" s="3"/>
      <c r="MSW132" s="3"/>
      <c r="MSX132" s="3"/>
      <c r="MSY132" s="3"/>
      <c r="MSZ132" s="3"/>
      <c r="MTA132" s="3"/>
      <c r="MTB132" s="3"/>
      <c r="MTC132" s="3"/>
      <c r="MTD132" s="3"/>
      <c r="MTE132" s="3"/>
      <c r="MTF132" s="3"/>
      <c r="MTG132" s="3"/>
      <c r="MTH132" s="3"/>
      <c r="MTI132" s="3"/>
      <c r="MTJ132" s="3"/>
      <c r="MTK132" s="3"/>
      <c r="MTL132" s="3"/>
      <c r="MTM132" s="3"/>
      <c r="MTN132" s="3"/>
      <c r="MTO132" s="3"/>
      <c r="MTP132" s="3"/>
      <c r="MTQ132" s="3"/>
      <c r="MTR132" s="3"/>
      <c r="MTS132" s="3"/>
      <c r="MTT132" s="3"/>
      <c r="MTU132" s="3"/>
      <c r="MTV132" s="3"/>
      <c r="MTW132" s="3"/>
      <c r="MTX132" s="3"/>
      <c r="MTY132" s="3"/>
      <c r="MTZ132" s="3"/>
      <c r="MUA132" s="3"/>
      <c r="MUB132" s="3"/>
      <c r="MUC132" s="3"/>
      <c r="MUD132" s="3"/>
      <c r="MUE132" s="3"/>
      <c r="MUF132" s="3"/>
      <c r="MUG132" s="3"/>
      <c r="MUH132" s="3"/>
      <c r="MUI132" s="3"/>
      <c r="MUJ132" s="3"/>
      <c r="MUK132" s="3"/>
      <c r="MUL132" s="3"/>
      <c r="MUM132" s="3"/>
      <c r="MUN132" s="3"/>
      <c r="MUO132" s="3"/>
      <c r="MUP132" s="3"/>
      <c r="MUQ132" s="3"/>
      <c r="MUR132" s="3"/>
      <c r="MUS132" s="3"/>
      <c r="MUT132" s="3"/>
      <c r="MUU132" s="3"/>
      <c r="MUV132" s="3"/>
      <c r="MUW132" s="3"/>
      <c r="MUX132" s="3"/>
      <c r="MUY132" s="3"/>
      <c r="MUZ132" s="3"/>
      <c r="MVA132" s="3"/>
      <c r="MVB132" s="3"/>
      <c r="MVC132" s="3"/>
      <c r="MVD132" s="3"/>
      <c r="MVE132" s="3"/>
      <c r="MVF132" s="3"/>
      <c r="MVG132" s="3"/>
      <c r="MVH132" s="3"/>
      <c r="MVI132" s="3"/>
      <c r="MVJ132" s="3"/>
      <c r="MVK132" s="3"/>
      <c r="MVL132" s="3"/>
      <c r="MVM132" s="3"/>
      <c r="MVN132" s="3"/>
      <c r="MVO132" s="3"/>
      <c r="MVP132" s="3"/>
      <c r="MVQ132" s="3"/>
      <c r="MVR132" s="3"/>
      <c r="MVS132" s="3"/>
      <c r="MVT132" s="3"/>
      <c r="MVU132" s="3"/>
      <c r="MVV132" s="3"/>
      <c r="MVW132" s="3"/>
      <c r="MVX132" s="3"/>
      <c r="MVY132" s="3"/>
      <c r="MVZ132" s="3"/>
      <c r="MWA132" s="3"/>
      <c r="MWB132" s="3"/>
      <c r="MWC132" s="3"/>
      <c r="MWD132" s="3"/>
      <c r="MWE132" s="3"/>
      <c r="MWF132" s="3"/>
      <c r="MWG132" s="3"/>
      <c r="MWH132" s="3"/>
      <c r="MWI132" s="3"/>
      <c r="MWJ132" s="3"/>
      <c r="MWK132" s="3"/>
      <c r="MWL132" s="3"/>
      <c r="MWM132" s="3"/>
      <c r="MWN132" s="3"/>
      <c r="MWO132" s="3"/>
      <c r="MWP132" s="3"/>
      <c r="MWQ132" s="3"/>
      <c r="MWR132" s="3"/>
      <c r="MWS132" s="3"/>
      <c r="MWT132" s="3"/>
      <c r="MWU132" s="3"/>
      <c r="MWV132" s="3"/>
      <c r="MWW132" s="3"/>
      <c r="MWX132" s="3"/>
      <c r="MWY132" s="3"/>
      <c r="MWZ132" s="3"/>
      <c r="MXA132" s="3"/>
      <c r="MXB132" s="3"/>
      <c r="MXC132" s="3"/>
      <c r="MXD132" s="3"/>
      <c r="MXE132" s="3"/>
      <c r="MXF132" s="3"/>
      <c r="MXG132" s="3"/>
      <c r="MXH132" s="3"/>
      <c r="MXI132" s="3"/>
      <c r="MXJ132" s="3"/>
      <c r="MXK132" s="3"/>
      <c r="MXL132" s="3"/>
      <c r="MXM132" s="3"/>
      <c r="MXN132" s="3"/>
      <c r="MXO132" s="3"/>
      <c r="MXP132" s="3"/>
      <c r="MXQ132" s="3"/>
      <c r="MXR132" s="3"/>
      <c r="MXS132" s="3"/>
      <c r="MXT132" s="3"/>
      <c r="MXU132" s="3"/>
      <c r="MXV132" s="3"/>
      <c r="MXW132" s="3"/>
      <c r="MXX132" s="3"/>
      <c r="MXY132" s="3"/>
      <c r="MXZ132" s="3"/>
      <c r="MYA132" s="3"/>
      <c r="MYB132" s="3"/>
      <c r="MYC132" s="3"/>
      <c r="MYD132" s="3"/>
      <c r="MYE132" s="3"/>
      <c r="MYF132" s="3"/>
      <c r="MYG132" s="3"/>
      <c r="MYH132" s="3"/>
      <c r="MYI132" s="3"/>
      <c r="MYJ132" s="3"/>
      <c r="MYK132" s="3"/>
      <c r="MYL132" s="3"/>
      <c r="MYM132" s="3"/>
      <c r="MYN132" s="3"/>
      <c r="MYO132" s="3"/>
      <c r="MYP132" s="3"/>
      <c r="MYQ132" s="3"/>
      <c r="MYR132" s="3"/>
      <c r="MYS132" s="3"/>
      <c r="MYT132" s="3"/>
      <c r="MYU132" s="3"/>
      <c r="MYV132" s="3"/>
      <c r="MYW132" s="3"/>
      <c r="MYX132" s="3"/>
      <c r="MYY132" s="3"/>
      <c r="MYZ132" s="3"/>
      <c r="MZA132" s="3"/>
      <c r="MZB132" s="3"/>
      <c r="MZC132" s="3"/>
      <c r="MZD132" s="3"/>
      <c r="MZE132" s="3"/>
      <c r="MZF132" s="3"/>
      <c r="MZG132" s="3"/>
      <c r="MZH132" s="3"/>
      <c r="MZI132" s="3"/>
      <c r="MZJ132" s="3"/>
      <c r="MZK132" s="3"/>
      <c r="MZL132" s="3"/>
      <c r="MZM132" s="3"/>
      <c r="MZN132" s="3"/>
      <c r="MZO132" s="3"/>
      <c r="MZP132" s="3"/>
      <c r="MZQ132" s="3"/>
      <c r="MZR132" s="3"/>
      <c r="MZS132" s="3"/>
      <c r="MZT132" s="3"/>
      <c r="MZU132" s="3"/>
      <c r="MZV132" s="3"/>
      <c r="MZW132" s="3"/>
      <c r="MZX132" s="3"/>
      <c r="MZY132" s="3"/>
      <c r="MZZ132" s="3"/>
      <c r="NAA132" s="3"/>
      <c r="NAB132" s="3"/>
      <c r="NAC132" s="3"/>
      <c r="NAD132" s="3"/>
      <c r="NAE132" s="3"/>
      <c r="NAF132" s="3"/>
      <c r="NAG132" s="3"/>
      <c r="NAH132" s="3"/>
      <c r="NAI132" s="3"/>
      <c r="NAJ132" s="3"/>
      <c r="NAK132" s="3"/>
      <c r="NAL132" s="3"/>
      <c r="NAM132" s="3"/>
      <c r="NAN132" s="3"/>
      <c r="NAO132" s="3"/>
      <c r="NAP132" s="3"/>
      <c r="NAQ132" s="3"/>
      <c r="NAR132" s="3"/>
      <c r="NAS132" s="3"/>
      <c r="NAT132" s="3"/>
      <c r="NAU132" s="3"/>
      <c r="NAV132" s="3"/>
      <c r="NAW132" s="3"/>
      <c r="NAX132" s="3"/>
      <c r="NAY132" s="3"/>
      <c r="NAZ132" s="3"/>
      <c r="NBA132" s="3"/>
      <c r="NBB132" s="3"/>
      <c r="NBC132" s="3"/>
      <c r="NBD132" s="3"/>
      <c r="NBE132" s="3"/>
      <c r="NBF132" s="3"/>
      <c r="NBG132" s="3"/>
      <c r="NBH132" s="3"/>
      <c r="NBI132" s="3"/>
      <c r="NBJ132" s="3"/>
      <c r="NBK132" s="3"/>
      <c r="NBL132" s="3"/>
      <c r="NBM132" s="3"/>
      <c r="NBN132" s="3"/>
      <c r="NBO132" s="3"/>
      <c r="NBP132" s="3"/>
      <c r="NBQ132" s="3"/>
      <c r="NBR132" s="3"/>
      <c r="NBS132" s="3"/>
      <c r="NBT132" s="3"/>
      <c r="NBU132" s="3"/>
      <c r="NBV132" s="3"/>
      <c r="NBW132" s="3"/>
      <c r="NBX132" s="3"/>
      <c r="NBY132" s="3"/>
      <c r="NBZ132" s="3"/>
      <c r="NCA132" s="3"/>
      <c r="NCB132" s="3"/>
      <c r="NCC132" s="3"/>
      <c r="NCD132" s="3"/>
      <c r="NCE132" s="3"/>
      <c r="NCF132" s="3"/>
      <c r="NCG132" s="3"/>
      <c r="NCH132" s="3"/>
      <c r="NCI132" s="3"/>
      <c r="NCJ132" s="3"/>
      <c r="NCK132" s="3"/>
      <c r="NCL132" s="3"/>
      <c r="NCM132" s="3"/>
      <c r="NCN132" s="3"/>
      <c r="NCO132" s="3"/>
      <c r="NCP132" s="3"/>
      <c r="NCQ132" s="3"/>
      <c r="NCR132" s="3"/>
      <c r="NCS132" s="3"/>
      <c r="NCT132" s="3"/>
      <c r="NCU132" s="3"/>
      <c r="NCV132" s="3"/>
      <c r="NCW132" s="3"/>
      <c r="NCX132" s="3"/>
      <c r="NCY132" s="3"/>
      <c r="NCZ132" s="3"/>
      <c r="NDA132" s="3"/>
      <c r="NDB132" s="3"/>
      <c r="NDC132" s="3"/>
      <c r="NDD132" s="3"/>
      <c r="NDE132" s="3"/>
      <c r="NDF132" s="3"/>
      <c r="NDG132" s="3"/>
      <c r="NDH132" s="3"/>
      <c r="NDI132" s="3"/>
      <c r="NDJ132" s="3"/>
      <c r="NDK132" s="3"/>
      <c r="NDL132" s="3"/>
      <c r="NDM132" s="3"/>
      <c r="NDN132" s="3"/>
      <c r="NDO132" s="3"/>
      <c r="NDP132" s="3"/>
      <c r="NDQ132" s="3"/>
      <c r="NDR132" s="3"/>
      <c r="NDS132" s="3"/>
      <c r="NDT132" s="3"/>
      <c r="NDU132" s="3"/>
      <c r="NDV132" s="3"/>
      <c r="NDW132" s="3"/>
      <c r="NDX132" s="3"/>
      <c r="NDY132" s="3"/>
      <c r="NDZ132" s="3"/>
      <c r="NEA132" s="3"/>
      <c r="NEB132" s="3"/>
      <c r="NEC132" s="3"/>
      <c r="NED132" s="3"/>
      <c r="NEE132" s="3"/>
      <c r="NEF132" s="3"/>
      <c r="NEG132" s="3"/>
      <c r="NEH132" s="3"/>
      <c r="NEI132" s="3"/>
      <c r="NEJ132" s="3"/>
      <c r="NEK132" s="3"/>
      <c r="NEL132" s="3"/>
      <c r="NEM132" s="3"/>
      <c r="NEN132" s="3"/>
      <c r="NEO132" s="3"/>
      <c r="NEP132" s="3"/>
      <c r="NEQ132" s="3"/>
      <c r="NER132" s="3"/>
      <c r="NES132" s="3"/>
      <c r="NET132" s="3"/>
      <c r="NEU132" s="3"/>
      <c r="NEV132" s="3"/>
      <c r="NEW132" s="3"/>
      <c r="NEX132" s="3"/>
      <c r="NEY132" s="3"/>
      <c r="NEZ132" s="3"/>
      <c r="NFA132" s="3"/>
      <c r="NFB132" s="3"/>
      <c r="NFC132" s="3"/>
      <c r="NFD132" s="3"/>
      <c r="NFE132" s="3"/>
      <c r="NFF132" s="3"/>
      <c r="NFG132" s="3"/>
      <c r="NFH132" s="3"/>
      <c r="NFI132" s="3"/>
      <c r="NFJ132" s="3"/>
      <c r="NFK132" s="3"/>
      <c r="NFL132" s="3"/>
      <c r="NFM132" s="3"/>
      <c r="NFN132" s="3"/>
      <c r="NFO132" s="3"/>
      <c r="NFP132" s="3"/>
      <c r="NFQ132" s="3"/>
      <c r="NFR132" s="3"/>
      <c r="NFS132" s="3"/>
      <c r="NFT132" s="3"/>
      <c r="NFU132" s="3"/>
      <c r="NFV132" s="3"/>
      <c r="NFW132" s="3"/>
      <c r="NFX132" s="3"/>
      <c r="NFY132" s="3"/>
      <c r="NFZ132" s="3"/>
      <c r="NGA132" s="3"/>
      <c r="NGB132" s="3"/>
      <c r="NGC132" s="3"/>
      <c r="NGD132" s="3"/>
      <c r="NGE132" s="3"/>
      <c r="NGF132" s="3"/>
      <c r="NGG132" s="3"/>
      <c r="NGH132" s="3"/>
      <c r="NGI132" s="3"/>
      <c r="NGJ132" s="3"/>
      <c r="NGK132" s="3"/>
      <c r="NGL132" s="3"/>
      <c r="NGM132" s="3"/>
      <c r="NGN132" s="3"/>
      <c r="NGO132" s="3"/>
      <c r="NGP132" s="3"/>
      <c r="NGQ132" s="3"/>
      <c r="NGR132" s="3"/>
      <c r="NGS132" s="3"/>
      <c r="NGT132" s="3"/>
      <c r="NGU132" s="3"/>
      <c r="NGV132" s="3"/>
      <c r="NGW132" s="3"/>
      <c r="NGX132" s="3"/>
      <c r="NGY132" s="3"/>
      <c r="NGZ132" s="3"/>
      <c r="NHA132" s="3"/>
      <c r="NHB132" s="3"/>
      <c r="NHC132" s="3"/>
      <c r="NHD132" s="3"/>
      <c r="NHE132" s="3"/>
      <c r="NHF132" s="3"/>
      <c r="NHG132" s="3"/>
      <c r="NHH132" s="3"/>
      <c r="NHI132" s="3"/>
      <c r="NHJ132" s="3"/>
      <c r="NHK132" s="3"/>
      <c r="NHL132" s="3"/>
      <c r="NHM132" s="3"/>
      <c r="NHN132" s="3"/>
      <c r="NHO132" s="3"/>
      <c r="NHP132" s="3"/>
      <c r="NHQ132" s="3"/>
      <c r="NHR132" s="3"/>
      <c r="NHS132" s="3"/>
      <c r="NHT132" s="3"/>
      <c r="NHU132" s="3"/>
      <c r="NHV132" s="3"/>
      <c r="NHW132" s="3"/>
      <c r="NHX132" s="3"/>
      <c r="NHY132" s="3"/>
      <c r="NHZ132" s="3"/>
      <c r="NIA132" s="3"/>
      <c r="NIB132" s="3"/>
      <c r="NIC132" s="3"/>
      <c r="NID132" s="3"/>
      <c r="NIE132" s="3"/>
      <c r="NIF132" s="3"/>
      <c r="NIG132" s="3"/>
      <c r="NIH132" s="3"/>
      <c r="NII132" s="3"/>
      <c r="NIJ132" s="3"/>
      <c r="NIK132" s="3"/>
      <c r="NIL132" s="3"/>
      <c r="NIM132" s="3"/>
      <c r="NIN132" s="3"/>
      <c r="NIO132" s="3"/>
      <c r="NIP132" s="3"/>
      <c r="NIQ132" s="3"/>
      <c r="NIR132" s="3"/>
      <c r="NIS132" s="3"/>
      <c r="NIT132" s="3"/>
      <c r="NIU132" s="3"/>
      <c r="NIV132" s="3"/>
      <c r="NIW132" s="3"/>
      <c r="NIX132" s="3"/>
      <c r="NIY132" s="3"/>
      <c r="NIZ132" s="3"/>
      <c r="NJA132" s="3"/>
      <c r="NJB132" s="3"/>
      <c r="NJC132" s="3"/>
      <c r="NJD132" s="3"/>
      <c r="NJE132" s="3"/>
      <c r="NJF132" s="3"/>
      <c r="NJG132" s="3"/>
      <c r="NJH132" s="3"/>
      <c r="NJI132" s="3"/>
      <c r="NJJ132" s="3"/>
      <c r="NJK132" s="3"/>
      <c r="NJL132" s="3"/>
      <c r="NJM132" s="3"/>
      <c r="NJN132" s="3"/>
      <c r="NJO132" s="3"/>
      <c r="NJP132" s="3"/>
      <c r="NJQ132" s="3"/>
      <c r="NJR132" s="3"/>
      <c r="NJS132" s="3"/>
      <c r="NJT132" s="3"/>
      <c r="NJU132" s="3"/>
      <c r="NJV132" s="3"/>
      <c r="NJW132" s="3"/>
      <c r="NJX132" s="3"/>
      <c r="NJY132" s="3"/>
      <c r="NJZ132" s="3"/>
      <c r="NKA132" s="3"/>
      <c r="NKB132" s="3"/>
      <c r="NKC132" s="3"/>
      <c r="NKD132" s="3"/>
      <c r="NKE132" s="3"/>
      <c r="NKF132" s="3"/>
      <c r="NKG132" s="3"/>
      <c r="NKH132" s="3"/>
      <c r="NKI132" s="3"/>
      <c r="NKJ132" s="3"/>
      <c r="NKK132" s="3"/>
      <c r="NKL132" s="3"/>
      <c r="NKM132" s="3"/>
      <c r="NKN132" s="3"/>
      <c r="NKO132" s="3"/>
      <c r="NKP132" s="3"/>
      <c r="NKQ132" s="3"/>
      <c r="NKR132" s="3"/>
      <c r="NKS132" s="3"/>
      <c r="NKT132" s="3"/>
      <c r="NKU132" s="3"/>
      <c r="NKV132" s="3"/>
      <c r="NKW132" s="3"/>
      <c r="NKX132" s="3"/>
      <c r="NKY132" s="3"/>
      <c r="NKZ132" s="3"/>
      <c r="NLA132" s="3"/>
      <c r="NLB132" s="3"/>
      <c r="NLC132" s="3"/>
      <c r="NLD132" s="3"/>
      <c r="NLE132" s="3"/>
      <c r="NLF132" s="3"/>
      <c r="NLG132" s="3"/>
      <c r="NLH132" s="3"/>
      <c r="NLI132" s="3"/>
      <c r="NLJ132" s="3"/>
      <c r="NLK132" s="3"/>
      <c r="NLL132" s="3"/>
      <c r="NLM132" s="3"/>
      <c r="NLN132" s="3"/>
      <c r="NLO132" s="3"/>
      <c r="NLP132" s="3"/>
      <c r="NLQ132" s="3"/>
      <c r="NLR132" s="3"/>
      <c r="NLS132" s="3"/>
      <c r="NLT132" s="3"/>
      <c r="NLU132" s="3"/>
      <c r="NLV132" s="3"/>
      <c r="NLW132" s="3"/>
      <c r="NLX132" s="3"/>
      <c r="NLY132" s="3"/>
      <c r="NLZ132" s="3"/>
      <c r="NMA132" s="3"/>
      <c r="NMB132" s="3"/>
      <c r="NMC132" s="3"/>
      <c r="NMD132" s="3"/>
      <c r="NME132" s="3"/>
      <c r="NMF132" s="3"/>
      <c r="NMG132" s="3"/>
      <c r="NMH132" s="3"/>
      <c r="NMI132" s="3"/>
      <c r="NMJ132" s="3"/>
      <c r="NMK132" s="3"/>
      <c r="NML132" s="3"/>
      <c r="NMM132" s="3"/>
      <c r="NMN132" s="3"/>
      <c r="NMO132" s="3"/>
      <c r="NMP132" s="3"/>
      <c r="NMQ132" s="3"/>
      <c r="NMR132" s="3"/>
      <c r="NMS132" s="3"/>
      <c r="NMT132" s="3"/>
      <c r="NMU132" s="3"/>
      <c r="NMV132" s="3"/>
      <c r="NMW132" s="3"/>
      <c r="NMX132" s="3"/>
      <c r="NMY132" s="3"/>
      <c r="NMZ132" s="3"/>
      <c r="NNA132" s="3"/>
      <c r="NNB132" s="3"/>
      <c r="NNC132" s="3"/>
      <c r="NND132" s="3"/>
      <c r="NNE132" s="3"/>
      <c r="NNF132" s="3"/>
      <c r="NNG132" s="3"/>
      <c r="NNH132" s="3"/>
      <c r="NNI132" s="3"/>
      <c r="NNJ132" s="3"/>
      <c r="NNK132" s="3"/>
      <c r="NNL132" s="3"/>
      <c r="NNM132" s="3"/>
      <c r="NNN132" s="3"/>
      <c r="NNO132" s="3"/>
      <c r="NNP132" s="3"/>
      <c r="NNQ132" s="3"/>
      <c r="NNR132" s="3"/>
      <c r="NNS132" s="3"/>
      <c r="NNT132" s="3"/>
      <c r="NNU132" s="3"/>
      <c r="NNV132" s="3"/>
      <c r="NNW132" s="3"/>
      <c r="NNX132" s="3"/>
      <c r="NNY132" s="3"/>
      <c r="NNZ132" s="3"/>
      <c r="NOA132" s="3"/>
      <c r="NOB132" s="3"/>
      <c r="NOC132" s="3"/>
      <c r="NOD132" s="3"/>
      <c r="NOE132" s="3"/>
      <c r="NOF132" s="3"/>
      <c r="NOG132" s="3"/>
      <c r="NOH132" s="3"/>
      <c r="NOI132" s="3"/>
      <c r="NOJ132" s="3"/>
      <c r="NOK132" s="3"/>
      <c r="NOL132" s="3"/>
      <c r="NOM132" s="3"/>
      <c r="NON132" s="3"/>
      <c r="NOO132" s="3"/>
      <c r="NOP132" s="3"/>
      <c r="NOQ132" s="3"/>
      <c r="NOR132" s="3"/>
      <c r="NOS132" s="3"/>
      <c r="NOT132" s="3"/>
      <c r="NOU132" s="3"/>
      <c r="NOV132" s="3"/>
      <c r="NOW132" s="3"/>
      <c r="NOX132" s="3"/>
      <c r="NOY132" s="3"/>
      <c r="NOZ132" s="3"/>
      <c r="NPA132" s="3"/>
      <c r="NPB132" s="3"/>
      <c r="NPC132" s="3"/>
      <c r="NPD132" s="3"/>
      <c r="NPE132" s="3"/>
      <c r="NPF132" s="3"/>
      <c r="NPG132" s="3"/>
      <c r="NPH132" s="3"/>
      <c r="NPI132" s="3"/>
      <c r="NPJ132" s="3"/>
      <c r="NPK132" s="3"/>
      <c r="NPL132" s="3"/>
      <c r="NPM132" s="3"/>
      <c r="NPN132" s="3"/>
      <c r="NPO132" s="3"/>
      <c r="NPP132" s="3"/>
      <c r="NPQ132" s="3"/>
      <c r="NPR132" s="3"/>
      <c r="NPS132" s="3"/>
      <c r="NPT132" s="3"/>
      <c r="NPU132" s="3"/>
      <c r="NPV132" s="3"/>
      <c r="NPW132" s="3"/>
      <c r="NPX132" s="3"/>
      <c r="NPY132" s="3"/>
      <c r="NPZ132" s="3"/>
      <c r="NQA132" s="3"/>
      <c r="NQB132" s="3"/>
      <c r="NQC132" s="3"/>
      <c r="NQD132" s="3"/>
      <c r="NQE132" s="3"/>
      <c r="NQF132" s="3"/>
      <c r="NQG132" s="3"/>
      <c r="NQH132" s="3"/>
      <c r="NQI132" s="3"/>
      <c r="NQJ132" s="3"/>
      <c r="NQK132" s="3"/>
      <c r="NQL132" s="3"/>
      <c r="NQM132" s="3"/>
      <c r="NQN132" s="3"/>
      <c r="NQO132" s="3"/>
      <c r="NQP132" s="3"/>
      <c r="NQQ132" s="3"/>
      <c r="NQR132" s="3"/>
      <c r="NQS132" s="3"/>
      <c r="NQT132" s="3"/>
      <c r="NQU132" s="3"/>
      <c r="NQV132" s="3"/>
      <c r="NQW132" s="3"/>
      <c r="NQX132" s="3"/>
      <c r="NQY132" s="3"/>
      <c r="NQZ132" s="3"/>
      <c r="NRA132" s="3"/>
      <c r="NRB132" s="3"/>
      <c r="NRC132" s="3"/>
      <c r="NRD132" s="3"/>
      <c r="NRE132" s="3"/>
      <c r="NRF132" s="3"/>
      <c r="NRG132" s="3"/>
      <c r="NRH132" s="3"/>
      <c r="NRI132" s="3"/>
      <c r="NRJ132" s="3"/>
      <c r="NRK132" s="3"/>
      <c r="NRL132" s="3"/>
      <c r="NRM132" s="3"/>
      <c r="NRN132" s="3"/>
      <c r="NRO132" s="3"/>
      <c r="NRP132" s="3"/>
      <c r="NRQ132" s="3"/>
      <c r="NRR132" s="3"/>
      <c r="NRS132" s="3"/>
      <c r="NRT132" s="3"/>
      <c r="NRU132" s="3"/>
      <c r="NRV132" s="3"/>
      <c r="NRW132" s="3"/>
      <c r="NRX132" s="3"/>
      <c r="NRY132" s="3"/>
      <c r="NRZ132" s="3"/>
      <c r="NSA132" s="3"/>
      <c r="NSB132" s="3"/>
      <c r="NSC132" s="3"/>
      <c r="NSD132" s="3"/>
      <c r="NSE132" s="3"/>
      <c r="NSF132" s="3"/>
      <c r="NSG132" s="3"/>
      <c r="NSH132" s="3"/>
      <c r="NSI132" s="3"/>
      <c r="NSJ132" s="3"/>
      <c r="NSK132" s="3"/>
      <c r="NSL132" s="3"/>
      <c r="NSM132" s="3"/>
      <c r="NSN132" s="3"/>
      <c r="NSO132" s="3"/>
      <c r="NSP132" s="3"/>
      <c r="NSQ132" s="3"/>
      <c r="NSR132" s="3"/>
      <c r="NSS132" s="3"/>
      <c r="NST132" s="3"/>
      <c r="NSU132" s="3"/>
      <c r="NSV132" s="3"/>
      <c r="NSW132" s="3"/>
      <c r="NSX132" s="3"/>
      <c r="NSY132" s="3"/>
      <c r="NSZ132" s="3"/>
      <c r="NTA132" s="3"/>
      <c r="NTB132" s="3"/>
      <c r="NTC132" s="3"/>
      <c r="NTD132" s="3"/>
      <c r="NTE132" s="3"/>
      <c r="NTF132" s="3"/>
      <c r="NTG132" s="3"/>
      <c r="NTH132" s="3"/>
      <c r="NTI132" s="3"/>
      <c r="NTJ132" s="3"/>
      <c r="NTK132" s="3"/>
      <c r="NTL132" s="3"/>
      <c r="NTM132" s="3"/>
      <c r="NTN132" s="3"/>
      <c r="NTO132" s="3"/>
      <c r="NTP132" s="3"/>
      <c r="NTQ132" s="3"/>
      <c r="NTR132" s="3"/>
      <c r="NTS132" s="3"/>
      <c r="NTT132" s="3"/>
      <c r="NTU132" s="3"/>
      <c r="NTV132" s="3"/>
      <c r="NTW132" s="3"/>
      <c r="NTX132" s="3"/>
      <c r="NTY132" s="3"/>
      <c r="NTZ132" s="3"/>
      <c r="NUA132" s="3"/>
      <c r="NUB132" s="3"/>
      <c r="NUC132" s="3"/>
      <c r="NUD132" s="3"/>
      <c r="NUE132" s="3"/>
      <c r="NUF132" s="3"/>
      <c r="NUG132" s="3"/>
      <c r="NUH132" s="3"/>
      <c r="NUI132" s="3"/>
      <c r="NUJ132" s="3"/>
      <c r="NUK132" s="3"/>
      <c r="NUL132" s="3"/>
      <c r="NUM132" s="3"/>
      <c r="NUN132" s="3"/>
      <c r="NUO132" s="3"/>
      <c r="NUP132" s="3"/>
      <c r="NUQ132" s="3"/>
      <c r="NUR132" s="3"/>
      <c r="NUS132" s="3"/>
      <c r="NUT132" s="3"/>
      <c r="NUU132" s="3"/>
      <c r="NUV132" s="3"/>
      <c r="NUW132" s="3"/>
      <c r="NUX132" s="3"/>
      <c r="NUY132" s="3"/>
      <c r="NUZ132" s="3"/>
      <c r="NVA132" s="3"/>
      <c r="NVB132" s="3"/>
      <c r="NVC132" s="3"/>
      <c r="NVD132" s="3"/>
      <c r="NVE132" s="3"/>
      <c r="NVF132" s="3"/>
      <c r="NVG132" s="3"/>
      <c r="NVH132" s="3"/>
      <c r="NVI132" s="3"/>
      <c r="NVJ132" s="3"/>
      <c r="NVK132" s="3"/>
      <c r="NVL132" s="3"/>
      <c r="NVM132" s="3"/>
      <c r="NVN132" s="3"/>
      <c r="NVO132" s="3"/>
      <c r="NVP132" s="3"/>
      <c r="NVQ132" s="3"/>
      <c r="NVR132" s="3"/>
      <c r="NVS132" s="3"/>
      <c r="NVT132" s="3"/>
      <c r="NVU132" s="3"/>
      <c r="NVV132" s="3"/>
      <c r="NVW132" s="3"/>
      <c r="NVX132" s="3"/>
      <c r="NVY132" s="3"/>
      <c r="NVZ132" s="3"/>
      <c r="NWA132" s="3"/>
      <c r="NWB132" s="3"/>
      <c r="NWC132" s="3"/>
      <c r="NWD132" s="3"/>
      <c r="NWE132" s="3"/>
      <c r="NWF132" s="3"/>
      <c r="NWG132" s="3"/>
      <c r="NWH132" s="3"/>
      <c r="NWI132" s="3"/>
      <c r="NWJ132" s="3"/>
      <c r="NWK132" s="3"/>
      <c r="NWL132" s="3"/>
      <c r="NWM132" s="3"/>
      <c r="NWN132" s="3"/>
      <c r="NWO132" s="3"/>
      <c r="NWP132" s="3"/>
      <c r="NWQ132" s="3"/>
      <c r="NWR132" s="3"/>
      <c r="NWS132" s="3"/>
      <c r="NWT132" s="3"/>
      <c r="NWU132" s="3"/>
      <c r="NWV132" s="3"/>
      <c r="NWW132" s="3"/>
      <c r="NWX132" s="3"/>
      <c r="NWY132" s="3"/>
      <c r="NWZ132" s="3"/>
      <c r="NXA132" s="3"/>
      <c r="NXB132" s="3"/>
      <c r="NXC132" s="3"/>
      <c r="NXD132" s="3"/>
      <c r="NXE132" s="3"/>
      <c r="NXF132" s="3"/>
      <c r="NXG132" s="3"/>
      <c r="NXH132" s="3"/>
      <c r="NXI132" s="3"/>
      <c r="NXJ132" s="3"/>
      <c r="NXK132" s="3"/>
      <c r="NXL132" s="3"/>
      <c r="NXM132" s="3"/>
      <c r="NXN132" s="3"/>
      <c r="NXO132" s="3"/>
      <c r="NXP132" s="3"/>
      <c r="NXQ132" s="3"/>
      <c r="NXR132" s="3"/>
      <c r="NXS132" s="3"/>
      <c r="NXT132" s="3"/>
      <c r="NXU132" s="3"/>
      <c r="NXV132" s="3"/>
      <c r="NXW132" s="3"/>
      <c r="NXX132" s="3"/>
      <c r="NXY132" s="3"/>
      <c r="NXZ132" s="3"/>
      <c r="NYA132" s="3"/>
      <c r="NYB132" s="3"/>
      <c r="NYC132" s="3"/>
      <c r="NYD132" s="3"/>
      <c r="NYE132" s="3"/>
      <c r="NYF132" s="3"/>
      <c r="NYG132" s="3"/>
      <c r="NYH132" s="3"/>
      <c r="NYI132" s="3"/>
      <c r="NYJ132" s="3"/>
      <c r="NYK132" s="3"/>
      <c r="NYL132" s="3"/>
      <c r="NYM132" s="3"/>
      <c r="NYN132" s="3"/>
      <c r="NYO132" s="3"/>
      <c r="NYP132" s="3"/>
      <c r="NYQ132" s="3"/>
      <c r="NYR132" s="3"/>
      <c r="NYS132" s="3"/>
      <c r="NYT132" s="3"/>
      <c r="NYU132" s="3"/>
      <c r="NYV132" s="3"/>
      <c r="NYW132" s="3"/>
      <c r="NYX132" s="3"/>
      <c r="NYY132" s="3"/>
      <c r="NYZ132" s="3"/>
      <c r="NZA132" s="3"/>
      <c r="NZB132" s="3"/>
      <c r="NZC132" s="3"/>
      <c r="NZD132" s="3"/>
      <c r="NZE132" s="3"/>
      <c r="NZF132" s="3"/>
      <c r="NZG132" s="3"/>
      <c r="NZH132" s="3"/>
      <c r="NZI132" s="3"/>
      <c r="NZJ132" s="3"/>
      <c r="NZK132" s="3"/>
      <c r="NZL132" s="3"/>
      <c r="NZM132" s="3"/>
      <c r="NZN132" s="3"/>
      <c r="NZO132" s="3"/>
      <c r="NZP132" s="3"/>
      <c r="NZQ132" s="3"/>
      <c r="NZR132" s="3"/>
      <c r="NZS132" s="3"/>
      <c r="NZT132" s="3"/>
      <c r="NZU132" s="3"/>
      <c r="NZV132" s="3"/>
      <c r="NZW132" s="3"/>
      <c r="NZX132" s="3"/>
      <c r="NZY132" s="3"/>
      <c r="NZZ132" s="3"/>
      <c r="OAA132" s="3"/>
      <c r="OAB132" s="3"/>
      <c r="OAC132" s="3"/>
      <c r="OAD132" s="3"/>
      <c r="OAE132" s="3"/>
      <c r="OAF132" s="3"/>
      <c r="OAG132" s="3"/>
      <c r="OAH132" s="3"/>
      <c r="OAI132" s="3"/>
      <c r="OAJ132" s="3"/>
      <c r="OAK132" s="3"/>
      <c r="OAL132" s="3"/>
      <c r="OAM132" s="3"/>
      <c r="OAN132" s="3"/>
      <c r="OAO132" s="3"/>
      <c r="OAP132" s="3"/>
      <c r="OAQ132" s="3"/>
      <c r="OAR132" s="3"/>
      <c r="OAS132" s="3"/>
      <c r="OAT132" s="3"/>
      <c r="OAU132" s="3"/>
      <c r="OAV132" s="3"/>
      <c r="OAW132" s="3"/>
      <c r="OAX132" s="3"/>
      <c r="OAY132" s="3"/>
      <c r="OAZ132" s="3"/>
      <c r="OBA132" s="3"/>
      <c r="OBB132" s="3"/>
      <c r="OBC132" s="3"/>
      <c r="OBD132" s="3"/>
      <c r="OBE132" s="3"/>
      <c r="OBF132" s="3"/>
      <c r="OBG132" s="3"/>
      <c r="OBH132" s="3"/>
      <c r="OBI132" s="3"/>
      <c r="OBJ132" s="3"/>
      <c r="OBK132" s="3"/>
      <c r="OBL132" s="3"/>
      <c r="OBM132" s="3"/>
      <c r="OBN132" s="3"/>
      <c r="OBO132" s="3"/>
      <c r="OBP132" s="3"/>
      <c r="OBQ132" s="3"/>
      <c r="OBR132" s="3"/>
      <c r="OBS132" s="3"/>
      <c r="OBT132" s="3"/>
      <c r="OBU132" s="3"/>
      <c r="OBV132" s="3"/>
      <c r="OBW132" s="3"/>
      <c r="OBX132" s="3"/>
      <c r="OBY132" s="3"/>
      <c r="OBZ132" s="3"/>
      <c r="OCA132" s="3"/>
      <c r="OCB132" s="3"/>
      <c r="OCC132" s="3"/>
      <c r="OCD132" s="3"/>
      <c r="OCE132" s="3"/>
      <c r="OCF132" s="3"/>
      <c r="OCG132" s="3"/>
      <c r="OCH132" s="3"/>
      <c r="OCI132" s="3"/>
      <c r="OCJ132" s="3"/>
      <c r="OCK132" s="3"/>
      <c r="OCL132" s="3"/>
      <c r="OCM132" s="3"/>
      <c r="OCN132" s="3"/>
      <c r="OCO132" s="3"/>
      <c r="OCP132" s="3"/>
      <c r="OCQ132" s="3"/>
      <c r="OCR132" s="3"/>
      <c r="OCS132" s="3"/>
      <c r="OCT132" s="3"/>
      <c r="OCU132" s="3"/>
      <c r="OCV132" s="3"/>
      <c r="OCW132" s="3"/>
      <c r="OCX132" s="3"/>
      <c r="OCY132" s="3"/>
      <c r="OCZ132" s="3"/>
      <c r="ODA132" s="3"/>
      <c r="ODB132" s="3"/>
      <c r="ODC132" s="3"/>
      <c r="ODD132" s="3"/>
      <c r="ODE132" s="3"/>
      <c r="ODF132" s="3"/>
      <c r="ODG132" s="3"/>
      <c r="ODH132" s="3"/>
      <c r="ODI132" s="3"/>
      <c r="ODJ132" s="3"/>
      <c r="ODK132" s="3"/>
      <c r="ODL132" s="3"/>
      <c r="ODM132" s="3"/>
      <c r="ODN132" s="3"/>
      <c r="ODO132" s="3"/>
      <c r="ODP132" s="3"/>
      <c r="ODQ132" s="3"/>
      <c r="ODR132" s="3"/>
      <c r="ODS132" s="3"/>
      <c r="ODT132" s="3"/>
      <c r="ODU132" s="3"/>
      <c r="ODV132" s="3"/>
      <c r="ODW132" s="3"/>
      <c r="ODX132" s="3"/>
      <c r="ODY132" s="3"/>
      <c r="ODZ132" s="3"/>
      <c r="OEA132" s="3"/>
      <c r="OEB132" s="3"/>
      <c r="OEC132" s="3"/>
      <c r="OED132" s="3"/>
      <c r="OEE132" s="3"/>
      <c r="OEF132" s="3"/>
      <c r="OEG132" s="3"/>
      <c r="OEH132" s="3"/>
      <c r="OEI132" s="3"/>
      <c r="OEJ132" s="3"/>
      <c r="OEK132" s="3"/>
      <c r="OEL132" s="3"/>
      <c r="OEM132" s="3"/>
      <c r="OEN132" s="3"/>
      <c r="OEO132" s="3"/>
      <c r="OEP132" s="3"/>
      <c r="OEQ132" s="3"/>
      <c r="OER132" s="3"/>
      <c r="OES132" s="3"/>
      <c r="OET132" s="3"/>
      <c r="OEU132" s="3"/>
      <c r="OEV132" s="3"/>
      <c r="OEW132" s="3"/>
      <c r="OEX132" s="3"/>
      <c r="OEY132" s="3"/>
      <c r="OEZ132" s="3"/>
      <c r="OFA132" s="3"/>
      <c r="OFB132" s="3"/>
      <c r="OFC132" s="3"/>
      <c r="OFD132" s="3"/>
      <c r="OFE132" s="3"/>
      <c r="OFF132" s="3"/>
      <c r="OFG132" s="3"/>
      <c r="OFH132" s="3"/>
      <c r="OFI132" s="3"/>
      <c r="OFJ132" s="3"/>
      <c r="OFK132" s="3"/>
      <c r="OFL132" s="3"/>
      <c r="OFM132" s="3"/>
      <c r="OFN132" s="3"/>
      <c r="OFO132" s="3"/>
      <c r="OFP132" s="3"/>
      <c r="OFQ132" s="3"/>
      <c r="OFR132" s="3"/>
      <c r="OFS132" s="3"/>
      <c r="OFT132" s="3"/>
      <c r="OFU132" s="3"/>
      <c r="OFV132" s="3"/>
      <c r="OFW132" s="3"/>
      <c r="OFX132" s="3"/>
      <c r="OFY132" s="3"/>
      <c r="OFZ132" s="3"/>
      <c r="OGA132" s="3"/>
      <c r="OGB132" s="3"/>
      <c r="OGC132" s="3"/>
      <c r="OGD132" s="3"/>
      <c r="OGE132" s="3"/>
      <c r="OGF132" s="3"/>
      <c r="OGG132" s="3"/>
      <c r="OGH132" s="3"/>
      <c r="OGI132" s="3"/>
      <c r="OGJ132" s="3"/>
      <c r="OGK132" s="3"/>
      <c r="OGL132" s="3"/>
      <c r="OGM132" s="3"/>
      <c r="OGN132" s="3"/>
      <c r="OGO132" s="3"/>
      <c r="OGP132" s="3"/>
      <c r="OGQ132" s="3"/>
      <c r="OGR132" s="3"/>
      <c r="OGS132" s="3"/>
      <c r="OGT132" s="3"/>
      <c r="OGU132" s="3"/>
      <c r="OGV132" s="3"/>
      <c r="OGW132" s="3"/>
      <c r="OGX132" s="3"/>
      <c r="OGY132" s="3"/>
      <c r="OGZ132" s="3"/>
      <c r="OHA132" s="3"/>
      <c r="OHB132" s="3"/>
      <c r="OHC132" s="3"/>
      <c r="OHD132" s="3"/>
      <c r="OHE132" s="3"/>
      <c r="OHF132" s="3"/>
      <c r="OHG132" s="3"/>
      <c r="OHH132" s="3"/>
      <c r="OHI132" s="3"/>
      <c r="OHJ132" s="3"/>
      <c r="OHK132" s="3"/>
      <c r="OHL132" s="3"/>
      <c r="OHM132" s="3"/>
      <c r="OHN132" s="3"/>
      <c r="OHO132" s="3"/>
      <c r="OHP132" s="3"/>
      <c r="OHQ132" s="3"/>
      <c r="OHR132" s="3"/>
      <c r="OHS132" s="3"/>
      <c r="OHT132" s="3"/>
      <c r="OHU132" s="3"/>
      <c r="OHV132" s="3"/>
      <c r="OHW132" s="3"/>
      <c r="OHX132" s="3"/>
      <c r="OHY132" s="3"/>
      <c r="OHZ132" s="3"/>
      <c r="OIA132" s="3"/>
      <c r="OIB132" s="3"/>
      <c r="OIC132" s="3"/>
      <c r="OID132" s="3"/>
      <c r="OIE132" s="3"/>
      <c r="OIF132" s="3"/>
      <c r="OIG132" s="3"/>
      <c r="OIH132" s="3"/>
      <c r="OII132" s="3"/>
      <c r="OIJ132" s="3"/>
      <c r="OIK132" s="3"/>
      <c r="OIL132" s="3"/>
      <c r="OIM132" s="3"/>
      <c r="OIN132" s="3"/>
      <c r="OIO132" s="3"/>
      <c r="OIP132" s="3"/>
      <c r="OIQ132" s="3"/>
      <c r="OIR132" s="3"/>
      <c r="OIS132" s="3"/>
      <c r="OIT132" s="3"/>
      <c r="OIU132" s="3"/>
      <c r="OIV132" s="3"/>
      <c r="OIW132" s="3"/>
      <c r="OIX132" s="3"/>
      <c r="OIY132" s="3"/>
      <c r="OIZ132" s="3"/>
      <c r="OJA132" s="3"/>
      <c r="OJB132" s="3"/>
      <c r="OJC132" s="3"/>
      <c r="OJD132" s="3"/>
      <c r="OJE132" s="3"/>
      <c r="OJF132" s="3"/>
      <c r="OJG132" s="3"/>
      <c r="OJH132" s="3"/>
      <c r="OJI132" s="3"/>
      <c r="OJJ132" s="3"/>
      <c r="OJK132" s="3"/>
      <c r="OJL132" s="3"/>
      <c r="OJM132" s="3"/>
      <c r="OJN132" s="3"/>
      <c r="OJO132" s="3"/>
      <c r="OJP132" s="3"/>
      <c r="OJQ132" s="3"/>
      <c r="OJR132" s="3"/>
      <c r="OJS132" s="3"/>
      <c r="OJT132" s="3"/>
      <c r="OJU132" s="3"/>
      <c r="OJV132" s="3"/>
      <c r="OJW132" s="3"/>
      <c r="OJX132" s="3"/>
      <c r="OJY132" s="3"/>
      <c r="OJZ132" s="3"/>
      <c r="OKA132" s="3"/>
      <c r="OKB132" s="3"/>
      <c r="OKC132" s="3"/>
      <c r="OKD132" s="3"/>
      <c r="OKE132" s="3"/>
      <c r="OKF132" s="3"/>
      <c r="OKG132" s="3"/>
      <c r="OKH132" s="3"/>
      <c r="OKI132" s="3"/>
      <c r="OKJ132" s="3"/>
      <c r="OKK132" s="3"/>
      <c r="OKL132" s="3"/>
      <c r="OKM132" s="3"/>
      <c r="OKN132" s="3"/>
      <c r="OKO132" s="3"/>
      <c r="OKP132" s="3"/>
      <c r="OKQ132" s="3"/>
      <c r="OKR132" s="3"/>
      <c r="OKS132" s="3"/>
      <c r="OKT132" s="3"/>
      <c r="OKU132" s="3"/>
      <c r="OKV132" s="3"/>
      <c r="OKW132" s="3"/>
      <c r="OKX132" s="3"/>
      <c r="OKY132" s="3"/>
      <c r="OKZ132" s="3"/>
      <c r="OLA132" s="3"/>
      <c r="OLB132" s="3"/>
      <c r="OLC132" s="3"/>
      <c r="OLD132" s="3"/>
      <c r="OLE132" s="3"/>
      <c r="OLF132" s="3"/>
      <c r="OLG132" s="3"/>
      <c r="OLH132" s="3"/>
      <c r="OLI132" s="3"/>
      <c r="OLJ132" s="3"/>
      <c r="OLK132" s="3"/>
      <c r="OLL132" s="3"/>
      <c r="OLM132" s="3"/>
      <c r="OLN132" s="3"/>
      <c r="OLO132" s="3"/>
      <c r="OLP132" s="3"/>
      <c r="OLQ132" s="3"/>
      <c r="OLR132" s="3"/>
      <c r="OLS132" s="3"/>
      <c r="OLT132" s="3"/>
      <c r="OLU132" s="3"/>
      <c r="OLV132" s="3"/>
      <c r="OLW132" s="3"/>
      <c r="OLX132" s="3"/>
      <c r="OLY132" s="3"/>
      <c r="OLZ132" s="3"/>
      <c r="OMA132" s="3"/>
      <c r="OMB132" s="3"/>
      <c r="OMC132" s="3"/>
      <c r="OMD132" s="3"/>
      <c r="OME132" s="3"/>
      <c r="OMF132" s="3"/>
      <c r="OMG132" s="3"/>
      <c r="OMH132" s="3"/>
      <c r="OMI132" s="3"/>
      <c r="OMJ132" s="3"/>
      <c r="OMK132" s="3"/>
      <c r="OML132" s="3"/>
      <c r="OMM132" s="3"/>
      <c r="OMN132" s="3"/>
      <c r="OMO132" s="3"/>
      <c r="OMP132" s="3"/>
      <c r="OMQ132" s="3"/>
      <c r="OMR132" s="3"/>
      <c r="OMS132" s="3"/>
      <c r="OMT132" s="3"/>
      <c r="OMU132" s="3"/>
      <c r="OMV132" s="3"/>
      <c r="OMW132" s="3"/>
      <c r="OMX132" s="3"/>
      <c r="OMY132" s="3"/>
      <c r="OMZ132" s="3"/>
      <c r="ONA132" s="3"/>
      <c r="ONB132" s="3"/>
      <c r="ONC132" s="3"/>
      <c r="OND132" s="3"/>
      <c r="ONE132" s="3"/>
      <c r="ONF132" s="3"/>
      <c r="ONG132" s="3"/>
      <c r="ONH132" s="3"/>
      <c r="ONI132" s="3"/>
      <c r="ONJ132" s="3"/>
      <c r="ONK132" s="3"/>
      <c r="ONL132" s="3"/>
      <c r="ONM132" s="3"/>
      <c r="ONN132" s="3"/>
      <c r="ONO132" s="3"/>
      <c r="ONP132" s="3"/>
      <c r="ONQ132" s="3"/>
      <c r="ONR132" s="3"/>
      <c r="ONS132" s="3"/>
      <c r="ONT132" s="3"/>
      <c r="ONU132" s="3"/>
      <c r="ONV132" s="3"/>
      <c r="ONW132" s="3"/>
      <c r="ONX132" s="3"/>
      <c r="ONY132" s="3"/>
      <c r="ONZ132" s="3"/>
      <c r="OOA132" s="3"/>
      <c r="OOB132" s="3"/>
      <c r="OOC132" s="3"/>
      <c r="OOD132" s="3"/>
      <c r="OOE132" s="3"/>
      <c r="OOF132" s="3"/>
      <c r="OOG132" s="3"/>
      <c r="OOH132" s="3"/>
      <c r="OOI132" s="3"/>
      <c r="OOJ132" s="3"/>
      <c r="OOK132" s="3"/>
      <c r="OOL132" s="3"/>
      <c r="OOM132" s="3"/>
      <c r="OON132" s="3"/>
      <c r="OOO132" s="3"/>
      <c r="OOP132" s="3"/>
      <c r="OOQ132" s="3"/>
      <c r="OOR132" s="3"/>
      <c r="OOS132" s="3"/>
      <c r="OOT132" s="3"/>
      <c r="OOU132" s="3"/>
      <c r="OOV132" s="3"/>
      <c r="OOW132" s="3"/>
      <c r="OOX132" s="3"/>
      <c r="OOY132" s="3"/>
      <c r="OOZ132" s="3"/>
      <c r="OPA132" s="3"/>
      <c r="OPB132" s="3"/>
      <c r="OPC132" s="3"/>
      <c r="OPD132" s="3"/>
      <c r="OPE132" s="3"/>
      <c r="OPF132" s="3"/>
      <c r="OPG132" s="3"/>
      <c r="OPH132" s="3"/>
      <c r="OPI132" s="3"/>
      <c r="OPJ132" s="3"/>
      <c r="OPK132" s="3"/>
      <c r="OPL132" s="3"/>
      <c r="OPM132" s="3"/>
      <c r="OPN132" s="3"/>
      <c r="OPO132" s="3"/>
      <c r="OPP132" s="3"/>
      <c r="OPQ132" s="3"/>
      <c r="OPR132" s="3"/>
      <c r="OPS132" s="3"/>
      <c r="OPT132" s="3"/>
      <c r="OPU132" s="3"/>
      <c r="OPV132" s="3"/>
      <c r="OPW132" s="3"/>
      <c r="OPX132" s="3"/>
      <c r="OPY132" s="3"/>
      <c r="OPZ132" s="3"/>
      <c r="OQA132" s="3"/>
      <c r="OQB132" s="3"/>
      <c r="OQC132" s="3"/>
      <c r="OQD132" s="3"/>
      <c r="OQE132" s="3"/>
      <c r="OQF132" s="3"/>
      <c r="OQG132" s="3"/>
      <c r="OQH132" s="3"/>
      <c r="OQI132" s="3"/>
      <c r="OQJ132" s="3"/>
      <c r="OQK132" s="3"/>
      <c r="OQL132" s="3"/>
      <c r="OQM132" s="3"/>
      <c r="OQN132" s="3"/>
      <c r="OQO132" s="3"/>
      <c r="OQP132" s="3"/>
      <c r="OQQ132" s="3"/>
      <c r="OQR132" s="3"/>
      <c r="OQS132" s="3"/>
      <c r="OQT132" s="3"/>
      <c r="OQU132" s="3"/>
      <c r="OQV132" s="3"/>
      <c r="OQW132" s="3"/>
      <c r="OQX132" s="3"/>
      <c r="OQY132" s="3"/>
      <c r="OQZ132" s="3"/>
      <c r="ORA132" s="3"/>
      <c r="ORB132" s="3"/>
      <c r="ORC132" s="3"/>
      <c r="ORD132" s="3"/>
      <c r="ORE132" s="3"/>
      <c r="ORF132" s="3"/>
      <c r="ORG132" s="3"/>
      <c r="ORH132" s="3"/>
      <c r="ORI132" s="3"/>
      <c r="ORJ132" s="3"/>
      <c r="ORK132" s="3"/>
      <c r="ORL132" s="3"/>
      <c r="ORM132" s="3"/>
      <c r="ORN132" s="3"/>
      <c r="ORO132" s="3"/>
      <c r="ORP132" s="3"/>
      <c r="ORQ132" s="3"/>
      <c r="ORR132" s="3"/>
      <c r="ORS132" s="3"/>
      <c r="ORT132" s="3"/>
      <c r="ORU132" s="3"/>
      <c r="ORV132" s="3"/>
      <c r="ORW132" s="3"/>
      <c r="ORX132" s="3"/>
      <c r="ORY132" s="3"/>
      <c r="ORZ132" s="3"/>
      <c r="OSA132" s="3"/>
      <c r="OSB132" s="3"/>
      <c r="OSC132" s="3"/>
      <c r="OSD132" s="3"/>
      <c r="OSE132" s="3"/>
      <c r="OSF132" s="3"/>
      <c r="OSG132" s="3"/>
      <c r="OSH132" s="3"/>
      <c r="OSI132" s="3"/>
      <c r="OSJ132" s="3"/>
      <c r="OSK132" s="3"/>
      <c r="OSL132" s="3"/>
      <c r="OSM132" s="3"/>
      <c r="OSN132" s="3"/>
      <c r="OSO132" s="3"/>
      <c r="OSP132" s="3"/>
      <c r="OSQ132" s="3"/>
      <c r="OSR132" s="3"/>
      <c r="OSS132" s="3"/>
      <c r="OST132" s="3"/>
      <c r="OSU132" s="3"/>
      <c r="OSV132" s="3"/>
      <c r="OSW132" s="3"/>
      <c r="OSX132" s="3"/>
      <c r="OSY132" s="3"/>
      <c r="OSZ132" s="3"/>
      <c r="OTA132" s="3"/>
      <c r="OTB132" s="3"/>
      <c r="OTC132" s="3"/>
      <c r="OTD132" s="3"/>
      <c r="OTE132" s="3"/>
      <c r="OTF132" s="3"/>
      <c r="OTG132" s="3"/>
      <c r="OTH132" s="3"/>
      <c r="OTI132" s="3"/>
      <c r="OTJ132" s="3"/>
      <c r="OTK132" s="3"/>
      <c r="OTL132" s="3"/>
      <c r="OTM132" s="3"/>
      <c r="OTN132" s="3"/>
      <c r="OTO132" s="3"/>
      <c r="OTP132" s="3"/>
      <c r="OTQ132" s="3"/>
      <c r="OTR132" s="3"/>
      <c r="OTS132" s="3"/>
      <c r="OTT132" s="3"/>
      <c r="OTU132" s="3"/>
      <c r="OTV132" s="3"/>
      <c r="OTW132" s="3"/>
      <c r="OTX132" s="3"/>
      <c r="OTY132" s="3"/>
      <c r="OTZ132" s="3"/>
      <c r="OUA132" s="3"/>
      <c r="OUB132" s="3"/>
      <c r="OUC132" s="3"/>
      <c r="OUD132" s="3"/>
      <c r="OUE132" s="3"/>
      <c r="OUF132" s="3"/>
      <c r="OUG132" s="3"/>
      <c r="OUH132" s="3"/>
      <c r="OUI132" s="3"/>
      <c r="OUJ132" s="3"/>
      <c r="OUK132" s="3"/>
      <c r="OUL132" s="3"/>
      <c r="OUM132" s="3"/>
      <c r="OUN132" s="3"/>
      <c r="OUO132" s="3"/>
      <c r="OUP132" s="3"/>
      <c r="OUQ132" s="3"/>
      <c r="OUR132" s="3"/>
      <c r="OUS132" s="3"/>
      <c r="OUT132" s="3"/>
      <c r="OUU132" s="3"/>
      <c r="OUV132" s="3"/>
      <c r="OUW132" s="3"/>
      <c r="OUX132" s="3"/>
      <c r="OUY132" s="3"/>
      <c r="OUZ132" s="3"/>
      <c r="OVA132" s="3"/>
      <c r="OVB132" s="3"/>
      <c r="OVC132" s="3"/>
      <c r="OVD132" s="3"/>
      <c r="OVE132" s="3"/>
      <c r="OVF132" s="3"/>
      <c r="OVG132" s="3"/>
      <c r="OVH132" s="3"/>
      <c r="OVI132" s="3"/>
      <c r="OVJ132" s="3"/>
      <c r="OVK132" s="3"/>
      <c r="OVL132" s="3"/>
      <c r="OVM132" s="3"/>
      <c r="OVN132" s="3"/>
      <c r="OVO132" s="3"/>
      <c r="OVP132" s="3"/>
      <c r="OVQ132" s="3"/>
      <c r="OVR132" s="3"/>
      <c r="OVS132" s="3"/>
      <c r="OVT132" s="3"/>
      <c r="OVU132" s="3"/>
      <c r="OVV132" s="3"/>
      <c r="OVW132" s="3"/>
      <c r="OVX132" s="3"/>
      <c r="OVY132" s="3"/>
      <c r="OVZ132" s="3"/>
      <c r="OWA132" s="3"/>
      <c r="OWB132" s="3"/>
      <c r="OWC132" s="3"/>
      <c r="OWD132" s="3"/>
      <c r="OWE132" s="3"/>
      <c r="OWF132" s="3"/>
      <c r="OWG132" s="3"/>
      <c r="OWH132" s="3"/>
      <c r="OWI132" s="3"/>
      <c r="OWJ132" s="3"/>
      <c r="OWK132" s="3"/>
      <c r="OWL132" s="3"/>
      <c r="OWM132" s="3"/>
      <c r="OWN132" s="3"/>
      <c r="OWO132" s="3"/>
      <c r="OWP132" s="3"/>
      <c r="OWQ132" s="3"/>
      <c r="OWR132" s="3"/>
      <c r="OWS132" s="3"/>
      <c r="OWT132" s="3"/>
      <c r="OWU132" s="3"/>
      <c r="OWV132" s="3"/>
      <c r="OWW132" s="3"/>
      <c r="OWX132" s="3"/>
      <c r="OWY132" s="3"/>
      <c r="OWZ132" s="3"/>
      <c r="OXA132" s="3"/>
      <c r="OXB132" s="3"/>
      <c r="OXC132" s="3"/>
      <c r="OXD132" s="3"/>
      <c r="OXE132" s="3"/>
      <c r="OXF132" s="3"/>
      <c r="OXG132" s="3"/>
      <c r="OXH132" s="3"/>
      <c r="OXI132" s="3"/>
      <c r="OXJ132" s="3"/>
      <c r="OXK132" s="3"/>
      <c r="OXL132" s="3"/>
      <c r="OXM132" s="3"/>
      <c r="OXN132" s="3"/>
      <c r="OXO132" s="3"/>
      <c r="OXP132" s="3"/>
      <c r="OXQ132" s="3"/>
      <c r="OXR132" s="3"/>
      <c r="OXS132" s="3"/>
      <c r="OXT132" s="3"/>
      <c r="OXU132" s="3"/>
      <c r="OXV132" s="3"/>
      <c r="OXW132" s="3"/>
      <c r="OXX132" s="3"/>
      <c r="OXY132" s="3"/>
      <c r="OXZ132" s="3"/>
      <c r="OYA132" s="3"/>
      <c r="OYB132" s="3"/>
      <c r="OYC132" s="3"/>
      <c r="OYD132" s="3"/>
      <c r="OYE132" s="3"/>
      <c r="OYF132" s="3"/>
      <c r="OYG132" s="3"/>
      <c r="OYH132" s="3"/>
      <c r="OYI132" s="3"/>
      <c r="OYJ132" s="3"/>
      <c r="OYK132" s="3"/>
      <c r="OYL132" s="3"/>
      <c r="OYM132" s="3"/>
      <c r="OYN132" s="3"/>
      <c r="OYO132" s="3"/>
      <c r="OYP132" s="3"/>
      <c r="OYQ132" s="3"/>
      <c r="OYR132" s="3"/>
      <c r="OYS132" s="3"/>
      <c r="OYT132" s="3"/>
      <c r="OYU132" s="3"/>
      <c r="OYV132" s="3"/>
      <c r="OYW132" s="3"/>
      <c r="OYX132" s="3"/>
      <c r="OYY132" s="3"/>
      <c r="OYZ132" s="3"/>
      <c r="OZA132" s="3"/>
      <c r="OZB132" s="3"/>
      <c r="OZC132" s="3"/>
      <c r="OZD132" s="3"/>
      <c r="OZE132" s="3"/>
      <c r="OZF132" s="3"/>
      <c r="OZG132" s="3"/>
      <c r="OZH132" s="3"/>
      <c r="OZI132" s="3"/>
      <c r="OZJ132" s="3"/>
      <c r="OZK132" s="3"/>
      <c r="OZL132" s="3"/>
      <c r="OZM132" s="3"/>
      <c r="OZN132" s="3"/>
      <c r="OZO132" s="3"/>
      <c r="OZP132" s="3"/>
      <c r="OZQ132" s="3"/>
      <c r="OZR132" s="3"/>
      <c r="OZS132" s="3"/>
      <c r="OZT132" s="3"/>
      <c r="OZU132" s="3"/>
      <c r="OZV132" s="3"/>
      <c r="OZW132" s="3"/>
      <c r="OZX132" s="3"/>
      <c r="OZY132" s="3"/>
      <c r="OZZ132" s="3"/>
      <c r="PAA132" s="3"/>
      <c r="PAB132" s="3"/>
      <c r="PAC132" s="3"/>
      <c r="PAD132" s="3"/>
      <c r="PAE132" s="3"/>
      <c r="PAF132" s="3"/>
      <c r="PAG132" s="3"/>
      <c r="PAH132" s="3"/>
      <c r="PAI132" s="3"/>
      <c r="PAJ132" s="3"/>
      <c r="PAK132" s="3"/>
      <c r="PAL132" s="3"/>
      <c r="PAM132" s="3"/>
      <c r="PAN132" s="3"/>
      <c r="PAO132" s="3"/>
      <c r="PAP132" s="3"/>
      <c r="PAQ132" s="3"/>
      <c r="PAR132" s="3"/>
      <c r="PAS132" s="3"/>
      <c r="PAT132" s="3"/>
      <c r="PAU132" s="3"/>
      <c r="PAV132" s="3"/>
      <c r="PAW132" s="3"/>
      <c r="PAX132" s="3"/>
      <c r="PAY132" s="3"/>
      <c r="PAZ132" s="3"/>
      <c r="PBA132" s="3"/>
      <c r="PBB132" s="3"/>
      <c r="PBC132" s="3"/>
      <c r="PBD132" s="3"/>
      <c r="PBE132" s="3"/>
      <c r="PBF132" s="3"/>
      <c r="PBG132" s="3"/>
      <c r="PBH132" s="3"/>
      <c r="PBI132" s="3"/>
      <c r="PBJ132" s="3"/>
      <c r="PBK132" s="3"/>
      <c r="PBL132" s="3"/>
      <c r="PBM132" s="3"/>
      <c r="PBN132" s="3"/>
      <c r="PBO132" s="3"/>
      <c r="PBP132" s="3"/>
      <c r="PBQ132" s="3"/>
      <c r="PBR132" s="3"/>
      <c r="PBS132" s="3"/>
      <c r="PBT132" s="3"/>
      <c r="PBU132" s="3"/>
      <c r="PBV132" s="3"/>
      <c r="PBW132" s="3"/>
      <c r="PBX132" s="3"/>
      <c r="PBY132" s="3"/>
      <c r="PBZ132" s="3"/>
      <c r="PCA132" s="3"/>
      <c r="PCB132" s="3"/>
      <c r="PCC132" s="3"/>
      <c r="PCD132" s="3"/>
      <c r="PCE132" s="3"/>
      <c r="PCF132" s="3"/>
      <c r="PCG132" s="3"/>
      <c r="PCH132" s="3"/>
      <c r="PCI132" s="3"/>
      <c r="PCJ132" s="3"/>
      <c r="PCK132" s="3"/>
      <c r="PCL132" s="3"/>
      <c r="PCM132" s="3"/>
      <c r="PCN132" s="3"/>
      <c r="PCO132" s="3"/>
      <c r="PCP132" s="3"/>
      <c r="PCQ132" s="3"/>
      <c r="PCR132" s="3"/>
      <c r="PCS132" s="3"/>
      <c r="PCT132" s="3"/>
      <c r="PCU132" s="3"/>
      <c r="PCV132" s="3"/>
      <c r="PCW132" s="3"/>
      <c r="PCX132" s="3"/>
      <c r="PCY132" s="3"/>
      <c r="PCZ132" s="3"/>
      <c r="PDA132" s="3"/>
      <c r="PDB132" s="3"/>
      <c r="PDC132" s="3"/>
      <c r="PDD132" s="3"/>
      <c r="PDE132" s="3"/>
      <c r="PDF132" s="3"/>
      <c r="PDG132" s="3"/>
      <c r="PDH132" s="3"/>
      <c r="PDI132" s="3"/>
      <c r="PDJ132" s="3"/>
      <c r="PDK132" s="3"/>
      <c r="PDL132" s="3"/>
      <c r="PDM132" s="3"/>
      <c r="PDN132" s="3"/>
      <c r="PDO132" s="3"/>
      <c r="PDP132" s="3"/>
      <c r="PDQ132" s="3"/>
      <c r="PDR132" s="3"/>
      <c r="PDS132" s="3"/>
      <c r="PDT132" s="3"/>
      <c r="PDU132" s="3"/>
      <c r="PDV132" s="3"/>
      <c r="PDW132" s="3"/>
      <c r="PDX132" s="3"/>
      <c r="PDY132" s="3"/>
      <c r="PDZ132" s="3"/>
      <c r="PEA132" s="3"/>
      <c r="PEB132" s="3"/>
      <c r="PEC132" s="3"/>
      <c r="PED132" s="3"/>
      <c r="PEE132" s="3"/>
      <c r="PEF132" s="3"/>
      <c r="PEG132" s="3"/>
      <c r="PEH132" s="3"/>
      <c r="PEI132" s="3"/>
      <c r="PEJ132" s="3"/>
      <c r="PEK132" s="3"/>
      <c r="PEL132" s="3"/>
      <c r="PEM132" s="3"/>
      <c r="PEN132" s="3"/>
      <c r="PEO132" s="3"/>
      <c r="PEP132" s="3"/>
      <c r="PEQ132" s="3"/>
      <c r="PER132" s="3"/>
      <c r="PES132" s="3"/>
      <c r="PET132" s="3"/>
      <c r="PEU132" s="3"/>
      <c r="PEV132" s="3"/>
      <c r="PEW132" s="3"/>
      <c r="PEX132" s="3"/>
      <c r="PEY132" s="3"/>
      <c r="PEZ132" s="3"/>
      <c r="PFA132" s="3"/>
      <c r="PFB132" s="3"/>
      <c r="PFC132" s="3"/>
      <c r="PFD132" s="3"/>
      <c r="PFE132" s="3"/>
      <c r="PFF132" s="3"/>
      <c r="PFG132" s="3"/>
      <c r="PFH132" s="3"/>
      <c r="PFI132" s="3"/>
      <c r="PFJ132" s="3"/>
      <c r="PFK132" s="3"/>
      <c r="PFL132" s="3"/>
      <c r="PFM132" s="3"/>
      <c r="PFN132" s="3"/>
      <c r="PFO132" s="3"/>
      <c r="PFP132" s="3"/>
      <c r="PFQ132" s="3"/>
      <c r="PFR132" s="3"/>
      <c r="PFS132" s="3"/>
      <c r="PFT132" s="3"/>
      <c r="PFU132" s="3"/>
      <c r="PFV132" s="3"/>
      <c r="PFW132" s="3"/>
      <c r="PFX132" s="3"/>
      <c r="PFY132" s="3"/>
      <c r="PFZ132" s="3"/>
      <c r="PGA132" s="3"/>
      <c r="PGB132" s="3"/>
      <c r="PGC132" s="3"/>
      <c r="PGD132" s="3"/>
      <c r="PGE132" s="3"/>
      <c r="PGF132" s="3"/>
      <c r="PGG132" s="3"/>
      <c r="PGH132" s="3"/>
      <c r="PGI132" s="3"/>
      <c r="PGJ132" s="3"/>
      <c r="PGK132" s="3"/>
      <c r="PGL132" s="3"/>
      <c r="PGM132" s="3"/>
      <c r="PGN132" s="3"/>
      <c r="PGO132" s="3"/>
      <c r="PGP132" s="3"/>
      <c r="PGQ132" s="3"/>
      <c r="PGR132" s="3"/>
      <c r="PGS132" s="3"/>
      <c r="PGT132" s="3"/>
      <c r="PGU132" s="3"/>
      <c r="PGV132" s="3"/>
      <c r="PGW132" s="3"/>
      <c r="PGX132" s="3"/>
      <c r="PGY132" s="3"/>
      <c r="PGZ132" s="3"/>
      <c r="PHA132" s="3"/>
      <c r="PHB132" s="3"/>
      <c r="PHC132" s="3"/>
      <c r="PHD132" s="3"/>
      <c r="PHE132" s="3"/>
      <c r="PHF132" s="3"/>
      <c r="PHG132" s="3"/>
      <c r="PHH132" s="3"/>
      <c r="PHI132" s="3"/>
      <c r="PHJ132" s="3"/>
      <c r="PHK132" s="3"/>
      <c r="PHL132" s="3"/>
      <c r="PHM132" s="3"/>
      <c r="PHN132" s="3"/>
      <c r="PHO132" s="3"/>
      <c r="PHP132" s="3"/>
      <c r="PHQ132" s="3"/>
      <c r="PHR132" s="3"/>
      <c r="PHS132" s="3"/>
      <c r="PHT132" s="3"/>
      <c r="PHU132" s="3"/>
      <c r="PHV132" s="3"/>
      <c r="PHW132" s="3"/>
      <c r="PHX132" s="3"/>
      <c r="PHY132" s="3"/>
      <c r="PHZ132" s="3"/>
      <c r="PIA132" s="3"/>
      <c r="PIB132" s="3"/>
      <c r="PIC132" s="3"/>
      <c r="PID132" s="3"/>
      <c r="PIE132" s="3"/>
      <c r="PIF132" s="3"/>
      <c r="PIG132" s="3"/>
      <c r="PIH132" s="3"/>
      <c r="PII132" s="3"/>
      <c r="PIJ132" s="3"/>
      <c r="PIK132" s="3"/>
      <c r="PIL132" s="3"/>
      <c r="PIM132" s="3"/>
      <c r="PIN132" s="3"/>
      <c r="PIO132" s="3"/>
      <c r="PIP132" s="3"/>
      <c r="PIQ132" s="3"/>
      <c r="PIR132" s="3"/>
      <c r="PIS132" s="3"/>
      <c r="PIT132" s="3"/>
      <c r="PIU132" s="3"/>
      <c r="PIV132" s="3"/>
      <c r="PIW132" s="3"/>
      <c r="PIX132" s="3"/>
      <c r="PIY132" s="3"/>
      <c r="PIZ132" s="3"/>
      <c r="PJA132" s="3"/>
      <c r="PJB132" s="3"/>
      <c r="PJC132" s="3"/>
      <c r="PJD132" s="3"/>
      <c r="PJE132" s="3"/>
      <c r="PJF132" s="3"/>
      <c r="PJG132" s="3"/>
      <c r="PJH132" s="3"/>
      <c r="PJI132" s="3"/>
      <c r="PJJ132" s="3"/>
      <c r="PJK132" s="3"/>
      <c r="PJL132" s="3"/>
      <c r="PJM132" s="3"/>
      <c r="PJN132" s="3"/>
      <c r="PJO132" s="3"/>
      <c r="PJP132" s="3"/>
      <c r="PJQ132" s="3"/>
      <c r="PJR132" s="3"/>
      <c r="PJS132" s="3"/>
      <c r="PJT132" s="3"/>
      <c r="PJU132" s="3"/>
      <c r="PJV132" s="3"/>
      <c r="PJW132" s="3"/>
      <c r="PJX132" s="3"/>
      <c r="PJY132" s="3"/>
      <c r="PJZ132" s="3"/>
      <c r="PKA132" s="3"/>
      <c r="PKB132" s="3"/>
      <c r="PKC132" s="3"/>
      <c r="PKD132" s="3"/>
      <c r="PKE132" s="3"/>
      <c r="PKF132" s="3"/>
      <c r="PKG132" s="3"/>
      <c r="PKH132" s="3"/>
      <c r="PKI132" s="3"/>
      <c r="PKJ132" s="3"/>
      <c r="PKK132" s="3"/>
      <c r="PKL132" s="3"/>
      <c r="PKM132" s="3"/>
      <c r="PKN132" s="3"/>
      <c r="PKO132" s="3"/>
      <c r="PKP132" s="3"/>
      <c r="PKQ132" s="3"/>
      <c r="PKR132" s="3"/>
      <c r="PKS132" s="3"/>
      <c r="PKT132" s="3"/>
      <c r="PKU132" s="3"/>
      <c r="PKV132" s="3"/>
      <c r="PKW132" s="3"/>
      <c r="PKX132" s="3"/>
      <c r="PKY132" s="3"/>
      <c r="PKZ132" s="3"/>
      <c r="PLA132" s="3"/>
      <c r="PLB132" s="3"/>
      <c r="PLC132" s="3"/>
      <c r="PLD132" s="3"/>
      <c r="PLE132" s="3"/>
      <c r="PLF132" s="3"/>
      <c r="PLG132" s="3"/>
      <c r="PLH132" s="3"/>
      <c r="PLI132" s="3"/>
      <c r="PLJ132" s="3"/>
      <c r="PLK132" s="3"/>
      <c r="PLL132" s="3"/>
      <c r="PLM132" s="3"/>
      <c r="PLN132" s="3"/>
      <c r="PLO132" s="3"/>
      <c r="PLP132" s="3"/>
      <c r="PLQ132" s="3"/>
      <c r="PLR132" s="3"/>
      <c r="PLS132" s="3"/>
      <c r="PLT132" s="3"/>
      <c r="PLU132" s="3"/>
      <c r="PLV132" s="3"/>
      <c r="PLW132" s="3"/>
      <c r="PLX132" s="3"/>
      <c r="PLY132" s="3"/>
      <c r="PLZ132" s="3"/>
      <c r="PMA132" s="3"/>
      <c r="PMB132" s="3"/>
      <c r="PMC132" s="3"/>
      <c r="PMD132" s="3"/>
      <c r="PME132" s="3"/>
      <c r="PMF132" s="3"/>
      <c r="PMG132" s="3"/>
      <c r="PMH132" s="3"/>
      <c r="PMI132" s="3"/>
      <c r="PMJ132" s="3"/>
      <c r="PMK132" s="3"/>
      <c r="PML132" s="3"/>
      <c r="PMM132" s="3"/>
      <c r="PMN132" s="3"/>
      <c r="PMO132" s="3"/>
      <c r="PMP132" s="3"/>
      <c r="PMQ132" s="3"/>
      <c r="PMR132" s="3"/>
      <c r="PMS132" s="3"/>
      <c r="PMT132" s="3"/>
      <c r="PMU132" s="3"/>
      <c r="PMV132" s="3"/>
      <c r="PMW132" s="3"/>
      <c r="PMX132" s="3"/>
      <c r="PMY132" s="3"/>
      <c r="PMZ132" s="3"/>
      <c r="PNA132" s="3"/>
      <c r="PNB132" s="3"/>
      <c r="PNC132" s="3"/>
      <c r="PND132" s="3"/>
      <c r="PNE132" s="3"/>
      <c r="PNF132" s="3"/>
      <c r="PNG132" s="3"/>
      <c r="PNH132" s="3"/>
      <c r="PNI132" s="3"/>
      <c r="PNJ132" s="3"/>
      <c r="PNK132" s="3"/>
      <c r="PNL132" s="3"/>
      <c r="PNM132" s="3"/>
      <c r="PNN132" s="3"/>
      <c r="PNO132" s="3"/>
      <c r="PNP132" s="3"/>
      <c r="PNQ132" s="3"/>
      <c r="PNR132" s="3"/>
      <c r="PNS132" s="3"/>
      <c r="PNT132" s="3"/>
      <c r="PNU132" s="3"/>
      <c r="PNV132" s="3"/>
      <c r="PNW132" s="3"/>
      <c r="PNX132" s="3"/>
      <c r="PNY132" s="3"/>
      <c r="PNZ132" s="3"/>
      <c r="POA132" s="3"/>
      <c r="POB132" s="3"/>
      <c r="POC132" s="3"/>
      <c r="POD132" s="3"/>
      <c r="POE132" s="3"/>
      <c r="POF132" s="3"/>
      <c r="POG132" s="3"/>
      <c r="POH132" s="3"/>
      <c r="POI132" s="3"/>
      <c r="POJ132" s="3"/>
      <c r="POK132" s="3"/>
      <c r="POL132" s="3"/>
      <c r="POM132" s="3"/>
      <c r="PON132" s="3"/>
      <c r="POO132" s="3"/>
      <c r="POP132" s="3"/>
      <c r="POQ132" s="3"/>
      <c r="POR132" s="3"/>
      <c r="POS132" s="3"/>
      <c r="POT132" s="3"/>
      <c r="POU132" s="3"/>
      <c r="POV132" s="3"/>
      <c r="POW132" s="3"/>
      <c r="POX132" s="3"/>
      <c r="POY132" s="3"/>
      <c r="POZ132" s="3"/>
      <c r="PPA132" s="3"/>
      <c r="PPB132" s="3"/>
      <c r="PPC132" s="3"/>
      <c r="PPD132" s="3"/>
      <c r="PPE132" s="3"/>
      <c r="PPF132" s="3"/>
      <c r="PPG132" s="3"/>
      <c r="PPH132" s="3"/>
      <c r="PPI132" s="3"/>
      <c r="PPJ132" s="3"/>
      <c r="PPK132" s="3"/>
      <c r="PPL132" s="3"/>
      <c r="PPM132" s="3"/>
      <c r="PPN132" s="3"/>
      <c r="PPO132" s="3"/>
      <c r="PPP132" s="3"/>
      <c r="PPQ132" s="3"/>
      <c r="PPR132" s="3"/>
      <c r="PPS132" s="3"/>
      <c r="PPT132" s="3"/>
      <c r="PPU132" s="3"/>
      <c r="PPV132" s="3"/>
      <c r="PPW132" s="3"/>
      <c r="PPX132" s="3"/>
      <c r="PPY132" s="3"/>
      <c r="PPZ132" s="3"/>
      <c r="PQA132" s="3"/>
      <c r="PQB132" s="3"/>
      <c r="PQC132" s="3"/>
      <c r="PQD132" s="3"/>
      <c r="PQE132" s="3"/>
      <c r="PQF132" s="3"/>
      <c r="PQG132" s="3"/>
      <c r="PQH132" s="3"/>
      <c r="PQI132" s="3"/>
      <c r="PQJ132" s="3"/>
      <c r="PQK132" s="3"/>
      <c r="PQL132" s="3"/>
      <c r="PQM132" s="3"/>
      <c r="PQN132" s="3"/>
      <c r="PQO132" s="3"/>
      <c r="PQP132" s="3"/>
      <c r="PQQ132" s="3"/>
      <c r="PQR132" s="3"/>
      <c r="PQS132" s="3"/>
      <c r="PQT132" s="3"/>
      <c r="PQU132" s="3"/>
      <c r="PQV132" s="3"/>
      <c r="PQW132" s="3"/>
      <c r="PQX132" s="3"/>
      <c r="PQY132" s="3"/>
      <c r="PQZ132" s="3"/>
      <c r="PRA132" s="3"/>
      <c r="PRB132" s="3"/>
      <c r="PRC132" s="3"/>
      <c r="PRD132" s="3"/>
      <c r="PRE132" s="3"/>
      <c r="PRF132" s="3"/>
      <c r="PRG132" s="3"/>
      <c r="PRH132" s="3"/>
      <c r="PRI132" s="3"/>
      <c r="PRJ132" s="3"/>
      <c r="PRK132" s="3"/>
      <c r="PRL132" s="3"/>
      <c r="PRM132" s="3"/>
      <c r="PRN132" s="3"/>
      <c r="PRO132" s="3"/>
      <c r="PRP132" s="3"/>
      <c r="PRQ132" s="3"/>
      <c r="PRR132" s="3"/>
      <c r="PRS132" s="3"/>
      <c r="PRT132" s="3"/>
      <c r="PRU132" s="3"/>
      <c r="PRV132" s="3"/>
      <c r="PRW132" s="3"/>
      <c r="PRX132" s="3"/>
      <c r="PRY132" s="3"/>
      <c r="PRZ132" s="3"/>
      <c r="PSA132" s="3"/>
      <c r="PSB132" s="3"/>
      <c r="PSC132" s="3"/>
      <c r="PSD132" s="3"/>
      <c r="PSE132" s="3"/>
      <c r="PSF132" s="3"/>
      <c r="PSG132" s="3"/>
      <c r="PSH132" s="3"/>
      <c r="PSI132" s="3"/>
      <c r="PSJ132" s="3"/>
      <c r="PSK132" s="3"/>
      <c r="PSL132" s="3"/>
      <c r="PSM132" s="3"/>
      <c r="PSN132" s="3"/>
      <c r="PSO132" s="3"/>
      <c r="PSP132" s="3"/>
      <c r="PSQ132" s="3"/>
      <c r="PSR132" s="3"/>
      <c r="PSS132" s="3"/>
      <c r="PST132" s="3"/>
      <c r="PSU132" s="3"/>
      <c r="PSV132" s="3"/>
      <c r="PSW132" s="3"/>
      <c r="PSX132" s="3"/>
      <c r="PSY132" s="3"/>
      <c r="PSZ132" s="3"/>
      <c r="PTA132" s="3"/>
      <c r="PTB132" s="3"/>
      <c r="PTC132" s="3"/>
      <c r="PTD132" s="3"/>
      <c r="PTE132" s="3"/>
      <c r="PTF132" s="3"/>
      <c r="PTG132" s="3"/>
      <c r="PTH132" s="3"/>
      <c r="PTI132" s="3"/>
      <c r="PTJ132" s="3"/>
      <c r="PTK132" s="3"/>
      <c r="PTL132" s="3"/>
      <c r="PTM132" s="3"/>
      <c r="PTN132" s="3"/>
      <c r="PTO132" s="3"/>
      <c r="PTP132" s="3"/>
      <c r="PTQ132" s="3"/>
      <c r="PTR132" s="3"/>
      <c r="PTS132" s="3"/>
      <c r="PTT132" s="3"/>
      <c r="PTU132" s="3"/>
      <c r="PTV132" s="3"/>
      <c r="PTW132" s="3"/>
      <c r="PTX132" s="3"/>
      <c r="PTY132" s="3"/>
      <c r="PTZ132" s="3"/>
      <c r="PUA132" s="3"/>
      <c r="PUB132" s="3"/>
      <c r="PUC132" s="3"/>
      <c r="PUD132" s="3"/>
      <c r="PUE132" s="3"/>
      <c r="PUF132" s="3"/>
      <c r="PUG132" s="3"/>
      <c r="PUH132" s="3"/>
      <c r="PUI132" s="3"/>
      <c r="PUJ132" s="3"/>
      <c r="PUK132" s="3"/>
      <c r="PUL132" s="3"/>
      <c r="PUM132" s="3"/>
      <c r="PUN132" s="3"/>
      <c r="PUO132" s="3"/>
      <c r="PUP132" s="3"/>
      <c r="PUQ132" s="3"/>
      <c r="PUR132" s="3"/>
      <c r="PUS132" s="3"/>
      <c r="PUT132" s="3"/>
      <c r="PUU132" s="3"/>
      <c r="PUV132" s="3"/>
      <c r="PUW132" s="3"/>
      <c r="PUX132" s="3"/>
      <c r="PUY132" s="3"/>
      <c r="PUZ132" s="3"/>
      <c r="PVA132" s="3"/>
      <c r="PVB132" s="3"/>
      <c r="PVC132" s="3"/>
      <c r="PVD132" s="3"/>
      <c r="PVE132" s="3"/>
      <c r="PVF132" s="3"/>
      <c r="PVG132" s="3"/>
      <c r="PVH132" s="3"/>
      <c r="PVI132" s="3"/>
      <c r="PVJ132" s="3"/>
      <c r="PVK132" s="3"/>
      <c r="PVL132" s="3"/>
      <c r="PVM132" s="3"/>
      <c r="PVN132" s="3"/>
      <c r="PVO132" s="3"/>
      <c r="PVP132" s="3"/>
      <c r="PVQ132" s="3"/>
      <c r="PVR132" s="3"/>
      <c r="PVS132" s="3"/>
      <c r="PVT132" s="3"/>
      <c r="PVU132" s="3"/>
      <c r="PVV132" s="3"/>
      <c r="PVW132" s="3"/>
      <c r="PVX132" s="3"/>
      <c r="PVY132" s="3"/>
      <c r="PVZ132" s="3"/>
      <c r="PWA132" s="3"/>
      <c r="PWB132" s="3"/>
      <c r="PWC132" s="3"/>
      <c r="PWD132" s="3"/>
      <c r="PWE132" s="3"/>
      <c r="PWF132" s="3"/>
      <c r="PWG132" s="3"/>
      <c r="PWH132" s="3"/>
      <c r="PWI132" s="3"/>
      <c r="PWJ132" s="3"/>
      <c r="PWK132" s="3"/>
      <c r="PWL132" s="3"/>
      <c r="PWM132" s="3"/>
      <c r="PWN132" s="3"/>
      <c r="PWO132" s="3"/>
      <c r="PWP132" s="3"/>
      <c r="PWQ132" s="3"/>
      <c r="PWR132" s="3"/>
      <c r="PWS132" s="3"/>
      <c r="PWT132" s="3"/>
      <c r="PWU132" s="3"/>
      <c r="PWV132" s="3"/>
      <c r="PWW132" s="3"/>
      <c r="PWX132" s="3"/>
      <c r="PWY132" s="3"/>
      <c r="PWZ132" s="3"/>
      <c r="PXA132" s="3"/>
      <c r="PXB132" s="3"/>
      <c r="PXC132" s="3"/>
      <c r="PXD132" s="3"/>
      <c r="PXE132" s="3"/>
      <c r="PXF132" s="3"/>
      <c r="PXG132" s="3"/>
      <c r="PXH132" s="3"/>
      <c r="PXI132" s="3"/>
      <c r="PXJ132" s="3"/>
      <c r="PXK132" s="3"/>
      <c r="PXL132" s="3"/>
      <c r="PXM132" s="3"/>
      <c r="PXN132" s="3"/>
      <c r="PXO132" s="3"/>
      <c r="PXP132" s="3"/>
      <c r="PXQ132" s="3"/>
      <c r="PXR132" s="3"/>
      <c r="PXS132" s="3"/>
      <c r="PXT132" s="3"/>
      <c r="PXU132" s="3"/>
      <c r="PXV132" s="3"/>
      <c r="PXW132" s="3"/>
      <c r="PXX132" s="3"/>
      <c r="PXY132" s="3"/>
      <c r="PXZ132" s="3"/>
      <c r="PYA132" s="3"/>
      <c r="PYB132" s="3"/>
      <c r="PYC132" s="3"/>
      <c r="PYD132" s="3"/>
      <c r="PYE132" s="3"/>
      <c r="PYF132" s="3"/>
      <c r="PYG132" s="3"/>
      <c r="PYH132" s="3"/>
      <c r="PYI132" s="3"/>
      <c r="PYJ132" s="3"/>
      <c r="PYK132" s="3"/>
      <c r="PYL132" s="3"/>
      <c r="PYM132" s="3"/>
      <c r="PYN132" s="3"/>
      <c r="PYO132" s="3"/>
      <c r="PYP132" s="3"/>
      <c r="PYQ132" s="3"/>
      <c r="PYR132" s="3"/>
      <c r="PYS132" s="3"/>
      <c r="PYT132" s="3"/>
      <c r="PYU132" s="3"/>
      <c r="PYV132" s="3"/>
      <c r="PYW132" s="3"/>
      <c r="PYX132" s="3"/>
      <c r="PYY132" s="3"/>
      <c r="PYZ132" s="3"/>
      <c r="PZA132" s="3"/>
      <c r="PZB132" s="3"/>
      <c r="PZC132" s="3"/>
      <c r="PZD132" s="3"/>
      <c r="PZE132" s="3"/>
      <c r="PZF132" s="3"/>
      <c r="PZG132" s="3"/>
      <c r="PZH132" s="3"/>
      <c r="PZI132" s="3"/>
      <c r="PZJ132" s="3"/>
      <c r="PZK132" s="3"/>
      <c r="PZL132" s="3"/>
      <c r="PZM132" s="3"/>
      <c r="PZN132" s="3"/>
      <c r="PZO132" s="3"/>
      <c r="PZP132" s="3"/>
      <c r="PZQ132" s="3"/>
      <c r="PZR132" s="3"/>
      <c r="PZS132" s="3"/>
      <c r="PZT132" s="3"/>
      <c r="PZU132" s="3"/>
      <c r="PZV132" s="3"/>
      <c r="PZW132" s="3"/>
      <c r="PZX132" s="3"/>
      <c r="PZY132" s="3"/>
      <c r="PZZ132" s="3"/>
      <c r="QAA132" s="3"/>
      <c r="QAB132" s="3"/>
      <c r="QAC132" s="3"/>
      <c r="QAD132" s="3"/>
      <c r="QAE132" s="3"/>
      <c r="QAF132" s="3"/>
      <c r="QAG132" s="3"/>
      <c r="QAH132" s="3"/>
      <c r="QAI132" s="3"/>
      <c r="QAJ132" s="3"/>
      <c r="QAK132" s="3"/>
      <c r="QAL132" s="3"/>
      <c r="QAM132" s="3"/>
      <c r="QAN132" s="3"/>
      <c r="QAO132" s="3"/>
      <c r="QAP132" s="3"/>
      <c r="QAQ132" s="3"/>
      <c r="QAR132" s="3"/>
      <c r="QAS132" s="3"/>
      <c r="QAT132" s="3"/>
      <c r="QAU132" s="3"/>
      <c r="QAV132" s="3"/>
      <c r="QAW132" s="3"/>
      <c r="QAX132" s="3"/>
      <c r="QAY132" s="3"/>
      <c r="QAZ132" s="3"/>
      <c r="QBA132" s="3"/>
      <c r="QBB132" s="3"/>
      <c r="QBC132" s="3"/>
      <c r="QBD132" s="3"/>
      <c r="QBE132" s="3"/>
      <c r="QBF132" s="3"/>
      <c r="QBG132" s="3"/>
      <c r="QBH132" s="3"/>
      <c r="QBI132" s="3"/>
      <c r="QBJ132" s="3"/>
      <c r="QBK132" s="3"/>
      <c r="QBL132" s="3"/>
      <c r="QBM132" s="3"/>
      <c r="QBN132" s="3"/>
      <c r="QBO132" s="3"/>
      <c r="QBP132" s="3"/>
      <c r="QBQ132" s="3"/>
      <c r="QBR132" s="3"/>
      <c r="QBS132" s="3"/>
      <c r="QBT132" s="3"/>
      <c r="QBU132" s="3"/>
      <c r="QBV132" s="3"/>
      <c r="QBW132" s="3"/>
      <c r="QBX132" s="3"/>
      <c r="QBY132" s="3"/>
      <c r="QBZ132" s="3"/>
      <c r="QCA132" s="3"/>
      <c r="QCB132" s="3"/>
      <c r="QCC132" s="3"/>
      <c r="QCD132" s="3"/>
      <c r="QCE132" s="3"/>
      <c r="QCF132" s="3"/>
      <c r="QCG132" s="3"/>
      <c r="QCH132" s="3"/>
      <c r="QCI132" s="3"/>
      <c r="QCJ132" s="3"/>
      <c r="QCK132" s="3"/>
      <c r="QCL132" s="3"/>
      <c r="QCM132" s="3"/>
      <c r="QCN132" s="3"/>
      <c r="QCO132" s="3"/>
      <c r="QCP132" s="3"/>
      <c r="QCQ132" s="3"/>
      <c r="QCR132" s="3"/>
      <c r="QCS132" s="3"/>
      <c r="QCT132" s="3"/>
      <c r="QCU132" s="3"/>
      <c r="QCV132" s="3"/>
      <c r="QCW132" s="3"/>
      <c r="QCX132" s="3"/>
      <c r="QCY132" s="3"/>
      <c r="QCZ132" s="3"/>
      <c r="QDA132" s="3"/>
      <c r="QDB132" s="3"/>
      <c r="QDC132" s="3"/>
      <c r="QDD132" s="3"/>
      <c r="QDE132" s="3"/>
      <c r="QDF132" s="3"/>
      <c r="QDG132" s="3"/>
      <c r="QDH132" s="3"/>
      <c r="QDI132" s="3"/>
      <c r="QDJ132" s="3"/>
      <c r="QDK132" s="3"/>
      <c r="QDL132" s="3"/>
      <c r="QDM132" s="3"/>
      <c r="QDN132" s="3"/>
      <c r="QDO132" s="3"/>
      <c r="QDP132" s="3"/>
      <c r="QDQ132" s="3"/>
      <c r="QDR132" s="3"/>
      <c r="QDS132" s="3"/>
      <c r="QDT132" s="3"/>
      <c r="QDU132" s="3"/>
      <c r="QDV132" s="3"/>
      <c r="QDW132" s="3"/>
      <c r="QDX132" s="3"/>
      <c r="QDY132" s="3"/>
      <c r="QDZ132" s="3"/>
      <c r="QEA132" s="3"/>
      <c r="QEB132" s="3"/>
      <c r="QEC132" s="3"/>
      <c r="QED132" s="3"/>
      <c r="QEE132" s="3"/>
      <c r="QEF132" s="3"/>
      <c r="QEG132" s="3"/>
      <c r="QEH132" s="3"/>
      <c r="QEI132" s="3"/>
      <c r="QEJ132" s="3"/>
      <c r="QEK132" s="3"/>
      <c r="QEL132" s="3"/>
      <c r="QEM132" s="3"/>
      <c r="QEN132" s="3"/>
      <c r="QEO132" s="3"/>
      <c r="QEP132" s="3"/>
      <c r="QEQ132" s="3"/>
      <c r="QER132" s="3"/>
      <c r="QES132" s="3"/>
      <c r="QET132" s="3"/>
      <c r="QEU132" s="3"/>
      <c r="QEV132" s="3"/>
      <c r="QEW132" s="3"/>
      <c r="QEX132" s="3"/>
      <c r="QEY132" s="3"/>
      <c r="QEZ132" s="3"/>
      <c r="QFA132" s="3"/>
      <c r="QFB132" s="3"/>
      <c r="QFC132" s="3"/>
      <c r="QFD132" s="3"/>
      <c r="QFE132" s="3"/>
      <c r="QFF132" s="3"/>
      <c r="QFG132" s="3"/>
      <c r="QFH132" s="3"/>
      <c r="QFI132" s="3"/>
      <c r="QFJ132" s="3"/>
      <c r="QFK132" s="3"/>
      <c r="QFL132" s="3"/>
      <c r="QFM132" s="3"/>
      <c r="QFN132" s="3"/>
      <c r="QFO132" s="3"/>
      <c r="QFP132" s="3"/>
      <c r="QFQ132" s="3"/>
      <c r="QFR132" s="3"/>
      <c r="QFS132" s="3"/>
      <c r="QFT132" s="3"/>
      <c r="QFU132" s="3"/>
      <c r="QFV132" s="3"/>
      <c r="QFW132" s="3"/>
      <c r="QFX132" s="3"/>
      <c r="QFY132" s="3"/>
      <c r="QFZ132" s="3"/>
      <c r="QGA132" s="3"/>
      <c r="QGB132" s="3"/>
      <c r="QGC132" s="3"/>
      <c r="QGD132" s="3"/>
      <c r="QGE132" s="3"/>
      <c r="QGF132" s="3"/>
      <c r="QGG132" s="3"/>
      <c r="QGH132" s="3"/>
      <c r="QGI132" s="3"/>
      <c r="QGJ132" s="3"/>
      <c r="QGK132" s="3"/>
      <c r="QGL132" s="3"/>
      <c r="QGM132" s="3"/>
      <c r="QGN132" s="3"/>
      <c r="QGO132" s="3"/>
      <c r="QGP132" s="3"/>
      <c r="QGQ132" s="3"/>
      <c r="QGR132" s="3"/>
      <c r="QGS132" s="3"/>
      <c r="QGT132" s="3"/>
      <c r="QGU132" s="3"/>
      <c r="QGV132" s="3"/>
      <c r="QGW132" s="3"/>
      <c r="QGX132" s="3"/>
      <c r="QGY132" s="3"/>
      <c r="QGZ132" s="3"/>
      <c r="QHA132" s="3"/>
      <c r="QHB132" s="3"/>
      <c r="QHC132" s="3"/>
      <c r="QHD132" s="3"/>
      <c r="QHE132" s="3"/>
      <c r="QHF132" s="3"/>
      <c r="QHG132" s="3"/>
      <c r="QHH132" s="3"/>
      <c r="QHI132" s="3"/>
      <c r="QHJ132" s="3"/>
      <c r="QHK132" s="3"/>
      <c r="QHL132" s="3"/>
      <c r="QHM132" s="3"/>
      <c r="QHN132" s="3"/>
      <c r="QHO132" s="3"/>
      <c r="QHP132" s="3"/>
      <c r="QHQ132" s="3"/>
      <c r="QHR132" s="3"/>
      <c r="QHS132" s="3"/>
      <c r="QHT132" s="3"/>
      <c r="QHU132" s="3"/>
      <c r="QHV132" s="3"/>
      <c r="QHW132" s="3"/>
      <c r="QHX132" s="3"/>
      <c r="QHY132" s="3"/>
      <c r="QHZ132" s="3"/>
      <c r="QIA132" s="3"/>
      <c r="QIB132" s="3"/>
      <c r="QIC132" s="3"/>
      <c r="QID132" s="3"/>
      <c r="QIE132" s="3"/>
      <c r="QIF132" s="3"/>
      <c r="QIG132" s="3"/>
      <c r="QIH132" s="3"/>
      <c r="QII132" s="3"/>
      <c r="QIJ132" s="3"/>
      <c r="QIK132" s="3"/>
      <c r="QIL132" s="3"/>
      <c r="QIM132" s="3"/>
      <c r="QIN132" s="3"/>
      <c r="QIO132" s="3"/>
      <c r="QIP132" s="3"/>
      <c r="QIQ132" s="3"/>
      <c r="QIR132" s="3"/>
      <c r="QIS132" s="3"/>
      <c r="QIT132" s="3"/>
      <c r="QIU132" s="3"/>
      <c r="QIV132" s="3"/>
      <c r="QIW132" s="3"/>
      <c r="QIX132" s="3"/>
      <c r="QIY132" s="3"/>
      <c r="QIZ132" s="3"/>
      <c r="QJA132" s="3"/>
      <c r="QJB132" s="3"/>
      <c r="QJC132" s="3"/>
      <c r="QJD132" s="3"/>
      <c r="QJE132" s="3"/>
      <c r="QJF132" s="3"/>
      <c r="QJG132" s="3"/>
      <c r="QJH132" s="3"/>
      <c r="QJI132" s="3"/>
      <c r="QJJ132" s="3"/>
      <c r="QJK132" s="3"/>
      <c r="QJL132" s="3"/>
      <c r="QJM132" s="3"/>
      <c r="QJN132" s="3"/>
      <c r="QJO132" s="3"/>
      <c r="QJP132" s="3"/>
      <c r="QJQ132" s="3"/>
      <c r="QJR132" s="3"/>
      <c r="QJS132" s="3"/>
      <c r="QJT132" s="3"/>
      <c r="QJU132" s="3"/>
      <c r="QJV132" s="3"/>
      <c r="QJW132" s="3"/>
      <c r="QJX132" s="3"/>
      <c r="QJY132" s="3"/>
      <c r="QJZ132" s="3"/>
      <c r="QKA132" s="3"/>
      <c r="QKB132" s="3"/>
      <c r="QKC132" s="3"/>
      <c r="QKD132" s="3"/>
      <c r="QKE132" s="3"/>
      <c r="QKF132" s="3"/>
      <c r="QKG132" s="3"/>
      <c r="QKH132" s="3"/>
      <c r="QKI132" s="3"/>
      <c r="QKJ132" s="3"/>
      <c r="QKK132" s="3"/>
      <c r="QKL132" s="3"/>
      <c r="QKM132" s="3"/>
      <c r="QKN132" s="3"/>
      <c r="QKO132" s="3"/>
      <c r="QKP132" s="3"/>
      <c r="QKQ132" s="3"/>
      <c r="QKR132" s="3"/>
      <c r="QKS132" s="3"/>
      <c r="QKT132" s="3"/>
      <c r="QKU132" s="3"/>
      <c r="QKV132" s="3"/>
      <c r="QKW132" s="3"/>
      <c r="QKX132" s="3"/>
      <c r="QKY132" s="3"/>
      <c r="QKZ132" s="3"/>
      <c r="QLA132" s="3"/>
      <c r="QLB132" s="3"/>
      <c r="QLC132" s="3"/>
      <c r="QLD132" s="3"/>
      <c r="QLE132" s="3"/>
      <c r="QLF132" s="3"/>
      <c r="QLG132" s="3"/>
      <c r="QLH132" s="3"/>
      <c r="QLI132" s="3"/>
      <c r="QLJ132" s="3"/>
      <c r="QLK132" s="3"/>
      <c r="QLL132" s="3"/>
      <c r="QLM132" s="3"/>
      <c r="QLN132" s="3"/>
      <c r="QLO132" s="3"/>
      <c r="QLP132" s="3"/>
      <c r="QLQ132" s="3"/>
      <c r="QLR132" s="3"/>
      <c r="QLS132" s="3"/>
      <c r="QLT132" s="3"/>
      <c r="QLU132" s="3"/>
      <c r="QLV132" s="3"/>
      <c r="QLW132" s="3"/>
      <c r="QLX132" s="3"/>
      <c r="QLY132" s="3"/>
      <c r="QLZ132" s="3"/>
      <c r="QMA132" s="3"/>
      <c r="QMB132" s="3"/>
      <c r="QMC132" s="3"/>
      <c r="QMD132" s="3"/>
      <c r="QME132" s="3"/>
      <c r="QMF132" s="3"/>
      <c r="QMG132" s="3"/>
      <c r="QMH132" s="3"/>
      <c r="QMI132" s="3"/>
      <c r="QMJ132" s="3"/>
      <c r="QMK132" s="3"/>
      <c r="QML132" s="3"/>
      <c r="QMM132" s="3"/>
      <c r="QMN132" s="3"/>
      <c r="QMO132" s="3"/>
      <c r="QMP132" s="3"/>
      <c r="QMQ132" s="3"/>
      <c r="QMR132" s="3"/>
      <c r="QMS132" s="3"/>
      <c r="QMT132" s="3"/>
      <c r="QMU132" s="3"/>
      <c r="QMV132" s="3"/>
      <c r="QMW132" s="3"/>
      <c r="QMX132" s="3"/>
      <c r="QMY132" s="3"/>
      <c r="QMZ132" s="3"/>
      <c r="QNA132" s="3"/>
      <c r="QNB132" s="3"/>
      <c r="QNC132" s="3"/>
      <c r="QND132" s="3"/>
      <c r="QNE132" s="3"/>
      <c r="QNF132" s="3"/>
      <c r="QNG132" s="3"/>
      <c r="QNH132" s="3"/>
      <c r="QNI132" s="3"/>
      <c r="QNJ132" s="3"/>
      <c r="QNK132" s="3"/>
      <c r="QNL132" s="3"/>
      <c r="QNM132" s="3"/>
      <c r="QNN132" s="3"/>
      <c r="QNO132" s="3"/>
      <c r="QNP132" s="3"/>
      <c r="QNQ132" s="3"/>
      <c r="QNR132" s="3"/>
      <c r="QNS132" s="3"/>
      <c r="QNT132" s="3"/>
      <c r="QNU132" s="3"/>
      <c r="QNV132" s="3"/>
      <c r="QNW132" s="3"/>
      <c r="QNX132" s="3"/>
      <c r="QNY132" s="3"/>
      <c r="QNZ132" s="3"/>
      <c r="QOA132" s="3"/>
      <c r="QOB132" s="3"/>
      <c r="QOC132" s="3"/>
      <c r="QOD132" s="3"/>
      <c r="QOE132" s="3"/>
      <c r="QOF132" s="3"/>
      <c r="QOG132" s="3"/>
      <c r="QOH132" s="3"/>
      <c r="QOI132" s="3"/>
      <c r="QOJ132" s="3"/>
      <c r="QOK132" s="3"/>
      <c r="QOL132" s="3"/>
      <c r="QOM132" s="3"/>
      <c r="QON132" s="3"/>
      <c r="QOO132" s="3"/>
      <c r="QOP132" s="3"/>
      <c r="QOQ132" s="3"/>
      <c r="QOR132" s="3"/>
      <c r="QOS132" s="3"/>
      <c r="QOT132" s="3"/>
      <c r="QOU132" s="3"/>
      <c r="QOV132" s="3"/>
      <c r="QOW132" s="3"/>
      <c r="QOX132" s="3"/>
      <c r="QOY132" s="3"/>
      <c r="QOZ132" s="3"/>
      <c r="QPA132" s="3"/>
      <c r="QPB132" s="3"/>
      <c r="QPC132" s="3"/>
      <c r="QPD132" s="3"/>
      <c r="QPE132" s="3"/>
      <c r="QPF132" s="3"/>
      <c r="QPG132" s="3"/>
      <c r="QPH132" s="3"/>
      <c r="QPI132" s="3"/>
      <c r="QPJ132" s="3"/>
      <c r="QPK132" s="3"/>
      <c r="QPL132" s="3"/>
      <c r="QPM132" s="3"/>
      <c r="QPN132" s="3"/>
      <c r="QPO132" s="3"/>
      <c r="QPP132" s="3"/>
      <c r="QPQ132" s="3"/>
      <c r="QPR132" s="3"/>
      <c r="QPS132" s="3"/>
      <c r="QPT132" s="3"/>
      <c r="QPU132" s="3"/>
      <c r="QPV132" s="3"/>
      <c r="QPW132" s="3"/>
      <c r="QPX132" s="3"/>
      <c r="QPY132" s="3"/>
      <c r="QPZ132" s="3"/>
      <c r="QQA132" s="3"/>
      <c r="QQB132" s="3"/>
      <c r="QQC132" s="3"/>
      <c r="QQD132" s="3"/>
      <c r="QQE132" s="3"/>
      <c r="QQF132" s="3"/>
      <c r="QQG132" s="3"/>
      <c r="QQH132" s="3"/>
      <c r="QQI132" s="3"/>
      <c r="QQJ132" s="3"/>
      <c r="QQK132" s="3"/>
      <c r="QQL132" s="3"/>
      <c r="QQM132" s="3"/>
      <c r="QQN132" s="3"/>
      <c r="QQO132" s="3"/>
      <c r="QQP132" s="3"/>
      <c r="QQQ132" s="3"/>
      <c r="QQR132" s="3"/>
      <c r="QQS132" s="3"/>
      <c r="QQT132" s="3"/>
      <c r="QQU132" s="3"/>
      <c r="QQV132" s="3"/>
      <c r="QQW132" s="3"/>
      <c r="QQX132" s="3"/>
      <c r="QQY132" s="3"/>
      <c r="QQZ132" s="3"/>
      <c r="QRA132" s="3"/>
      <c r="QRB132" s="3"/>
      <c r="QRC132" s="3"/>
      <c r="QRD132" s="3"/>
      <c r="QRE132" s="3"/>
      <c r="QRF132" s="3"/>
      <c r="QRG132" s="3"/>
      <c r="QRH132" s="3"/>
      <c r="QRI132" s="3"/>
      <c r="QRJ132" s="3"/>
      <c r="QRK132" s="3"/>
      <c r="QRL132" s="3"/>
      <c r="QRM132" s="3"/>
      <c r="QRN132" s="3"/>
      <c r="QRO132" s="3"/>
      <c r="QRP132" s="3"/>
      <c r="QRQ132" s="3"/>
      <c r="QRR132" s="3"/>
      <c r="QRS132" s="3"/>
      <c r="QRT132" s="3"/>
      <c r="QRU132" s="3"/>
      <c r="QRV132" s="3"/>
      <c r="QRW132" s="3"/>
      <c r="QRX132" s="3"/>
      <c r="QRY132" s="3"/>
      <c r="QRZ132" s="3"/>
      <c r="QSA132" s="3"/>
      <c r="QSB132" s="3"/>
      <c r="QSC132" s="3"/>
      <c r="QSD132" s="3"/>
      <c r="QSE132" s="3"/>
      <c r="QSF132" s="3"/>
      <c r="QSG132" s="3"/>
      <c r="QSH132" s="3"/>
      <c r="QSI132" s="3"/>
      <c r="QSJ132" s="3"/>
      <c r="QSK132" s="3"/>
      <c r="QSL132" s="3"/>
      <c r="QSM132" s="3"/>
      <c r="QSN132" s="3"/>
      <c r="QSO132" s="3"/>
      <c r="QSP132" s="3"/>
      <c r="QSQ132" s="3"/>
      <c r="QSR132" s="3"/>
      <c r="QSS132" s="3"/>
      <c r="QST132" s="3"/>
      <c r="QSU132" s="3"/>
      <c r="QSV132" s="3"/>
      <c r="QSW132" s="3"/>
      <c r="QSX132" s="3"/>
      <c r="QSY132" s="3"/>
      <c r="QSZ132" s="3"/>
      <c r="QTA132" s="3"/>
      <c r="QTB132" s="3"/>
      <c r="QTC132" s="3"/>
      <c r="QTD132" s="3"/>
      <c r="QTE132" s="3"/>
      <c r="QTF132" s="3"/>
      <c r="QTG132" s="3"/>
      <c r="QTH132" s="3"/>
      <c r="QTI132" s="3"/>
      <c r="QTJ132" s="3"/>
      <c r="QTK132" s="3"/>
      <c r="QTL132" s="3"/>
      <c r="QTM132" s="3"/>
      <c r="QTN132" s="3"/>
      <c r="QTO132" s="3"/>
      <c r="QTP132" s="3"/>
      <c r="QTQ132" s="3"/>
      <c r="QTR132" s="3"/>
      <c r="QTS132" s="3"/>
      <c r="QTT132" s="3"/>
      <c r="QTU132" s="3"/>
      <c r="QTV132" s="3"/>
      <c r="QTW132" s="3"/>
      <c r="QTX132" s="3"/>
      <c r="QTY132" s="3"/>
      <c r="QTZ132" s="3"/>
      <c r="QUA132" s="3"/>
      <c r="QUB132" s="3"/>
      <c r="QUC132" s="3"/>
      <c r="QUD132" s="3"/>
      <c r="QUE132" s="3"/>
      <c r="QUF132" s="3"/>
      <c r="QUG132" s="3"/>
      <c r="QUH132" s="3"/>
      <c r="QUI132" s="3"/>
      <c r="QUJ132" s="3"/>
      <c r="QUK132" s="3"/>
      <c r="QUL132" s="3"/>
      <c r="QUM132" s="3"/>
      <c r="QUN132" s="3"/>
      <c r="QUO132" s="3"/>
      <c r="QUP132" s="3"/>
      <c r="QUQ132" s="3"/>
      <c r="QUR132" s="3"/>
      <c r="QUS132" s="3"/>
      <c r="QUT132" s="3"/>
      <c r="QUU132" s="3"/>
      <c r="QUV132" s="3"/>
      <c r="QUW132" s="3"/>
      <c r="QUX132" s="3"/>
      <c r="QUY132" s="3"/>
      <c r="QUZ132" s="3"/>
      <c r="QVA132" s="3"/>
      <c r="QVB132" s="3"/>
      <c r="QVC132" s="3"/>
      <c r="QVD132" s="3"/>
      <c r="QVE132" s="3"/>
      <c r="QVF132" s="3"/>
      <c r="QVG132" s="3"/>
      <c r="QVH132" s="3"/>
      <c r="QVI132" s="3"/>
      <c r="QVJ132" s="3"/>
      <c r="QVK132" s="3"/>
      <c r="QVL132" s="3"/>
      <c r="QVM132" s="3"/>
      <c r="QVN132" s="3"/>
      <c r="QVO132" s="3"/>
      <c r="QVP132" s="3"/>
      <c r="QVQ132" s="3"/>
      <c r="QVR132" s="3"/>
      <c r="QVS132" s="3"/>
      <c r="QVT132" s="3"/>
      <c r="QVU132" s="3"/>
      <c r="QVV132" s="3"/>
      <c r="QVW132" s="3"/>
      <c r="QVX132" s="3"/>
      <c r="QVY132" s="3"/>
      <c r="QVZ132" s="3"/>
      <c r="QWA132" s="3"/>
      <c r="QWB132" s="3"/>
      <c r="QWC132" s="3"/>
      <c r="QWD132" s="3"/>
      <c r="QWE132" s="3"/>
      <c r="QWF132" s="3"/>
      <c r="QWG132" s="3"/>
      <c r="QWH132" s="3"/>
      <c r="QWI132" s="3"/>
      <c r="QWJ132" s="3"/>
      <c r="QWK132" s="3"/>
      <c r="QWL132" s="3"/>
      <c r="QWM132" s="3"/>
      <c r="QWN132" s="3"/>
      <c r="QWO132" s="3"/>
      <c r="QWP132" s="3"/>
      <c r="QWQ132" s="3"/>
      <c r="QWR132" s="3"/>
      <c r="QWS132" s="3"/>
      <c r="QWT132" s="3"/>
      <c r="QWU132" s="3"/>
      <c r="QWV132" s="3"/>
      <c r="QWW132" s="3"/>
      <c r="QWX132" s="3"/>
      <c r="QWY132" s="3"/>
      <c r="QWZ132" s="3"/>
      <c r="QXA132" s="3"/>
      <c r="QXB132" s="3"/>
      <c r="QXC132" s="3"/>
      <c r="QXD132" s="3"/>
      <c r="QXE132" s="3"/>
      <c r="QXF132" s="3"/>
      <c r="QXG132" s="3"/>
      <c r="QXH132" s="3"/>
      <c r="QXI132" s="3"/>
      <c r="QXJ132" s="3"/>
      <c r="QXK132" s="3"/>
      <c r="QXL132" s="3"/>
      <c r="QXM132" s="3"/>
      <c r="QXN132" s="3"/>
      <c r="QXO132" s="3"/>
      <c r="QXP132" s="3"/>
      <c r="QXQ132" s="3"/>
      <c r="QXR132" s="3"/>
      <c r="QXS132" s="3"/>
      <c r="QXT132" s="3"/>
      <c r="QXU132" s="3"/>
      <c r="QXV132" s="3"/>
      <c r="QXW132" s="3"/>
      <c r="QXX132" s="3"/>
      <c r="QXY132" s="3"/>
      <c r="QXZ132" s="3"/>
      <c r="QYA132" s="3"/>
      <c r="QYB132" s="3"/>
      <c r="QYC132" s="3"/>
      <c r="QYD132" s="3"/>
      <c r="QYE132" s="3"/>
      <c r="QYF132" s="3"/>
      <c r="QYG132" s="3"/>
      <c r="QYH132" s="3"/>
      <c r="QYI132" s="3"/>
      <c r="QYJ132" s="3"/>
      <c r="QYK132" s="3"/>
      <c r="QYL132" s="3"/>
      <c r="QYM132" s="3"/>
      <c r="QYN132" s="3"/>
      <c r="QYO132" s="3"/>
      <c r="QYP132" s="3"/>
      <c r="QYQ132" s="3"/>
      <c r="QYR132" s="3"/>
      <c r="QYS132" s="3"/>
      <c r="QYT132" s="3"/>
      <c r="QYU132" s="3"/>
      <c r="QYV132" s="3"/>
      <c r="QYW132" s="3"/>
      <c r="QYX132" s="3"/>
      <c r="QYY132" s="3"/>
      <c r="QYZ132" s="3"/>
      <c r="QZA132" s="3"/>
      <c r="QZB132" s="3"/>
      <c r="QZC132" s="3"/>
      <c r="QZD132" s="3"/>
      <c r="QZE132" s="3"/>
      <c r="QZF132" s="3"/>
      <c r="QZG132" s="3"/>
      <c r="QZH132" s="3"/>
      <c r="QZI132" s="3"/>
      <c r="QZJ132" s="3"/>
      <c r="QZK132" s="3"/>
      <c r="QZL132" s="3"/>
      <c r="QZM132" s="3"/>
      <c r="QZN132" s="3"/>
      <c r="QZO132" s="3"/>
      <c r="QZP132" s="3"/>
      <c r="QZQ132" s="3"/>
      <c r="QZR132" s="3"/>
      <c r="QZS132" s="3"/>
      <c r="QZT132" s="3"/>
      <c r="QZU132" s="3"/>
      <c r="QZV132" s="3"/>
      <c r="QZW132" s="3"/>
      <c r="QZX132" s="3"/>
      <c r="QZY132" s="3"/>
      <c r="QZZ132" s="3"/>
      <c r="RAA132" s="3"/>
      <c r="RAB132" s="3"/>
      <c r="RAC132" s="3"/>
      <c r="RAD132" s="3"/>
      <c r="RAE132" s="3"/>
      <c r="RAF132" s="3"/>
      <c r="RAG132" s="3"/>
      <c r="RAH132" s="3"/>
      <c r="RAI132" s="3"/>
      <c r="RAJ132" s="3"/>
      <c r="RAK132" s="3"/>
      <c r="RAL132" s="3"/>
      <c r="RAM132" s="3"/>
      <c r="RAN132" s="3"/>
      <c r="RAO132" s="3"/>
      <c r="RAP132" s="3"/>
      <c r="RAQ132" s="3"/>
      <c r="RAR132" s="3"/>
      <c r="RAS132" s="3"/>
      <c r="RAT132" s="3"/>
      <c r="RAU132" s="3"/>
      <c r="RAV132" s="3"/>
      <c r="RAW132" s="3"/>
      <c r="RAX132" s="3"/>
      <c r="RAY132" s="3"/>
      <c r="RAZ132" s="3"/>
      <c r="RBA132" s="3"/>
      <c r="RBB132" s="3"/>
      <c r="RBC132" s="3"/>
      <c r="RBD132" s="3"/>
      <c r="RBE132" s="3"/>
      <c r="RBF132" s="3"/>
      <c r="RBG132" s="3"/>
      <c r="RBH132" s="3"/>
      <c r="RBI132" s="3"/>
      <c r="RBJ132" s="3"/>
      <c r="RBK132" s="3"/>
      <c r="RBL132" s="3"/>
      <c r="RBM132" s="3"/>
      <c r="RBN132" s="3"/>
      <c r="RBO132" s="3"/>
      <c r="RBP132" s="3"/>
      <c r="RBQ132" s="3"/>
      <c r="RBR132" s="3"/>
      <c r="RBS132" s="3"/>
      <c r="RBT132" s="3"/>
      <c r="RBU132" s="3"/>
      <c r="RBV132" s="3"/>
      <c r="RBW132" s="3"/>
      <c r="RBX132" s="3"/>
      <c r="RBY132" s="3"/>
      <c r="RBZ132" s="3"/>
      <c r="RCA132" s="3"/>
      <c r="RCB132" s="3"/>
      <c r="RCC132" s="3"/>
      <c r="RCD132" s="3"/>
      <c r="RCE132" s="3"/>
      <c r="RCF132" s="3"/>
      <c r="RCG132" s="3"/>
      <c r="RCH132" s="3"/>
      <c r="RCI132" s="3"/>
      <c r="RCJ132" s="3"/>
      <c r="RCK132" s="3"/>
      <c r="RCL132" s="3"/>
      <c r="RCM132" s="3"/>
      <c r="RCN132" s="3"/>
      <c r="RCO132" s="3"/>
      <c r="RCP132" s="3"/>
      <c r="RCQ132" s="3"/>
      <c r="RCR132" s="3"/>
      <c r="RCS132" s="3"/>
      <c r="RCT132" s="3"/>
      <c r="RCU132" s="3"/>
      <c r="RCV132" s="3"/>
      <c r="RCW132" s="3"/>
      <c r="RCX132" s="3"/>
      <c r="RCY132" s="3"/>
      <c r="RCZ132" s="3"/>
      <c r="RDA132" s="3"/>
      <c r="RDB132" s="3"/>
      <c r="RDC132" s="3"/>
      <c r="RDD132" s="3"/>
      <c r="RDE132" s="3"/>
      <c r="RDF132" s="3"/>
      <c r="RDG132" s="3"/>
      <c r="RDH132" s="3"/>
      <c r="RDI132" s="3"/>
      <c r="RDJ132" s="3"/>
      <c r="RDK132" s="3"/>
      <c r="RDL132" s="3"/>
      <c r="RDM132" s="3"/>
      <c r="RDN132" s="3"/>
      <c r="RDO132" s="3"/>
      <c r="RDP132" s="3"/>
      <c r="RDQ132" s="3"/>
      <c r="RDR132" s="3"/>
      <c r="RDS132" s="3"/>
      <c r="RDT132" s="3"/>
      <c r="RDU132" s="3"/>
      <c r="RDV132" s="3"/>
      <c r="RDW132" s="3"/>
      <c r="RDX132" s="3"/>
      <c r="RDY132" s="3"/>
      <c r="RDZ132" s="3"/>
      <c r="REA132" s="3"/>
      <c r="REB132" s="3"/>
      <c r="REC132" s="3"/>
      <c r="RED132" s="3"/>
      <c r="REE132" s="3"/>
      <c r="REF132" s="3"/>
      <c r="REG132" s="3"/>
      <c r="REH132" s="3"/>
      <c r="REI132" s="3"/>
      <c r="REJ132" s="3"/>
      <c r="REK132" s="3"/>
      <c r="REL132" s="3"/>
      <c r="REM132" s="3"/>
      <c r="REN132" s="3"/>
      <c r="REO132" s="3"/>
      <c r="REP132" s="3"/>
      <c r="REQ132" s="3"/>
      <c r="RER132" s="3"/>
      <c r="RES132" s="3"/>
      <c r="RET132" s="3"/>
      <c r="REU132" s="3"/>
      <c r="REV132" s="3"/>
      <c r="REW132" s="3"/>
      <c r="REX132" s="3"/>
      <c r="REY132" s="3"/>
      <c r="REZ132" s="3"/>
      <c r="RFA132" s="3"/>
      <c r="RFB132" s="3"/>
      <c r="RFC132" s="3"/>
      <c r="RFD132" s="3"/>
      <c r="RFE132" s="3"/>
      <c r="RFF132" s="3"/>
      <c r="RFG132" s="3"/>
      <c r="RFH132" s="3"/>
      <c r="RFI132" s="3"/>
      <c r="RFJ132" s="3"/>
      <c r="RFK132" s="3"/>
      <c r="RFL132" s="3"/>
      <c r="RFM132" s="3"/>
      <c r="RFN132" s="3"/>
      <c r="RFO132" s="3"/>
      <c r="RFP132" s="3"/>
      <c r="RFQ132" s="3"/>
      <c r="RFR132" s="3"/>
      <c r="RFS132" s="3"/>
      <c r="RFT132" s="3"/>
      <c r="RFU132" s="3"/>
      <c r="RFV132" s="3"/>
      <c r="RFW132" s="3"/>
      <c r="RFX132" s="3"/>
      <c r="RFY132" s="3"/>
      <c r="RFZ132" s="3"/>
      <c r="RGA132" s="3"/>
      <c r="RGB132" s="3"/>
      <c r="RGC132" s="3"/>
      <c r="RGD132" s="3"/>
      <c r="RGE132" s="3"/>
      <c r="RGF132" s="3"/>
      <c r="RGG132" s="3"/>
      <c r="RGH132" s="3"/>
      <c r="RGI132" s="3"/>
      <c r="RGJ132" s="3"/>
      <c r="RGK132" s="3"/>
      <c r="RGL132" s="3"/>
      <c r="RGM132" s="3"/>
      <c r="RGN132" s="3"/>
      <c r="RGO132" s="3"/>
      <c r="RGP132" s="3"/>
      <c r="RGQ132" s="3"/>
      <c r="RGR132" s="3"/>
      <c r="RGS132" s="3"/>
      <c r="RGT132" s="3"/>
      <c r="RGU132" s="3"/>
      <c r="RGV132" s="3"/>
      <c r="RGW132" s="3"/>
      <c r="RGX132" s="3"/>
      <c r="RGY132" s="3"/>
      <c r="RGZ132" s="3"/>
      <c r="RHA132" s="3"/>
      <c r="RHB132" s="3"/>
      <c r="RHC132" s="3"/>
      <c r="RHD132" s="3"/>
      <c r="RHE132" s="3"/>
      <c r="RHF132" s="3"/>
      <c r="RHG132" s="3"/>
      <c r="RHH132" s="3"/>
      <c r="RHI132" s="3"/>
      <c r="RHJ132" s="3"/>
      <c r="RHK132" s="3"/>
      <c r="RHL132" s="3"/>
      <c r="RHM132" s="3"/>
      <c r="RHN132" s="3"/>
      <c r="RHO132" s="3"/>
      <c r="RHP132" s="3"/>
      <c r="RHQ132" s="3"/>
      <c r="RHR132" s="3"/>
      <c r="RHS132" s="3"/>
      <c r="RHT132" s="3"/>
      <c r="RHU132" s="3"/>
      <c r="RHV132" s="3"/>
      <c r="RHW132" s="3"/>
      <c r="RHX132" s="3"/>
      <c r="RHY132" s="3"/>
      <c r="RHZ132" s="3"/>
      <c r="RIA132" s="3"/>
      <c r="RIB132" s="3"/>
      <c r="RIC132" s="3"/>
      <c r="RID132" s="3"/>
      <c r="RIE132" s="3"/>
      <c r="RIF132" s="3"/>
      <c r="RIG132" s="3"/>
      <c r="RIH132" s="3"/>
      <c r="RII132" s="3"/>
      <c r="RIJ132" s="3"/>
      <c r="RIK132" s="3"/>
      <c r="RIL132" s="3"/>
      <c r="RIM132" s="3"/>
      <c r="RIN132" s="3"/>
      <c r="RIO132" s="3"/>
      <c r="RIP132" s="3"/>
      <c r="RIQ132" s="3"/>
      <c r="RIR132" s="3"/>
      <c r="RIS132" s="3"/>
      <c r="RIT132" s="3"/>
      <c r="RIU132" s="3"/>
      <c r="RIV132" s="3"/>
      <c r="RIW132" s="3"/>
      <c r="RIX132" s="3"/>
      <c r="RIY132" s="3"/>
      <c r="RIZ132" s="3"/>
      <c r="RJA132" s="3"/>
      <c r="RJB132" s="3"/>
      <c r="RJC132" s="3"/>
      <c r="RJD132" s="3"/>
      <c r="RJE132" s="3"/>
      <c r="RJF132" s="3"/>
      <c r="RJG132" s="3"/>
      <c r="RJH132" s="3"/>
      <c r="RJI132" s="3"/>
      <c r="RJJ132" s="3"/>
      <c r="RJK132" s="3"/>
      <c r="RJL132" s="3"/>
      <c r="RJM132" s="3"/>
      <c r="RJN132" s="3"/>
      <c r="RJO132" s="3"/>
      <c r="RJP132" s="3"/>
      <c r="RJQ132" s="3"/>
      <c r="RJR132" s="3"/>
      <c r="RJS132" s="3"/>
      <c r="RJT132" s="3"/>
      <c r="RJU132" s="3"/>
      <c r="RJV132" s="3"/>
      <c r="RJW132" s="3"/>
      <c r="RJX132" s="3"/>
      <c r="RJY132" s="3"/>
      <c r="RJZ132" s="3"/>
      <c r="RKA132" s="3"/>
      <c r="RKB132" s="3"/>
      <c r="RKC132" s="3"/>
      <c r="RKD132" s="3"/>
      <c r="RKE132" s="3"/>
      <c r="RKF132" s="3"/>
      <c r="RKG132" s="3"/>
      <c r="RKH132" s="3"/>
      <c r="RKI132" s="3"/>
      <c r="RKJ132" s="3"/>
      <c r="RKK132" s="3"/>
      <c r="RKL132" s="3"/>
      <c r="RKM132" s="3"/>
      <c r="RKN132" s="3"/>
      <c r="RKO132" s="3"/>
      <c r="RKP132" s="3"/>
      <c r="RKQ132" s="3"/>
      <c r="RKR132" s="3"/>
      <c r="RKS132" s="3"/>
      <c r="RKT132" s="3"/>
      <c r="RKU132" s="3"/>
      <c r="RKV132" s="3"/>
      <c r="RKW132" s="3"/>
      <c r="RKX132" s="3"/>
      <c r="RKY132" s="3"/>
      <c r="RKZ132" s="3"/>
      <c r="RLA132" s="3"/>
      <c r="RLB132" s="3"/>
      <c r="RLC132" s="3"/>
      <c r="RLD132" s="3"/>
      <c r="RLE132" s="3"/>
      <c r="RLF132" s="3"/>
      <c r="RLG132" s="3"/>
      <c r="RLH132" s="3"/>
      <c r="RLI132" s="3"/>
      <c r="RLJ132" s="3"/>
      <c r="RLK132" s="3"/>
      <c r="RLL132" s="3"/>
      <c r="RLM132" s="3"/>
      <c r="RLN132" s="3"/>
      <c r="RLO132" s="3"/>
      <c r="RLP132" s="3"/>
      <c r="RLQ132" s="3"/>
      <c r="RLR132" s="3"/>
      <c r="RLS132" s="3"/>
      <c r="RLT132" s="3"/>
      <c r="RLU132" s="3"/>
      <c r="RLV132" s="3"/>
      <c r="RLW132" s="3"/>
      <c r="RLX132" s="3"/>
      <c r="RLY132" s="3"/>
      <c r="RLZ132" s="3"/>
      <c r="RMA132" s="3"/>
      <c r="RMB132" s="3"/>
      <c r="RMC132" s="3"/>
      <c r="RMD132" s="3"/>
      <c r="RME132" s="3"/>
      <c r="RMF132" s="3"/>
      <c r="RMG132" s="3"/>
      <c r="RMH132" s="3"/>
      <c r="RMI132" s="3"/>
      <c r="RMJ132" s="3"/>
      <c r="RMK132" s="3"/>
      <c r="RML132" s="3"/>
      <c r="RMM132" s="3"/>
      <c r="RMN132" s="3"/>
      <c r="RMO132" s="3"/>
      <c r="RMP132" s="3"/>
      <c r="RMQ132" s="3"/>
      <c r="RMR132" s="3"/>
      <c r="RMS132" s="3"/>
      <c r="RMT132" s="3"/>
      <c r="RMU132" s="3"/>
      <c r="RMV132" s="3"/>
      <c r="RMW132" s="3"/>
      <c r="RMX132" s="3"/>
      <c r="RMY132" s="3"/>
      <c r="RMZ132" s="3"/>
      <c r="RNA132" s="3"/>
      <c r="RNB132" s="3"/>
      <c r="RNC132" s="3"/>
      <c r="RND132" s="3"/>
      <c r="RNE132" s="3"/>
      <c r="RNF132" s="3"/>
      <c r="RNG132" s="3"/>
      <c r="RNH132" s="3"/>
      <c r="RNI132" s="3"/>
      <c r="RNJ132" s="3"/>
      <c r="RNK132" s="3"/>
      <c r="RNL132" s="3"/>
      <c r="RNM132" s="3"/>
      <c r="RNN132" s="3"/>
      <c r="RNO132" s="3"/>
      <c r="RNP132" s="3"/>
      <c r="RNQ132" s="3"/>
      <c r="RNR132" s="3"/>
      <c r="RNS132" s="3"/>
      <c r="RNT132" s="3"/>
      <c r="RNU132" s="3"/>
      <c r="RNV132" s="3"/>
      <c r="RNW132" s="3"/>
      <c r="RNX132" s="3"/>
      <c r="RNY132" s="3"/>
      <c r="RNZ132" s="3"/>
      <c r="ROA132" s="3"/>
      <c r="ROB132" s="3"/>
      <c r="ROC132" s="3"/>
      <c r="ROD132" s="3"/>
      <c r="ROE132" s="3"/>
      <c r="ROF132" s="3"/>
      <c r="ROG132" s="3"/>
      <c r="ROH132" s="3"/>
      <c r="ROI132" s="3"/>
      <c r="ROJ132" s="3"/>
      <c r="ROK132" s="3"/>
      <c r="ROL132" s="3"/>
      <c r="ROM132" s="3"/>
      <c r="RON132" s="3"/>
      <c r="ROO132" s="3"/>
      <c r="ROP132" s="3"/>
      <c r="ROQ132" s="3"/>
      <c r="ROR132" s="3"/>
      <c r="ROS132" s="3"/>
      <c r="ROT132" s="3"/>
      <c r="ROU132" s="3"/>
      <c r="ROV132" s="3"/>
      <c r="ROW132" s="3"/>
      <c r="ROX132" s="3"/>
      <c r="ROY132" s="3"/>
      <c r="ROZ132" s="3"/>
      <c r="RPA132" s="3"/>
      <c r="RPB132" s="3"/>
      <c r="RPC132" s="3"/>
      <c r="RPD132" s="3"/>
      <c r="RPE132" s="3"/>
      <c r="RPF132" s="3"/>
      <c r="RPG132" s="3"/>
      <c r="RPH132" s="3"/>
      <c r="RPI132" s="3"/>
      <c r="RPJ132" s="3"/>
      <c r="RPK132" s="3"/>
      <c r="RPL132" s="3"/>
      <c r="RPM132" s="3"/>
      <c r="RPN132" s="3"/>
      <c r="RPO132" s="3"/>
      <c r="RPP132" s="3"/>
      <c r="RPQ132" s="3"/>
      <c r="RPR132" s="3"/>
      <c r="RPS132" s="3"/>
      <c r="RPT132" s="3"/>
      <c r="RPU132" s="3"/>
      <c r="RPV132" s="3"/>
      <c r="RPW132" s="3"/>
      <c r="RPX132" s="3"/>
      <c r="RPY132" s="3"/>
      <c r="RPZ132" s="3"/>
      <c r="RQA132" s="3"/>
      <c r="RQB132" s="3"/>
      <c r="RQC132" s="3"/>
      <c r="RQD132" s="3"/>
      <c r="RQE132" s="3"/>
      <c r="RQF132" s="3"/>
      <c r="RQG132" s="3"/>
      <c r="RQH132" s="3"/>
      <c r="RQI132" s="3"/>
      <c r="RQJ132" s="3"/>
      <c r="RQK132" s="3"/>
      <c r="RQL132" s="3"/>
      <c r="RQM132" s="3"/>
      <c r="RQN132" s="3"/>
      <c r="RQO132" s="3"/>
      <c r="RQP132" s="3"/>
      <c r="RQQ132" s="3"/>
      <c r="RQR132" s="3"/>
      <c r="RQS132" s="3"/>
      <c r="RQT132" s="3"/>
      <c r="RQU132" s="3"/>
      <c r="RQV132" s="3"/>
      <c r="RQW132" s="3"/>
      <c r="RQX132" s="3"/>
      <c r="RQY132" s="3"/>
      <c r="RQZ132" s="3"/>
      <c r="RRA132" s="3"/>
      <c r="RRB132" s="3"/>
      <c r="RRC132" s="3"/>
      <c r="RRD132" s="3"/>
      <c r="RRE132" s="3"/>
      <c r="RRF132" s="3"/>
      <c r="RRG132" s="3"/>
      <c r="RRH132" s="3"/>
      <c r="RRI132" s="3"/>
      <c r="RRJ132" s="3"/>
      <c r="RRK132" s="3"/>
      <c r="RRL132" s="3"/>
      <c r="RRM132" s="3"/>
      <c r="RRN132" s="3"/>
      <c r="RRO132" s="3"/>
      <c r="RRP132" s="3"/>
      <c r="RRQ132" s="3"/>
      <c r="RRR132" s="3"/>
      <c r="RRS132" s="3"/>
      <c r="RRT132" s="3"/>
      <c r="RRU132" s="3"/>
      <c r="RRV132" s="3"/>
      <c r="RRW132" s="3"/>
      <c r="RRX132" s="3"/>
      <c r="RRY132" s="3"/>
      <c r="RRZ132" s="3"/>
      <c r="RSA132" s="3"/>
      <c r="RSB132" s="3"/>
      <c r="RSC132" s="3"/>
      <c r="RSD132" s="3"/>
      <c r="RSE132" s="3"/>
      <c r="RSF132" s="3"/>
      <c r="RSG132" s="3"/>
      <c r="RSH132" s="3"/>
      <c r="RSI132" s="3"/>
      <c r="RSJ132" s="3"/>
      <c r="RSK132" s="3"/>
      <c r="RSL132" s="3"/>
      <c r="RSM132" s="3"/>
      <c r="RSN132" s="3"/>
      <c r="RSO132" s="3"/>
      <c r="RSP132" s="3"/>
      <c r="RSQ132" s="3"/>
      <c r="RSR132" s="3"/>
      <c r="RSS132" s="3"/>
      <c r="RST132" s="3"/>
      <c r="RSU132" s="3"/>
      <c r="RSV132" s="3"/>
      <c r="RSW132" s="3"/>
      <c r="RSX132" s="3"/>
      <c r="RSY132" s="3"/>
      <c r="RSZ132" s="3"/>
      <c r="RTA132" s="3"/>
      <c r="RTB132" s="3"/>
      <c r="RTC132" s="3"/>
      <c r="RTD132" s="3"/>
      <c r="RTE132" s="3"/>
      <c r="RTF132" s="3"/>
      <c r="RTG132" s="3"/>
      <c r="RTH132" s="3"/>
      <c r="RTI132" s="3"/>
      <c r="RTJ132" s="3"/>
      <c r="RTK132" s="3"/>
      <c r="RTL132" s="3"/>
      <c r="RTM132" s="3"/>
      <c r="RTN132" s="3"/>
      <c r="RTO132" s="3"/>
      <c r="RTP132" s="3"/>
      <c r="RTQ132" s="3"/>
      <c r="RTR132" s="3"/>
      <c r="RTS132" s="3"/>
      <c r="RTT132" s="3"/>
      <c r="RTU132" s="3"/>
      <c r="RTV132" s="3"/>
      <c r="RTW132" s="3"/>
      <c r="RTX132" s="3"/>
      <c r="RTY132" s="3"/>
      <c r="RTZ132" s="3"/>
      <c r="RUA132" s="3"/>
      <c r="RUB132" s="3"/>
      <c r="RUC132" s="3"/>
      <c r="RUD132" s="3"/>
      <c r="RUE132" s="3"/>
      <c r="RUF132" s="3"/>
      <c r="RUG132" s="3"/>
      <c r="RUH132" s="3"/>
      <c r="RUI132" s="3"/>
      <c r="RUJ132" s="3"/>
      <c r="RUK132" s="3"/>
      <c r="RUL132" s="3"/>
      <c r="RUM132" s="3"/>
      <c r="RUN132" s="3"/>
      <c r="RUO132" s="3"/>
      <c r="RUP132" s="3"/>
      <c r="RUQ132" s="3"/>
      <c r="RUR132" s="3"/>
      <c r="RUS132" s="3"/>
      <c r="RUT132" s="3"/>
      <c r="RUU132" s="3"/>
      <c r="RUV132" s="3"/>
      <c r="RUW132" s="3"/>
      <c r="RUX132" s="3"/>
      <c r="RUY132" s="3"/>
      <c r="RUZ132" s="3"/>
      <c r="RVA132" s="3"/>
      <c r="RVB132" s="3"/>
      <c r="RVC132" s="3"/>
      <c r="RVD132" s="3"/>
      <c r="RVE132" s="3"/>
      <c r="RVF132" s="3"/>
      <c r="RVG132" s="3"/>
      <c r="RVH132" s="3"/>
      <c r="RVI132" s="3"/>
      <c r="RVJ132" s="3"/>
      <c r="RVK132" s="3"/>
      <c r="RVL132" s="3"/>
      <c r="RVM132" s="3"/>
      <c r="RVN132" s="3"/>
      <c r="RVO132" s="3"/>
      <c r="RVP132" s="3"/>
      <c r="RVQ132" s="3"/>
      <c r="RVR132" s="3"/>
      <c r="RVS132" s="3"/>
      <c r="RVT132" s="3"/>
      <c r="RVU132" s="3"/>
      <c r="RVV132" s="3"/>
      <c r="RVW132" s="3"/>
      <c r="RVX132" s="3"/>
      <c r="RVY132" s="3"/>
      <c r="RVZ132" s="3"/>
      <c r="RWA132" s="3"/>
      <c r="RWB132" s="3"/>
      <c r="RWC132" s="3"/>
      <c r="RWD132" s="3"/>
      <c r="RWE132" s="3"/>
      <c r="RWF132" s="3"/>
      <c r="RWG132" s="3"/>
      <c r="RWH132" s="3"/>
      <c r="RWI132" s="3"/>
      <c r="RWJ132" s="3"/>
      <c r="RWK132" s="3"/>
      <c r="RWL132" s="3"/>
      <c r="RWM132" s="3"/>
      <c r="RWN132" s="3"/>
      <c r="RWO132" s="3"/>
      <c r="RWP132" s="3"/>
      <c r="RWQ132" s="3"/>
      <c r="RWR132" s="3"/>
      <c r="RWS132" s="3"/>
      <c r="RWT132" s="3"/>
      <c r="RWU132" s="3"/>
      <c r="RWV132" s="3"/>
      <c r="RWW132" s="3"/>
      <c r="RWX132" s="3"/>
      <c r="RWY132" s="3"/>
      <c r="RWZ132" s="3"/>
      <c r="RXA132" s="3"/>
      <c r="RXB132" s="3"/>
      <c r="RXC132" s="3"/>
      <c r="RXD132" s="3"/>
      <c r="RXE132" s="3"/>
      <c r="RXF132" s="3"/>
      <c r="RXG132" s="3"/>
      <c r="RXH132" s="3"/>
      <c r="RXI132" s="3"/>
      <c r="RXJ132" s="3"/>
      <c r="RXK132" s="3"/>
      <c r="RXL132" s="3"/>
      <c r="RXM132" s="3"/>
      <c r="RXN132" s="3"/>
      <c r="RXO132" s="3"/>
      <c r="RXP132" s="3"/>
      <c r="RXQ132" s="3"/>
      <c r="RXR132" s="3"/>
      <c r="RXS132" s="3"/>
      <c r="RXT132" s="3"/>
      <c r="RXU132" s="3"/>
      <c r="RXV132" s="3"/>
      <c r="RXW132" s="3"/>
      <c r="RXX132" s="3"/>
      <c r="RXY132" s="3"/>
      <c r="RXZ132" s="3"/>
      <c r="RYA132" s="3"/>
      <c r="RYB132" s="3"/>
      <c r="RYC132" s="3"/>
      <c r="RYD132" s="3"/>
      <c r="RYE132" s="3"/>
      <c r="RYF132" s="3"/>
      <c r="RYG132" s="3"/>
      <c r="RYH132" s="3"/>
      <c r="RYI132" s="3"/>
      <c r="RYJ132" s="3"/>
      <c r="RYK132" s="3"/>
      <c r="RYL132" s="3"/>
      <c r="RYM132" s="3"/>
      <c r="RYN132" s="3"/>
      <c r="RYO132" s="3"/>
      <c r="RYP132" s="3"/>
      <c r="RYQ132" s="3"/>
      <c r="RYR132" s="3"/>
      <c r="RYS132" s="3"/>
      <c r="RYT132" s="3"/>
      <c r="RYU132" s="3"/>
      <c r="RYV132" s="3"/>
      <c r="RYW132" s="3"/>
      <c r="RYX132" s="3"/>
      <c r="RYY132" s="3"/>
      <c r="RYZ132" s="3"/>
      <c r="RZA132" s="3"/>
      <c r="RZB132" s="3"/>
      <c r="RZC132" s="3"/>
      <c r="RZD132" s="3"/>
      <c r="RZE132" s="3"/>
      <c r="RZF132" s="3"/>
      <c r="RZG132" s="3"/>
      <c r="RZH132" s="3"/>
      <c r="RZI132" s="3"/>
      <c r="RZJ132" s="3"/>
      <c r="RZK132" s="3"/>
      <c r="RZL132" s="3"/>
      <c r="RZM132" s="3"/>
      <c r="RZN132" s="3"/>
      <c r="RZO132" s="3"/>
      <c r="RZP132" s="3"/>
      <c r="RZQ132" s="3"/>
      <c r="RZR132" s="3"/>
      <c r="RZS132" s="3"/>
      <c r="RZT132" s="3"/>
      <c r="RZU132" s="3"/>
      <c r="RZV132" s="3"/>
      <c r="RZW132" s="3"/>
      <c r="RZX132" s="3"/>
      <c r="RZY132" s="3"/>
      <c r="RZZ132" s="3"/>
      <c r="SAA132" s="3"/>
      <c r="SAB132" s="3"/>
      <c r="SAC132" s="3"/>
      <c r="SAD132" s="3"/>
      <c r="SAE132" s="3"/>
      <c r="SAF132" s="3"/>
      <c r="SAG132" s="3"/>
      <c r="SAH132" s="3"/>
      <c r="SAI132" s="3"/>
      <c r="SAJ132" s="3"/>
      <c r="SAK132" s="3"/>
      <c r="SAL132" s="3"/>
      <c r="SAM132" s="3"/>
      <c r="SAN132" s="3"/>
      <c r="SAO132" s="3"/>
      <c r="SAP132" s="3"/>
      <c r="SAQ132" s="3"/>
      <c r="SAR132" s="3"/>
      <c r="SAS132" s="3"/>
      <c r="SAT132" s="3"/>
      <c r="SAU132" s="3"/>
      <c r="SAV132" s="3"/>
      <c r="SAW132" s="3"/>
      <c r="SAX132" s="3"/>
      <c r="SAY132" s="3"/>
      <c r="SAZ132" s="3"/>
      <c r="SBA132" s="3"/>
      <c r="SBB132" s="3"/>
      <c r="SBC132" s="3"/>
      <c r="SBD132" s="3"/>
      <c r="SBE132" s="3"/>
      <c r="SBF132" s="3"/>
      <c r="SBG132" s="3"/>
      <c r="SBH132" s="3"/>
      <c r="SBI132" s="3"/>
      <c r="SBJ132" s="3"/>
      <c r="SBK132" s="3"/>
      <c r="SBL132" s="3"/>
      <c r="SBM132" s="3"/>
      <c r="SBN132" s="3"/>
      <c r="SBO132" s="3"/>
      <c r="SBP132" s="3"/>
      <c r="SBQ132" s="3"/>
      <c r="SBR132" s="3"/>
      <c r="SBS132" s="3"/>
      <c r="SBT132" s="3"/>
      <c r="SBU132" s="3"/>
      <c r="SBV132" s="3"/>
      <c r="SBW132" s="3"/>
      <c r="SBX132" s="3"/>
      <c r="SBY132" s="3"/>
      <c r="SBZ132" s="3"/>
      <c r="SCA132" s="3"/>
      <c r="SCB132" s="3"/>
      <c r="SCC132" s="3"/>
      <c r="SCD132" s="3"/>
      <c r="SCE132" s="3"/>
      <c r="SCF132" s="3"/>
      <c r="SCG132" s="3"/>
      <c r="SCH132" s="3"/>
      <c r="SCI132" s="3"/>
      <c r="SCJ132" s="3"/>
      <c r="SCK132" s="3"/>
      <c r="SCL132" s="3"/>
      <c r="SCM132" s="3"/>
      <c r="SCN132" s="3"/>
      <c r="SCO132" s="3"/>
      <c r="SCP132" s="3"/>
      <c r="SCQ132" s="3"/>
      <c r="SCR132" s="3"/>
      <c r="SCS132" s="3"/>
      <c r="SCT132" s="3"/>
      <c r="SCU132" s="3"/>
      <c r="SCV132" s="3"/>
      <c r="SCW132" s="3"/>
      <c r="SCX132" s="3"/>
      <c r="SCY132" s="3"/>
      <c r="SCZ132" s="3"/>
      <c r="SDA132" s="3"/>
      <c r="SDB132" s="3"/>
      <c r="SDC132" s="3"/>
      <c r="SDD132" s="3"/>
      <c r="SDE132" s="3"/>
      <c r="SDF132" s="3"/>
      <c r="SDG132" s="3"/>
      <c r="SDH132" s="3"/>
      <c r="SDI132" s="3"/>
      <c r="SDJ132" s="3"/>
      <c r="SDK132" s="3"/>
      <c r="SDL132" s="3"/>
      <c r="SDM132" s="3"/>
      <c r="SDN132" s="3"/>
      <c r="SDO132" s="3"/>
      <c r="SDP132" s="3"/>
      <c r="SDQ132" s="3"/>
      <c r="SDR132" s="3"/>
      <c r="SDS132" s="3"/>
      <c r="SDT132" s="3"/>
      <c r="SDU132" s="3"/>
      <c r="SDV132" s="3"/>
      <c r="SDW132" s="3"/>
      <c r="SDX132" s="3"/>
      <c r="SDY132" s="3"/>
      <c r="SDZ132" s="3"/>
      <c r="SEA132" s="3"/>
      <c r="SEB132" s="3"/>
      <c r="SEC132" s="3"/>
      <c r="SED132" s="3"/>
      <c r="SEE132" s="3"/>
      <c r="SEF132" s="3"/>
      <c r="SEG132" s="3"/>
      <c r="SEH132" s="3"/>
      <c r="SEI132" s="3"/>
      <c r="SEJ132" s="3"/>
      <c r="SEK132" s="3"/>
      <c r="SEL132" s="3"/>
      <c r="SEM132" s="3"/>
      <c r="SEN132" s="3"/>
      <c r="SEO132" s="3"/>
      <c r="SEP132" s="3"/>
      <c r="SEQ132" s="3"/>
      <c r="SER132" s="3"/>
      <c r="SES132" s="3"/>
      <c r="SET132" s="3"/>
      <c r="SEU132" s="3"/>
      <c r="SEV132" s="3"/>
      <c r="SEW132" s="3"/>
      <c r="SEX132" s="3"/>
      <c r="SEY132" s="3"/>
      <c r="SEZ132" s="3"/>
      <c r="SFA132" s="3"/>
      <c r="SFB132" s="3"/>
      <c r="SFC132" s="3"/>
      <c r="SFD132" s="3"/>
      <c r="SFE132" s="3"/>
      <c r="SFF132" s="3"/>
      <c r="SFG132" s="3"/>
      <c r="SFH132" s="3"/>
      <c r="SFI132" s="3"/>
      <c r="SFJ132" s="3"/>
      <c r="SFK132" s="3"/>
      <c r="SFL132" s="3"/>
      <c r="SFM132" s="3"/>
      <c r="SFN132" s="3"/>
      <c r="SFO132" s="3"/>
      <c r="SFP132" s="3"/>
      <c r="SFQ132" s="3"/>
      <c r="SFR132" s="3"/>
      <c r="SFS132" s="3"/>
      <c r="SFT132" s="3"/>
      <c r="SFU132" s="3"/>
      <c r="SFV132" s="3"/>
      <c r="SFW132" s="3"/>
      <c r="SFX132" s="3"/>
      <c r="SFY132" s="3"/>
      <c r="SFZ132" s="3"/>
      <c r="SGA132" s="3"/>
      <c r="SGB132" s="3"/>
      <c r="SGC132" s="3"/>
      <c r="SGD132" s="3"/>
      <c r="SGE132" s="3"/>
      <c r="SGF132" s="3"/>
      <c r="SGG132" s="3"/>
      <c r="SGH132" s="3"/>
      <c r="SGI132" s="3"/>
      <c r="SGJ132" s="3"/>
      <c r="SGK132" s="3"/>
      <c r="SGL132" s="3"/>
      <c r="SGM132" s="3"/>
      <c r="SGN132" s="3"/>
      <c r="SGO132" s="3"/>
      <c r="SGP132" s="3"/>
      <c r="SGQ132" s="3"/>
      <c r="SGR132" s="3"/>
      <c r="SGS132" s="3"/>
      <c r="SGT132" s="3"/>
      <c r="SGU132" s="3"/>
      <c r="SGV132" s="3"/>
      <c r="SGW132" s="3"/>
      <c r="SGX132" s="3"/>
      <c r="SGY132" s="3"/>
      <c r="SGZ132" s="3"/>
      <c r="SHA132" s="3"/>
      <c r="SHB132" s="3"/>
      <c r="SHC132" s="3"/>
      <c r="SHD132" s="3"/>
      <c r="SHE132" s="3"/>
      <c r="SHF132" s="3"/>
      <c r="SHG132" s="3"/>
      <c r="SHH132" s="3"/>
      <c r="SHI132" s="3"/>
      <c r="SHJ132" s="3"/>
      <c r="SHK132" s="3"/>
      <c r="SHL132" s="3"/>
      <c r="SHM132" s="3"/>
      <c r="SHN132" s="3"/>
      <c r="SHO132" s="3"/>
      <c r="SHP132" s="3"/>
      <c r="SHQ132" s="3"/>
      <c r="SHR132" s="3"/>
      <c r="SHS132" s="3"/>
      <c r="SHT132" s="3"/>
      <c r="SHU132" s="3"/>
      <c r="SHV132" s="3"/>
      <c r="SHW132" s="3"/>
      <c r="SHX132" s="3"/>
      <c r="SHY132" s="3"/>
      <c r="SHZ132" s="3"/>
      <c r="SIA132" s="3"/>
      <c r="SIB132" s="3"/>
      <c r="SIC132" s="3"/>
      <c r="SID132" s="3"/>
      <c r="SIE132" s="3"/>
      <c r="SIF132" s="3"/>
      <c r="SIG132" s="3"/>
      <c r="SIH132" s="3"/>
      <c r="SII132" s="3"/>
      <c r="SIJ132" s="3"/>
      <c r="SIK132" s="3"/>
      <c r="SIL132" s="3"/>
      <c r="SIM132" s="3"/>
      <c r="SIN132" s="3"/>
      <c r="SIO132" s="3"/>
      <c r="SIP132" s="3"/>
      <c r="SIQ132" s="3"/>
      <c r="SIR132" s="3"/>
      <c r="SIS132" s="3"/>
      <c r="SIT132" s="3"/>
      <c r="SIU132" s="3"/>
      <c r="SIV132" s="3"/>
      <c r="SIW132" s="3"/>
      <c r="SIX132" s="3"/>
      <c r="SIY132" s="3"/>
      <c r="SIZ132" s="3"/>
      <c r="SJA132" s="3"/>
      <c r="SJB132" s="3"/>
      <c r="SJC132" s="3"/>
      <c r="SJD132" s="3"/>
      <c r="SJE132" s="3"/>
      <c r="SJF132" s="3"/>
      <c r="SJG132" s="3"/>
      <c r="SJH132" s="3"/>
      <c r="SJI132" s="3"/>
      <c r="SJJ132" s="3"/>
      <c r="SJK132" s="3"/>
      <c r="SJL132" s="3"/>
      <c r="SJM132" s="3"/>
      <c r="SJN132" s="3"/>
      <c r="SJO132" s="3"/>
      <c r="SJP132" s="3"/>
      <c r="SJQ132" s="3"/>
      <c r="SJR132" s="3"/>
      <c r="SJS132" s="3"/>
      <c r="SJT132" s="3"/>
      <c r="SJU132" s="3"/>
      <c r="SJV132" s="3"/>
      <c r="SJW132" s="3"/>
      <c r="SJX132" s="3"/>
      <c r="SJY132" s="3"/>
      <c r="SJZ132" s="3"/>
      <c r="SKA132" s="3"/>
      <c r="SKB132" s="3"/>
      <c r="SKC132" s="3"/>
      <c r="SKD132" s="3"/>
      <c r="SKE132" s="3"/>
      <c r="SKF132" s="3"/>
      <c r="SKG132" s="3"/>
      <c r="SKH132" s="3"/>
      <c r="SKI132" s="3"/>
      <c r="SKJ132" s="3"/>
      <c r="SKK132" s="3"/>
      <c r="SKL132" s="3"/>
      <c r="SKM132" s="3"/>
      <c r="SKN132" s="3"/>
      <c r="SKO132" s="3"/>
      <c r="SKP132" s="3"/>
      <c r="SKQ132" s="3"/>
      <c r="SKR132" s="3"/>
      <c r="SKS132" s="3"/>
      <c r="SKT132" s="3"/>
      <c r="SKU132" s="3"/>
      <c r="SKV132" s="3"/>
      <c r="SKW132" s="3"/>
      <c r="SKX132" s="3"/>
      <c r="SKY132" s="3"/>
      <c r="SKZ132" s="3"/>
      <c r="SLA132" s="3"/>
      <c r="SLB132" s="3"/>
      <c r="SLC132" s="3"/>
      <c r="SLD132" s="3"/>
      <c r="SLE132" s="3"/>
      <c r="SLF132" s="3"/>
      <c r="SLG132" s="3"/>
      <c r="SLH132" s="3"/>
      <c r="SLI132" s="3"/>
      <c r="SLJ132" s="3"/>
      <c r="SLK132" s="3"/>
      <c r="SLL132" s="3"/>
      <c r="SLM132" s="3"/>
      <c r="SLN132" s="3"/>
      <c r="SLO132" s="3"/>
      <c r="SLP132" s="3"/>
      <c r="SLQ132" s="3"/>
      <c r="SLR132" s="3"/>
      <c r="SLS132" s="3"/>
      <c r="SLT132" s="3"/>
      <c r="SLU132" s="3"/>
      <c r="SLV132" s="3"/>
      <c r="SLW132" s="3"/>
      <c r="SLX132" s="3"/>
      <c r="SLY132" s="3"/>
      <c r="SLZ132" s="3"/>
      <c r="SMA132" s="3"/>
      <c r="SMB132" s="3"/>
      <c r="SMC132" s="3"/>
      <c r="SMD132" s="3"/>
      <c r="SME132" s="3"/>
      <c r="SMF132" s="3"/>
      <c r="SMG132" s="3"/>
      <c r="SMH132" s="3"/>
      <c r="SMI132" s="3"/>
      <c r="SMJ132" s="3"/>
      <c r="SMK132" s="3"/>
      <c r="SML132" s="3"/>
      <c r="SMM132" s="3"/>
      <c r="SMN132" s="3"/>
      <c r="SMO132" s="3"/>
      <c r="SMP132" s="3"/>
      <c r="SMQ132" s="3"/>
      <c r="SMR132" s="3"/>
      <c r="SMS132" s="3"/>
      <c r="SMT132" s="3"/>
      <c r="SMU132" s="3"/>
      <c r="SMV132" s="3"/>
      <c r="SMW132" s="3"/>
      <c r="SMX132" s="3"/>
      <c r="SMY132" s="3"/>
      <c r="SMZ132" s="3"/>
      <c r="SNA132" s="3"/>
      <c r="SNB132" s="3"/>
      <c r="SNC132" s="3"/>
      <c r="SND132" s="3"/>
      <c r="SNE132" s="3"/>
      <c r="SNF132" s="3"/>
      <c r="SNG132" s="3"/>
      <c r="SNH132" s="3"/>
      <c r="SNI132" s="3"/>
      <c r="SNJ132" s="3"/>
      <c r="SNK132" s="3"/>
      <c r="SNL132" s="3"/>
      <c r="SNM132" s="3"/>
      <c r="SNN132" s="3"/>
      <c r="SNO132" s="3"/>
      <c r="SNP132" s="3"/>
      <c r="SNQ132" s="3"/>
      <c r="SNR132" s="3"/>
      <c r="SNS132" s="3"/>
      <c r="SNT132" s="3"/>
      <c r="SNU132" s="3"/>
      <c r="SNV132" s="3"/>
      <c r="SNW132" s="3"/>
      <c r="SNX132" s="3"/>
      <c r="SNY132" s="3"/>
      <c r="SNZ132" s="3"/>
      <c r="SOA132" s="3"/>
      <c r="SOB132" s="3"/>
      <c r="SOC132" s="3"/>
      <c r="SOD132" s="3"/>
      <c r="SOE132" s="3"/>
      <c r="SOF132" s="3"/>
      <c r="SOG132" s="3"/>
      <c r="SOH132" s="3"/>
      <c r="SOI132" s="3"/>
      <c r="SOJ132" s="3"/>
      <c r="SOK132" s="3"/>
      <c r="SOL132" s="3"/>
      <c r="SOM132" s="3"/>
      <c r="SON132" s="3"/>
      <c r="SOO132" s="3"/>
      <c r="SOP132" s="3"/>
      <c r="SOQ132" s="3"/>
      <c r="SOR132" s="3"/>
      <c r="SOS132" s="3"/>
      <c r="SOT132" s="3"/>
      <c r="SOU132" s="3"/>
      <c r="SOV132" s="3"/>
      <c r="SOW132" s="3"/>
      <c r="SOX132" s="3"/>
      <c r="SOY132" s="3"/>
      <c r="SOZ132" s="3"/>
      <c r="SPA132" s="3"/>
      <c r="SPB132" s="3"/>
      <c r="SPC132" s="3"/>
      <c r="SPD132" s="3"/>
      <c r="SPE132" s="3"/>
      <c r="SPF132" s="3"/>
      <c r="SPG132" s="3"/>
      <c r="SPH132" s="3"/>
      <c r="SPI132" s="3"/>
      <c r="SPJ132" s="3"/>
      <c r="SPK132" s="3"/>
      <c r="SPL132" s="3"/>
      <c r="SPM132" s="3"/>
      <c r="SPN132" s="3"/>
      <c r="SPO132" s="3"/>
      <c r="SPP132" s="3"/>
      <c r="SPQ132" s="3"/>
      <c r="SPR132" s="3"/>
      <c r="SPS132" s="3"/>
      <c r="SPT132" s="3"/>
      <c r="SPU132" s="3"/>
      <c r="SPV132" s="3"/>
      <c r="SPW132" s="3"/>
      <c r="SPX132" s="3"/>
      <c r="SPY132" s="3"/>
      <c r="SPZ132" s="3"/>
      <c r="SQA132" s="3"/>
      <c r="SQB132" s="3"/>
      <c r="SQC132" s="3"/>
      <c r="SQD132" s="3"/>
      <c r="SQE132" s="3"/>
      <c r="SQF132" s="3"/>
      <c r="SQG132" s="3"/>
      <c r="SQH132" s="3"/>
      <c r="SQI132" s="3"/>
      <c r="SQJ132" s="3"/>
      <c r="SQK132" s="3"/>
      <c r="SQL132" s="3"/>
      <c r="SQM132" s="3"/>
      <c r="SQN132" s="3"/>
      <c r="SQO132" s="3"/>
      <c r="SQP132" s="3"/>
      <c r="SQQ132" s="3"/>
      <c r="SQR132" s="3"/>
      <c r="SQS132" s="3"/>
      <c r="SQT132" s="3"/>
      <c r="SQU132" s="3"/>
      <c r="SQV132" s="3"/>
      <c r="SQW132" s="3"/>
      <c r="SQX132" s="3"/>
      <c r="SQY132" s="3"/>
      <c r="SQZ132" s="3"/>
      <c r="SRA132" s="3"/>
      <c r="SRB132" s="3"/>
      <c r="SRC132" s="3"/>
      <c r="SRD132" s="3"/>
      <c r="SRE132" s="3"/>
      <c r="SRF132" s="3"/>
      <c r="SRG132" s="3"/>
      <c r="SRH132" s="3"/>
      <c r="SRI132" s="3"/>
      <c r="SRJ132" s="3"/>
      <c r="SRK132" s="3"/>
      <c r="SRL132" s="3"/>
      <c r="SRM132" s="3"/>
      <c r="SRN132" s="3"/>
      <c r="SRO132" s="3"/>
      <c r="SRP132" s="3"/>
      <c r="SRQ132" s="3"/>
      <c r="SRR132" s="3"/>
      <c r="SRS132" s="3"/>
      <c r="SRT132" s="3"/>
      <c r="SRU132" s="3"/>
      <c r="SRV132" s="3"/>
      <c r="SRW132" s="3"/>
      <c r="SRX132" s="3"/>
      <c r="SRY132" s="3"/>
      <c r="SRZ132" s="3"/>
      <c r="SSA132" s="3"/>
      <c r="SSB132" s="3"/>
      <c r="SSC132" s="3"/>
      <c r="SSD132" s="3"/>
      <c r="SSE132" s="3"/>
      <c r="SSF132" s="3"/>
      <c r="SSG132" s="3"/>
      <c r="SSH132" s="3"/>
      <c r="SSI132" s="3"/>
      <c r="SSJ132" s="3"/>
      <c r="SSK132" s="3"/>
      <c r="SSL132" s="3"/>
      <c r="SSM132" s="3"/>
      <c r="SSN132" s="3"/>
      <c r="SSO132" s="3"/>
      <c r="SSP132" s="3"/>
      <c r="SSQ132" s="3"/>
      <c r="SSR132" s="3"/>
      <c r="SSS132" s="3"/>
      <c r="SST132" s="3"/>
      <c r="SSU132" s="3"/>
      <c r="SSV132" s="3"/>
      <c r="SSW132" s="3"/>
      <c r="SSX132" s="3"/>
      <c r="SSY132" s="3"/>
      <c r="SSZ132" s="3"/>
      <c r="STA132" s="3"/>
      <c r="STB132" s="3"/>
      <c r="STC132" s="3"/>
      <c r="STD132" s="3"/>
      <c r="STE132" s="3"/>
      <c r="STF132" s="3"/>
      <c r="STG132" s="3"/>
      <c r="STH132" s="3"/>
      <c r="STI132" s="3"/>
      <c r="STJ132" s="3"/>
      <c r="STK132" s="3"/>
      <c r="STL132" s="3"/>
      <c r="STM132" s="3"/>
      <c r="STN132" s="3"/>
      <c r="STO132" s="3"/>
      <c r="STP132" s="3"/>
      <c r="STQ132" s="3"/>
      <c r="STR132" s="3"/>
      <c r="STS132" s="3"/>
      <c r="STT132" s="3"/>
      <c r="STU132" s="3"/>
      <c r="STV132" s="3"/>
      <c r="STW132" s="3"/>
      <c r="STX132" s="3"/>
      <c r="STY132" s="3"/>
      <c r="STZ132" s="3"/>
      <c r="SUA132" s="3"/>
      <c r="SUB132" s="3"/>
      <c r="SUC132" s="3"/>
      <c r="SUD132" s="3"/>
      <c r="SUE132" s="3"/>
      <c r="SUF132" s="3"/>
      <c r="SUG132" s="3"/>
      <c r="SUH132" s="3"/>
      <c r="SUI132" s="3"/>
      <c r="SUJ132" s="3"/>
      <c r="SUK132" s="3"/>
      <c r="SUL132" s="3"/>
      <c r="SUM132" s="3"/>
      <c r="SUN132" s="3"/>
      <c r="SUO132" s="3"/>
      <c r="SUP132" s="3"/>
      <c r="SUQ132" s="3"/>
      <c r="SUR132" s="3"/>
      <c r="SUS132" s="3"/>
      <c r="SUT132" s="3"/>
      <c r="SUU132" s="3"/>
      <c r="SUV132" s="3"/>
      <c r="SUW132" s="3"/>
      <c r="SUX132" s="3"/>
      <c r="SUY132" s="3"/>
      <c r="SUZ132" s="3"/>
      <c r="SVA132" s="3"/>
      <c r="SVB132" s="3"/>
      <c r="SVC132" s="3"/>
      <c r="SVD132" s="3"/>
      <c r="SVE132" s="3"/>
      <c r="SVF132" s="3"/>
      <c r="SVG132" s="3"/>
      <c r="SVH132" s="3"/>
      <c r="SVI132" s="3"/>
      <c r="SVJ132" s="3"/>
      <c r="SVK132" s="3"/>
      <c r="SVL132" s="3"/>
      <c r="SVM132" s="3"/>
      <c r="SVN132" s="3"/>
      <c r="SVO132" s="3"/>
      <c r="SVP132" s="3"/>
      <c r="SVQ132" s="3"/>
      <c r="SVR132" s="3"/>
      <c r="SVS132" s="3"/>
      <c r="SVT132" s="3"/>
      <c r="SVU132" s="3"/>
      <c r="SVV132" s="3"/>
      <c r="SVW132" s="3"/>
      <c r="SVX132" s="3"/>
      <c r="SVY132" s="3"/>
      <c r="SVZ132" s="3"/>
      <c r="SWA132" s="3"/>
      <c r="SWB132" s="3"/>
      <c r="SWC132" s="3"/>
      <c r="SWD132" s="3"/>
      <c r="SWE132" s="3"/>
      <c r="SWF132" s="3"/>
      <c r="SWG132" s="3"/>
      <c r="SWH132" s="3"/>
      <c r="SWI132" s="3"/>
      <c r="SWJ132" s="3"/>
      <c r="SWK132" s="3"/>
      <c r="SWL132" s="3"/>
      <c r="SWM132" s="3"/>
      <c r="SWN132" s="3"/>
      <c r="SWO132" s="3"/>
      <c r="SWP132" s="3"/>
      <c r="SWQ132" s="3"/>
      <c r="SWR132" s="3"/>
      <c r="SWS132" s="3"/>
      <c r="SWT132" s="3"/>
      <c r="SWU132" s="3"/>
      <c r="SWV132" s="3"/>
      <c r="SWW132" s="3"/>
      <c r="SWX132" s="3"/>
      <c r="SWY132" s="3"/>
      <c r="SWZ132" s="3"/>
      <c r="SXA132" s="3"/>
      <c r="SXB132" s="3"/>
      <c r="SXC132" s="3"/>
      <c r="SXD132" s="3"/>
      <c r="SXE132" s="3"/>
      <c r="SXF132" s="3"/>
      <c r="SXG132" s="3"/>
      <c r="SXH132" s="3"/>
      <c r="SXI132" s="3"/>
      <c r="SXJ132" s="3"/>
      <c r="SXK132" s="3"/>
      <c r="SXL132" s="3"/>
      <c r="SXM132" s="3"/>
      <c r="SXN132" s="3"/>
      <c r="SXO132" s="3"/>
      <c r="SXP132" s="3"/>
      <c r="SXQ132" s="3"/>
      <c r="SXR132" s="3"/>
      <c r="SXS132" s="3"/>
      <c r="SXT132" s="3"/>
      <c r="SXU132" s="3"/>
      <c r="SXV132" s="3"/>
      <c r="SXW132" s="3"/>
      <c r="SXX132" s="3"/>
      <c r="SXY132" s="3"/>
      <c r="SXZ132" s="3"/>
      <c r="SYA132" s="3"/>
      <c r="SYB132" s="3"/>
      <c r="SYC132" s="3"/>
      <c r="SYD132" s="3"/>
      <c r="SYE132" s="3"/>
      <c r="SYF132" s="3"/>
      <c r="SYG132" s="3"/>
      <c r="SYH132" s="3"/>
      <c r="SYI132" s="3"/>
      <c r="SYJ132" s="3"/>
      <c r="SYK132" s="3"/>
      <c r="SYL132" s="3"/>
      <c r="SYM132" s="3"/>
      <c r="SYN132" s="3"/>
      <c r="SYO132" s="3"/>
      <c r="SYP132" s="3"/>
      <c r="SYQ132" s="3"/>
      <c r="SYR132" s="3"/>
      <c r="SYS132" s="3"/>
      <c r="SYT132" s="3"/>
      <c r="SYU132" s="3"/>
      <c r="SYV132" s="3"/>
      <c r="SYW132" s="3"/>
      <c r="SYX132" s="3"/>
      <c r="SYY132" s="3"/>
      <c r="SYZ132" s="3"/>
      <c r="SZA132" s="3"/>
      <c r="SZB132" s="3"/>
      <c r="SZC132" s="3"/>
      <c r="SZD132" s="3"/>
      <c r="SZE132" s="3"/>
      <c r="SZF132" s="3"/>
      <c r="SZG132" s="3"/>
      <c r="SZH132" s="3"/>
      <c r="SZI132" s="3"/>
      <c r="SZJ132" s="3"/>
      <c r="SZK132" s="3"/>
      <c r="SZL132" s="3"/>
      <c r="SZM132" s="3"/>
      <c r="SZN132" s="3"/>
      <c r="SZO132" s="3"/>
      <c r="SZP132" s="3"/>
      <c r="SZQ132" s="3"/>
      <c r="SZR132" s="3"/>
      <c r="SZS132" s="3"/>
      <c r="SZT132" s="3"/>
      <c r="SZU132" s="3"/>
      <c r="SZV132" s="3"/>
      <c r="SZW132" s="3"/>
      <c r="SZX132" s="3"/>
      <c r="SZY132" s="3"/>
      <c r="SZZ132" s="3"/>
      <c r="TAA132" s="3"/>
      <c r="TAB132" s="3"/>
      <c r="TAC132" s="3"/>
      <c r="TAD132" s="3"/>
      <c r="TAE132" s="3"/>
      <c r="TAF132" s="3"/>
      <c r="TAG132" s="3"/>
      <c r="TAH132" s="3"/>
      <c r="TAI132" s="3"/>
      <c r="TAJ132" s="3"/>
      <c r="TAK132" s="3"/>
      <c r="TAL132" s="3"/>
      <c r="TAM132" s="3"/>
      <c r="TAN132" s="3"/>
      <c r="TAO132" s="3"/>
      <c r="TAP132" s="3"/>
      <c r="TAQ132" s="3"/>
      <c r="TAR132" s="3"/>
      <c r="TAS132" s="3"/>
      <c r="TAT132" s="3"/>
      <c r="TAU132" s="3"/>
      <c r="TAV132" s="3"/>
      <c r="TAW132" s="3"/>
      <c r="TAX132" s="3"/>
      <c r="TAY132" s="3"/>
      <c r="TAZ132" s="3"/>
      <c r="TBA132" s="3"/>
      <c r="TBB132" s="3"/>
      <c r="TBC132" s="3"/>
      <c r="TBD132" s="3"/>
      <c r="TBE132" s="3"/>
      <c r="TBF132" s="3"/>
      <c r="TBG132" s="3"/>
      <c r="TBH132" s="3"/>
      <c r="TBI132" s="3"/>
      <c r="TBJ132" s="3"/>
      <c r="TBK132" s="3"/>
      <c r="TBL132" s="3"/>
      <c r="TBM132" s="3"/>
      <c r="TBN132" s="3"/>
      <c r="TBO132" s="3"/>
      <c r="TBP132" s="3"/>
      <c r="TBQ132" s="3"/>
      <c r="TBR132" s="3"/>
      <c r="TBS132" s="3"/>
      <c r="TBT132" s="3"/>
      <c r="TBU132" s="3"/>
      <c r="TBV132" s="3"/>
      <c r="TBW132" s="3"/>
      <c r="TBX132" s="3"/>
      <c r="TBY132" s="3"/>
      <c r="TBZ132" s="3"/>
      <c r="TCA132" s="3"/>
      <c r="TCB132" s="3"/>
      <c r="TCC132" s="3"/>
      <c r="TCD132" s="3"/>
      <c r="TCE132" s="3"/>
      <c r="TCF132" s="3"/>
      <c r="TCG132" s="3"/>
      <c r="TCH132" s="3"/>
      <c r="TCI132" s="3"/>
      <c r="TCJ132" s="3"/>
      <c r="TCK132" s="3"/>
      <c r="TCL132" s="3"/>
      <c r="TCM132" s="3"/>
      <c r="TCN132" s="3"/>
      <c r="TCO132" s="3"/>
      <c r="TCP132" s="3"/>
      <c r="TCQ132" s="3"/>
      <c r="TCR132" s="3"/>
      <c r="TCS132" s="3"/>
      <c r="TCT132" s="3"/>
      <c r="TCU132" s="3"/>
      <c r="TCV132" s="3"/>
      <c r="TCW132" s="3"/>
      <c r="TCX132" s="3"/>
      <c r="TCY132" s="3"/>
      <c r="TCZ132" s="3"/>
      <c r="TDA132" s="3"/>
      <c r="TDB132" s="3"/>
      <c r="TDC132" s="3"/>
      <c r="TDD132" s="3"/>
      <c r="TDE132" s="3"/>
      <c r="TDF132" s="3"/>
      <c r="TDG132" s="3"/>
      <c r="TDH132" s="3"/>
      <c r="TDI132" s="3"/>
      <c r="TDJ132" s="3"/>
      <c r="TDK132" s="3"/>
      <c r="TDL132" s="3"/>
      <c r="TDM132" s="3"/>
      <c r="TDN132" s="3"/>
      <c r="TDO132" s="3"/>
      <c r="TDP132" s="3"/>
      <c r="TDQ132" s="3"/>
      <c r="TDR132" s="3"/>
      <c r="TDS132" s="3"/>
      <c r="TDT132" s="3"/>
      <c r="TDU132" s="3"/>
      <c r="TDV132" s="3"/>
      <c r="TDW132" s="3"/>
      <c r="TDX132" s="3"/>
      <c r="TDY132" s="3"/>
      <c r="TDZ132" s="3"/>
      <c r="TEA132" s="3"/>
      <c r="TEB132" s="3"/>
      <c r="TEC132" s="3"/>
      <c r="TED132" s="3"/>
      <c r="TEE132" s="3"/>
      <c r="TEF132" s="3"/>
      <c r="TEG132" s="3"/>
      <c r="TEH132" s="3"/>
      <c r="TEI132" s="3"/>
      <c r="TEJ132" s="3"/>
      <c r="TEK132" s="3"/>
      <c r="TEL132" s="3"/>
      <c r="TEM132" s="3"/>
      <c r="TEN132" s="3"/>
      <c r="TEO132" s="3"/>
      <c r="TEP132" s="3"/>
      <c r="TEQ132" s="3"/>
      <c r="TER132" s="3"/>
      <c r="TES132" s="3"/>
      <c r="TET132" s="3"/>
      <c r="TEU132" s="3"/>
      <c r="TEV132" s="3"/>
      <c r="TEW132" s="3"/>
      <c r="TEX132" s="3"/>
      <c r="TEY132" s="3"/>
      <c r="TEZ132" s="3"/>
      <c r="TFA132" s="3"/>
      <c r="TFB132" s="3"/>
      <c r="TFC132" s="3"/>
      <c r="TFD132" s="3"/>
      <c r="TFE132" s="3"/>
      <c r="TFF132" s="3"/>
      <c r="TFG132" s="3"/>
      <c r="TFH132" s="3"/>
      <c r="TFI132" s="3"/>
      <c r="TFJ132" s="3"/>
      <c r="TFK132" s="3"/>
      <c r="TFL132" s="3"/>
      <c r="TFM132" s="3"/>
      <c r="TFN132" s="3"/>
      <c r="TFO132" s="3"/>
      <c r="TFP132" s="3"/>
      <c r="TFQ132" s="3"/>
      <c r="TFR132" s="3"/>
      <c r="TFS132" s="3"/>
      <c r="TFT132" s="3"/>
      <c r="TFU132" s="3"/>
      <c r="TFV132" s="3"/>
      <c r="TFW132" s="3"/>
      <c r="TFX132" s="3"/>
      <c r="TFY132" s="3"/>
      <c r="TFZ132" s="3"/>
      <c r="TGA132" s="3"/>
      <c r="TGB132" s="3"/>
      <c r="TGC132" s="3"/>
      <c r="TGD132" s="3"/>
      <c r="TGE132" s="3"/>
      <c r="TGF132" s="3"/>
      <c r="TGG132" s="3"/>
      <c r="TGH132" s="3"/>
      <c r="TGI132" s="3"/>
      <c r="TGJ132" s="3"/>
      <c r="TGK132" s="3"/>
      <c r="TGL132" s="3"/>
      <c r="TGM132" s="3"/>
      <c r="TGN132" s="3"/>
      <c r="TGO132" s="3"/>
      <c r="TGP132" s="3"/>
      <c r="TGQ132" s="3"/>
      <c r="TGR132" s="3"/>
      <c r="TGS132" s="3"/>
      <c r="TGT132" s="3"/>
      <c r="TGU132" s="3"/>
      <c r="TGV132" s="3"/>
      <c r="TGW132" s="3"/>
      <c r="TGX132" s="3"/>
      <c r="TGY132" s="3"/>
      <c r="TGZ132" s="3"/>
      <c r="THA132" s="3"/>
      <c r="THB132" s="3"/>
      <c r="THC132" s="3"/>
      <c r="THD132" s="3"/>
      <c r="THE132" s="3"/>
      <c r="THF132" s="3"/>
      <c r="THG132" s="3"/>
      <c r="THH132" s="3"/>
      <c r="THI132" s="3"/>
      <c r="THJ132" s="3"/>
      <c r="THK132" s="3"/>
      <c r="THL132" s="3"/>
      <c r="THM132" s="3"/>
      <c r="THN132" s="3"/>
      <c r="THO132" s="3"/>
      <c r="THP132" s="3"/>
      <c r="THQ132" s="3"/>
      <c r="THR132" s="3"/>
      <c r="THS132" s="3"/>
      <c r="THT132" s="3"/>
      <c r="THU132" s="3"/>
      <c r="THV132" s="3"/>
      <c r="THW132" s="3"/>
      <c r="THX132" s="3"/>
      <c r="THY132" s="3"/>
      <c r="THZ132" s="3"/>
      <c r="TIA132" s="3"/>
      <c r="TIB132" s="3"/>
      <c r="TIC132" s="3"/>
      <c r="TID132" s="3"/>
      <c r="TIE132" s="3"/>
      <c r="TIF132" s="3"/>
      <c r="TIG132" s="3"/>
      <c r="TIH132" s="3"/>
      <c r="TII132" s="3"/>
      <c r="TIJ132" s="3"/>
      <c r="TIK132" s="3"/>
      <c r="TIL132" s="3"/>
      <c r="TIM132" s="3"/>
      <c r="TIN132" s="3"/>
      <c r="TIO132" s="3"/>
      <c r="TIP132" s="3"/>
      <c r="TIQ132" s="3"/>
      <c r="TIR132" s="3"/>
      <c r="TIS132" s="3"/>
      <c r="TIT132" s="3"/>
      <c r="TIU132" s="3"/>
      <c r="TIV132" s="3"/>
      <c r="TIW132" s="3"/>
      <c r="TIX132" s="3"/>
      <c r="TIY132" s="3"/>
      <c r="TIZ132" s="3"/>
      <c r="TJA132" s="3"/>
      <c r="TJB132" s="3"/>
      <c r="TJC132" s="3"/>
      <c r="TJD132" s="3"/>
      <c r="TJE132" s="3"/>
      <c r="TJF132" s="3"/>
      <c r="TJG132" s="3"/>
      <c r="TJH132" s="3"/>
      <c r="TJI132" s="3"/>
      <c r="TJJ132" s="3"/>
      <c r="TJK132" s="3"/>
      <c r="TJL132" s="3"/>
      <c r="TJM132" s="3"/>
      <c r="TJN132" s="3"/>
      <c r="TJO132" s="3"/>
      <c r="TJP132" s="3"/>
      <c r="TJQ132" s="3"/>
      <c r="TJR132" s="3"/>
      <c r="TJS132" s="3"/>
      <c r="TJT132" s="3"/>
      <c r="TJU132" s="3"/>
      <c r="TJV132" s="3"/>
      <c r="TJW132" s="3"/>
      <c r="TJX132" s="3"/>
      <c r="TJY132" s="3"/>
      <c r="TJZ132" s="3"/>
      <c r="TKA132" s="3"/>
      <c r="TKB132" s="3"/>
      <c r="TKC132" s="3"/>
      <c r="TKD132" s="3"/>
      <c r="TKE132" s="3"/>
      <c r="TKF132" s="3"/>
      <c r="TKG132" s="3"/>
      <c r="TKH132" s="3"/>
      <c r="TKI132" s="3"/>
      <c r="TKJ132" s="3"/>
      <c r="TKK132" s="3"/>
      <c r="TKL132" s="3"/>
      <c r="TKM132" s="3"/>
      <c r="TKN132" s="3"/>
      <c r="TKO132" s="3"/>
      <c r="TKP132" s="3"/>
      <c r="TKQ132" s="3"/>
      <c r="TKR132" s="3"/>
      <c r="TKS132" s="3"/>
      <c r="TKT132" s="3"/>
      <c r="TKU132" s="3"/>
      <c r="TKV132" s="3"/>
      <c r="TKW132" s="3"/>
      <c r="TKX132" s="3"/>
      <c r="TKY132" s="3"/>
      <c r="TKZ132" s="3"/>
      <c r="TLA132" s="3"/>
      <c r="TLB132" s="3"/>
      <c r="TLC132" s="3"/>
      <c r="TLD132" s="3"/>
      <c r="TLE132" s="3"/>
      <c r="TLF132" s="3"/>
      <c r="TLG132" s="3"/>
      <c r="TLH132" s="3"/>
      <c r="TLI132" s="3"/>
      <c r="TLJ132" s="3"/>
      <c r="TLK132" s="3"/>
      <c r="TLL132" s="3"/>
      <c r="TLM132" s="3"/>
      <c r="TLN132" s="3"/>
      <c r="TLO132" s="3"/>
      <c r="TLP132" s="3"/>
      <c r="TLQ132" s="3"/>
      <c r="TLR132" s="3"/>
      <c r="TLS132" s="3"/>
      <c r="TLT132" s="3"/>
      <c r="TLU132" s="3"/>
      <c r="TLV132" s="3"/>
      <c r="TLW132" s="3"/>
      <c r="TLX132" s="3"/>
      <c r="TLY132" s="3"/>
      <c r="TLZ132" s="3"/>
      <c r="TMA132" s="3"/>
      <c r="TMB132" s="3"/>
      <c r="TMC132" s="3"/>
      <c r="TMD132" s="3"/>
      <c r="TME132" s="3"/>
      <c r="TMF132" s="3"/>
      <c r="TMG132" s="3"/>
      <c r="TMH132" s="3"/>
      <c r="TMI132" s="3"/>
      <c r="TMJ132" s="3"/>
      <c r="TMK132" s="3"/>
      <c r="TML132" s="3"/>
      <c r="TMM132" s="3"/>
      <c r="TMN132" s="3"/>
      <c r="TMO132" s="3"/>
      <c r="TMP132" s="3"/>
      <c r="TMQ132" s="3"/>
      <c r="TMR132" s="3"/>
      <c r="TMS132" s="3"/>
      <c r="TMT132" s="3"/>
      <c r="TMU132" s="3"/>
      <c r="TMV132" s="3"/>
      <c r="TMW132" s="3"/>
      <c r="TMX132" s="3"/>
      <c r="TMY132" s="3"/>
      <c r="TMZ132" s="3"/>
      <c r="TNA132" s="3"/>
      <c r="TNB132" s="3"/>
      <c r="TNC132" s="3"/>
      <c r="TND132" s="3"/>
      <c r="TNE132" s="3"/>
      <c r="TNF132" s="3"/>
      <c r="TNG132" s="3"/>
      <c r="TNH132" s="3"/>
      <c r="TNI132" s="3"/>
      <c r="TNJ132" s="3"/>
      <c r="TNK132" s="3"/>
      <c r="TNL132" s="3"/>
      <c r="TNM132" s="3"/>
      <c r="TNN132" s="3"/>
      <c r="TNO132" s="3"/>
      <c r="TNP132" s="3"/>
      <c r="TNQ132" s="3"/>
      <c r="TNR132" s="3"/>
      <c r="TNS132" s="3"/>
      <c r="TNT132" s="3"/>
      <c r="TNU132" s="3"/>
      <c r="TNV132" s="3"/>
      <c r="TNW132" s="3"/>
      <c r="TNX132" s="3"/>
      <c r="TNY132" s="3"/>
      <c r="TNZ132" s="3"/>
      <c r="TOA132" s="3"/>
      <c r="TOB132" s="3"/>
      <c r="TOC132" s="3"/>
      <c r="TOD132" s="3"/>
      <c r="TOE132" s="3"/>
      <c r="TOF132" s="3"/>
      <c r="TOG132" s="3"/>
      <c r="TOH132" s="3"/>
      <c r="TOI132" s="3"/>
      <c r="TOJ132" s="3"/>
      <c r="TOK132" s="3"/>
      <c r="TOL132" s="3"/>
      <c r="TOM132" s="3"/>
      <c r="TON132" s="3"/>
      <c r="TOO132" s="3"/>
      <c r="TOP132" s="3"/>
      <c r="TOQ132" s="3"/>
      <c r="TOR132" s="3"/>
      <c r="TOS132" s="3"/>
      <c r="TOT132" s="3"/>
      <c r="TOU132" s="3"/>
      <c r="TOV132" s="3"/>
      <c r="TOW132" s="3"/>
      <c r="TOX132" s="3"/>
      <c r="TOY132" s="3"/>
      <c r="TOZ132" s="3"/>
      <c r="TPA132" s="3"/>
      <c r="TPB132" s="3"/>
      <c r="TPC132" s="3"/>
      <c r="TPD132" s="3"/>
      <c r="TPE132" s="3"/>
      <c r="TPF132" s="3"/>
      <c r="TPG132" s="3"/>
      <c r="TPH132" s="3"/>
      <c r="TPI132" s="3"/>
      <c r="TPJ132" s="3"/>
      <c r="TPK132" s="3"/>
      <c r="TPL132" s="3"/>
      <c r="TPM132" s="3"/>
      <c r="TPN132" s="3"/>
      <c r="TPO132" s="3"/>
      <c r="TPP132" s="3"/>
      <c r="TPQ132" s="3"/>
      <c r="TPR132" s="3"/>
      <c r="TPS132" s="3"/>
      <c r="TPT132" s="3"/>
      <c r="TPU132" s="3"/>
      <c r="TPV132" s="3"/>
      <c r="TPW132" s="3"/>
      <c r="TPX132" s="3"/>
      <c r="TPY132" s="3"/>
      <c r="TPZ132" s="3"/>
      <c r="TQA132" s="3"/>
      <c r="TQB132" s="3"/>
      <c r="TQC132" s="3"/>
      <c r="TQD132" s="3"/>
      <c r="TQE132" s="3"/>
      <c r="TQF132" s="3"/>
      <c r="TQG132" s="3"/>
      <c r="TQH132" s="3"/>
      <c r="TQI132" s="3"/>
      <c r="TQJ132" s="3"/>
      <c r="TQK132" s="3"/>
      <c r="TQL132" s="3"/>
      <c r="TQM132" s="3"/>
      <c r="TQN132" s="3"/>
      <c r="TQO132" s="3"/>
      <c r="TQP132" s="3"/>
      <c r="TQQ132" s="3"/>
      <c r="TQR132" s="3"/>
      <c r="TQS132" s="3"/>
      <c r="TQT132" s="3"/>
      <c r="TQU132" s="3"/>
      <c r="TQV132" s="3"/>
      <c r="TQW132" s="3"/>
      <c r="TQX132" s="3"/>
      <c r="TQY132" s="3"/>
      <c r="TQZ132" s="3"/>
      <c r="TRA132" s="3"/>
      <c r="TRB132" s="3"/>
      <c r="TRC132" s="3"/>
      <c r="TRD132" s="3"/>
      <c r="TRE132" s="3"/>
      <c r="TRF132" s="3"/>
      <c r="TRG132" s="3"/>
      <c r="TRH132" s="3"/>
      <c r="TRI132" s="3"/>
      <c r="TRJ132" s="3"/>
      <c r="TRK132" s="3"/>
      <c r="TRL132" s="3"/>
      <c r="TRM132" s="3"/>
      <c r="TRN132" s="3"/>
      <c r="TRO132" s="3"/>
      <c r="TRP132" s="3"/>
      <c r="TRQ132" s="3"/>
      <c r="TRR132" s="3"/>
      <c r="TRS132" s="3"/>
      <c r="TRT132" s="3"/>
      <c r="TRU132" s="3"/>
      <c r="TRV132" s="3"/>
      <c r="TRW132" s="3"/>
      <c r="TRX132" s="3"/>
      <c r="TRY132" s="3"/>
      <c r="TRZ132" s="3"/>
      <c r="TSA132" s="3"/>
      <c r="TSB132" s="3"/>
      <c r="TSC132" s="3"/>
      <c r="TSD132" s="3"/>
      <c r="TSE132" s="3"/>
      <c r="TSF132" s="3"/>
      <c r="TSG132" s="3"/>
      <c r="TSH132" s="3"/>
      <c r="TSI132" s="3"/>
      <c r="TSJ132" s="3"/>
      <c r="TSK132" s="3"/>
      <c r="TSL132" s="3"/>
      <c r="TSM132" s="3"/>
      <c r="TSN132" s="3"/>
      <c r="TSO132" s="3"/>
      <c r="TSP132" s="3"/>
      <c r="TSQ132" s="3"/>
      <c r="TSR132" s="3"/>
      <c r="TSS132" s="3"/>
      <c r="TST132" s="3"/>
      <c r="TSU132" s="3"/>
      <c r="TSV132" s="3"/>
      <c r="TSW132" s="3"/>
      <c r="TSX132" s="3"/>
      <c r="TSY132" s="3"/>
      <c r="TSZ132" s="3"/>
      <c r="TTA132" s="3"/>
      <c r="TTB132" s="3"/>
      <c r="TTC132" s="3"/>
      <c r="TTD132" s="3"/>
      <c r="TTE132" s="3"/>
      <c r="TTF132" s="3"/>
      <c r="TTG132" s="3"/>
      <c r="TTH132" s="3"/>
      <c r="TTI132" s="3"/>
      <c r="TTJ132" s="3"/>
      <c r="TTK132" s="3"/>
      <c r="TTL132" s="3"/>
      <c r="TTM132" s="3"/>
      <c r="TTN132" s="3"/>
      <c r="TTO132" s="3"/>
      <c r="TTP132" s="3"/>
      <c r="TTQ132" s="3"/>
      <c r="TTR132" s="3"/>
      <c r="TTS132" s="3"/>
      <c r="TTT132" s="3"/>
      <c r="TTU132" s="3"/>
      <c r="TTV132" s="3"/>
      <c r="TTW132" s="3"/>
      <c r="TTX132" s="3"/>
      <c r="TTY132" s="3"/>
      <c r="TTZ132" s="3"/>
      <c r="TUA132" s="3"/>
      <c r="TUB132" s="3"/>
      <c r="TUC132" s="3"/>
      <c r="TUD132" s="3"/>
      <c r="TUE132" s="3"/>
      <c r="TUF132" s="3"/>
      <c r="TUG132" s="3"/>
      <c r="TUH132" s="3"/>
      <c r="TUI132" s="3"/>
      <c r="TUJ132" s="3"/>
      <c r="TUK132" s="3"/>
      <c r="TUL132" s="3"/>
      <c r="TUM132" s="3"/>
      <c r="TUN132" s="3"/>
      <c r="TUO132" s="3"/>
      <c r="TUP132" s="3"/>
      <c r="TUQ132" s="3"/>
      <c r="TUR132" s="3"/>
      <c r="TUS132" s="3"/>
      <c r="TUT132" s="3"/>
      <c r="TUU132" s="3"/>
      <c r="TUV132" s="3"/>
      <c r="TUW132" s="3"/>
      <c r="TUX132" s="3"/>
      <c r="TUY132" s="3"/>
      <c r="TUZ132" s="3"/>
      <c r="TVA132" s="3"/>
      <c r="TVB132" s="3"/>
      <c r="TVC132" s="3"/>
      <c r="TVD132" s="3"/>
      <c r="TVE132" s="3"/>
      <c r="TVF132" s="3"/>
      <c r="TVG132" s="3"/>
      <c r="TVH132" s="3"/>
      <c r="TVI132" s="3"/>
      <c r="TVJ132" s="3"/>
      <c r="TVK132" s="3"/>
      <c r="TVL132" s="3"/>
      <c r="TVM132" s="3"/>
      <c r="TVN132" s="3"/>
      <c r="TVO132" s="3"/>
      <c r="TVP132" s="3"/>
      <c r="TVQ132" s="3"/>
      <c r="TVR132" s="3"/>
      <c r="TVS132" s="3"/>
      <c r="TVT132" s="3"/>
      <c r="TVU132" s="3"/>
      <c r="TVV132" s="3"/>
      <c r="TVW132" s="3"/>
      <c r="TVX132" s="3"/>
      <c r="TVY132" s="3"/>
      <c r="TVZ132" s="3"/>
      <c r="TWA132" s="3"/>
      <c r="TWB132" s="3"/>
      <c r="TWC132" s="3"/>
      <c r="TWD132" s="3"/>
      <c r="TWE132" s="3"/>
      <c r="TWF132" s="3"/>
      <c r="TWG132" s="3"/>
      <c r="TWH132" s="3"/>
      <c r="TWI132" s="3"/>
      <c r="TWJ132" s="3"/>
      <c r="TWK132" s="3"/>
      <c r="TWL132" s="3"/>
      <c r="TWM132" s="3"/>
      <c r="TWN132" s="3"/>
      <c r="TWO132" s="3"/>
      <c r="TWP132" s="3"/>
      <c r="TWQ132" s="3"/>
      <c r="TWR132" s="3"/>
      <c r="TWS132" s="3"/>
      <c r="TWT132" s="3"/>
      <c r="TWU132" s="3"/>
      <c r="TWV132" s="3"/>
      <c r="TWW132" s="3"/>
      <c r="TWX132" s="3"/>
      <c r="TWY132" s="3"/>
      <c r="TWZ132" s="3"/>
      <c r="TXA132" s="3"/>
      <c r="TXB132" s="3"/>
      <c r="TXC132" s="3"/>
      <c r="TXD132" s="3"/>
      <c r="TXE132" s="3"/>
      <c r="TXF132" s="3"/>
      <c r="TXG132" s="3"/>
      <c r="TXH132" s="3"/>
      <c r="TXI132" s="3"/>
      <c r="TXJ132" s="3"/>
      <c r="TXK132" s="3"/>
      <c r="TXL132" s="3"/>
      <c r="TXM132" s="3"/>
      <c r="TXN132" s="3"/>
      <c r="TXO132" s="3"/>
      <c r="TXP132" s="3"/>
      <c r="TXQ132" s="3"/>
      <c r="TXR132" s="3"/>
      <c r="TXS132" s="3"/>
      <c r="TXT132" s="3"/>
      <c r="TXU132" s="3"/>
      <c r="TXV132" s="3"/>
      <c r="TXW132" s="3"/>
      <c r="TXX132" s="3"/>
      <c r="TXY132" s="3"/>
      <c r="TXZ132" s="3"/>
      <c r="TYA132" s="3"/>
      <c r="TYB132" s="3"/>
      <c r="TYC132" s="3"/>
      <c r="TYD132" s="3"/>
      <c r="TYE132" s="3"/>
      <c r="TYF132" s="3"/>
      <c r="TYG132" s="3"/>
      <c r="TYH132" s="3"/>
      <c r="TYI132" s="3"/>
      <c r="TYJ132" s="3"/>
      <c r="TYK132" s="3"/>
      <c r="TYL132" s="3"/>
      <c r="TYM132" s="3"/>
      <c r="TYN132" s="3"/>
      <c r="TYO132" s="3"/>
      <c r="TYP132" s="3"/>
      <c r="TYQ132" s="3"/>
      <c r="TYR132" s="3"/>
      <c r="TYS132" s="3"/>
      <c r="TYT132" s="3"/>
      <c r="TYU132" s="3"/>
      <c r="TYV132" s="3"/>
      <c r="TYW132" s="3"/>
      <c r="TYX132" s="3"/>
      <c r="TYY132" s="3"/>
      <c r="TYZ132" s="3"/>
      <c r="TZA132" s="3"/>
      <c r="TZB132" s="3"/>
      <c r="TZC132" s="3"/>
      <c r="TZD132" s="3"/>
      <c r="TZE132" s="3"/>
      <c r="TZF132" s="3"/>
      <c r="TZG132" s="3"/>
      <c r="TZH132" s="3"/>
      <c r="TZI132" s="3"/>
      <c r="TZJ132" s="3"/>
      <c r="TZK132" s="3"/>
      <c r="TZL132" s="3"/>
      <c r="TZM132" s="3"/>
      <c r="TZN132" s="3"/>
      <c r="TZO132" s="3"/>
      <c r="TZP132" s="3"/>
      <c r="TZQ132" s="3"/>
      <c r="TZR132" s="3"/>
      <c r="TZS132" s="3"/>
      <c r="TZT132" s="3"/>
      <c r="TZU132" s="3"/>
      <c r="TZV132" s="3"/>
      <c r="TZW132" s="3"/>
      <c r="TZX132" s="3"/>
      <c r="TZY132" s="3"/>
      <c r="TZZ132" s="3"/>
      <c r="UAA132" s="3"/>
      <c r="UAB132" s="3"/>
      <c r="UAC132" s="3"/>
      <c r="UAD132" s="3"/>
      <c r="UAE132" s="3"/>
      <c r="UAF132" s="3"/>
      <c r="UAG132" s="3"/>
      <c r="UAH132" s="3"/>
      <c r="UAI132" s="3"/>
      <c r="UAJ132" s="3"/>
      <c r="UAK132" s="3"/>
      <c r="UAL132" s="3"/>
      <c r="UAM132" s="3"/>
      <c r="UAN132" s="3"/>
      <c r="UAO132" s="3"/>
      <c r="UAP132" s="3"/>
      <c r="UAQ132" s="3"/>
      <c r="UAR132" s="3"/>
      <c r="UAS132" s="3"/>
      <c r="UAT132" s="3"/>
      <c r="UAU132" s="3"/>
      <c r="UAV132" s="3"/>
      <c r="UAW132" s="3"/>
      <c r="UAX132" s="3"/>
      <c r="UAY132" s="3"/>
      <c r="UAZ132" s="3"/>
      <c r="UBA132" s="3"/>
      <c r="UBB132" s="3"/>
      <c r="UBC132" s="3"/>
      <c r="UBD132" s="3"/>
      <c r="UBE132" s="3"/>
      <c r="UBF132" s="3"/>
      <c r="UBG132" s="3"/>
      <c r="UBH132" s="3"/>
      <c r="UBI132" s="3"/>
      <c r="UBJ132" s="3"/>
      <c r="UBK132" s="3"/>
      <c r="UBL132" s="3"/>
      <c r="UBM132" s="3"/>
      <c r="UBN132" s="3"/>
      <c r="UBO132" s="3"/>
      <c r="UBP132" s="3"/>
      <c r="UBQ132" s="3"/>
      <c r="UBR132" s="3"/>
      <c r="UBS132" s="3"/>
      <c r="UBT132" s="3"/>
      <c r="UBU132" s="3"/>
      <c r="UBV132" s="3"/>
      <c r="UBW132" s="3"/>
      <c r="UBX132" s="3"/>
      <c r="UBY132" s="3"/>
      <c r="UBZ132" s="3"/>
      <c r="UCA132" s="3"/>
      <c r="UCB132" s="3"/>
      <c r="UCC132" s="3"/>
      <c r="UCD132" s="3"/>
      <c r="UCE132" s="3"/>
      <c r="UCF132" s="3"/>
      <c r="UCG132" s="3"/>
      <c r="UCH132" s="3"/>
      <c r="UCI132" s="3"/>
      <c r="UCJ132" s="3"/>
      <c r="UCK132" s="3"/>
      <c r="UCL132" s="3"/>
      <c r="UCM132" s="3"/>
      <c r="UCN132" s="3"/>
      <c r="UCO132" s="3"/>
      <c r="UCP132" s="3"/>
      <c r="UCQ132" s="3"/>
      <c r="UCR132" s="3"/>
      <c r="UCS132" s="3"/>
      <c r="UCT132" s="3"/>
      <c r="UCU132" s="3"/>
      <c r="UCV132" s="3"/>
      <c r="UCW132" s="3"/>
      <c r="UCX132" s="3"/>
      <c r="UCY132" s="3"/>
      <c r="UCZ132" s="3"/>
      <c r="UDA132" s="3"/>
      <c r="UDB132" s="3"/>
      <c r="UDC132" s="3"/>
      <c r="UDD132" s="3"/>
      <c r="UDE132" s="3"/>
      <c r="UDF132" s="3"/>
      <c r="UDG132" s="3"/>
      <c r="UDH132" s="3"/>
      <c r="UDI132" s="3"/>
      <c r="UDJ132" s="3"/>
      <c r="UDK132" s="3"/>
      <c r="UDL132" s="3"/>
      <c r="UDM132" s="3"/>
      <c r="UDN132" s="3"/>
      <c r="UDO132" s="3"/>
      <c r="UDP132" s="3"/>
      <c r="UDQ132" s="3"/>
      <c r="UDR132" s="3"/>
      <c r="UDS132" s="3"/>
      <c r="UDT132" s="3"/>
      <c r="UDU132" s="3"/>
      <c r="UDV132" s="3"/>
      <c r="UDW132" s="3"/>
      <c r="UDX132" s="3"/>
      <c r="UDY132" s="3"/>
      <c r="UDZ132" s="3"/>
      <c r="UEA132" s="3"/>
      <c r="UEB132" s="3"/>
      <c r="UEC132" s="3"/>
      <c r="UED132" s="3"/>
      <c r="UEE132" s="3"/>
      <c r="UEF132" s="3"/>
      <c r="UEG132" s="3"/>
      <c r="UEH132" s="3"/>
      <c r="UEI132" s="3"/>
      <c r="UEJ132" s="3"/>
      <c r="UEK132" s="3"/>
      <c r="UEL132" s="3"/>
      <c r="UEM132" s="3"/>
      <c r="UEN132" s="3"/>
      <c r="UEO132" s="3"/>
      <c r="UEP132" s="3"/>
      <c r="UEQ132" s="3"/>
      <c r="UER132" s="3"/>
      <c r="UES132" s="3"/>
      <c r="UET132" s="3"/>
      <c r="UEU132" s="3"/>
      <c r="UEV132" s="3"/>
      <c r="UEW132" s="3"/>
      <c r="UEX132" s="3"/>
      <c r="UEY132" s="3"/>
      <c r="UEZ132" s="3"/>
      <c r="UFA132" s="3"/>
      <c r="UFB132" s="3"/>
      <c r="UFC132" s="3"/>
      <c r="UFD132" s="3"/>
      <c r="UFE132" s="3"/>
      <c r="UFF132" s="3"/>
      <c r="UFG132" s="3"/>
      <c r="UFH132" s="3"/>
      <c r="UFI132" s="3"/>
      <c r="UFJ132" s="3"/>
      <c r="UFK132" s="3"/>
      <c r="UFL132" s="3"/>
      <c r="UFM132" s="3"/>
      <c r="UFN132" s="3"/>
      <c r="UFO132" s="3"/>
      <c r="UFP132" s="3"/>
      <c r="UFQ132" s="3"/>
      <c r="UFR132" s="3"/>
      <c r="UFS132" s="3"/>
      <c r="UFT132" s="3"/>
      <c r="UFU132" s="3"/>
      <c r="UFV132" s="3"/>
      <c r="UFW132" s="3"/>
      <c r="UFX132" s="3"/>
      <c r="UFY132" s="3"/>
      <c r="UFZ132" s="3"/>
      <c r="UGA132" s="3"/>
      <c r="UGB132" s="3"/>
      <c r="UGC132" s="3"/>
      <c r="UGD132" s="3"/>
      <c r="UGE132" s="3"/>
      <c r="UGF132" s="3"/>
      <c r="UGG132" s="3"/>
      <c r="UGH132" s="3"/>
      <c r="UGI132" s="3"/>
      <c r="UGJ132" s="3"/>
      <c r="UGK132" s="3"/>
      <c r="UGL132" s="3"/>
      <c r="UGM132" s="3"/>
      <c r="UGN132" s="3"/>
      <c r="UGO132" s="3"/>
      <c r="UGP132" s="3"/>
      <c r="UGQ132" s="3"/>
      <c r="UGR132" s="3"/>
      <c r="UGS132" s="3"/>
      <c r="UGT132" s="3"/>
      <c r="UGU132" s="3"/>
      <c r="UGV132" s="3"/>
      <c r="UGW132" s="3"/>
      <c r="UGX132" s="3"/>
      <c r="UGY132" s="3"/>
      <c r="UGZ132" s="3"/>
      <c r="UHA132" s="3"/>
      <c r="UHB132" s="3"/>
      <c r="UHC132" s="3"/>
      <c r="UHD132" s="3"/>
      <c r="UHE132" s="3"/>
      <c r="UHF132" s="3"/>
      <c r="UHG132" s="3"/>
      <c r="UHH132" s="3"/>
      <c r="UHI132" s="3"/>
      <c r="UHJ132" s="3"/>
      <c r="UHK132" s="3"/>
      <c r="UHL132" s="3"/>
      <c r="UHM132" s="3"/>
      <c r="UHN132" s="3"/>
      <c r="UHO132" s="3"/>
      <c r="UHP132" s="3"/>
      <c r="UHQ132" s="3"/>
      <c r="UHR132" s="3"/>
      <c r="UHS132" s="3"/>
      <c r="UHT132" s="3"/>
      <c r="UHU132" s="3"/>
      <c r="UHV132" s="3"/>
      <c r="UHW132" s="3"/>
      <c r="UHX132" s="3"/>
      <c r="UHY132" s="3"/>
      <c r="UHZ132" s="3"/>
      <c r="UIA132" s="3"/>
      <c r="UIB132" s="3"/>
      <c r="UIC132" s="3"/>
      <c r="UID132" s="3"/>
      <c r="UIE132" s="3"/>
      <c r="UIF132" s="3"/>
      <c r="UIG132" s="3"/>
      <c r="UIH132" s="3"/>
      <c r="UII132" s="3"/>
      <c r="UIJ132" s="3"/>
      <c r="UIK132" s="3"/>
      <c r="UIL132" s="3"/>
      <c r="UIM132" s="3"/>
      <c r="UIN132" s="3"/>
      <c r="UIO132" s="3"/>
      <c r="UIP132" s="3"/>
      <c r="UIQ132" s="3"/>
      <c r="UIR132" s="3"/>
      <c r="UIS132" s="3"/>
      <c r="UIT132" s="3"/>
      <c r="UIU132" s="3"/>
      <c r="UIV132" s="3"/>
      <c r="UIW132" s="3"/>
      <c r="UIX132" s="3"/>
      <c r="UIY132" s="3"/>
      <c r="UIZ132" s="3"/>
      <c r="UJA132" s="3"/>
      <c r="UJB132" s="3"/>
      <c r="UJC132" s="3"/>
      <c r="UJD132" s="3"/>
      <c r="UJE132" s="3"/>
      <c r="UJF132" s="3"/>
      <c r="UJG132" s="3"/>
      <c r="UJH132" s="3"/>
      <c r="UJI132" s="3"/>
      <c r="UJJ132" s="3"/>
      <c r="UJK132" s="3"/>
      <c r="UJL132" s="3"/>
      <c r="UJM132" s="3"/>
      <c r="UJN132" s="3"/>
      <c r="UJO132" s="3"/>
      <c r="UJP132" s="3"/>
      <c r="UJQ132" s="3"/>
      <c r="UJR132" s="3"/>
      <c r="UJS132" s="3"/>
      <c r="UJT132" s="3"/>
      <c r="UJU132" s="3"/>
      <c r="UJV132" s="3"/>
      <c r="UJW132" s="3"/>
      <c r="UJX132" s="3"/>
      <c r="UJY132" s="3"/>
      <c r="UJZ132" s="3"/>
      <c r="UKA132" s="3"/>
      <c r="UKB132" s="3"/>
      <c r="UKC132" s="3"/>
      <c r="UKD132" s="3"/>
      <c r="UKE132" s="3"/>
      <c r="UKF132" s="3"/>
      <c r="UKG132" s="3"/>
      <c r="UKH132" s="3"/>
      <c r="UKI132" s="3"/>
      <c r="UKJ132" s="3"/>
      <c r="UKK132" s="3"/>
      <c r="UKL132" s="3"/>
      <c r="UKM132" s="3"/>
      <c r="UKN132" s="3"/>
      <c r="UKO132" s="3"/>
      <c r="UKP132" s="3"/>
      <c r="UKQ132" s="3"/>
      <c r="UKR132" s="3"/>
      <c r="UKS132" s="3"/>
      <c r="UKT132" s="3"/>
      <c r="UKU132" s="3"/>
      <c r="UKV132" s="3"/>
      <c r="UKW132" s="3"/>
      <c r="UKX132" s="3"/>
      <c r="UKY132" s="3"/>
      <c r="UKZ132" s="3"/>
      <c r="ULA132" s="3"/>
      <c r="ULB132" s="3"/>
      <c r="ULC132" s="3"/>
      <c r="ULD132" s="3"/>
      <c r="ULE132" s="3"/>
      <c r="ULF132" s="3"/>
      <c r="ULG132" s="3"/>
      <c r="ULH132" s="3"/>
      <c r="ULI132" s="3"/>
      <c r="ULJ132" s="3"/>
      <c r="ULK132" s="3"/>
      <c r="ULL132" s="3"/>
      <c r="ULM132" s="3"/>
      <c r="ULN132" s="3"/>
      <c r="ULO132" s="3"/>
      <c r="ULP132" s="3"/>
      <c r="ULQ132" s="3"/>
      <c r="ULR132" s="3"/>
      <c r="ULS132" s="3"/>
      <c r="ULT132" s="3"/>
      <c r="ULU132" s="3"/>
      <c r="ULV132" s="3"/>
      <c r="ULW132" s="3"/>
      <c r="ULX132" s="3"/>
      <c r="ULY132" s="3"/>
      <c r="ULZ132" s="3"/>
      <c r="UMA132" s="3"/>
      <c r="UMB132" s="3"/>
      <c r="UMC132" s="3"/>
      <c r="UMD132" s="3"/>
      <c r="UME132" s="3"/>
      <c r="UMF132" s="3"/>
      <c r="UMG132" s="3"/>
      <c r="UMH132" s="3"/>
      <c r="UMI132" s="3"/>
      <c r="UMJ132" s="3"/>
      <c r="UMK132" s="3"/>
      <c r="UML132" s="3"/>
      <c r="UMM132" s="3"/>
      <c r="UMN132" s="3"/>
      <c r="UMO132" s="3"/>
      <c r="UMP132" s="3"/>
      <c r="UMQ132" s="3"/>
      <c r="UMR132" s="3"/>
      <c r="UMS132" s="3"/>
      <c r="UMT132" s="3"/>
      <c r="UMU132" s="3"/>
      <c r="UMV132" s="3"/>
      <c r="UMW132" s="3"/>
      <c r="UMX132" s="3"/>
      <c r="UMY132" s="3"/>
      <c r="UMZ132" s="3"/>
      <c r="UNA132" s="3"/>
      <c r="UNB132" s="3"/>
      <c r="UNC132" s="3"/>
      <c r="UND132" s="3"/>
      <c r="UNE132" s="3"/>
      <c r="UNF132" s="3"/>
      <c r="UNG132" s="3"/>
      <c r="UNH132" s="3"/>
      <c r="UNI132" s="3"/>
      <c r="UNJ132" s="3"/>
      <c r="UNK132" s="3"/>
      <c r="UNL132" s="3"/>
      <c r="UNM132" s="3"/>
      <c r="UNN132" s="3"/>
      <c r="UNO132" s="3"/>
      <c r="UNP132" s="3"/>
      <c r="UNQ132" s="3"/>
      <c r="UNR132" s="3"/>
      <c r="UNS132" s="3"/>
      <c r="UNT132" s="3"/>
      <c r="UNU132" s="3"/>
      <c r="UNV132" s="3"/>
      <c r="UNW132" s="3"/>
      <c r="UNX132" s="3"/>
      <c r="UNY132" s="3"/>
      <c r="UNZ132" s="3"/>
      <c r="UOA132" s="3"/>
      <c r="UOB132" s="3"/>
      <c r="UOC132" s="3"/>
      <c r="UOD132" s="3"/>
      <c r="UOE132" s="3"/>
      <c r="UOF132" s="3"/>
      <c r="UOG132" s="3"/>
      <c r="UOH132" s="3"/>
      <c r="UOI132" s="3"/>
      <c r="UOJ132" s="3"/>
      <c r="UOK132" s="3"/>
      <c r="UOL132" s="3"/>
      <c r="UOM132" s="3"/>
      <c r="UON132" s="3"/>
      <c r="UOO132" s="3"/>
      <c r="UOP132" s="3"/>
      <c r="UOQ132" s="3"/>
      <c r="UOR132" s="3"/>
      <c r="UOS132" s="3"/>
      <c r="UOT132" s="3"/>
      <c r="UOU132" s="3"/>
      <c r="UOV132" s="3"/>
      <c r="UOW132" s="3"/>
      <c r="UOX132" s="3"/>
      <c r="UOY132" s="3"/>
      <c r="UOZ132" s="3"/>
      <c r="UPA132" s="3"/>
      <c r="UPB132" s="3"/>
      <c r="UPC132" s="3"/>
      <c r="UPD132" s="3"/>
      <c r="UPE132" s="3"/>
      <c r="UPF132" s="3"/>
      <c r="UPG132" s="3"/>
      <c r="UPH132" s="3"/>
      <c r="UPI132" s="3"/>
      <c r="UPJ132" s="3"/>
      <c r="UPK132" s="3"/>
      <c r="UPL132" s="3"/>
      <c r="UPM132" s="3"/>
      <c r="UPN132" s="3"/>
      <c r="UPO132" s="3"/>
      <c r="UPP132" s="3"/>
      <c r="UPQ132" s="3"/>
      <c r="UPR132" s="3"/>
      <c r="UPS132" s="3"/>
      <c r="UPT132" s="3"/>
      <c r="UPU132" s="3"/>
      <c r="UPV132" s="3"/>
      <c r="UPW132" s="3"/>
      <c r="UPX132" s="3"/>
      <c r="UPY132" s="3"/>
      <c r="UPZ132" s="3"/>
      <c r="UQA132" s="3"/>
      <c r="UQB132" s="3"/>
      <c r="UQC132" s="3"/>
      <c r="UQD132" s="3"/>
      <c r="UQE132" s="3"/>
      <c r="UQF132" s="3"/>
      <c r="UQG132" s="3"/>
      <c r="UQH132" s="3"/>
      <c r="UQI132" s="3"/>
      <c r="UQJ132" s="3"/>
      <c r="UQK132" s="3"/>
      <c r="UQL132" s="3"/>
      <c r="UQM132" s="3"/>
      <c r="UQN132" s="3"/>
      <c r="UQO132" s="3"/>
      <c r="UQP132" s="3"/>
      <c r="UQQ132" s="3"/>
      <c r="UQR132" s="3"/>
      <c r="UQS132" s="3"/>
      <c r="UQT132" s="3"/>
      <c r="UQU132" s="3"/>
      <c r="UQV132" s="3"/>
      <c r="UQW132" s="3"/>
      <c r="UQX132" s="3"/>
      <c r="UQY132" s="3"/>
      <c r="UQZ132" s="3"/>
      <c r="URA132" s="3"/>
      <c r="URB132" s="3"/>
      <c r="URC132" s="3"/>
      <c r="URD132" s="3"/>
      <c r="URE132" s="3"/>
      <c r="URF132" s="3"/>
      <c r="URG132" s="3"/>
      <c r="URH132" s="3"/>
      <c r="URI132" s="3"/>
      <c r="URJ132" s="3"/>
      <c r="URK132" s="3"/>
      <c r="URL132" s="3"/>
      <c r="URM132" s="3"/>
      <c r="URN132" s="3"/>
      <c r="URO132" s="3"/>
      <c r="URP132" s="3"/>
      <c r="URQ132" s="3"/>
      <c r="URR132" s="3"/>
      <c r="URS132" s="3"/>
      <c r="URT132" s="3"/>
      <c r="URU132" s="3"/>
      <c r="URV132" s="3"/>
      <c r="URW132" s="3"/>
      <c r="URX132" s="3"/>
      <c r="URY132" s="3"/>
      <c r="URZ132" s="3"/>
      <c r="USA132" s="3"/>
      <c r="USB132" s="3"/>
      <c r="USC132" s="3"/>
      <c r="USD132" s="3"/>
      <c r="USE132" s="3"/>
      <c r="USF132" s="3"/>
      <c r="USG132" s="3"/>
      <c r="USH132" s="3"/>
      <c r="USI132" s="3"/>
      <c r="USJ132" s="3"/>
      <c r="USK132" s="3"/>
      <c r="USL132" s="3"/>
      <c r="USM132" s="3"/>
      <c r="USN132" s="3"/>
      <c r="USO132" s="3"/>
      <c r="USP132" s="3"/>
      <c r="USQ132" s="3"/>
      <c r="USR132" s="3"/>
      <c r="USS132" s="3"/>
      <c r="UST132" s="3"/>
      <c r="USU132" s="3"/>
      <c r="USV132" s="3"/>
      <c r="USW132" s="3"/>
      <c r="USX132" s="3"/>
      <c r="USY132" s="3"/>
      <c r="USZ132" s="3"/>
      <c r="UTA132" s="3"/>
      <c r="UTB132" s="3"/>
      <c r="UTC132" s="3"/>
      <c r="UTD132" s="3"/>
      <c r="UTE132" s="3"/>
      <c r="UTF132" s="3"/>
      <c r="UTG132" s="3"/>
      <c r="UTH132" s="3"/>
      <c r="UTI132" s="3"/>
      <c r="UTJ132" s="3"/>
      <c r="UTK132" s="3"/>
      <c r="UTL132" s="3"/>
      <c r="UTM132" s="3"/>
      <c r="UTN132" s="3"/>
      <c r="UTO132" s="3"/>
      <c r="UTP132" s="3"/>
      <c r="UTQ132" s="3"/>
      <c r="UTR132" s="3"/>
      <c r="UTS132" s="3"/>
      <c r="UTT132" s="3"/>
      <c r="UTU132" s="3"/>
      <c r="UTV132" s="3"/>
      <c r="UTW132" s="3"/>
      <c r="UTX132" s="3"/>
      <c r="UTY132" s="3"/>
      <c r="UTZ132" s="3"/>
      <c r="UUA132" s="3"/>
      <c r="UUB132" s="3"/>
      <c r="UUC132" s="3"/>
      <c r="UUD132" s="3"/>
      <c r="UUE132" s="3"/>
      <c r="UUF132" s="3"/>
      <c r="UUG132" s="3"/>
      <c r="UUH132" s="3"/>
      <c r="UUI132" s="3"/>
      <c r="UUJ132" s="3"/>
      <c r="UUK132" s="3"/>
      <c r="UUL132" s="3"/>
      <c r="UUM132" s="3"/>
      <c r="UUN132" s="3"/>
      <c r="UUO132" s="3"/>
      <c r="UUP132" s="3"/>
      <c r="UUQ132" s="3"/>
      <c r="UUR132" s="3"/>
      <c r="UUS132" s="3"/>
      <c r="UUT132" s="3"/>
      <c r="UUU132" s="3"/>
      <c r="UUV132" s="3"/>
      <c r="UUW132" s="3"/>
      <c r="UUX132" s="3"/>
      <c r="UUY132" s="3"/>
      <c r="UUZ132" s="3"/>
      <c r="UVA132" s="3"/>
      <c r="UVB132" s="3"/>
      <c r="UVC132" s="3"/>
      <c r="UVD132" s="3"/>
      <c r="UVE132" s="3"/>
      <c r="UVF132" s="3"/>
      <c r="UVG132" s="3"/>
      <c r="UVH132" s="3"/>
      <c r="UVI132" s="3"/>
      <c r="UVJ132" s="3"/>
      <c r="UVK132" s="3"/>
      <c r="UVL132" s="3"/>
      <c r="UVM132" s="3"/>
      <c r="UVN132" s="3"/>
      <c r="UVO132" s="3"/>
      <c r="UVP132" s="3"/>
      <c r="UVQ132" s="3"/>
      <c r="UVR132" s="3"/>
      <c r="UVS132" s="3"/>
      <c r="UVT132" s="3"/>
      <c r="UVU132" s="3"/>
      <c r="UVV132" s="3"/>
      <c r="UVW132" s="3"/>
      <c r="UVX132" s="3"/>
      <c r="UVY132" s="3"/>
      <c r="UVZ132" s="3"/>
      <c r="UWA132" s="3"/>
      <c r="UWB132" s="3"/>
      <c r="UWC132" s="3"/>
      <c r="UWD132" s="3"/>
      <c r="UWE132" s="3"/>
      <c r="UWF132" s="3"/>
      <c r="UWG132" s="3"/>
      <c r="UWH132" s="3"/>
      <c r="UWI132" s="3"/>
      <c r="UWJ132" s="3"/>
      <c r="UWK132" s="3"/>
      <c r="UWL132" s="3"/>
      <c r="UWM132" s="3"/>
      <c r="UWN132" s="3"/>
      <c r="UWO132" s="3"/>
      <c r="UWP132" s="3"/>
      <c r="UWQ132" s="3"/>
      <c r="UWR132" s="3"/>
      <c r="UWS132" s="3"/>
      <c r="UWT132" s="3"/>
      <c r="UWU132" s="3"/>
      <c r="UWV132" s="3"/>
      <c r="UWW132" s="3"/>
      <c r="UWX132" s="3"/>
      <c r="UWY132" s="3"/>
      <c r="UWZ132" s="3"/>
      <c r="UXA132" s="3"/>
      <c r="UXB132" s="3"/>
      <c r="UXC132" s="3"/>
      <c r="UXD132" s="3"/>
      <c r="UXE132" s="3"/>
      <c r="UXF132" s="3"/>
      <c r="UXG132" s="3"/>
      <c r="UXH132" s="3"/>
      <c r="UXI132" s="3"/>
      <c r="UXJ132" s="3"/>
      <c r="UXK132" s="3"/>
      <c r="UXL132" s="3"/>
      <c r="UXM132" s="3"/>
      <c r="UXN132" s="3"/>
      <c r="UXO132" s="3"/>
      <c r="UXP132" s="3"/>
      <c r="UXQ132" s="3"/>
      <c r="UXR132" s="3"/>
      <c r="UXS132" s="3"/>
      <c r="UXT132" s="3"/>
      <c r="UXU132" s="3"/>
      <c r="UXV132" s="3"/>
      <c r="UXW132" s="3"/>
      <c r="UXX132" s="3"/>
      <c r="UXY132" s="3"/>
      <c r="UXZ132" s="3"/>
      <c r="UYA132" s="3"/>
      <c r="UYB132" s="3"/>
      <c r="UYC132" s="3"/>
      <c r="UYD132" s="3"/>
      <c r="UYE132" s="3"/>
      <c r="UYF132" s="3"/>
      <c r="UYG132" s="3"/>
      <c r="UYH132" s="3"/>
      <c r="UYI132" s="3"/>
      <c r="UYJ132" s="3"/>
      <c r="UYK132" s="3"/>
      <c r="UYL132" s="3"/>
      <c r="UYM132" s="3"/>
      <c r="UYN132" s="3"/>
      <c r="UYO132" s="3"/>
      <c r="UYP132" s="3"/>
      <c r="UYQ132" s="3"/>
      <c r="UYR132" s="3"/>
      <c r="UYS132" s="3"/>
      <c r="UYT132" s="3"/>
      <c r="UYU132" s="3"/>
      <c r="UYV132" s="3"/>
      <c r="UYW132" s="3"/>
      <c r="UYX132" s="3"/>
      <c r="UYY132" s="3"/>
      <c r="UYZ132" s="3"/>
      <c r="UZA132" s="3"/>
      <c r="UZB132" s="3"/>
      <c r="UZC132" s="3"/>
      <c r="UZD132" s="3"/>
      <c r="UZE132" s="3"/>
      <c r="UZF132" s="3"/>
      <c r="UZG132" s="3"/>
      <c r="UZH132" s="3"/>
      <c r="UZI132" s="3"/>
      <c r="UZJ132" s="3"/>
      <c r="UZK132" s="3"/>
      <c r="UZL132" s="3"/>
      <c r="UZM132" s="3"/>
      <c r="UZN132" s="3"/>
      <c r="UZO132" s="3"/>
      <c r="UZP132" s="3"/>
      <c r="UZQ132" s="3"/>
      <c r="UZR132" s="3"/>
      <c r="UZS132" s="3"/>
      <c r="UZT132" s="3"/>
      <c r="UZU132" s="3"/>
      <c r="UZV132" s="3"/>
      <c r="UZW132" s="3"/>
      <c r="UZX132" s="3"/>
      <c r="UZY132" s="3"/>
      <c r="UZZ132" s="3"/>
      <c r="VAA132" s="3"/>
      <c r="VAB132" s="3"/>
      <c r="VAC132" s="3"/>
      <c r="VAD132" s="3"/>
      <c r="VAE132" s="3"/>
      <c r="VAF132" s="3"/>
      <c r="VAG132" s="3"/>
      <c r="VAH132" s="3"/>
      <c r="VAI132" s="3"/>
      <c r="VAJ132" s="3"/>
      <c r="VAK132" s="3"/>
      <c r="VAL132" s="3"/>
      <c r="VAM132" s="3"/>
      <c r="VAN132" s="3"/>
      <c r="VAO132" s="3"/>
      <c r="VAP132" s="3"/>
      <c r="VAQ132" s="3"/>
      <c r="VAR132" s="3"/>
      <c r="VAS132" s="3"/>
      <c r="VAT132" s="3"/>
      <c r="VAU132" s="3"/>
      <c r="VAV132" s="3"/>
      <c r="VAW132" s="3"/>
      <c r="VAX132" s="3"/>
      <c r="VAY132" s="3"/>
      <c r="VAZ132" s="3"/>
      <c r="VBA132" s="3"/>
      <c r="VBB132" s="3"/>
      <c r="VBC132" s="3"/>
      <c r="VBD132" s="3"/>
      <c r="VBE132" s="3"/>
      <c r="VBF132" s="3"/>
      <c r="VBG132" s="3"/>
      <c r="VBH132" s="3"/>
      <c r="VBI132" s="3"/>
      <c r="VBJ132" s="3"/>
      <c r="VBK132" s="3"/>
      <c r="VBL132" s="3"/>
      <c r="VBM132" s="3"/>
      <c r="VBN132" s="3"/>
      <c r="VBO132" s="3"/>
      <c r="VBP132" s="3"/>
      <c r="VBQ132" s="3"/>
      <c r="VBR132" s="3"/>
      <c r="VBS132" s="3"/>
      <c r="VBT132" s="3"/>
      <c r="VBU132" s="3"/>
      <c r="VBV132" s="3"/>
      <c r="VBW132" s="3"/>
      <c r="VBX132" s="3"/>
      <c r="VBY132" s="3"/>
      <c r="VBZ132" s="3"/>
      <c r="VCA132" s="3"/>
      <c r="VCB132" s="3"/>
      <c r="VCC132" s="3"/>
      <c r="VCD132" s="3"/>
      <c r="VCE132" s="3"/>
      <c r="VCF132" s="3"/>
      <c r="VCG132" s="3"/>
      <c r="VCH132" s="3"/>
      <c r="VCI132" s="3"/>
      <c r="VCJ132" s="3"/>
      <c r="VCK132" s="3"/>
      <c r="VCL132" s="3"/>
      <c r="VCM132" s="3"/>
      <c r="VCN132" s="3"/>
      <c r="VCO132" s="3"/>
      <c r="VCP132" s="3"/>
      <c r="VCQ132" s="3"/>
      <c r="VCR132" s="3"/>
      <c r="VCS132" s="3"/>
      <c r="VCT132" s="3"/>
      <c r="VCU132" s="3"/>
      <c r="VCV132" s="3"/>
      <c r="VCW132" s="3"/>
      <c r="VCX132" s="3"/>
      <c r="VCY132" s="3"/>
      <c r="VCZ132" s="3"/>
      <c r="VDA132" s="3"/>
      <c r="VDB132" s="3"/>
      <c r="VDC132" s="3"/>
      <c r="VDD132" s="3"/>
      <c r="VDE132" s="3"/>
      <c r="VDF132" s="3"/>
      <c r="VDG132" s="3"/>
      <c r="VDH132" s="3"/>
      <c r="VDI132" s="3"/>
      <c r="VDJ132" s="3"/>
      <c r="VDK132" s="3"/>
      <c r="VDL132" s="3"/>
      <c r="VDM132" s="3"/>
      <c r="VDN132" s="3"/>
      <c r="VDO132" s="3"/>
      <c r="VDP132" s="3"/>
      <c r="VDQ132" s="3"/>
      <c r="VDR132" s="3"/>
      <c r="VDS132" s="3"/>
      <c r="VDT132" s="3"/>
      <c r="VDU132" s="3"/>
      <c r="VDV132" s="3"/>
      <c r="VDW132" s="3"/>
      <c r="VDX132" s="3"/>
      <c r="VDY132" s="3"/>
      <c r="VDZ132" s="3"/>
      <c r="VEA132" s="3"/>
      <c r="VEB132" s="3"/>
      <c r="VEC132" s="3"/>
      <c r="VED132" s="3"/>
      <c r="VEE132" s="3"/>
      <c r="VEF132" s="3"/>
      <c r="VEG132" s="3"/>
      <c r="VEH132" s="3"/>
      <c r="VEI132" s="3"/>
      <c r="VEJ132" s="3"/>
      <c r="VEK132" s="3"/>
      <c r="VEL132" s="3"/>
      <c r="VEM132" s="3"/>
      <c r="VEN132" s="3"/>
      <c r="VEO132" s="3"/>
      <c r="VEP132" s="3"/>
      <c r="VEQ132" s="3"/>
      <c r="VER132" s="3"/>
      <c r="VES132" s="3"/>
      <c r="VET132" s="3"/>
      <c r="VEU132" s="3"/>
      <c r="VEV132" s="3"/>
      <c r="VEW132" s="3"/>
      <c r="VEX132" s="3"/>
      <c r="VEY132" s="3"/>
      <c r="VEZ132" s="3"/>
      <c r="VFA132" s="3"/>
      <c r="VFB132" s="3"/>
      <c r="VFC132" s="3"/>
      <c r="VFD132" s="3"/>
      <c r="VFE132" s="3"/>
      <c r="VFF132" s="3"/>
      <c r="VFG132" s="3"/>
      <c r="VFH132" s="3"/>
      <c r="VFI132" s="3"/>
      <c r="VFJ132" s="3"/>
      <c r="VFK132" s="3"/>
      <c r="VFL132" s="3"/>
      <c r="VFM132" s="3"/>
      <c r="VFN132" s="3"/>
      <c r="VFO132" s="3"/>
      <c r="VFP132" s="3"/>
      <c r="VFQ132" s="3"/>
      <c r="VFR132" s="3"/>
      <c r="VFS132" s="3"/>
      <c r="VFT132" s="3"/>
      <c r="VFU132" s="3"/>
      <c r="VFV132" s="3"/>
      <c r="VFW132" s="3"/>
      <c r="VFX132" s="3"/>
      <c r="VFY132" s="3"/>
      <c r="VFZ132" s="3"/>
      <c r="VGA132" s="3"/>
      <c r="VGB132" s="3"/>
      <c r="VGC132" s="3"/>
      <c r="VGD132" s="3"/>
      <c r="VGE132" s="3"/>
      <c r="VGF132" s="3"/>
      <c r="VGG132" s="3"/>
      <c r="VGH132" s="3"/>
      <c r="VGI132" s="3"/>
      <c r="VGJ132" s="3"/>
      <c r="VGK132" s="3"/>
      <c r="VGL132" s="3"/>
      <c r="VGM132" s="3"/>
      <c r="VGN132" s="3"/>
      <c r="VGO132" s="3"/>
      <c r="VGP132" s="3"/>
      <c r="VGQ132" s="3"/>
      <c r="VGR132" s="3"/>
      <c r="VGS132" s="3"/>
      <c r="VGT132" s="3"/>
      <c r="VGU132" s="3"/>
      <c r="VGV132" s="3"/>
      <c r="VGW132" s="3"/>
      <c r="VGX132" s="3"/>
      <c r="VGY132" s="3"/>
      <c r="VGZ132" s="3"/>
      <c r="VHA132" s="3"/>
      <c r="VHB132" s="3"/>
      <c r="VHC132" s="3"/>
      <c r="VHD132" s="3"/>
      <c r="VHE132" s="3"/>
      <c r="VHF132" s="3"/>
      <c r="VHG132" s="3"/>
      <c r="VHH132" s="3"/>
      <c r="VHI132" s="3"/>
      <c r="VHJ132" s="3"/>
      <c r="VHK132" s="3"/>
      <c r="VHL132" s="3"/>
      <c r="VHM132" s="3"/>
      <c r="VHN132" s="3"/>
      <c r="VHO132" s="3"/>
      <c r="VHP132" s="3"/>
      <c r="VHQ132" s="3"/>
      <c r="VHR132" s="3"/>
      <c r="VHS132" s="3"/>
      <c r="VHT132" s="3"/>
      <c r="VHU132" s="3"/>
      <c r="VHV132" s="3"/>
      <c r="VHW132" s="3"/>
      <c r="VHX132" s="3"/>
      <c r="VHY132" s="3"/>
      <c r="VHZ132" s="3"/>
      <c r="VIA132" s="3"/>
      <c r="VIB132" s="3"/>
      <c r="VIC132" s="3"/>
      <c r="VID132" s="3"/>
      <c r="VIE132" s="3"/>
      <c r="VIF132" s="3"/>
      <c r="VIG132" s="3"/>
      <c r="VIH132" s="3"/>
      <c r="VII132" s="3"/>
      <c r="VIJ132" s="3"/>
      <c r="VIK132" s="3"/>
      <c r="VIL132" s="3"/>
      <c r="VIM132" s="3"/>
      <c r="VIN132" s="3"/>
      <c r="VIO132" s="3"/>
      <c r="VIP132" s="3"/>
      <c r="VIQ132" s="3"/>
      <c r="VIR132"/>
      <c r="VIS132"/>
      <c r="VIT132"/>
      <c r="VIU132"/>
      <c r="VIV132"/>
      <c r="VIW132"/>
      <c r="VIX132"/>
      <c r="VIY132"/>
      <c r="VIZ132"/>
      <c r="VJA132"/>
      <c r="VJB132"/>
      <c r="VJC132"/>
      <c r="VJD132"/>
      <c r="VJE132"/>
      <c r="VJF132"/>
      <c r="VJG132"/>
      <c r="VJH132"/>
      <c r="VJI132"/>
      <c r="VJJ132"/>
      <c r="VJK132"/>
      <c r="VJL132"/>
      <c r="VJM132"/>
      <c r="VJN132"/>
      <c r="VJO132"/>
      <c r="VJP132"/>
      <c r="VJQ132"/>
      <c r="VJR132"/>
      <c r="VJS132"/>
      <c r="VJT132"/>
      <c r="VJU132"/>
      <c r="VJV132"/>
      <c r="VJW132"/>
      <c r="VJX132"/>
      <c r="VJY132"/>
      <c r="VJZ132"/>
      <c r="VKA132"/>
      <c r="VKB132"/>
      <c r="VKC132"/>
      <c r="VKD132"/>
      <c r="VKE132"/>
      <c r="VKF132"/>
      <c r="VKG132"/>
      <c r="VKH132"/>
      <c r="VKI132"/>
      <c r="VKJ132"/>
      <c r="VKK132"/>
      <c r="VKL132"/>
      <c r="VKM132"/>
      <c r="VKN132"/>
      <c r="VKO132"/>
      <c r="VKP132"/>
      <c r="VKQ132"/>
      <c r="VKR132"/>
      <c r="VKS132"/>
      <c r="VKT132"/>
      <c r="VKU132"/>
      <c r="VKV132"/>
      <c r="VKW132"/>
      <c r="VKX132"/>
      <c r="VKY132"/>
      <c r="VKZ132"/>
      <c r="VLA132"/>
      <c r="VLB132"/>
      <c r="VLC132"/>
      <c r="VLD132"/>
      <c r="VLE132"/>
      <c r="VLF132"/>
      <c r="VLG132"/>
      <c r="VLH132"/>
      <c r="VLI132"/>
      <c r="VLJ132"/>
      <c r="VLK132"/>
      <c r="VLL132"/>
      <c r="VLM132"/>
      <c r="VLN132"/>
      <c r="VLO132"/>
      <c r="VLP132"/>
      <c r="VLQ132"/>
      <c r="VLR132"/>
      <c r="VLS132"/>
      <c r="VLT132"/>
      <c r="VLU132"/>
      <c r="VLV132"/>
      <c r="VLW132"/>
      <c r="VLX132"/>
      <c r="VLY132"/>
      <c r="VLZ132"/>
      <c r="VMA132"/>
      <c r="VMB132"/>
      <c r="VMC132"/>
      <c r="VMD132"/>
      <c r="VME132"/>
      <c r="VMF132"/>
      <c r="VMG132"/>
      <c r="VMH132"/>
      <c r="VMI132"/>
      <c r="VMJ132"/>
      <c r="VMK132"/>
      <c r="VML132"/>
      <c r="VMM132"/>
      <c r="VMN132"/>
      <c r="VMO132"/>
      <c r="VMP132"/>
      <c r="VMQ132"/>
      <c r="VMR132"/>
      <c r="VMS132"/>
      <c r="VMT132"/>
      <c r="VMU132"/>
      <c r="VMV132"/>
      <c r="VMW132"/>
      <c r="VMX132"/>
      <c r="VMY132"/>
      <c r="VMZ132"/>
      <c r="VNA132"/>
      <c r="VNB132"/>
      <c r="VNC132"/>
      <c r="VND132"/>
      <c r="VNE132"/>
      <c r="VNF132"/>
      <c r="VNG132"/>
      <c r="VNH132"/>
      <c r="VNI132"/>
      <c r="VNJ132"/>
      <c r="VNK132"/>
      <c r="VNL132"/>
      <c r="VNM132"/>
      <c r="VNN132"/>
      <c r="VNO132"/>
      <c r="VNP132"/>
      <c r="VNQ132"/>
      <c r="VNR132"/>
      <c r="VNS132"/>
      <c r="VNT132"/>
      <c r="VNU132"/>
      <c r="VNV132"/>
      <c r="VNW132"/>
      <c r="VNX132"/>
      <c r="VNY132"/>
      <c r="VNZ132"/>
      <c r="VOA132"/>
      <c r="VOB132"/>
      <c r="VOC132"/>
      <c r="VOD132"/>
      <c r="VOE132"/>
      <c r="VOF132"/>
      <c r="VOG132"/>
      <c r="VOH132"/>
      <c r="VOI132"/>
      <c r="VOJ132"/>
      <c r="VOK132"/>
      <c r="VOL132"/>
      <c r="VOM132"/>
      <c r="VON132"/>
      <c r="VOO132"/>
      <c r="VOP132"/>
      <c r="VOQ132"/>
      <c r="VOR132"/>
      <c r="VOS132"/>
      <c r="VOT132"/>
      <c r="VOU132"/>
      <c r="VOV132"/>
      <c r="VOW132"/>
      <c r="VOX132"/>
      <c r="VOY132"/>
      <c r="VOZ132"/>
      <c r="VPA132"/>
      <c r="VPB132"/>
      <c r="VPC132"/>
      <c r="VPD132"/>
      <c r="VPE132"/>
      <c r="VPF132"/>
      <c r="VPG132"/>
      <c r="VPH132"/>
      <c r="VPI132"/>
      <c r="VPJ132"/>
      <c r="VPK132"/>
      <c r="VPL132"/>
      <c r="VPM132"/>
      <c r="VPN132"/>
      <c r="VPO132"/>
      <c r="VPP132"/>
      <c r="VPQ132"/>
      <c r="VPR132"/>
      <c r="VPS132"/>
      <c r="VPT132"/>
      <c r="VPU132"/>
      <c r="VPV132"/>
      <c r="VPW132"/>
      <c r="VPX132"/>
      <c r="VPY132"/>
      <c r="VPZ132"/>
      <c r="VQA132"/>
      <c r="VQB132"/>
      <c r="VQC132"/>
      <c r="VQD132"/>
      <c r="VQE132"/>
      <c r="VQF132"/>
      <c r="VQG132"/>
      <c r="VQH132"/>
      <c r="VQI132"/>
      <c r="VQJ132"/>
      <c r="VQK132"/>
      <c r="VQL132"/>
      <c r="VQM132"/>
      <c r="VQN132"/>
      <c r="VQO132"/>
      <c r="VQP132"/>
      <c r="VQQ132"/>
      <c r="VQR132"/>
      <c r="VQS132"/>
      <c r="VQT132"/>
      <c r="VQU132"/>
      <c r="VQV132"/>
      <c r="VQW132"/>
      <c r="VQX132"/>
      <c r="VQY132"/>
      <c r="VQZ132"/>
      <c r="VRA132"/>
      <c r="VRB132"/>
      <c r="VRC132"/>
      <c r="VRD132"/>
      <c r="VRE132"/>
      <c r="VRF132"/>
      <c r="VRG132"/>
      <c r="VRH132"/>
      <c r="VRI132"/>
      <c r="VRJ132"/>
      <c r="VRK132"/>
      <c r="VRL132"/>
      <c r="VRM132"/>
      <c r="VRN132"/>
      <c r="VRO132"/>
      <c r="VRP132"/>
      <c r="VRQ132"/>
      <c r="VRR132"/>
      <c r="VRS132"/>
      <c r="VRT132"/>
      <c r="VRU132"/>
      <c r="VRV132"/>
      <c r="VRW132"/>
      <c r="VRX132"/>
      <c r="VRY132"/>
      <c r="VRZ132"/>
      <c r="VSA132"/>
      <c r="VSB132"/>
      <c r="VSC132"/>
      <c r="VSD132"/>
      <c r="VSE132"/>
      <c r="VSF132"/>
      <c r="VSG132"/>
      <c r="VSH132"/>
      <c r="VSI132"/>
      <c r="VSJ132"/>
      <c r="VSK132"/>
      <c r="VSL132"/>
      <c r="VSM132"/>
      <c r="VSN132"/>
      <c r="VSO132"/>
      <c r="VSP132"/>
      <c r="VSQ132"/>
      <c r="VSR132"/>
      <c r="VSS132"/>
      <c r="VST132"/>
      <c r="VSU132"/>
      <c r="VSV132"/>
      <c r="VSW132"/>
      <c r="VSX132"/>
      <c r="VSY132"/>
      <c r="VSZ132"/>
      <c r="VTA132"/>
      <c r="VTB132"/>
      <c r="VTC132"/>
      <c r="VTD132"/>
      <c r="VTE132"/>
      <c r="VTF132"/>
      <c r="VTG132"/>
      <c r="VTH132"/>
      <c r="VTI132"/>
      <c r="VTJ132"/>
      <c r="VTK132"/>
      <c r="VTL132"/>
      <c r="VTM132"/>
      <c r="VTN132"/>
      <c r="VTO132"/>
      <c r="VTP132"/>
      <c r="VTQ132"/>
      <c r="VTR132"/>
      <c r="VTS132"/>
      <c r="VTT132"/>
      <c r="VTU132"/>
      <c r="VTV132"/>
      <c r="VTW132"/>
      <c r="VTX132"/>
      <c r="VTY132"/>
      <c r="VTZ132"/>
      <c r="VUA132"/>
      <c r="VUB132"/>
      <c r="VUC132"/>
      <c r="VUD132"/>
      <c r="VUE132"/>
      <c r="VUF132"/>
      <c r="VUG132"/>
      <c r="VUH132"/>
      <c r="VUI132"/>
      <c r="VUJ132"/>
      <c r="VUK132"/>
      <c r="VUL132"/>
      <c r="VUM132"/>
      <c r="VUN132"/>
      <c r="VUO132"/>
      <c r="VUP132"/>
      <c r="VUQ132"/>
      <c r="VUR132"/>
      <c r="VUS132"/>
      <c r="VUT132"/>
      <c r="VUU132"/>
      <c r="VUV132"/>
      <c r="VUW132"/>
      <c r="VUX132"/>
      <c r="VUY132"/>
      <c r="VUZ132"/>
      <c r="VVA132"/>
      <c r="VVB132"/>
      <c r="VVC132"/>
      <c r="VVD132"/>
      <c r="VVE132"/>
      <c r="VVF132"/>
      <c r="VVG132"/>
      <c r="VVH132"/>
      <c r="VVI132"/>
      <c r="VVJ132"/>
      <c r="VVK132"/>
      <c r="VVL132"/>
      <c r="VVM132"/>
      <c r="VVN132"/>
      <c r="VVO132"/>
      <c r="VVP132"/>
      <c r="VVQ132"/>
      <c r="VVR132"/>
      <c r="VVS132"/>
      <c r="VVT132"/>
      <c r="VVU132"/>
      <c r="VVV132"/>
      <c r="VVW132"/>
      <c r="VVX132"/>
      <c r="VVY132"/>
      <c r="VVZ132"/>
      <c r="VWA132"/>
      <c r="VWB132"/>
      <c r="VWC132"/>
      <c r="VWD132"/>
      <c r="VWE132"/>
      <c r="VWF132"/>
      <c r="VWG132"/>
      <c r="VWH132"/>
      <c r="VWI132"/>
      <c r="VWJ132"/>
      <c r="VWK132"/>
      <c r="VWL132"/>
      <c r="VWM132"/>
      <c r="VWN132"/>
      <c r="VWO132"/>
      <c r="VWP132"/>
      <c r="VWQ132"/>
      <c r="VWR132"/>
      <c r="VWS132"/>
      <c r="VWT132"/>
      <c r="VWU132"/>
      <c r="VWV132"/>
      <c r="VWW132"/>
      <c r="VWX132"/>
      <c r="VWY132"/>
      <c r="VWZ132"/>
      <c r="VXA132"/>
      <c r="VXB132"/>
      <c r="VXC132"/>
      <c r="VXD132"/>
      <c r="VXE132"/>
      <c r="VXF132"/>
      <c r="VXG132"/>
      <c r="VXH132"/>
      <c r="VXI132"/>
      <c r="VXJ132"/>
      <c r="VXK132"/>
      <c r="VXL132"/>
      <c r="VXM132"/>
      <c r="VXN132"/>
      <c r="VXO132"/>
      <c r="VXP132"/>
      <c r="VXQ132"/>
      <c r="VXR132"/>
      <c r="VXS132"/>
      <c r="VXT132"/>
    </row>
    <row r="133" spans="1:15516" s="1" customFormat="1" ht="14.25">
      <c r="B133" s="75"/>
      <c r="C133" s="248" t="s">
        <v>69</v>
      </c>
      <c r="D133" s="79"/>
      <c r="E133" s="75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126"/>
      <c r="AK133" s="181" t="s">
        <v>69</v>
      </c>
      <c r="AM133" s="127"/>
    </row>
    <row r="134" spans="1:15516" s="1" customFormat="1" ht="14.25">
      <c r="B134" s="75"/>
      <c r="C134" s="159" t="s">
        <v>142</v>
      </c>
      <c r="D134" s="79"/>
      <c r="E134" s="249" t="s">
        <v>71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>
        <v>0</v>
      </c>
      <c r="AA134" s="64">
        <v>0</v>
      </c>
      <c r="AB134" s="64">
        <v>0</v>
      </c>
      <c r="AC134" s="64">
        <v>0</v>
      </c>
      <c r="AD134" s="64">
        <v>0</v>
      </c>
      <c r="AE134" s="64">
        <v>0</v>
      </c>
      <c r="AF134" s="64">
        <v>0</v>
      </c>
      <c r="AG134" s="64">
        <v>0</v>
      </c>
      <c r="AH134" s="64">
        <v>0</v>
      </c>
      <c r="AI134" s="64">
        <v>0</v>
      </c>
      <c r="AJ134" s="126"/>
      <c r="AK134" s="183">
        <f t="shared" ref="AK134:AK135" si="85">SUM(F134:AI134)</f>
        <v>0</v>
      </c>
      <c r="AM134" s="127"/>
    </row>
    <row r="135" spans="1:15516" s="1" customFormat="1" ht="14.25">
      <c r="B135" s="75"/>
      <c r="C135" s="159" t="s">
        <v>143</v>
      </c>
      <c r="D135" s="79"/>
      <c r="E135" s="249" t="s">
        <v>71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424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144</v>
      </c>
      <c r="Z135" s="64">
        <v>0</v>
      </c>
      <c r="AA135" s="64">
        <v>0</v>
      </c>
      <c r="AB135" s="64">
        <v>0</v>
      </c>
      <c r="AC135" s="64">
        <v>0</v>
      </c>
      <c r="AD135" s="64">
        <v>0</v>
      </c>
      <c r="AE135" s="64">
        <v>4</v>
      </c>
      <c r="AF135" s="64">
        <v>0</v>
      </c>
      <c r="AG135" s="64">
        <v>0</v>
      </c>
      <c r="AH135" s="64">
        <v>0</v>
      </c>
      <c r="AI135" s="64">
        <v>0</v>
      </c>
      <c r="AJ135" s="126"/>
      <c r="AK135" s="183">
        <f t="shared" si="85"/>
        <v>572</v>
      </c>
      <c r="AM135" s="127"/>
    </row>
    <row r="136" spans="1:15516" s="1" customFormat="1" ht="14.25">
      <c r="B136" s="75"/>
      <c r="C136" s="248" t="s">
        <v>73</v>
      </c>
      <c r="D136" s="79"/>
      <c r="E136" s="75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126"/>
      <c r="AK136" s="181" t="s">
        <v>73</v>
      </c>
      <c r="AM136" s="127"/>
    </row>
    <row r="137" spans="1:15516" s="1" customFormat="1" ht="14.25">
      <c r="B137" s="75"/>
      <c r="C137" s="159" t="s">
        <v>142</v>
      </c>
      <c r="D137" s="79"/>
      <c r="E137" s="249" t="s">
        <v>73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  <c r="AI137" s="64">
        <v>0</v>
      </c>
      <c r="AJ137" s="126"/>
      <c r="AK137" s="183">
        <f t="shared" ref="AK137:AK138" si="86">SUM(F137:AI137)</f>
        <v>0</v>
      </c>
      <c r="AM137" s="127"/>
    </row>
    <row r="138" spans="1:15516" s="1" customFormat="1" ht="14.25">
      <c r="B138" s="75"/>
      <c r="C138" s="159" t="s">
        <v>143</v>
      </c>
      <c r="D138" s="79"/>
      <c r="E138" s="249" t="s">
        <v>73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4929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1110</v>
      </c>
      <c r="Z138" s="64">
        <v>0</v>
      </c>
      <c r="AA138" s="64">
        <v>0</v>
      </c>
      <c r="AB138" s="64">
        <v>0</v>
      </c>
      <c r="AC138" s="64">
        <v>0</v>
      </c>
      <c r="AD138" s="64">
        <v>0</v>
      </c>
      <c r="AE138" s="64">
        <v>205</v>
      </c>
      <c r="AF138" s="64">
        <v>0</v>
      </c>
      <c r="AG138" s="64">
        <v>0</v>
      </c>
      <c r="AH138" s="64">
        <v>0</v>
      </c>
      <c r="AI138" s="64">
        <v>0</v>
      </c>
      <c r="AJ138" s="126"/>
      <c r="AK138" s="183">
        <f t="shared" si="86"/>
        <v>6244</v>
      </c>
      <c r="AM138" s="127"/>
    </row>
    <row r="139" spans="1:15516" s="1" customFormat="1">
      <c r="A139" s="3"/>
      <c r="B139" s="61"/>
      <c r="C139" s="40" t="s">
        <v>80</v>
      </c>
      <c r="D139" s="59"/>
      <c r="E139" s="59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112"/>
      <c r="AD139" s="60"/>
      <c r="AE139" s="60"/>
      <c r="AF139" s="60"/>
      <c r="AG139" s="60"/>
      <c r="AH139" s="112"/>
      <c r="AI139" s="112"/>
      <c r="AJ139" s="116"/>
      <c r="AK139" s="233" t="s">
        <v>79</v>
      </c>
      <c r="AL139" s="3"/>
      <c r="AM139" s="3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WZ139" s="3"/>
      <c r="XA139" s="3"/>
      <c r="XB139" s="3"/>
      <c r="XC139" s="3"/>
      <c r="XD139" s="3"/>
      <c r="XE139" s="3"/>
      <c r="XF139" s="3"/>
      <c r="XG139" s="3"/>
      <c r="XH139" s="3"/>
      <c r="XI139" s="3"/>
      <c r="XJ139" s="3"/>
      <c r="XK139" s="3"/>
      <c r="XL139" s="3"/>
      <c r="XM139" s="3"/>
      <c r="XN139" s="3"/>
      <c r="XO139" s="3"/>
      <c r="XP139" s="3"/>
      <c r="XQ139" s="3"/>
      <c r="XR139" s="3"/>
      <c r="XS139" s="3"/>
      <c r="XT139" s="3"/>
      <c r="XU139" s="3"/>
      <c r="XV139" s="3"/>
      <c r="XW139" s="3"/>
      <c r="XX139" s="3"/>
      <c r="XY139" s="3"/>
      <c r="XZ139" s="3"/>
      <c r="YA139" s="3"/>
      <c r="YB139" s="3"/>
      <c r="YC139" s="3"/>
      <c r="YD139" s="3"/>
      <c r="YE139" s="3"/>
      <c r="YF139" s="3"/>
      <c r="YG139" s="3"/>
      <c r="YH139" s="3"/>
      <c r="YI139" s="3"/>
      <c r="YJ139" s="3"/>
      <c r="YK139" s="3"/>
      <c r="YL139" s="3"/>
      <c r="YM139" s="3"/>
      <c r="YN139" s="3"/>
      <c r="YO139" s="3"/>
      <c r="YP139" s="3"/>
      <c r="YQ139" s="3"/>
      <c r="YR139" s="3"/>
      <c r="YS139" s="3"/>
      <c r="YT139" s="3"/>
      <c r="YU139" s="3"/>
      <c r="YV139" s="3"/>
      <c r="YW139" s="3"/>
      <c r="YX139" s="3"/>
      <c r="YY139" s="3"/>
      <c r="YZ139" s="3"/>
      <c r="ZA139" s="3"/>
      <c r="ZB139" s="3"/>
      <c r="ZC139" s="3"/>
      <c r="ZD139" s="3"/>
      <c r="ZE139" s="3"/>
      <c r="ZF139" s="3"/>
      <c r="ZG139" s="3"/>
      <c r="ZH139" s="3"/>
      <c r="ZI139" s="3"/>
      <c r="ZJ139" s="3"/>
      <c r="ZK139" s="3"/>
      <c r="ZL139" s="3"/>
      <c r="ZM139" s="3"/>
      <c r="ZN139" s="3"/>
      <c r="ZO139" s="3"/>
      <c r="ZP139" s="3"/>
      <c r="ZQ139" s="3"/>
      <c r="ZR139" s="3"/>
      <c r="ZS139" s="3"/>
      <c r="ZT139" s="3"/>
      <c r="ZU139" s="3"/>
      <c r="ZV139" s="3"/>
      <c r="ZW139" s="3"/>
      <c r="ZX139" s="3"/>
      <c r="ZY139" s="3"/>
      <c r="ZZ139" s="3"/>
      <c r="AAA139" s="3"/>
      <c r="AAB139" s="3"/>
      <c r="AAC139" s="3"/>
      <c r="AAD139" s="3"/>
      <c r="AAE139" s="3"/>
      <c r="AAF139" s="3"/>
      <c r="AAG139" s="3"/>
      <c r="AAH139" s="3"/>
      <c r="AAI139" s="3"/>
      <c r="AAJ139" s="3"/>
      <c r="AAK139" s="3"/>
      <c r="AAL139" s="3"/>
      <c r="AAM139" s="3"/>
      <c r="AAN139" s="3"/>
      <c r="AAO139" s="3"/>
      <c r="AAP139" s="3"/>
      <c r="AAQ139" s="3"/>
      <c r="AAR139" s="3"/>
      <c r="AAS139" s="3"/>
      <c r="AAT139" s="3"/>
      <c r="AAU139" s="3"/>
      <c r="AAV139" s="3"/>
      <c r="AAW139" s="3"/>
      <c r="AAX139" s="3"/>
      <c r="AAY139" s="3"/>
      <c r="AAZ139" s="3"/>
      <c r="ABA139" s="3"/>
      <c r="ABB139" s="3"/>
      <c r="ABC139" s="3"/>
      <c r="ABD139" s="3"/>
      <c r="ABE139" s="3"/>
      <c r="ABF139" s="3"/>
      <c r="ABG139" s="3"/>
      <c r="ABH139" s="3"/>
      <c r="ABI139" s="3"/>
      <c r="ABJ139" s="3"/>
      <c r="ABK139" s="3"/>
      <c r="ABL139" s="3"/>
      <c r="ABM139" s="3"/>
      <c r="ABN139" s="3"/>
      <c r="ABO139" s="3"/>
      <c r="ABP139" s="3"/>
      <c r="ABQ139" s="3"/>
      <c r="ABR139" s="3"/>
      <c r="ABS139" s="3"/>
      <c r="ABT139" s="3"/>
      <c r="ABU139" s="3"/>
      <c r="ABV139" s="3"/>
      <c r="ABW139" s="3"/>
      <c r="ABX139" s="3"/>
      <c r="ABY139" s="3"/>
      <c r="ABZ139" s="3"/>
      <c r="ACA139" s="3"/>
      <c r="ACB139" s="3"/>
      <c r="ACC139" s="3"/>
      <c r="ACD139" s="3"/>
      <c r="ACE139" s="3"/>
      <c r="ACF139" s="3"/>
      <c r="ACG139" s="3"/>
      <c r="ACH139" s="3"/>
      <c r="ACI139" s="3"/>
      <c r="ACJ139" s="3"/>
      <c r="ACK139" s="3"/>
      <c r="ACL139" s="3"/>
      <c r="ACM139" s="3"/>
      <c r="ACN139" s="3"/>
      <c r="ACO139" s="3"/>
      <c r="ACP139" s="3"/>
      <c r="ACQ139" s="3"/>
      <c r="ACR139" s="3"/>
      <c r="ACS139" s="3"/>
      <c r="ACT139" s="3"/>
      <c r="ACU139" s="3"/>
      <c r="ACV139" s="3"/>
      <c r="ACW139" s="3"/>
      <c r="ACX139" s="3"/>
      <c r="ACY139" s="3"/>
      <c r="ACZ139" s="3"/>
      <c r="ADA139" s="3"/>
      <c r="ADB139" s="3"/>
      <c r="ADC139" s="3"/>
      <c r="ADD139" s="3"/>
      <c r="ADE139" s="3"/>
      <c r="ADF139" s="3"/>
      <c r="ADG139" s="3"/>
      <c r="ADH139" s="3"/>
      <c r="ADI139" s="3"/>
      <c r="ADJ139" s="3"/>
      <c r="ADK139" s="3"/>
      <c r="ADL139" s="3"/>
      <c r="ADM139" s="3"/>
      <c r="ADN139" s="3"/>
      <c r="ADO139" s="3"/>
      <c r="ADP139" s="3"/>
      <c r="ADQ139" s="3"/>
      <c r="ADR139" s="3"/>
      <c r="ADS139" s="3"/>
      <c r="ADT139" s="3"/>
      <c r="ADU139" s="3"/>
      <c r="ADV139" s="3"/>
      <c r="ADW139" s="3"/>
      <c r="ADX139" s="3"/>
      <c r="ADY139" s="3"/>
      <c r="ADZ139" s="3"/>
      <c r="AEA139" s="3"/>
      <c r="AEB139" s="3"/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  <c r="ANK139" s="3"/>
      <c r="ANL139" s="3"/>
      <c r="ANM139" s="3"/>
      <c r="ANN139" s="3"/>
      <c r="ANO139" s="3"/>
      <c r="ANP139" s="3"/>
      <c r="ANQ139" s="3"/>
      <c r="ANR139" s="3"/>
      <c r="ANS139" s="3"/>
      <c r="ANT139" s="3"/>
      <c r="ANU139" s="3"/>
      <c r="ANV139" s="3"/>
      <c r="ANW139" s="3"/>
      <c r="ANX139" s="3"/>
      <c r="ANY139" s="3"/>
      <c r="ANZ139" s="3"/>
      <c r="AOA139" s="3"/>
      <c r="AOB139" s="3"/>
      <c r="AOC139" s="3"/>
      <c r="AOD139" s="3"/>
      <c r="AOE139" s="3"/>
      <c r="AOF139" s="3"/>
      <c r="AOG139" s="3"/>
      <c r="AOH139" s="3"/>
      <c r="AOI139" s="3"/>
      <c r="AOJ139" s="3"/>
      <c r="AOK139" s="3"/>
      <c r="AOL139" s="3"/>
      <c r="AOM139" s="3"/>
      <c r="AON139" s="3"/>
      <c r="AOO139" s="3"/>
      <c r="AOP139" s="3"/>
      <c r="AOQ139" s="3"/>
      <c r="AOR139" s="3"/>
      <c r="AOS139" s="3"/>
      <c r="AOT139" s="3"/>
      <c r="AOU139" s="3"/>
      <c r="AOV139" s="3"/>
      <c r="AOW139" s="3"/>
      <c r="AOX139" s="3"/>
      <c r="AOY139" s="3"/>
      <c r="AOZ139" s="3"/>
      <c r="APA139" s="3"/>
      <c r="APB139" s="3"/>
      <c r="APC139" s="3"/>
      <c r="APD139" s="3"/>
      <c r="APE139" s="3"/>
      <c r="APF139" s="3"/>
      <c r="APG139" s="3"/>
      <c r="APH139" s="3"/>
      <c r="API139" s="3"/>
      <c r="APJ139" s="3"/>
      <c r="APK139" s="3"/>
      <c r="APL139" s="3"/>
      <c r="APM139" s="3"/>
      <c r="APN139" s="3"/>
      <c r="APO139" s="3"/>
      <c r="APP139" s="3"/>
      <c r="APQ139" s="3"/>
      <c r="APR139" s="3"/>
      <c r="APS139" s="3"/>
      <c r="APT139" s="3"/>
      <c r="APU139" s="3"/>
      <c r="APV139" s="3"/>
      <c r="APW139" s="3"/>
      <c r="APX139" s="3"/>
      <c r="APY139" s="3"/>
      <c r="APZ139" s="3"/>
      <c r="AQA139" s="3"/>
      <c r="AQB139" s="3"/>
      <c r="AQC139" s="3"/>
      <c r="AQD139" s="3"/>
      <c r="AQE139" s="3"/>
      <c r="AQF139" s="3"/>
      <c r="AQG139" s="3"/>
      <c r="AQH139" s="3"/>
      <c r="AQI139" s="3"/>
      <c r="AQJ139" s="3"/>
      <c r="AQK139" s="3"/>
      <c r="AQL139" s="3"/>
      <c r="AQM139" s="3"/>
      <c r="AQN139" s="3"/>
      <c r="AQO139" s="3"/>
      <c r="AQP139" s="3"/>
      <c r="AQQ139" s="3"/>
      <c r="AQR139" s="3"/>
      <c r="AQS139" s="3"/>
      <c r="AQT139" s="3"/>
      <c r="AQU139" s="3"/>
      <c r="AQV139" s="3"/>
      <c r="AQW139" s="3"/>
      <c r="AQX139" s="3"/>
      <c r="AQY139" s="3"/>
      <c r="AQZ139" s="3"/>
      <c r="ARA139" s="3"/>
      <c r="ARB139" s="3"/>
      <c r="ARC139" s="3"/>
      <c r="ARD139" s="3"/>
      <c r="ARE139" s="3"/>
      <c r="ARF139" s="3"/>
      <c r="ARG139" s="3"/>
      <c r="ARH139" s="3"/>
      <c r="ARI139" s="3"/>
      <c r="ARJ139" s="3"/>
      <c r="ARK139" s="3"/>
      <c r="ARL139" s="3"/>
      <c r="ARM139" s="3"/>
      <c r="ARN139" s="3"/>
      <c r="ARO139" s="3"/>
      <c r="ARP139" s="3"/>
      <c r="ARQ139" s="3"/>
      <c r="ARR139" s="3"/>
      <c r="ARS139" s="3"/>
      <c r="ART139" s="3"/>
      <c r="ARU139" s="3"/>
      <c r="ARV139" s="3"/>
      <c r="ARW139" s="3"/>
      <c r="ARX139" s="3"/>
      <c r="ARY139" s="3"/>
      <c r="ARZ139" s="3"/>
      <c r="ASA139" s="3"/>
      <c r="ASB139" s="3"/>
      <c r="ASC139" s="3"/>
      <c r="ASD139" s="3"/>
      <c r="ASE139" s="3"/>
      <c r="ASF139" s="3"/>
      <c r="ASG139" s="3"/>
      <c r="ASH139" s="3"/>
      <c r="ASI139" s="3"/>
      <c r="ASJ139" s="3"/>
      <c r="ASK139" s="3"/>
      <c r="ASL139" s="3"/>
      <c r="ASM139" s="3"/>
      <c r="ASN139" s="3"/>
      <c r="ASO139" s="3"/>
      <c r="ASP139" s="3"/>
      <c r="ASQ139" s="3"/>
      <c r="ASR139" s="3"/>
      <c r="ASS139" s="3"/>
      <c r="AST139" s="3"/>
      <c r="ASU139" s="3"/>
      <c r="ASV139" s="3"/>
      <c r="ASW139" s="3"/>
      <c r="ASX139" s="3"/>
      <c r="ASY139" s="3"/>
      <c r="ASZ139" s="3"/>
      <c r="ATA139" s="3"/>
      <c r="ATB139" s="3"/>
      <c r="ATC139" s="3"/>
      <c r="ATD139" s="3"/>
      <c r="ATE139" s="3"/>
      <c r="ATF139" s="3"/>
      <c r="ATG139" s="3"/>
      <c r="ATH139" s="3"/>
      <c r="ATI139" s="3"/>
      <c r="ATJ139" s="3"/>
      <c r="ATK139" s="3"/>
      <c r="ATL139" s="3"/>
      <c r="ATM139" s="3"/>
      <c r="ATN139" s="3"/>
      <c r="ATO139" s="3"/>
      <c r="ATP139" s="3"/>
      <c r="ATQ139" s="3"/>
      <c r="ATR139" s="3"/>
      <c r="ATS139" s="3"/>
      <c r="ATT139" s="3"/>
      <c r="ATU139" s="3"/>
      <c r="ATV139" s="3"/>
      <c r="ATW139" s="3"/>
      <c r="ATX139" s="3"/>
      <c r="ATY139" s="3"/>
      <c r="ATZ139" s="3"/>
      <c r="AUA139" s="3"/>
      <c r="AUB139" s="3"/>
      <c r="AUC139" s="3"/>
      <c r="AUD139" s="3"/>
      <c r="AUE139" s="3"/>
      <c r="AUF139" s="3"/>
      <c r="AUG139" s="3"/>
      <c r="AUH139" s="3"/>
      <c r="AUI139" s="3"/>
      <c r="AUJ139" s="3"/>
      <c r="AUK139" s="3"/>
      <c r="AUL139" s="3"/>
      <c r="AUM139" s="3"/>
      <c r="AUN139" s="3"/>
      <c r="AUO139" s="3"/>
      <c r="AUP139" s="3"/>
      <c r="AUQ139" s="3"/>
      <c r="AUR139" s="3"/>
      <c r="AUS139" s="3"/>
      <c r="AUT139" s="3"/>
      <c r="AUU139" s="3"/>
      <c r="AUV139" s="3"/>
      <c r="AUW139" s="3"/>
      <c r="AUX139" s="3"/>
      <c r="AUY139" s="3"/>
      <c r="AUZ139" s="3"/>
      <c r="AVA139" s="3"/>
      <c r="AVB139" s="3"/>
      <c r="AVC139" s="3"/>
      <c r="AVD139" s="3"/>
      <c r="AVE139" s="3"/>
      <c r="AVF139" s="3"/>
      <c r="AVG139" s="3"/>
      <c r="AVH139" s="3"/>
      <c r="AVI139" s="3"/>
      <c r="AVJ139" s="3"/>
      <c r="AVK139" s="3"/>
      <c r="AVL139" s="3"/>
      <c r="AVM139" s="3"/>
      <c r="AVN139" s="3"/>
      <c r="AVO139" s="3"/>
      <c r="AVP139" s="3"/>
      <c r="AVQ139" s="3"/>
      <c r="AVR139" s="3"/>
      <c r="AVS139" s="3"/>
      <c r="AVT139" s="3"/>
      <c r="AVU139" s="3"/>
      <c r="AVV139" s="3"/>
      <c r="AVW139" s="3"/>
      <c r="AVX139" s="3"/>
      <c r="AVY139" s="3"/>
      <c r="AVZ139" s="3"/>
      <c r="AWA139" s="3"/>
      <c r="AWB139" s="3"/>
      <c r="AWC139" s="3"/>
      <c r="AWD139" s="3"/>
      <c r="AWE139" s="3"/>
      <c r="AWF139" s="3"/>
      <c r="AWG139" s="3"/>
      <c r="AWH139" s="3"/>
      <c r="AWI139" s="3"/>
      <c r="AWJ139" s="3"/>
      <c r="AWK139" s="3"/>
      <c r="AWL139" s="3"/>
      <c r="AWM139" s="3"/>
      <c r="AWN139" s="3"/>
      <c r="AWO139" s="3"/>
      <c r="AWP139" s="3"/>
      <c r="AWQ139" s="3"/>
      <c r="AWR139" s="3"/>
      <c r="AWS139" s="3"/>
      <c r="AWT139" s="3"/>
      <c r="AWU139" s="3"/>
      <c r="AWV139" s="3"/>
      <c r="AWW139" s="3"/>
      <c r="AWX139" s="3"/>
      <c r="AWY139" s="3"/>
      <c r="AWZ139" s="3"/>
      <c r="AXA139" s="3"/>
      <c r="AXB139" s="3"/>
      <c r="AXC139" s="3"/>
      <c r="AXD139" s="3"/>
      <c r="AXE139" s="3"/>
      <c r="AXF139" s="3"/>
      <c r="AXG139" s="3"/>
      <c r="AXH139" s="3"/>
      <c r="AXI139" s="3"/>
      <c r="AXJ139" s="3"/>
      <c r="AXK139" s="3"/>
      <c r="AXL139" s="3"/>
      <c r="AXM139" s="3"/>
      <c r="AXN139" s="3"/>
      <c r="AXO139" s="3"/>
      <c r="AXP139" s="3"/>
      <c r="AXQ139" s="3"/>
      <c r="AXR139" s="3"/>
      <c r="AXS139" s="3"/>
      <c r="AXT139" s="3"/>
      <c r="AXU139" s="3"/>
      <c r="AXV139" s="3"/>
      <c r="AXW139" s="3"/>
      <c r="AXX139" s="3"/>
      <c r="AXY139" s="3"/>
      <c r="AXZ139" s="3"/>
      <c r="AYA139" s="3"/>
      <c r="AYB139" s="3"/>
      <c r="AYC139" s="3"/>
      <c r="AYD139" s="3"/>
      <c r="AYE139" s="3"/>
      <c r="AYF139" s="3"/>
      <c r="AYG139" s="3"/>
      <c r="AYH139" s="3"/>
      <c r="AYI139" s="3"/>
      <c r="AYJ139" s="3"/>
      <c r="AYK139" s="3"/>
      <c r="AYL139" s="3"/>
      <c r="AYM139" s="3"/>
      <c r="AYN139" s="3"/>
      <c r="AYO139" s="3"/>
      <c r="AYP139" s="3"/>
      <c r="AYQ139" s="3"/>
      <c r="AYR139" s="3"/>
      <c r="AYS139" s="3"/>
      <c r="AYT139" s="3"/>
      <c r="AYU139" s="3"/>
      <c r="AYV139" s="3"/>
      <c r="AYW139" s="3"/>
      <c r="AYX139" s="3"/>
      <c r="AYY139" s="3"/>
      <c r="AYZ139" s="3"/>
      <c r="AZA139" s="3"/>
      <c r="AZB139" s="3"/>
      <c r="AZC139" s="3"/>
      <c r="AZD139" s="3"/>
      <c r="AZE139" s="3"/>
      <c r="AZF139" s="3"/>
      <c r="AZG139" s="3"/>
      <c r="AZH139" s="3"/>
      <c r="AZI139" s="3"/>
      <c r="AZJ139" s="3"/>
      <c r="AZK139" s="3"/>
      <c r="AZL139" s="3"/>
      <c r="AZM139" s="3"/>
      <c r="AZN139" s="3"/>
      <c r="AZO139" s="3"/>
      <c r="AZP139" s="3"/>
      <c r="AZQ139" s="3"/>
      <c r="AZR139" s="3"/>
      <c r="AZS139" s="3"/>
      <c r="AZT139" s="3"/>
      <c r="AZU139" s="3"/>
      <c r="AZV139" s="3"/>
      <c r="AZW139" s="3"/>
      <c r="AZX139" s="3"/>
      <c r="AZY139" s="3"/>
      <c r="AZZ139" s="3"/>
      <c r="BAA139" s="3"/>
      <c r="BAB139" s="3"/>
      <c r="BAC139" s="3"/>
      <c r="BAD139" s="3"/>
      <c r="BAE139" s="3"/>
      <c r="BAF139" s="3"/>
      <c r="BAG139" s="3"/>
      <c r="BAH139" s="3"/>
      <c r="BAI139" s="3"/>
      <c r="BAJ139" s="3"/>
      <c r="BAK139" s="3"/>
      <c r="BAL139" s="3"/>
      <c r="BAM139" s="3"/>
      <c r="BAN139" s="3"/>
      <c r="BAO139" s="3"/>
      <c r="BAP139" s="3"/>
      <c r="BAQ139" s="3"/>
      <c r="BAR139" s="3"/>
      <c r="BAS139" s="3"/>
      <c r="BAT139" s="3"/>
      <c r="BAU139" s="3"/>
      <c r="BAV139" s="3"/>
      <c r="BAW139" s="3"/>
      <c r="BAX139" s="3"/>
      <c r="BAY139" s="3"/>
      <c r="BAZ139" s="3"/>
      <c r="BBA139" s="3"/>
      <c r="BBB139" s="3"/>
      <c r="BBC139" s="3"/>
      <c r="BBD139" s="3"/>
      <c r="BBE139" s="3"/>
      <c r="BBF139" s="3"/>
      <c r="BBG139" s="3"/>
      <c r="BBH139" s="3"/>
      <c r="BBI139" s="3"/>
      <c r="BBJ139" s="3"/>
      <c r="BBK139" s="3"/>
      <c r="BBL139" s="3"/>
      <c r="BBM139" s="3"/>
      <c r="BBN139" s="3"/>
      <c r="BBO139" s="3"/>
      <c r="BBP139" s="3"/>
      <c r="BBQ139" s="3"/>
      <c r="BBR139" s="3"/>
      <c r="BBS139" s="3"/>
      <c r="BBT139" s="3"/>
      <c r="BBU139" s="3"/>
      <c r="BBV139" s="3"/>
      <c r="BBW139" s="3"/>
      <c r="BBX139" s="3"/>
      <c r="BBY139" s="3"/>
      <c r="BBZ139" s="3"/>
      <c r="BCA139" s="3"/>
      <c r="BCB139" s="3"/>
      <c r="BCC139" s="3"/>
      <c r="BCD139" s="3"/>
      <c r="BCE139" s="3"/>
      <c r="BCF139" s="3"/>
      <c r="BCG139" s="3"/>
      <c r="BCH139" s="3"/>
      <c r="BCI139" s="3"/>
      <c r="BCJ139" s="3"/>
      <c r="BCK139" s="3"/>
      <c r="BCL139" s="3"/>
      <c r="BCM139" s="3"/>
      <c r="BCN139" s="3"/>
      <c r="BCO139" s="3"/>
      <c r="BCP139" s="3"/>
      <c r="BCQ139" s="3"/>
      <c r="BCR139" s="3"/>
      <c r="BCS139" s="3"/>
      <c r="BCT139" s="3"/>
      <c r="BCU139" s="3"/>
      <c r="BCV139" s="3"/>
      <c r="BCW139" s="3"/>
      <c r="BCX139" s="3"/>
      <c r="BCY139" s="3"/>
      <c r="BCZ139" s="3"/>
      <c r="BDA139" s="3"/>
      <c r="BDB139" s="3"/>
      <c r="BDC139" s="3"/>
      <c r="BDD139" s="3"/>
      <c r="BDE139" s="3"/>
      <c r="BDF139" s="3"/>
      <c r="BDG139" s="3"/>
      <c r="BDH139" s="3"/>
      <c r="BDI139" s="3"/>
      <c r="BDJ139" s="3"/>
      <c r="BDK139" s="3"/>
      <c r="BDL139" s="3"/>
      <c r="BDM139" s="3"/>
      <c r="BDN139" s="3"/>
      <c r="BDO139" s="3"/>
      <c r="BDP139" s="3"/>
      <c r="BDQ139" s="3"/>
      <c r="BDR139" s="3"/>
      <c r="BDS139" s="3"/>
      <c r="BDT139" s="3"/>
      <c r="BDU139" s="3"/>
      <c r="BDV139" s="3"/>
      <c r="BDW139" s="3"/>
      <c r="BDX139" s="3"/>
      <c r="BDY139" s="3"/>
      <c r="BDZ139" s="3"/>
      <c r="BEA139" s="3"/>
      <c r="BEB139" s="3"/>
      <c r="BEC139" s="3"/>
      <c r="BED139" s="3"/>
      <c r="BEE139" s="3"/>
      <c r="BEF139" s="3"/>
      <c r="BEG139" s="3"/>
      <c r="BEH139" s="3"/>
      <c r="BEI139" s="3"/>
      <c r="BEJ139" s="3"/>
      <c r="BEK139" s="3"/>
      <c r="BEL139" s="3"/>
      <c r="BEM139" s="3"/>
      <c r="BEN139" s="3"/>
      <c r="BEO139" s="3"/>
      <c r="BEP139" s="3"/>
      <c r="BEQ139" s="3"/>
      <c r="BER139" s="3"/>
      <c r="BES139" s="3"/>
      <c r="BET139" s="3"/>
      <c r="BEU139" s="3"/>
      <c r="BEV139" s="3"/>
      <c r="BEW139" s="3"/>
      <c r="BEX139" s="3"/>
      <c r="BEY139" s="3"/>
      <c r="BEZ139" s="3"/>
      <c r="BFA139" s="3"/>
      <c r="BFB139" s="3"/>
      <c r="BFC139" s="3"/>
      <c r="BFD139" s="3"/>
      <c r="BFE139" s="3"/>
      <c r="BFF139" s="3"/>
      <c r="BFG139" s="3"/>
      <c r="BFH139" s="3"/>
      <c r="BFI139" s="3"/>
      <c r="BFJ139" s="3"/>
      <c r="BFK139" s="3"/>
      <c r="BFL139" s="3"/>
      <c r="BFM139" s="3"/>
      <c r="BFN139" s="3"/>
      <c r="BFO139" s="3"/>
      <c r="BFP139" s="3"/>
      <c r="BFQ139" s="3"/>
      <c r="BFR139" s="3"/>
      <c r="BFS139" s="3"/>
      <c r="BFT139" s="3"/>
      <c r="BFU139" s="3"/>
      <c r="BFV139" s="3"/>
      <c r="BFW139" s="3"/>
      <c r="BFX139" s="3"/>
      <c r="BFY139" s="3"/>
      <c r="BFZ139" s="3"/>
      <c r="BGA139" s="3"/>
      <c r="BGB139" s="3"/>
      <c r="BGC139" s="3"/>
      <c r="BGD139" s="3"/>
      <c r="BGE139" s="3"/>
      <c r="BGF139" s="3"/>
      <c r="BGG139" s="3"/>
      <c r="BGH139" s="3"/>
      <c r="BGI139" s="3"/>
      <c r="BGJ139" s="3"/>
      <c r="BGK139" s="3"/>
      <c r="BGL139" s="3"/>
      <c r="BGM139" s="3"/>
      <c r="BGN139" s="3"/>
      <c r="BGO139" s="3"/>
      <c r="BGP139" s="3"/>
      <c r="BGQ139" s="3"/>
      <c r="BGR139" s="3"/>
      <c r="BGS139" s="3"/>
      <c r="BGT139" s="3"/>
      <c r="BGU139" s="3"/>
      <c r="BGV139" s="3"/>
      <c r="BGW139" s="3"/>
      <c r="BGX139" s="3"/>
      <c r="BGY139" s="3"/>
      <c r="BGZ139" s="3"/>
      <c r="BHA139" s="3"/>
      <c r="BHB139" s="3"/>
      <c r="BHC139" s="3"/>
      <c r="BHD139" s="3"/>
      <c r="BHE139" s="3"/>
      <c r="BHF139" s="3"/>
      <c r="BHG139" s="3"/>
      <c r="BHH139" s="3"/>
      <c r="BHI139" s="3"/>
      <c r="BHJ139" s="3"/>
      <c r="BHK139" s="3"/>
      <c r="BHL139" s="3"/>
      <c r="BHM139" s="3"/>
      <c r="BHN139" s="3"/>
      <c r="BHO139" s="3"/>
      <c r="BHP139" s="3"/>
      <c r="BHQ139" s="3"/>
      <c r="BHR139" s="3"/>
      <c r="BHS139" s="3"/>
      <c r="BHT139" s="3"/>
      <c r="BHU139" s="3"/>
      <c r="BHV139" s="3"/>
      <c r="BHW139" s="3"/>
      <c r="BHX139" s="3"/>
      <c r="BHY139" s="3"/>
      <c r="BHZ139" s="3"/>
      <c r="BIA139" s="3"/>
      <c r="BIB139" s="3"/>
      <c r="BIC139" s="3"/>
      <c r="BID139" s="3"/>
      <c r="BIE139" s="3"/>
      <c r="BIF139" s="3"/>
      <c r="BIG139" s="3"/>
      <c r="BIH139" s="3"/>
      <c r="BII139" s="3"/>
      <c r="BIJ139" s="3"/>
      <c r="BIK139" s="3"/>
      <c r="BIL139" s="3"/>
      <c r="BIM139" s="3"/>
      <c r="BIN139" s="3"/>
      <c r="BIO139" s="3"/>
      <c r="BIP139" s="3"/>
      <c r="BIQ139" s="3"/>
      <c r="BIR139" s="3"/>
      <c r="BIS139" s="3"/>
      <c r="BIT139" s="3"/>
      <c r="BIU139" s="3"/>
      <c r="BIV139" s="3"/>
      <c r="BIW139" s="3"/>
      <c r="BIX139" s="3"/>
      <c r="BIY139" s="3"/>
      <c r="BIZ139" s="3"/>
      <c r="BJA139" s="3"/>
      <c r="BJB139" s="3"/>
      <c r="BJC139" s="3"/>
      <c r="BJD139" s="3"/>
      <c r="BJE139" s="3"/>
      <c r="BJF139" s="3"/>
      <c r="BJG139" s="3"/>
      <c r="BJH139" s="3"/>
      <c r="BJI139" s="3"/>
      <c r="BJJ139" s="3"/>
      <c r="BJK139" s="3"/>
      <c r="BJL139" s="3"/>
      <c r="BJM139" s="3"/>
      <c r="BJN139" s="3"/>
      <c r="BJO139" s="3"/>
      <c r="BJP139" s="3"/>
      <c r="BJQ139" s="3"/>
      <c r="BJR139" s="3"/>
      <c r="BJS139" s="3"/>
      <c r="BJT139" s="3"/>
      <c r="BJU139" s="3"/>
      <c r="BJV139" s="3"/>
      <c r="BJW139" s="3"/>
      <c r="BJX139" s="3"/>
      <c r="BJY139" s="3"/>
      <c r="BJZ139" s="3"/>
      <c r="BKA139" s="3"/>
      <c r="BKB139" s="3"/>
      <c r="BKC139" s="3"/>
      <c r="BKD139" s="3"/>
      <c r="BKE139" s="3"/>
      <c r="BKF139" s="3"/>
      <c r="BKG139" s="3"/>
      <c r="BKH139" s="3"/>
      <c r="BKI139" s="3"/>
      <c r="BKJ139" s="3"/>
      <c r="BKK139" s="3"/>
      <c r="BKL139" s="3"/>
      <c r="BKM139" s="3"/>
      <c r="BKN139" s="3"/>
      <c r="BKO139" s="3"/>
      <c r="BKP139" s="3"/>
      <c r="BKQ139" s="3"/>
      <c r="BKR139" s="3"/>
      <c r="BKS139" s="3"/>
      <c r="BKT139" s="3"/>
      <c r="BKU139" s="3"/>
      <c r="BKV139" s="3"/>
      <c r="BKW139" s="3"/>
      <c r="BKX139" s="3"/>
      <c r="BKY139" s="3"/>
      <c r="BKZ139" s="3"/>
      <c r="BLA139" s="3"/>
      <c r="BLB139" s="3"/>
      <c r="BLC139" s="3"/>
      <c r="BLD139" s="3"/>
      <c r="BLE139" s="3"/>
      <c r="BLF139" s="3"/>
      <c r="BLG139" s="3"/>
      <c r="BLH139" s="3"/>
      <c r="BLI139" s="3"/>
      <c r="BLJ139" s="3"/>
      <c r="BLK139" s="3"/>
      <c r="BLL139" s="3"/>
      <c r="BLM139" s="3"/>
      <c r="BLN139" s="3"/>
      <c r="BLO139" s="3"/>
      <c r="BLP139" s="3"/>
      <c r="BLQ139" s="3"/>
      <c r="BLR139" s="3"/>
      <c r="BLS139" s="3"/>
      <c r="BLT139" s="3"/>
      <c r="BLU139" s="3"/>
      <c r="BLV139" s="3"/>
      <c r="BLW139" s="3"/>
      <c r="BLX139" s="3"/>
      <c r="BLY139" s="3"/>
      <c r="BLZ139" s="3"/>
      <c r="BMA139" s="3"/>
      <c r="BMB139" s="3"/>
      <c r="BMC139" s="3"/>
      <c r="BMD139" s="3"/>
      <c r="BME139" s="3"/>
      <c r="BMF139" s="3"/>
      <c r="BMG139" s="3"/>
      <c r="BMH139" s="3"/>
      <c r="BMI139" s="3"/>
      <c r="BMJ139" s="3"/>
      <c r="BMK139" s="3"/>
      <c r="BML139" s="3"/>
      <c r="BMM139" s="3"/>
      <c r="BMN139" s="3"/>
      <c r="BMO139" s="3"/>
      <c r="BMP139" s="3"/>
      <c r="BMQ139" s="3"/>
      <c r="BMR139" s="3"/>
      <c r="BMS139" s="3"/>
      <c r="BMT139" s="3"/>
      <c r="BMU139" s="3"/>
      <c r="BMV139" s="3"/>
      <c r="BMW139" s="3"/>
      <c r="BMX139" s="3"/>
      <c r="BMY139" s="3"/>
      <c r="BMZ139" s="3"/>
      <c r="BNA139" s="3"/>
      <c r="BNB139" s="3"/>
      <c r="BNC139" s="3"/>
      <c r="BND139" s="3"/>
      <c r="BNE139" s="3"/>
      <c r="BNF139" s="3"/>
      <c r="BNG139" s="3"/>
      <c r="BNH139" s="3"/>
      <c r="BNI139" s="3"/>
      <c r="BNJ139" s="3"/>
      <c r="BNK139" s="3"/>
      <c r="BNL139" s="3"/>
      <c r="BNM139" s="3"/>
      <c r="BNN139" s="3"/>
      <c r="BNO139" s="3"/>
      <c r="BNP139" s="3"/>
      <c r="BNQ139" s="3"/>
      <c r="BNR139" s="3"/>
      <c r="BNS139" s="3"/>
      <c r="BNT139" s="3"/>
      <c r="BNU139" s="3"/>
      <c r="BNV139" s="3"/>
      <c r="BNW139" s="3"/>
      <c r="BNX139" s="3"/>
      <c r="BNY139" s="3"/>
      <c r="BNZ139" s="3"/>
      <c r="BOA139" s="3"/>
      <c r="BOB139" s="3"/>
      <c r="BOC139" s="3"/>
      <c r="BOD139" s="3"/>
      <c r="BOE139" s="3"/>
      <c r="BOF139" s="3"/>
      <c r="BOG139" s="3"/>
      <c r="BOH139" s="3"/>
      <c r="BOI139" s="3"/>
      <c r="BOJ139" s="3"/>
      <c r="BOK139" s="3"/>
      <c r="BOL139" s="3"/>
      <c r="BOM139" s="3"/>
      <c r="BON139" s="3"/>
      <c r="BOO139" s="3"/>
      <c r="BOP139" s="3"/>
      <c r="BOQ139" s="3"/>
      <c r="BOR139" s="3"/>
      <c r="BOS139" s="3"/>
      <c r="BOT139" s="3"/>
      <c r="BOU139" s="3"/>
      <c r="BOV139" s="3"/>
      <c r="BOW139" s="3"/>
      <c r="BOX139" s="3"/>
      <c r="BOY139" s="3"/>
      <c r="BOZ139" s="3"/>
      <c r="BPA139" s="3"/>
      <c r="BPB139" s="3"/>
      <c r="BPC139" s="3"/>
      <c r="BPD139" s="3"/>
      <c r="BPE139" s="3"/>
      <c r="BPF139" s="3"/>
      <c r="BPG139" s="3"/>
      <c r="BPH139" s="3"/>
      <c r="BPI139" s="3"/>
      <c r="BPJ139" s="3"/>
      <c r="BPK139" s="3"/>
      <c r="BPL139" s="3"/>
      <c r="BPM139" s="3"/>
      <c r="BPN139" s="3"/>
      <c r="BPO139" s="3"/>
      <c r="BPP139" s="3"/>
      <c r="BPQ139" s="3"/>
      <c r="BPR139" s="3"/>
      <c r="BPS139" s="3"/>
      <c r="BPT139" s="3"/>
      <c r="BPU139" s="3"/>
      <c r="BPV139" s="3"/>
      <c r="BPW139" s="3"/>
      <c r="BPX139" s="3"/>
      <c r="BPY139" s="3"/>
      <c r="BPZ139" s="3"/>
      <c r="BQA139" s="3"/>
      <c r="BQB139" s="3"/>
      <c r="BQC139" s="3"/>
      <c r="BQD139" s="3"/>
      <c r="BQE139" s="3"/>
      <c r="BQF139" s="3"/>
      <c r="BQG139" s="3"/>
      <c r="BQH139" s="3"/>
      <c r="BQI139" s="3"/>
      <c r="BQJ139" s="3"/>
      <c r="BQK139" s="3"/>
      <c r="BQL139" s="3"/>
      <c r="BQM139" s="3"/>
      <c r="BQN139" s="3"/>
      <c r="BQO139" s="3"/>
      <c r="BQP139" s="3"/>
      <c r="BQQ139" s="3"/>
      <c r="BQR139" s="3"/>
      <c r="BQS139" s="3"/>
      <c r="BQT139" s="3"/>
      <c r="BQU139" s="3"/>
      <c r="BQV139" s="3"/>
      <c r="BQW139" s="3"/>
      <c r="BQX139" s="3"/>
      <c r="BQY139" s="3"/>
      <c r="BQZ139" s="3"/>
      <c r="BRA139" s="3"/>
      <c r="BRB139" s="3"/>
      <c r="BRC139" s="3"/>
      <c r="BRD139" s="3"/>
      <c r="BRE139" s="3"/>
      <c r="BRF139" s="3"/>
      <c r="BRG139" s="3"/>
      <c r="BRH139" s="3"/>
      <c r="BRI139" s="3"/>
      <c r="BRJ139" s="3"/>
      <c r="BRK139" s="3"/>
      <c r="BRL139" s="3"/>
      <c r="BRM139" s="3"/>
      <c r="BRN139" s="3"/>
      <c r="BRO139" s="3"/>
      <c r="BRP139" s="3"/>
      <c r="BRQ139" s="3"/>
      <c r="BRR139" s="3"/>
      <c r="BRS139" s="3"/>
      <c r="BRT139" s="3"/>
      <c r="BRU139" s="3"/>
      <c r="BRV139" s="3"/>
      <c r="BRW139" s="3"/>
      <c r="BRX139" s="3"/>
      <c r="BRY139" s="3"/>
      <c r="BRZ139" s="3"/>
      <c r="BSA139" s="3"/>
      <c r="BSB139" s="3"/>
      <c r="BSC139" s="3"/>
      <c r="BSD139" s="3"/>
      <c r="BSE139" s="3"/>
      <c r="BSF139" s="3"/>
      <c r="BSG139" s="3"/>
      <c r="BSH139" s="3"/>
      <c r="BSI139" s="3"/>
      <c r="BSJ139" s="3"/>
      <c r="BSK139" s="3"/>
      <c r="BSL139" s="3"/>
      <c r="BSM139" s="3"/>
      <c r="BSN139" s="3"/>
      <c r="BSO139" s="3"/>
      <c r="BSP139" s="3"/>
      <c r="BSQ139" s="3"/>
      <c r="BSR139" s="3"/>
      <c r="BSS139" s="3"/>
      <c r="BST139" s="3"/>
      <c r="BSU139" s="3"/>
      <c r="BSV139" s="3"/>
      <c r="BSW139" s="3"/>
      <c r="BSX139" s="3"/>
      <c r="BSY139" s="3"/>
      <c r="BSZ139" s="3"/>
      <c r="BTA139" s="3"/>
      <c r="BTB139" s="3"/>
      <c r="BTC139" s="3"/>
      <c r="BTD139" s="3"/>
      <c r="BTE139" s="3"/>
      <c r="BTF139" s="3"/>
      <c r="BTG139" s="3"/>
      <c r="BTH139" s="3"/>
      <c r="BTI139" s="3"/>
      <c r="BTJ139" s="3"/>
      <c r="BTK139" s="3"/>
      <c r="BTL139" s="3"/>
      <c r="BTM139" s="3"/>
      <c r="BTN139" s="3"/>
      <c r="BTO139" s="3"/>
      <c r="BTP139" s="3"/>
      <c r="BTQ139" s="3"/>
      <c r="BTR139" s="3"/>
      <c r="BTS139" s="3"/>
      <c r="BTT139" s="3"/>
      <c r="BTU139" s="3"/>
      <c r="BTV139" s="3"/>
      <c r="BTW139" s="3"/>
      <c r="BTX139" s="3"/>
      <c r="BTY139" s="3"/>
      <c r="BTZ139" s="3"/>
      <c r="BUA139" s="3"/>
      <c r="BUB139" s="3"/>
      <c r="BUC139" s="3"/>
      <c r="BUD139" s="3"/>
      <c r="BUE139" s="3"/>
      <c r="BUF139" s="3"/>
      <c r="BUG139" s="3"/>
      <c r="BUH139" s="3"/>
      <c r="BUI139" s="3"/>
      <c r="BUJ139" s="3"/>
      <c r="BUK139" s="3"/>
      <c r="BUL139" s="3"/>
      <c r="BUM139" s="3"/>
      <c r="BUN139" s="3"/>
      <c r="BUO139" s="3"/>
      <c r="BUP139" s="3"/>
      <c r="BUQ139" s="3"/>
      <c r="BUR139" s="3"/>
      <c r="BUS139" s="3"/>
      <c r="BUT139" s="3"/>
      <c r="BUU139" s="3"/>
      <c r="BUV139" s="3"/>
      <c r="BUW139" s="3"/>
      <c r="BUX139" s="3"/>
      <c r="BUY139" s="3"/>
      <c r="BUZ139" s="3"/>
      <c r="BVA139" s="3"/>
      <c r="BVB139" s="3"/>
      <c r="BVC139" s="3"/>
      <c r="BVD139" s="3"/>
      <c r="BVE139" s="3"/>
      <c r="BVF139" s="3"/>
      <c r="BVG139" s="3"/>
      <c r="BVH139" s="3"/>
      <c r="BVI139" s="3"/>
      <c r="BVJ139" s="3"/>
      <c r="BVK139" s="3"/>
      <c r="BVL139" s="3"/>
      <c r="BVM139" s="3"/>
      <c r="BVN139" s="3"/>
      <c r="BVO139" s="3"/>
      <c r="BVP139" s="3"/>
      <c r="BVQ139" s="3"/>
      <c r="BVR139" s="3"/>
      <c r="BVS139" s="3"/>
      <c r="BVT139" s="3"/>
      <c r="BVU139" s="3"/>
      <c r="BVV139" s="3"/>
      <c r="BVW139" s="3"/>
      <c r="BVX139" s="3"/>
      <c r="BVY139" s="3"/>
      <c r="BVZ139" s="3"/>
      <c r="BWA139" s="3"/>
      <c r="BWB139" s="3"/>
      <c r="BWC139" s="3"/>
      <c r="BWD139" s="3"/>
      <c r="BWE139" s="3"/>
      <c r="BWF139" s="3"/>
      <c r="BWG139" s="3"/>
      <c r="BWH139" s="3"/>
      <c r="BWI139" s="3"/>
      <c r="BWJ139" s="3"/>
      <c r="BWK139" s="3"/>
      <c r="BWL139" s="3"/>
      <c r="BWM139" s="3"/>
      <c r="BWN139" s="3"/>
      <c r="BWO139" s="3"/>
      <c r="BWP139" s="3"/>
      <c r="BWQ139" s="3"/>
      <c r="BWR139" s="3"/>
      <c r="BWS139" s="3"/>
      <c r="BWT139" s="3"/>
      <c r="BWU139" s="3"/>
      <c r="BWV139" s="3"/>
      <c r="BWW139" s="3"/>
      <c r="BWX139" s="3"/>
      <c r="BWY139" s="3"/>
      <c r="BWZ139" s="3"/>
      <c r="BXA139" s="3"/>
      <c r="BXB139" s="3"/>
      <c r="BXC139" s="3"/>
      <c r="BXD139" s="3"/>
      <c r="BXE139" s="3"/>
      <c r="BXF139" s="3"/>
      <c r="BXG139" s="3"/>
      <c r="BXH139" s="3"/>
      <c r="BXI139" s="3"/>
      <c r="BXJ139" s="3"/>
      <c r="BXK139" s="3"/>
      <c r="BXL139" s="3"/>
      <c r="BXM139" s="3"/>
      <c r="BXN139" s="3"/>
      <c r="BXO139" s="3"/>
      <c r="BXP139" s="3"/>
      <c r="BXQ139" s="3"/>
      <c r="BXR139" s="3"/>
      <c r="BXS139" s="3"/>
      <c r="BXT139" s="3"/>
      <c r="BXU139" s="3"/>
      <c r="BXV139" s="3"/>
      <c r="BXW139" s="3"/>
      <c r="BXX139" s="3"/>
      <c r="BXY139" s="3"/>
      <c r="BXZ139" s="3"/>
      <c r="BYA139" s="3"/>
      <c r="BYB139" s="3"/>
      <c r="BYC139" s="3"/>
      <c r="BYD139" s="3"/>
      <c r="BYE139" s="3"/>
      <c r="BYF139" s="3"/>
      <c r="BYG139" s="3"/>
      <c r="BYH139" s="3"/>
      <c r="BYI139" s="3"/>
      <c r="BYJ139" s="3"/>
      <c r="BYK139" s="3"/>
      <c r="BYL139" s="3"/>
      <c r="BYM139" s="3"/>
      <c r="BYN139" s="3"/>
      <c r="BYO139" s="3"/>
      <c r="BYP139" s="3"/>
      <c r="BYQ139" s="3"/>
      <c r="BYR139" s="3"/>
      <c r="BYS139" s="3"/>
      <c r="BYT139" s="3"/>
      <c r="BYU139" s="3"/>
      <c r="BYV139" s="3"/>
      <c r="BYW139" s="3"/>
      <c r="BYX139" s="3"/>
      <c r="BYY139" s="3"/>
      <c r="BYZ139" s="3"/>
      <c r="BZA139" s="3"/>
      <c r="BZB139" s="3"/>
      <c r="BZC139" s="3"/>
      <c r="BZD139" s="3"/>
      <c r="BZE139" s="3"/>
      <c r="BZF139" s="3"/>
      <c r="BZG139" s="3"/>
      <c r="BZH139" s="3"/>
      <c r="BZI139" s="3"/>
      <c r="BZJ139" s="3"/>
      <c r="BZK139" s="3"/>
      <c r="BZL139" s="3"/>
      <c r="BZM139" s="3"/>
      <c r="BZN139" s="3"/>
      <c r="BZO139" s="3"/>
      <c r="BZP139" s="3"/>
      <c r="BZQ139" s="3"/>
      <c r="BZR139" s="3"/>
      <c r="BZS139" s="3"/>
      <c r="BZT139" s="3"/>
      <c r="BZU139" s="3"/>
      <c r="BZV139" s="3"/>
      <c r="BZW139" s="3"/>
      <c r="BZX139" s="3"/>
      <c r="BZY139" s="3"/>
      <c r="BZZ139" s="3"/>
      <c r="CAA139" s="3"/>
      <c r="CAB139" s="3"/>
      <c r="CAC139" s="3"/>
      <c r="CAD139" s="3"/>
      <c r="CAE139" s="3"/>
      <c r="CAF139" s="3"/>
      <c r="CAG139" s="3"/>
      <c r="CAH139" s="3"/>
      <c r="CAI139" s="3"/>
      <c r="CAJ139" s="3"/>
      <c r="CAK139" s="3"/>
      <c r="CAL139" s="3"/>
      <c r="CAM139" s="3"/>
      <c r="CAN139" s="3"/>
      <c r="CAO139" s="3"/>
      <c r="CAP139" s="3"/>
      <c r="CAQ139" s="3"/>
      <c r="CAR139" s="3"/>
      <c r="CAS139" s="3"/>
      <c r="CAT139" s="3"/>
      <c r="CAU139" s="3"/>
      <c r="CAV139" s="3"/>
      <c r="CAW139" s="3"/>
      <c r="CAX139" s="3"/>
      <c r="CAY139" s="3"/>
      <c r="CAZ139" s="3"/>
      <c r="CBA139" s="3"/>
      <c r="CBB139" s="3"/>
      <c r="CBC139" s="3"/>
      <c r="CBD139" s="3"/>
      <c r="CBE139" s="3"/>
      <c r="CBF139" s="3"/>
      <c r="CBG139" s="3"/>
      <c r="CBH139" s="3"/>
      <c r="CBI139" s="3"/>
      <c r="CBJ139" s="3"/>
      <c r="CBK139" s="3"/>
      <c r="CBL139" s="3"/>
      <c r="CBM139" s="3"/>
      <c r="CBN139" s="3"/>
      <c r="CBO139" s="3"/>
      <c r="CBP139" s="3"/>
      <c r="CBQ139" s="3"/>
      <c r="CBR139" s="3"/>
      <c r="CBS139" s="3"/>
      <c r="CBT139" s="3"/>
      <c r="CBU139" s="3"/>
      <c r="CBV139" s="3"/>
      <c r="CBW139" s="3"/>
      <c r="CBX139" s="3"/>
      <c r="CBY139" s="3"/>
      <c r="CBZ139" s="3"/>
      <c r="CCA139" s="3"/>
      <c r="CCB139" s="3"/>
      <c r="CCC139" s="3"/>
      <c r="CCD139" s="3"/>
      <c r="CCE139" s="3"/>
      <c r="CCF139" s="3"/>
      <c r="CCG139" s="3"/>
      <c r="CCH139" s="3"/>
      <c r="CCI139" s="3"/>
      <c r="CCJ139" s="3"/>
      <c r="CCK139" s="3"/>
      <c r="CCL139" s="3"/>
      <c r="CCM139" s="3"/>
      <c r="CCN139" s="3"/>
      <c r="CCO139" s="3"/>
      <c r="CCP139" s="3"/>
      <c r="CCQ139" s="3"/>
      <c r="CCR139" s="3"/>
      <c r="CCS139" s="3"/>
      <c r="CCT139" s="3"/>
      <c r="CCU139" s="3"/>
      <c r="CCV139" s="3"/>
      <c r="CCW139" s="3"/>
      <c r="CCX139" s="3"/>
      <c r="CCY139" s="3"/>
      <c r="CCZ139" s="3"/>
      <c r="CDA139" s="3"/>
      <c r="CDB139" s="3"/>
      <c r="CDC139" s="3"/>
      <c r="CDD139" s="3"/>
      <c r="CDE139" s="3"/>
      <c r="CDF139" s="3"/>
      <c r="CDG139" s="3"/>
      <c r="CDH139" s="3"/>
      <c r="CDI139" s="3"/>
      <c r="CDJ139" s="3"/>
      <c r="CDK139" s="3"/>
      <c r="CDL139" s="3"/>
      <c r="CDM139" s="3"/>
      <c r="CDN139" s="3"/>
      <c r="CDO139" s="3"/>
      <c r="CDP139" s="3"/>
      <c r="CDQ139" s="3"/>
      <c r="CDR139" s="3"/>
      <c r="CDS139" s="3"/>
      <c r="CDT139" s="3"/>
      <c r="CDU139" s="3"/>
      <c r="CDV139" s="3"/>
      <c r="CDW139" s="3"/>
      <c r="CDX139" s="3"/>
      <c r="CDY139" s="3"/>
      <c r="CDZ139" s="3"/>
      <c r="CEA139" s="3"/>
      <c r="CEB139" s="3"/>
      <c r="CEC139" s="3"/>
      <c r="CED139" s="3"/>
      <c r="CEE139" s="3"/>
      <c r="CEF139" s="3"/>
      <c r="CEG139" s="3"/>
      <c r="CEH139" s="3"/>
      <c r="CEI139" s="3"/>
      <c r="CEJ139" s="3"/>
      <c r="CEK139" s="3"/>
      <c r="CEL139" s="3"/>
      <c r="CEM139" s="3"/>
      <c r="CEN139" s="3"/>
      <c r="CEO139" s="3"/>
      <c r="CEP139" s="3"/>
      <c r="CEQ139" s="3"/>
      <c r="CER139" s="3"/>
      <c r="CES139" s="3"/>
      <c r="CET139" s="3"/>
      <c r="CEU139" s="3"/>
      <c r="CEV139" s="3"/>
      <c r="CEW139" s="3"/>
      <c r="CEX139" s="3"/>
      <c r="CEY139" s="3"/>
      <c r="CEZ139" s="3"/>
      <c r="CFA139" s="3"/>
      <c r="CFB139" s="3"/>
      <c r="CFC139" s="3"/>
      <c r="CFD139" s="3"/>
      <c r="CFE139" s="3"/>
      <c r="CFF139" s="3"/>
      <c r="CFG139" s="3"/>
      <c r="CFH139" s="3"/>
      <c r="CFI139" s="3"/>
      <c r="CFJ139" s="3"/>
      <c r="CFK139" s="3"/>
      <c r="CFL139" s="3"/>
      <c r="CFM139" s="3"/>
      <c r="CFN139" s="3"/>
      <c r="CFO139" s="3"/>
      <c r="CFP139" s="3"/>
      <c r="CFQ139" s="3"/>
      <c r="CFR139" s="3"/>
      <c r="CFS139" s="3"/>
      <c r="CFT139" s="3"/>
      <c r="CFU139" s="3"/>
      <c r="CFV139" s="3"/>
      <c r="CFW139" s="3"/>
      <c r="CFX139" s="3"/>
      <c r="CFY139" s="3"/>
      <c r="CFZ139" s="3"/>
      <c r="CGA139" s="3"/>
      <c r="CGB139" s="3"/>
      <c r="CGC139" s="3"/>
      <c r="CGD139" s="3"/>
      <c r="CGE139" s="3"/>
      <c r="CGF139" s="3"/>
      <c r="CGG139" s="3"/>
      <c r="CGH139" s="3"/>
      <c r="CGI139" s="3"/>
      <c r="CGJ139" s="3"/>
      <c r="CGK139" s="3"/>
      <c r="CGL139" s="3"/>
      <c r="CGM139" s="3"/>
      <c r="CGN139" s="3"/>
      <c r="CGO139" s="3"/>
      <c r="CGP139" s="3"/>
      <c r="CGQ139" s="3"/>
      <c r="CGR139" s="3"/>
      <c r="CGS139" s="3"/>
      <c r="CGT139" s="3"/>
      <c r="CGU139" s="3"/>
      <c r="CGV139" s="3"/>
      <c r="CGW139" s="3"/>
      <c r="CGX139" s="3"/>
      <c r="CGY139" s="3"/>
      <c r="CGZ139" s="3"/>
      <c r="CHA139" s="3"/>
      <c r="CHB139" s="3"/>
      <c r="CHC139" s="3"/>
      <c r="CHD139" s="3"/>
      <c r="CHE139" s="3"/>
      <c r="CHF139" s="3"/>
      <c r="CHG139" s="3"/>
      <c r="CHH139" s="3"/>
      <c r="CHI139" s="3"/>
      <c r="CHJ139" s="3"/>
      <c r="CHK139" s="3"/>
      <c r="CHL139" s="3"/>
      <c r="CHM139" s="3"/>
      <c r="CHN139" s="3"/>
      <c r="CHO139" s="3"/>
      <c r="CHP139" s="3"/>
      <c r="CHQ139" s="3"/>
      <c r="CHR139" s="3"/>
      <c r="CHS139" s="3"/>
      <c r="CHT139" s="3"/>
      <c r="CHU139" s="3"/>
      <c r="CHV139" s="3"/>
      <c r="CHW139" s="3"/>
      <c r="CHX139" s="3"/>
      <c r="CHY139" s="3"/>
      <c r="CHZ139" s="3"/>
      <c r="CIA139" s="3"/>
      <c r="CIB139" s="3"/>
      <c r="CIC139" s="3"/>
      <c r="CID139" s="3"/>
      <c r="CIE139" s="3"/>
      <c r="CIF139" s="3"/>
      <c r="CIG139" s="3"/>
      <c r="CIH139" s="3"/>
      <c r="CII139" s="3"/>
      <c r="CIJ139" s="3"/>
      <c r="CIK139" s="3"/>
      <c r="CIL139" s="3"/>
      <c r="CIM139" s="3"/>
      <c r="CIN139" s="3"/>
      <c r="CIO139" s="3"/>
      <c r="CIP139" s="3"/>
      <c r="CIQ139" s="3"/>
      <c r="CIR139" s="3"/>
      <c r="CIS139" s="3"/>
      <c r="CIT139" s="3"/>
      <c r="CIU139" s="3"/>
      <c r="CIV139" s="3"/>
      <c r="CIW139" s="3"/>
      <c r="CIX139" s="3"/>
      <c r="CIY139" s="3"/>
      <c r="CIZ139" s="3"/>
      <c r="CJA139" s="3"/>
      <c r="CJB139" s="3"/>
      <c r="CJC139" s="3"/>
      <c r="CJD139" s="3"/>
      <c r="CJE139" s="3"/>
      <c r="CJF139" s="3"/>
      <c r="CJG139" s="3"/>
      <c r="CJH139" s="3"/>
      <c r="CJI139" s="3"/>
      <c r="CJJ139" s="3"/>
      <c r="CJK139" s="3"/>
      <c r="CJL139" s="3"/>
      <c r="CJM139" s="3"/>
      <c r="CJN139" s="3"/>
      <c r="CJO139" s="3"/>
      <c r="CJP139" s="3"/>
      <c r="CJQ139" s="3"/>
      <c r="CJR139" s="3"/>
      <c r="CJS139" s="3"/>
      <c r="CJT139" s="3"/>
      <c r="CJU139" s="3"/>
      <c r="CJV139" s="3"/>
      <c r="CJW139" s="3"/>
      <c r="CJX139" s="3"/>
      <c r="CJY139" s="3"/>
      <c r="CJZ139" s="3"/>
      <c r="CKA139" s="3"/>
      <c r="CKB139" s="3"/>
      <c r="CKC139" s="3"/>
      <c r="CKD139" s="3"/>
      <c r="CKE139" s="3"/>
      <c r="CKF139" s="3"/>
      <c r="CKG139" s="3"/>
      <c r="CKH139" s="3"/>
      <c r="CKI139" s="3"/>
      <c r="CKJ139" s="3"/>
      <c r="CKK139" s="3"/>
      <c r="CKL139" s="3"/>
      <c r="CKM139" s="3"/>
      <c r="CKN139" s="3"/>
      <c r="CKO139" s="3"/>
      <c r="CKP139" s="3"/>
      <c r="CKQ139" s="3"/>
      <c r="CKR139" s="3"/>
      <c r="CKS139" s="3"/>
      <c r="CKT139" s="3"/>
      <c r="CKU139" s="3"/>
      <c r="CKV139" s="3"/>
      <c r="CKW139" s="3"/>
      <c r="CKX139" s="3"/>
      <c r="CKY139" s="3"/>
      <c r="CKZ139" s="3"/>
      <c r="CLA139" s="3"/>
      <c r="CLB139" s="3"/>
      <c r="CLC139" s="3"/>
      <c r="CLD139" s="3"/>
      <c r="CLE139" s="3"/>
      <c r="CLF139" s="3"/>
      <c r="CLG139" s="3"/>
      <c r="CLH139" s="3"/>
      <c r="CLI139" s="3"/>
      <c r="CLJ139" s="3"/>
      <c r="CLK139" s="3"/>
      <c r="CLL139" s="3"/>
      <c r="CLM139" s="3"/>
      <c r="CLN139" s="3"/>
      <c r="CLO139" s="3"/>
      <c r="CLP139" s="3"/>
      <c r="CLQ139" s="3"/>
      <c r="CLR139" s="3"/>
      <c r="CLS139" s="3"/>
      <c r="CLT139" s="3"/>
      <c r="CLU139" s="3"/>
      <c r="CLV139" s="3"/>
      <c r="CLW139" s="3"/>
      <c r="CLX139" s="3"/>
      <c r="CLY139" s="3"/>
      <c r="CLZ139" s="3"/>
      <c r="CMA139" s="3"/>
      <c r="CMB139" s="3"/>
      <c r="CMC139" s="3"/>
      <c r="CMD139" s="3"/>
      <c r="CME139" s="3"/>
      <c r="CMF139" s="3"/>
      <c r="CMG139" s="3"/>
      <c r="CMH139" s="3"/>
      <c r="CMI139" s="3"/>
      <c r="CMJ139" s="3"/>
      <c r="CMK139" s="3"/>
      <c r="CML139" s="3"/>
      <c r="CMM139" s="3"/>
      <c r="CMN139" s="3"/>
      <c r="CMO139" s="3"/>
      <c r="CMP139" s="3"/>
      <c r="CMQ139" s="3"/>
      <c r="CMR139" s="3"/>
      <c r="CMS139" s="3"/>
      <c r="CMT139" s="3"/>
      <c r="CMU139" s="3"/>
      <c r="CMV139" s="3"/>
      <c r="CMW139" s="3"/>
      <c r="CMX139" s="3"/>
      <c r="CMY139" s="3"/>
      <c r="CMZ139" s="3"/>
      <c r="CNA139" s="3"/>
      <c r="CNB139" s="3"/>
      <c r="CNC139" s="3"/>
      <c r="CND139" s="3"/>
      <c r="CNE139" s="3"/>
      <c r="CNF139" s="3"/>
      <c r="CNG139" s="3"/>
      <c r="CNH139" s="3"/>
      <c r="CNI139" s="3"/>
      <c r="CNJ139" s="3"/>
      <c r="CNK139" s="3"/>
      <c r="CNL139" s="3"/>
      <c r="CNM139" s="3"/>
      <c r="CNN139" s="3"/>
      <c r="CNO139" s="3"/>
      <c r="CNP139" s="3"/>
      <c r="CNQ139" s="3"/>
      <c r="CNR139" s="3"/>
      <c r="CNS139" s="3"/>
      <c r="CNT139" s="3"/>
      <c r="CNU139" s="3"/>
      <c r="CNV139" s="3"/>
      <c r="CNW139" s="3"/>
      <c r="CNX139" s="3"/>
      <c r="CNY139" s="3"/>
      <c r="CNZ139" s="3"/>
      <c r="COA139" s="3"/>
      <c r="COB139" s="3"/>
      <c r="COC139" s="3"/>
      <c r="COD139" s="3"/>
      <c r="COE139" s="3"/>
      <c r="COF139" s="3"/>
      <c r="COG139" s="3"/>
      <c r="COH139" s="3"/>
      <c r="COI139" s="3"/>
      <c r="COJ139" s="3"/>
      <c r="COK139" s="3"/>
      <c r="COL139" s="3"/>
      <c r="COM139" s="3"/>
      <c r="CON139" s="3"/>
      <c r="COO139" s="3"/>
      <c r="COP139" s="3"/>
      <c r="COQ139" s="3"/>
      <c r="COR139" s="3"/>
      <c r="COS139" s="3"/>
      <c r="COT139" s="3"/>
      <c r="COU139" s="3"/>
      <c r="COV139" s="3"/>
      <c r="COW139" s="3"/>
      <c r="COX139" s="3"/>
      <c r="COY139" s="3"/>
      <c r="COZ139" s="3"/>
      <c r="CPA139" s="3"/>
      <c r="CPB139" s="3"/>
      <c r="CPC139" s="3"/>
      <c r="CPD139" s="3"/>
      <c r="CPE139" s="3"/>
      <c r="CPF139" s="3"/>
      <c r="CPG139" s="3"/>
      <c r="CPH139" s="3"/>
      <c r="CPI139" s="3"/>
      <c r="CPJ139" s="3"/>
      <c r="CPK139" s="3"/>
      <c r="CPL139" s="3"/>
      <c r="CPM139" s="3"/>
      <c r="CPN139" s="3"/>
      <c r="CPO139" s="3"/>
      <c r="CPP139" s="3"/>
      <c r="CPQ139" s="3"/>
      <c r="CPR139" s="3"/>
      <c r="CPS139" s="3"/>
      <c r="CPT139" s="3"/>
      <c r="CPU139" s="3"/>
      <c r="CPV139" s="3"/>
      <c r="CPW139" s="3"/>
      <c r="CPX139" s="3"/>
      <c r="CPY139" s="3"/>
      <c r="CPZ139" s="3"/>
      <c r="CQA139" s="3"/>
      <c r="CQB139" s="3"/>
      <c r="CQC139" s="3"/>
      <c r="CQD139" s="3"/>
      <c r="CQE139" s="3"/>
      <c r="CQF139" s="3"/>
      <c r="CQG139" s="3"/>
      <c r="CQH139" s="3"/>
      <c r="CQI139" s="3"/>
      <c r="CQJ139" s="3"/>
      <c r="CQK139" s="3"/>
      <c r="CQL139" s="3"/>
      <c r="CQM139" s="3"/>
      <c r="CQN139" s="3"/>
      <c r="CQO139" s="3"/>
      <c r="CQP139" s="3"/>
      <c r="CQQ139" s="3"/>
      <c r="CQR139" s="3"/>
      <c r="CQS139" s="3"/>
      <c r="CQT139" s="3"/>
      <c r="CQU139" s="3"/>
      <c r="CQV139" s="3"/>
      <c r="CQW139" s="3"/>
      <c r="CQX139" s="3"/>
      <c r="CQY139" s="3"/>
      <c r="CQZ139" s="3"/>
      <c r="CRA139" s="3"/>
      <c r="CRB139" s="3"/>
      <c r="CRC139" s="3"/>
      <c r="CRD139" s="3"/>
      <c r="CRE139" s="3"/>
      <c r="CRF139" s="3"/>
      <c r="CRG139" s="3"/>
      <c r="CRH139" s="3"/>
      <c r="CRI139" s="3"/>
      <c r="CRJ139" s="3"/>
      <c r="CRK139" s="3"/>
      <c r="CRL139" s="3"/>
      <c r="CRM139" s="3"/>
      <c r="CRN139" s="3"/>
      <c r="CRO139" s="3"/>
      <c r="CRP139" s="3"/>
      <c r="CRQ139" s="3"/>
      <c r="CRR139" s="3"/>
      <c r="CRS139" s="3"/>
      <c r="CRT139" s="3"/>
      <c r="CRU139" s="3"/>
      <c r="CRV139" s="3"/>
      <c r="CRW139" s="3"/>
      <c r="CRX139" s="3"/>
      <c r="CRY139" s="3"/>
      <c r="CRZ139" s="3"/>
      <c r="CSA139" s="3"/>
      <c r="CSB139" s="3"/>
      <c r="CSC139" s="3"/>
      <c r="CSD139" s="3"/>
      <c r="CSE139" s="3"/>
      <c r="CSF139" s="3"/>
      <c r="CSG139" s="3"/>
      <c r="CSH139" s="3"/>
      <c r="CSI139" s="3"/>
      <c r="CSJ139" s="3"/>
      <c r="CSK139" s="3"/>
      <c r="CSL139" s="3"/>
      <c r="CSM139" s="3"/>
      <c r="CSN139" s="3"/>
      <c r="CSO139" s="3"/>
      <c r="CSP139" s="3"/>
      <c r="CSQ139" s="3"/>
      <c r="CSR139" s="3"/>
      <c r="CSS139" s="3"/>
      <c r="CST139" s="3"/>
      <c r="CSU139" s="3"/>
      <c r="CSV139" s="3"/>
      <c r="CSW139" s="3"/>
      <c r="CSX139" s="3"/>
      <c r="CSY139" s="3"/>
      <c r="CSZ139" s="3"/>
      <c r="CTA139" s="3"/>
      <c r="CTB139" s="3"/>
      <c r="CTC139" s="3"/>
      <c r="CTD139" s="3"/>
      <c r="CTE139" s="3"/>
      <c r="CTF139" s="3"/>
      <c r="CTG139" s="3"/>
      <c r="CTH139" s="3"/>
      <c r="CTI139" s="3"/>
      <c r="CTJ139" s="3"/>
      <c r="CTK139" s="3"/>
      <c r="CTL139" s="3"/>
      <c r="CTM139" s="3"/>
      <c r="CTN139" s="3"/>
      <c r="CTO139" s="3"/>
      <c r="CTP139" s="3"/>
      <c r="CTQ139" s="3"/>
      <c r="CTR139" s="3"/>
      <c r="CTS139" s="3"/>
      <c r="CTT139" s="3"/>
      <c r="CTU139" s="3"/>
      <c r="CTV139" s="3"/>
      <c r="CTW139" s="3"/>
      <c r="CTX139" s="3"/>
      <c r="CTY139" s="3"/>
      <c r="CTZ139" s="3"/>
      <c r="CUA139" s="3"/>
      <c r="CUB139" s="3"/>
      <c r="CUC139" s="3"/>
      <c r="CUD139" s="3"/>
      <c r="CUE139" s="3"/>
      <c r="CUF139" s="3"/>
      <c r="CUG139" s="3"/>
      <c r="CUH139" s="3"/>
      <c r="CUI139" s="3"/>
      <c r="CUJ139" s="3"/>
      <c r="CUK139" s="3"/>
      <c r="CUL139" s="3"/>
      <c r="CUM139" s="3"/>
      <c r="CUN139" s="3"/>
      <c r="CUO139" s="3"/>
      <c r="CUP139" s="3"/>
      <c r="CUQ139" s="3"/>
      <c r="CUR139" s="3"/>
      <c r="CUS139" s="3"/>
      <c r="CUT139" s="3"/>
      <c r="CUU139" s="3"/>
      <c r="CUV139" s="3"/>
      <c r="CUW139" s="3"/>
      <c r="CUX139" s="3"/>
      <c r="CUY139" s="3"/>
      <c r="CUZ139" s="3"/>
      <c r="CVA139" s="3"/>
      <c r="CVB139" s="3"/>
      <c r="CVC139" s="3"/>
      <c r="CVD139" s="3"/>
      <c r="CVE139" s="3"/>
      <c r="CVF139" s="3"/>
      <c r="CVG139" s="3"/>
      <c r="CVH139" s="3"/>
      <c r="CVI139" s="3"/>
      <c r="CVJ139" s="3"/>
      <c r="CVK139" s="3"/>
      <c r="CVL139" s="3"/>
      <c r="CVM139" s="3"/>
      <c r="CVN139" s="3"/>
      <c r="CVO139" s="3"/>
      <c r="CVP139" s="3"/>
      <c r="CVQ139" s="3"/>
      <c r="CVR139" s="3"/>
      <c r="CVS139" s="3"/>
      <c r="CVT139" s="3"/>
      <c r="CVU139" s="3"/>
      <c r="CVV139" s="3"/>
      <c r="CVW139" s="3"/>
      <c r="CVX139" s="3"/>
      <c r="CVY139" s="3"/>
      <c r="CVZ139" s="3"/>
      <c r="CWA139" s="3"/>
      <c r="CWB139" s="3"/>
      <c r="CWC139" s="3"/>
      <c r="CWD139" s="3"/>
      <c r="CWE139" s="3"/>
      <c r="CWF139" s="3"/>
      <c r="CWG139" s="3"/>
      <c r="CWH139" s="3"/>
      <c r="CWI139" s="3"/>
      <c r="CWJ139" s="3"/>
      <c r="CWK139" s="3"/>
      <c r="CWL139" s="3"/>
      <c r="CWM139" s="3"/>
      <c r="CWN139" s="3"/>
      <c r="CWO139" s="3"/>
      <c r="CWP139" s="3"/>
      <c r="CWQ139" s="3"/>
      <c r="CWR139" s="3"/>
      <c r="CWS139" s="3"/>
      <c r="CWT139" s="3"/>
      <c r="CWU139" s="3"/>
      <c r="CWV139" s="3"/>
      <c r="CWW139" s="3"/>
      <c r="CWX139" s="3"/>
      <c r="CWY139" s="3"/>
      <c r="CWZ139" s="3"/>
      <c r="CXA139" s="3"/>
      <c r="CXB139" s="3"/>
      <c r="CXC139" s="3"/>
      <c r="CXD139" s="3"/>
      <c r="CXE139" s="3"/>
      <c r="CXF139" s="3"/>
      <c r="CXG139" s="3"/>
      <c r="CXH139" s="3"/>
      <c r="CXI139" s="3"/>
      <c r="CXJ139" s="3"/>
      <c r="CXK139" s="3"/>
      <c r="CXL139" s="3"/>
      <c r="CXM139" s="3"/>
      <c r="CXN139" s="3"/>
      <c r="CXO139" s="3"/>
      <c r="CXP139" s="3"/>
      <c r="CXQ139" s="3"/>
      <c r="CXR139" s="3"/>
      <c r="CXS139" s="3"/>
      <c r="CXT139" s="3"/>
      <c r="CXU139" s="3"/>
      <c r="CXV139" s="3"/>
      <c r="CXW139" s="3"/>
      <c r="CXX139" s="3"/>
      <c r="CXY139" s="3"/>
      <c r="CXZ139" s="3"/>
      <c r="CYA139" s="3"/>
      <c r="CYB139" s="3"/>
      <c r="CYC139" s="3"/>
      <c r="CYD139" s="3"/>
      <c r="CYE139" s="3"/>
      <c r="CYF139" s="3"/>
      <c r="CYG139" s="3"/>
      <c r="CYH139" s="3"/>
      <c r="CYI139" s="3"/>
      <c r="CYJ139" s="3"/>
      <c r="CYK139" s="3"/>
      <c r="CYL139" s="3"/>
      <c r="CYM139" s="3"/>
      <c r="CYN139" s="3"/>
      <c r="CYO139" s="3"/>
      <c r="CYP139" s="3"/>
      <c r="CYQ139" s="3"/>
      <c r="CYR139" s="3"/>
      <c r="CYS139" s="3"/>
      <c r="CYT139" s="3"/>
      <c r="CYU139" s="3"/>
      <c r="CYV139" s="3"/>
      <c r="CYW139" s="3"/>
      <c r="CYX139" s="3"/>
      <c r="CYY139" s="3"/>
      <c r="CYZ139" s="3"/>
      <c r="CZA139" s="3"/>
      <c r="CZB139" s="3"/>
      <c r="CZC139" s="3"/>
      <c r="CZD139" s="3"/>
      <c r="CZE139" s="3"/>
      <c r="CZF139" s="3"/>
      <c r="CZG139" s="3"/>
      <c r="CZH139" s="3"/>
      <c r="CZI139" s="3"/>
      <c r="CZJ139" s="3"/>
      <c r="CZK139" s="3"/>
      <c r="CZL139" s="3"/>
      <c r="CZM139" s="3"/>
      <c r="CZN139" s="3"/>
      <c r="CZO139" s="3"/>
      <c r="CZP139" s="3"/>
      <c r="CZQ139" s="3"/>
      <c r="CZR139" s="3"/>
      <c r="CZS139" s="3"/>
      <c r="CZT139" s="3"/>
      <c r="CZU139" s="3"/>
      <c r="CZV139" s="3"/>
      <c r="CZW139" s="3"/>
      <c r="CZX139" s="3"/>
      <c r="CZY139" s="3"/>
      <c r="CZZ139" s="3"/>
      <c r="DAA139" s="3"/>
      <c r="DAB139" s="3"/>
      <c r="DAC139" s="3"/>
      <c r="DAD139" s="3"/>
      <c r="DAE139" s="3"/>
      <c r="DAF139" s="3"/>
      <c r="DAG139" s="3"/>
      <c r="DAH139" s="3"/>
      <c r="DAI139" s="3"/>
      <c r="DAJ139" s="3"/>
      <c r="DAK139" s="3"/>
      <c r="DAL139" s="3"/>
      <c r="DAM139" s="3"/>
      <c r="DAN139" s="3"/>
      <c r="DAO139" s="3"/>
      <c r="DAP139" s="3"/>
      <c r="DAQ139" s="3"/>
      <c r="DAR139" s="3"/>
      <c r="DAS139" s="3"/>
      <c r="DAT139" s="3"/>
      <c r="DAU139" s="3"/>
      <c r="DAV139" s="3"/>
      <c r="DAW139" s="3"/>
      <c r="DAX139" s="3"/>
      <c r="DAY139" s="3"/>
      <c r="DAZ139" s="3"/>
      <c r="DBA139" s="3"/>
      <c r="DBB139" s="3"/>
      <c r="DBC139" s="3"/>
      <c r="DBD139" s="3"/>
      <c r="DBE139" s="3"/>
      <c r="DBF139" s="3"/>
      <c r="DBG139" s="3"/>
      <c r="DBH139" s="3"/>
      <c r="DBI139" s="3"/>
      <c r="DBJ139" s="3"/>
      <c r="DBK139" s="3"/>
      <c r="DBL139" s="3"/>
      <c r="DBM139" s="3"/>
      <c r="DBN139" s="3"/>
      <c r="DBO139" s="3"/>
      <c r="DBP139" s="3"/>
      <c r="DBQ139" s="3"/>
      <c r="DBR139" s="3"/>
      <c r="DBS139" s="3"/>
      <c r="DBT139" s="3"/>
      <c r="DBU139" s="3"/>
      <c r="DBV139" s="3"/>
      <c r="DBW139" s="3"/>
      <c r="DBX139" s="3"/>
      <c r="DBY139" s="3"/>
      <c r="DBZ139" s="3"/>
      <c r="DCA139" s="3"/>
      <c r="DCB139" s="3"/>
      <c r="DCC139" s="3"/>
      <c r="DCD139" s="3"/>
      <c r="DCE139" s="3"/>
      <c r="DCF139" s="3"/>
      <c r="DCG139" s="3"/>
      <c r="DCH139" s="3"/>
      <c r="DCI139" s="3"/>
      <c r="DCJ139" s="3"/>
      <c r="DCK139" s="3"/>
      <c r="DCL139" s="3"/>
      <c r="DCM139" s="3"/>
      <c r="DCN139" s="3"/>
      <c r="DCO139" s="3"/>
      <c r="DCP139" s="3"/>
      <c r="DCQ139" s="3"/>
      <c r="DCR139" s="3"/>
      <c r="DCS139" s="3"/>
      <c r="DCT139" s="3"/>
      <c r="DCU139" s="3"/>
      <c r="DCV139" s="3"/>
      <c r="DCW139" s="3"/>
      <c r="DCX139" s="3"/>
      <c r="DCY139" s="3"/>
      <c r="DCZ139" s="3"/>
      <c r="DDA139" s="3"/>
      <c r="DDB139" s="3"/>
      <c r="DDC139" s="3"/>
      <c r="DDD139" s="3"/>
      <c r="DDE139" s="3"/>
      <c r="DDF139" s="3"/>
      <c r="DDG139" s="3"/>
      <c r="DDH139" s="3"/>
      <c r="DDI139" s="3"/>
      <c r="DDJ139" s="3"/>
      <c r="DDK139" s="3"/>
      <c r="DDL139" s="3"/>
      <c r="DDM139" s="3"/>
      <c r="DDN139" s="3"/>
      <c r="DDO139" s="3"/>
      <c r="DDP139" s="3"/>
      <c r="DDQ139" s="3"/>
      <c r="DDR139" s="3"/>
      <c r="DDS139" s="3"/>
      <c r="DDT139" s="3"/>
      <c r="DDU139" s="3"/>
      <c r="DDV139" s="3"/>
      <c r="DDW139" s="3"/>
      <c r="DDX139" s="3"/>
      <c r="DDY139" s="3"/>
      <c r="DDZ139" s="3"/>
      <c r="DEA139" s="3"/>
      <c r="DEB139" s="3"/>
      <c r="DEC139" s="3"/>
      <c r="DED139" s="3"/>
      <c r="DEE139" s="3"/>
      <c r="DEF139" s="3"/>
      <c r="DEG139" s="3"/>
      <c r="DEH139" s="3"/>
      <c r="DEI139" s="3"/>
      <c r="DEJ139" s="3"/>
      <c r="DEK139" s="3"/>
      <c r="DEL139" s="3"/>
      <c r="DEM139" s="3"/>
      <c r="DEN139" s="3"/>
      <c r="DEO139" s="3"/>
      <c r="DEP139" s="3"/>
      <c r="DEQ139" s="3"/>
      <c r="DER139" s="3"/>
      <c r="DES139" s="3"/>
      <c r="DET139" s="3"/>
      <c r="DEU139" s="3"/>
      <c r="DEV139" s="3"/>
      <c r="DEW139" s="3"/>
      <c r="DEX139" s="3"/>
      <c r="DEY139" s="3"/>
      <c r="DEZ139" s="3"/>
      <c r="DFA139" s="3"/>
      <c r="DFB139" s="3"/>
      <c r="DFC139" s="3"/>
      <c r="DFD139" s="3"/>
      <c r="DFE139" s="3"/>
      <c r="DFF139" s="3"/>
      <c r="DFG139" s="3"/>
      <c r="DFH139" s="3"/>
      <c r="DFI139" s="3"/>
      <c r="DFJ139" s="3"/>
      <c r="DFK139" s="3"/>
      <c r="DFL139" s="3"/>
      <c r="DFM139" s="3"/>
      <c r="DFN139" s="3"/>
      <c r="DFO139" s="3"/>
      <c r="DFP139" s="3"/>
      <c r="DFQ139" s="3"/>
      <c r="DFR139" s="3"/>
      <c r="DFS139" s="3"/>
      <c r="DFT139" s="3"/>
      <c r="DFU139" s="3"/>
      <c r="DFV139" s="3"/>
      <c r="DFW139" s="3"/>
      <c r="DFX139" s="3"/>
      <c r="DFY139" s="3"/>
      <c r="DFZ139" s="3"/>
      <c r="DGA139" s="3"/>
      <c r="DGB139" s="3"/>
      <c r="DGC139" s="3"/>
      <c r="DGD139" s="3"/>
      <c r="DGE139" s="3"/>
      <c r="DGF139" s="3"/>
      <c r="DGG139" s="3"/>
      <c r="DGH139" s="3"/>
      <c r="DGI139" s="3"/>
      <c r="DGJ139" s="3"/>
      <c r="DGK139" s="3"/>
      <c r="DGL139" s="3"/>
      <c r="DGM139" s="3"/>
      <c r="DGN139" s="3"/>
      <c r="DGO139" s="3"/>
      <c r="DGP139" s="3"/>
      <c r="DGQ139" s="3"/>
      <c r="DGR139" s="3"/>
      <c r="DGS139" s="3"/>
      <c r="DGT139" s="3"/>
      <c r="DGU139" s="3"/>
      <c r="DGV139" s="3"/>
      <c r="DGW139" s="3"/>
      <c r="DGX139" s="3"/>
      <c r="DGY139" s="3"/>
      <c r="DGZ139" s="3"/>
      <c r="DHA139" s="3"/>
      <c r="DHB139" s="3"/>
      <c r="DHC139" s="3"/>
      <c r="DHD139" s="3"/>
      <c r="DHE139" s="3"/>
      <c r="DHF139" s="3"/>
      <c r="DHG139" s="3"/>
      <c r="DHH139" s="3"/>
      <c r="DHI139" s="3"/>
      <c r="DHJ139" s="3"/>
      <c r="DHK139" s="3"/>
      <c r="DHL139" s="3"/>
      <c r="DHM139" s="3"/>
      <c r="DHN139" s="3"/>
      <c r="DHO139" s="3"/>
      <c r="DHP139" s="3"/>
      <c r="DHQ139" s="3"/>
      <c r="DHR139" s="3"/>
      <c r="DHS139" s="3"/>
      <c r="DHT139" s="3"/>
      <c r="DHU139" s="3"/>
      <c r="DHV139" s="3"/>
      <c r="DHW139" s="3"/>
      <c r="DHX139" s="3"/>
      <c r="DHY139" s="3"/>
      <c r="DHZ139" s="3"/>
      <c r="DIA139" s="3"/>
      <c r="DIB139" s="3"/>
      <c r="DIC139" s="3"/>
      <c r="DID139" s="3"/>
      <c r="DIE139" s="3"/>
      <c r="DIF139" s="3"/>
      <c r="DIG139" s="3"/>
      <c r="DIH139" s="3"/>
      <c r="DII139" s="3"/>
      <c r="DIJ139" s="3"/>
      <c r="DIK139" s="3"/>
      <c r="DIL139" s="3"/>
      <c r="DIM139" s="3"/>
      <c r="DIN139" s="3"/>
      <c r="DIO139" s="3"/>
      <c r="DIP139" s="3"/>
      <c r="DIQ139" s="3"/>
      <c r="DIR139" s="3"/>
      <c r="DIS139" s="3"/>
      <c r="DIT139" s="3"/>
      <c r="DIU139" s="3"/>
      <c r="DIV139" s="3"/>
      <c r="DIW139" s="3"/>
      <c r="DIX139" s="3"/>
      <c r="DIY139" s="3"/>
      <c r="DIZ139" s="3"/>
      <c r="DJA139" s="3"/>
      <c r="DJB139" s="3"/>
      <c r="DJC139" s="3"/>
      <c r="DJD139" s="3"/>
      <c r="DJE139" s="3"/>
      <c r="DJF139" s="3"/>
      <c r="DJG139" s="3"/>
      <c r="DJH139" s="3"/>
      <c r="DJI139" s="3"/>
      <c r="DJJ139" s="3"/>
      <c r="DJK139" s="3"/>
      <c r="DJL139" s="3"/>
      <c r="DJM139" s="3"/>
      <c r="DJN139" s="3"/>
      <c r="DJO139" s="3"/>
      <c r="DJP139" s="3"/>
      <c r="DJQ139" s="3"/>
      <c r="DJR139" s="3"/>
      <c r="DJS139" s="3"/>
      <c r="DJT139" s="3"/>
      <c r="DJU139" s="3"/>
      <c r="DJV139" s="3"/>
      <c r="DJW139" s="3"/>
      <c r="DJX139" s="3"/>
      <c r="DJY139" s="3"/>
      <c r="DJZ139" s="3"/>
      <c r="DKA139" s="3"/>
      <c r="DKB139" s="3"/>
      <c r="DKC139" s="3"/>
      <c r="DKD139" s="3"/>
      <c r="DKE139" s="3"/>
      <c r="DKF139" s="3"/>
      <c r="DKG139" s="3"/>
      <c r="DKH139" s="3"/>
      <c r="DKI139" s="3"/>
      <c r="DKJ139" s="3"/>
      <c r="DKK139" s="3"/>
      <c r="DKL139" s="3"/>
      <c r="DKM139" s="3"/>
      <c r="DKN139" s="3"/>
      <c r="DKO139" s="3"/>
      <c r="DKP139" s="3"/>
      <c r="DKQ139" s="3"/>
      <c r="DKR139" s="3"/>
      <c r="DKS139" s="3"/>
      <c r="DKT139" s="3"/>
      <c r="DKU139" s="3"/>
      <c r="DKV139" s="3"/>
      <c r="DKW139" s="3"/>
      <c r="DKX139" s="3"/>
      <c r="DKY139" s="3"/>
      <c r="DKZ139" s="3"/>
      <c r="DLA139" s="3"/>
      <c r="DLB139" s="3"/>
      <c r="DLC139" s="3"/>
      <c r="DLD139" s="3"/>
      <c r="DLE139" s="3"/>
      <c r="DLF139" s="3"/>
      <c r="DLG139" s="3"/>
      <c r="DLH139" s="3"/>
      <c r="DLI139" s="3"/>
      <c r="DLJ139" s="3"/>
      <c r="DLK139" s="3"/>
      <c r="DLL139" s="3"/>
      <c r="DLM139" s="3"/>
      <c r="DLN139" s="3"/>
      <c r="DLO139" s="3"/>
      <c r="DLP139" s="3"/>
      <c r="DLQ139" s="3"/>
      <c r="DLR139" s="3"/>
      <c r="DLS139" s="3"/>
      <c r="DLT139" s="3"/>
      <c r="DLU139" s="3"/>
      <c r="DLV139" s="3"/>
      <c r="DLW139" s="3"/>
      <c r="DLX139" s="3"/>
      <c r="DLY139" s="3"/>
      <c r="DLZ139" s="3"/>
      <c r="DMA139" s="3"/>
      <c r="DMB139" s="3"/>
      <c r="DMC139" s="3"/>
      <c r="DMD139" s="3"/>
      <c r="DME139" s="3"/>
      <c r="DMF139" s="3"/>
      <c r="DMG139" s="3"/>
      <c r="DMH139" s="3"/>
      <c r="DMI139" s="3"/>
      <c r="DMJ139" s="3"/>
      <c r="DMK139" s="3"/>
      <c r="DML139" s="3"/>
      <c r="DMM139" s="3"/>
      <c r="DMN139" s="3"/>
      <c r="DMO139" s="3"/>
      <c r="DMP139" s="3"/>
      <c r="DMQ139" s="3"/>
      <c r="DMR139" s="3"/>
      <c r="DMS139" s="3"/>
      <c r="DMT139" s="3"/>
      <c r="DMU139" s="3"/>
      <c r="DMV139" s="3"/>
      <c r="DMW139" s="3"/>
      <c r="DMX139" s="3"/>
      <c r="DMY139" s="3"/>
      <c r="DMZ139" s="3"/>
      <c r="DNA139" s="3"/>
      <c r="DNB139" s="3"/>
      <c r="DNC139" s="3"/>
      <c r="DND139" s="3"/>
      <c r="DNE139" s="3"/>
      <c r="DNF139" s="3"/>
      <c r="DNG139" s="3"/>
      <c r="DNH139" s="3"/>
      <c r="DNI139" s="3"/>
      <c r="DNJ139" s="3"/>
      <c r="DNK139" s="3"/>
      <c r="DNL139" s="3"/>
      <c r="DNM139" s="3"/>
      <c r="DNN139" s="3"/>
      <c r="DNO139" s="3"/>
      <c r="DNP139" s="3"/>
      <c r="DNQ139" s="3"/>
      <c r="DNR139" s="3"/>
      <c r="DNS139" s="3"/>
      <c r="DNT139" s="3"/>
      <c r="DNU139" s="3"/>
      <c r="DNV139" s="3"/>
      <c r="DNW139" s="3"/>
      <c r="DNX139" s="3"/>
      <c r="DNY139" s="3"/>
      <c r="DNZ139" s="3"/>
      <c r="DOA139" s="3"/>
      <c r="DOB139" s="3"/>
      <c r="DOC139" s="3"/>
      <c r="DOD139" s="3"/>
      <c r="DOE139" s="3"/>
      <c r="DOF139" s="3"/>
      <c r="DOG139" s="3"/>
      <c r="DOH139" s="3"/>
      <c r="DOI139" s="3"/>
      <c r="DOJ139" s="3"/>
      <c r="DOK139" s="3"/>
      <c r="DOL139" s="3"/>
      <c r="DOM139" s="3"/>
      <c r="DON139" s="3"/>
      <c r="DOO139" s="3"/>
      <c r="DOP139" s="3"/>
      <c r="DOQ139" s="3"/>
      <c r="DOR139" s="3"/>
      <c r="DOS139" s="3"/>
      <c r="DOT139" s="3"/>
      <c r="DOU139" s="3"/>
      <c r="DOV139" s="3"/>
      <c r="DOW139" s="3"/>
      <c r="DOX139" s="3"/>
      <c r="DOY139" s="3"/>
      <c r="DOZ139" s="3"/>
      <c r="DPA139" s="3"/>
      <c r="DPB139" s="3"/>
      <c r="DPC139" s="3"/>
      <c r="DPD139" s="3"/>
      <c r="DPE139" s="3"/>
      <c r="DPF139" s="3"/>
      <c r="DPG139" s="3"/>
      <c r="DPH139" s="3"/>
      <c r="DPI139" s="3"/>
      <c r="DPJ139" s="3"/>
      <c r="DPK139" s="3"/>
      <c r="DPL139" s="3"/>
      <c r="DPM139" s="3"/>
      <c r="DPN139" s="3"/>
      <c r="DPO139" s="3"/>
      <c r="DPP139" s="3"/>
      <c r="DPQ139" s="3"/>
      <c r="DPR139" s="3"/>
      <c r="DPS139" s="3"/>
      <c r="DPT139" s="3"/>
      <c r="DPU139" s="3"/>
      <c r="DPV139" s="3"/>
      <c r="DPW139" s="3"/>
      <c r="DPX139" s="3"/>
      <c r="DPY139" s="3"/>
      <c r="DPZ139" s="3"/>
      <c r="DQA139" s="3"/>
      <c r="DQB139" s="3"/>
      <c r="DQC139" s="3"/>
      <c r="DQD139" s="3"/>
      <c r="DQE139" s="3"/>
      <c r="DQF139" s="3"/>
      <c r="DQG139" s="3"/>
      <c r="DQH139" s="3"/>
      <c r="DQI139" s="3"/>
      <c r="DQJ139" s="3"/>
      <c r="DQK139" s="3"/>
      <c r="DQL139" s="3"/>
      <c r="DQM139" s="3"/>
      <c r="DQN139" s="3"/>
      <c r="DQO139" s="3"/>
      <c r="DQP139" s="3"/>
      <c r="DQQ139" s="3"/>
      <c r="DQR139" s="3"/>
      <c r="DQS139" s="3"/>
      <c r="DQT139" s="3"/>
      <c r="DQU139" s="3"/>
      <c r="DQV139" s="3"/>
      <c r="DQW139" s="3"/>
      <c r="DQX139" s="3"/>
      <c r="DQY139" s="3"/>
      <c r="DQZ139" s="3"/>
      <c r="DRA139" s="3"/>
      <c r="DRB139" s="3"/>
      <c r="DRC139" s="3"/>
      <c r="DRD139" s="3"/>
      <c r="DRE139" s="3"/>
      <c r="DRF139" s="3"/>
      <c r="DRG139" s="3"/>
      <c r="DRH139" s="3"/>
      <c r="DRI139" s="3"/>
      <c r="DRJ139" s="3"/>
      <c r="DRK139" s="3"/>
      <c r="DRL139" s="3"/>
      <c r="DRM139" s="3"/>
      <c r="DRN139" s="3"/>
      <c r="DRO139" s="3"/>
      <c r="DRP139" s="3"/>
      <c r="DRQ139" s="3"/>
      <c r="DRR139" s="3"/>
      <c r="DRS139" s="3"/>
      <c r="DRT139" s="3"/>
      <c r="DRU139" s="3"/>
      <c r="DRV139" s="3"/>
      <c r="DRW139" s="3"/>
      <c r="DRX139" s="3"/>
      <c r="DRY139" s="3"/>
      <c r="DRZ139" s="3"/>
      <c r="DSA139" s="3"/>
      <c r="DSB139" s="3"/>
      <c r="DSC139" s="3"/>
      <c r="DSD139" s="3"/>
      <c r="DSE139" s="3"/>
      <c r="DSF139" s="3"/>
      <c r="DSG139" s="3"/>
      <c r="DSH139" s="3"/>
      <c r="DSI139" s="3"/>
      <c r="DSJ139" s="3"/>
      <c r="DSK139" s="3"/>
      <c r="DSL139" s="3"/>
      <c r="DSM139" s="3"/>
      <c r="DSN139" s="3"/>
      <c r="DSO139" s="3"/>
      <c r="DSP139" s="3"/>
      <c r="DSQ139" s="3"/>
      <c r="DSR139" s="3"/>
      <c r="DSS139" s="3"/>
      <c r="DST139" s="3"/>
      <c r="DSU139" s="3"/>
      <c r="DSV139" s="3"/>
      <c r="DSW139" s="3"/>
      <c r="DSX139" s="3"/>
      <c r="DSY139" s="3"/>
      <c r="DSZ139" s="3"/>
      <c r="DTA139" s="3"/>
      <c r="DTB139" s="3"/>
      <c r="DTC139" s="3"/>
      <c r="DTD139" s="3"/>
      <c r="DTE139" s="3"/>
      <c r="DTF139" s="3"/>
      <c r="DTG139" s="3"/>
      <c r="DTH139" s="3"/>
      <c r="DTI139" s="3"/>
      <c r="DTJ139" s="3"/>
      <c r="DTK139" s="3"/>
      <c r="DTL139" s="3"/>
      <c r="DTM139" s="3"/>
      <c r="DTN139" s="3"/>
      <c r="DTO139" s="3"/>
      <c r="DTP139" s="3"/>
      <c r="DTQ139" s="3"/>
      <c r="DTR139" s="3"/>
      <c r="DTS139" s="3"/>
      <c r="DTT139" s="3"/>
      <c r="DTU139" s="3"/>
      <c r="DTV139" s="3"/>
      <c r="DTW139" s="3"/>
      <c r="DTX139" s="3"/>
      <c r="DTY139" s="3"/>
      <c r="DTZ139" s="3"/>
      <c r="DUA139" s="3"/>
      <c r="DUB139" s="3"/>
      <c r="DUC139" s="3"/>
      <c r="DUD139" s="3"/>
      <c r="DUE139" s="3"/>
      <c r="DUF139" s="3"/>
      <c r="DUG139" s="3"/>
      <c r="DUH139" s="3"/>
      <c r="DUI139" s="3"/>
      <c r="DUJ139" s="3"/>
      <c r="DUK139" s="3"/>
      <c r="DUL139" s="3"/>
      <c r="DUM139" s="3"/>
      <c r="DUN139" s="3"/>
      <c r="DUO139" s="3"/>
      <c r="DUP139" s="3"/>
      <c r="DUQ139" s="3"/>
      <c r="DUR139" s="3"/>
      <c r="DUS139" s="3"/>
      <c r="DUT139" s="3"/>
      <c r="DUU139" s="3"/>
      <c r="DUV139" s="3"/>
      <c r="DUW139" s="3"/>
      <c r="DUX139" s="3"/>
      <c r="DUY139" s="3"/>
      <c r="DUZ139" s="3"/>
      <c r="DVA139" s="3"/>
      <c r="DVB139" s="3"/>
      <c r="DVC139" s="3"/>
      <c r="DVD139" s="3"/>
      <c r="DVE139" s="3"/>
      <c r="DVF139" s="3"/>
      <c r="DVG139" s="3"/>
      <c r="DVH139" s="3"/>
      <c r="DVI139" s="3"/>
      <c r="DVJ139" s="3"/>
      <c r="DVK139" s="3"/>
      <c r="DVL139" s="3"/>
      <c r="DVM139" s="3"/>
      <c r="DVN139" s="3"/>
      <c r="DVO139" s="3"/>
      <c r="DVP139" s="3"/>
      <c r="DVQ139" s="3"/>
      <c r="DVR139" s="3"/>
      <c r="DVS139" s="3"/>
      <c r="DVT139" s="3"/>
      <c r="DVU139" s="3"/>
      <c r="DVV139" s="3"/>
      <c r="DVW139" s="3"/>
      <c r="DVX139" s="3"/>
      <c r="DVY139" s="3"/>
      <c r="DVZ139" s="3"/>
      <c r="DWA139" s="3"/>
      <c r="DWB139" s="3"/>
      <c r="DWC139" s="3"/>
      <c r="DWD139" s="3"/>
      <c r="DWE139" s="3"/>
      <c r="DWF139" s="3"/>
      <c r="DWG139" s="3"/>
      <c r="DWH139" s="3"/>
      <c r="DWI139" s="3"/>
      <c r="DWJ139" s="3"/>
      <c r="DWK139" s="3"/>
      <c r="DWL139" s="3"/>
      <c r="DWM139" s="3"/>
      <c r="DWN139" s="3"/>
      <c r="DWO139" s="3"/>
      <c r="DWP139" s="3"/>
      <c r="DWQ139" s="3"/>
      <c r="DWR139" s="3"/>
      <c r="DWS139" s="3"/>
      <c r="DWT139" s="3"/>
      <c r="DWU139" s="3"/>
      <c r="DWV139" s="3"/>
      <c r="DWW139" s="3"/>
      <c r="DWX139" s="3"/>
      <c r="DWY139" s="3"/>
      <c r="DWZ139" s="3"/>
      <c r="DXA139" s="3"/>
      <c r="DXB139" s="3"/>
      <c r="DXC139" s="3"/>
      <c r="DXD139" s="3"/>
      <c r="DXE139" s="3"/>
      <c r="DXF139" s="3"/>
      <c r="DXG139" s="3"/>
      <c r="DXH139" s="3"/>
      <c r="DXI139" s="3"/>
      <c r="DXJ139" s="3"/>
      <c r="DXK139" s="3"/>
      <c r="DXL139" s="3"/>
      <c r="DXM139" s="3"/>
      <c r="DXN139" s="3"/>
      <c r="DXO139" s="3"/>
      <c r="DXP139" s="3"/>
      <c r="DXQ139" s="3"/>
      <c r="DXR139" s="3"/>
      <c r="DXS139" s="3"/>
      <c r="DXT139" s="3"/>
      <c r="DXU139" s="3"/>
      <c r="DXV139" s="3"/>
      <c r="DXW139" s="3"/>
      <c r="DXX139" s="3"/>
      <c r="DXY139" s="3"/>
      <c r="DXZ139" s="3"/>
      <c r="DYA139" s="3"/>
      <c r="DYB139" s="3"/>
      <c r="DYC139" s="3"/>
      <c r="DYD139" s="3"/>
      <c r="DYE139" s="3"/>
      <c r="DYF139" s="3"/>
      <c r="DYG139" s="3"/>
      <c r="DYH139" s="3"/>
      <c r="DYI139" s="3"/>
      <c r="DYJ139" s="3"/>
      <c r="DYK139" s="3"/>
      <c r="DYL139" s="3"/>
      <c r="DYM139" s="3"/>
      <c r="DYN139" s="3"/>
      <c r="DYO139" s="3"/>
      <c r="DYP139" s="3"/>
      <c r="DYQ139" s="3"/>
      <c r="DYR139" s="3"/>
      <c r="DYS139" s="3"/>
      <c r="DYT139" s="3"/>
      <c r="DYU139" s="3"/>
      <c r="DYV139" s="3"/>
      <c r="DYW139" s="3"/>
      <c r="DYX139" s="3"/>
      <c r="DYY139" s="3"/>
      <c r="DYZ139" s="3"/>
      <c r="DZA139" s="3"/>
      <c r="DZB139" s="3"/>
      <c r="DZC139" s="3"/>
      <c r="DZD139" s="3"/>
      <c r="DZE139" s="3"/>
      <c r="DZF139" s="3"/>
      <c r="DZG139" s="3"/>
      <c r="DZH139" s="3"/>
      <c r="DZI139" s="3"/>
      <c r="DZJ139" s="3"/>
      <c r="DZK139" s="3"/>
      <c r="DZL139" s="3"/>
      <c r="DZM139" s="3"/>
      <c r="DZN139" s="3"/>
      <c r="DZO139" s="3"/>
      <c r="DZP139" s="3"/>
      <c r="DZQ139" s="3"/>
      <c r="DZR139" s="3"/>
      <c r="DZS139" s="3"/>
      <c r="DZT139" s="3"/>
      <c r="DZU139" s="3"/>
      <c r="DZV139" s="3"/>
      <c r="DZW139" s="3"/>
      <c r="DZX139" s="3"/>
      <c r="DZY139" s="3"/>
      <c r="DZZ139" s="3"/>
      <c r="EAA139" s="3"/>
      <c r="EAB139" s="3"/>
      <c r="EAC139" s="3"/>
      <c r="EAD139" s="3"/>
      <c r="EAE139" s="3"/>
      <c r="EAF139" s="3"/>
      <c r="EAG139" s="3"/>
      <c r="EAH139" s="3"/>
      <c r="EAI139" s="3"/>
      <c r="EAJ139" s="3"/>
      <c r="EAK139" s="3"/>
      <c r="EAL139" s="3"/>
      <c r="EAM139" s="3"/>
      <c r="EAN139" s="3"/>
      <c r="EAO139" s="3"/>
      <c r="EAP139" s="3"/>
      <c r="EAQ139" s="3"/>
      <c r="EAR139" s="3"/>
      <c r="EAS139" s="3"/>
      <c r="EAT139" s="3"/>
      <c r="EAU139" s="3"/>
      <c r="EAV139" s="3"/>
      <c r="EAW139" s="3"/>
      <c r="EAX139" s="3"/>
      <c r="EAY139" s="3"/>
      <c r="EAZ139" s="3"/>
      <c r="EBA139" s="3"/>
      <c r="EBB139" s="3"/>
      <c r="EBC139" s="3"/>
      <c r="EBD139" s="3"/>
      <c r="EBE139" s="3"/>
      <c r="EBF139" s="3"/>
      <c r="EBG139" s="3"/>
      <c r="EBH139" s="3"/>
      <c r="EBI139" s="3"/>
      <c r="EBJ139" s="3"/>
      <c r="EBK139" s="3"/>
      <c r="EBL139" s="3"/>
      <c r="EBM139" s="3"/>
      <c r="EBN139" s="3"/>
      <c r="EBO139" s="3"/>
      <c r="EBP139" s="3"/>
      <c r="EBQ139" s="3"/>
      <c r="EBR139" s="3"/>
      <c r="EBS139" s="3"/>
      <c r="EBT139" s="3"/>
      <c r="EBU139" s="3"/>
      <c r="EBV139" s="3"/>
      <c r="EBW139" s="3"/>
      <c r="EBX139" s="3"/>
      <c r="EBY139" s="3"/>
      <c r="EBZ139" s="3"/>
      <c r="ECA139" s="3"/>
      <c r="ECB139" s="3"/>
      <c r="ECC139" s="3"/>
      <c r="ECD139" s="3"/>
      <c r="ECE139" s="3"/>
      <c r="ECF139" s="3"/>
      <c r="ECG139" s="3"/>
      <c r="ECH139" s="3"/>
      <c r="ECI139" s="3"/>
      <c r="ECJ139" s="3"/>
      <c r="ECK139" s="3"/>
      <c r="ECL139" s="3"/>
      <c r="ECM139" s="3"/>
      <c r="ECN139" s="3"/>
      <c r="ECO139" s="3"/>
      <c r="ECP139" s="3"/>
      <c r="ECQ139" s="3"/>
      <c r="ECR139" s="3"/>
      <c r="ECS139" s="3"/>
      <c r="ECT139" s="3"/>
      <c r="ECU139" s="3"/>
      <c r="ECV139" s="3"/>
      <c r="ECW139" s="3"/>
      <c r="ECX139" s="3"/>
      <c r="ECY139" s="3"/>
      <c r="ECZ139" s="3"/>
      <c r="EDA139" s="3"/>
      <c r="EDB139" s="3"/>
      <c r="EDC139" s="3"/>
      <c r="EDD139" s="3"/>
      <c r="EDE139" s="3"/>
      <c r="EDF139" s="3"/>
      <c r="EDG139" s="3"/>
      <c r="EDH139" s="3"/>
      <c r="EDI139" s="3"/>
      <c r="EDJ139" s="3"/>
      <c r="EDK139" s="3"/>
      <c r="EDL139" s="3"/>
      <c r="EDM139" s="3"/>
      <c r="EDN139" s="3"/>
      <c r="EDO139" s="3"/>
      <c r="EDP139" s="3"/>
      <c r="EDQ139" s="3"/>
      <c r="EDR139" s="3"/>
      <c r="EDS139" s="3"/>
      <c r="EDT139" s="3"/>
      <c r="EDU139" s="3"/>
      <c r="EDV139" s="3"/>
      <c r="EDW139" s="3"/>
      <c r="EDX139" s="3"/>
      <c r="EDY139" s="3"/>
      <c r="EDZ139" s="3"/>
      <c r="EEA139" s="3"/>
      <c r="EEB139" s="3"/>
      <c r="EEC139" s="3"/>
      <c r="EED139" s="3"/>
      <c r="EEE139" s="3"/>
      <c r="EEF139" s="3"/>
      <c r="EEG139" s="3"/>
      <c r="EEH139" s="3"/>
      <c r="EEI139" s="3"/>
      <c r="EEJ139" s="3"/>
      <c r="EEK139" s="3"/>
      <c r="EEL139" s="3"/>
      <c r="EEM139" s="3"/>
      <c r="EEN139" s="3"/>
      <c r="EEO139" s="3"/>
      <c r="EEP139" s="3"/>
      <c r="EEQ139" s="3"/>
      <c r="EER139" s="3"/>
      <c r="EES139" s="3"/>
      <c r="EET139" s="3"/>
      <c r="EEU139" s="3"/>
      <c r="EEV139" s="3"/>
      <c r="EEW139" s="3"/>
      <c r="EEX139" s="3"/>
      <c r="EEY139" s="3"/>
      <c r="EEZ139" s="3"/>
      <c r="EFA139" s="3"/>
      <c r="EFB139" s="3"/>
      <c r="EFC139" s="3"/>
      <c r="EFD139" s="3"/>
      <c r="EFE139" s="3"/>
      <c r="EFF139" s="3"/>
      <c r="EFG139" s="3"/>
      <c r="EFH139" s="3"/>
      <c r="EFI139" s="3"/>
      <c r="EFJ139" s="3"/>
      <c r="EFK139" s="3"/>
      <c r="EFL139" s="3"/>
      <c r="EFM139" s="3"/>
      <c r="EFN139" s="3"/>
      <c r="EFO139" s="3"/>
      <c r="EFP139" s="3"/>
      <c r="EFQ139" s="3"/>
      <c r="EFR139" s="3"/>
      <c r="EFS139" s="3"/>
      <c r="EFT139" s="3"/>
      <c r="EFU139" s="3"/>
      <c r="EFV139" s="3"/>
      <c r="EFW139" s="3"/>
      <c r="EFX139" s="3"/>
      <c r="EFY139" s="3"/>
      <c r="EFZ139" s="3"/>
      <c r="EGA139" s="3"/>
      <c r="EGB139" s="3"/>
      <c r="EGC139" s="3"/>
      <c r="EGD139" s="3"/>
      <c r="EGE139" s="3"/>
      <c r="EGF139" s="3"/>
      <c r="EGG139" s="3"/>
      <c r="EGH139" s="3"/>
      <c r="EGI139" s="3"/>
      <c r="EGJ139" s="3"/>
      <c r="EGK139" s="3"/>
      <c r="EGL139" s="3"/>
      <c r="EGM139" s="3"/>
      <c r="EGN139" s="3"/>
      <c r="EGO139" s="3"/>
      <c r="EGP139" s="3"/>
      <c r="EGQ139" s="3"/>
      <c r="EGR139" s="3"/>
      <c r="EGS139" s="3"/>
      <c r="EGT139" s="3"/>
      <c r="EGU139" s="3"/>
      <c r="EGV139" s="3"/>
      <c r="EGW139" s="3"/>
      <c r="EGX139" s="3"/>
      <c r="EGY139" s="3"/>
      <c r="EGZ139" s="3"/>
      <c r="EHA139" s="3"/>
      <c r="EHB139" s="3"/>
      <c r="EHC139" s="3"/>
      <c r="EHD139" s="3"/>
      <c r="EHE139" s="3"/>
      <c r="EHF139" s="3"/>
      <c r="EHG139" s="3"/>
      <c r="EHH139" s="3"/>
      <c r="EHI139" s="3"/>
      <c r="EHJ139" s="3"/>
      <c r="EHK139" s="3"/>
      <c r="EHL139" s="3"/>
      <c r="EHM139" s="3"/>
      <c r="EHN139" s="3"/>
      <c r="EHO139" s="3"/>
      <c r="EHP139" s="3"/>
      <c r="EHQ139" s="3"/>
      <c r="EHR139" s="3"/>
      <c r="EHS139" s="3"/>
      <c r="EHT139" s="3"/>
      <c r="EHU139" s="3"/>
      <c r="EHV139" s="3"/>
      <c r="EHW139" s="3"/>
      <c r="EHX139" s="3"/>
      <c r="EHY139" s="3"/>
      <c r="EHZ139" s="3"/>
      <c r="EIA139" s="3"/>
      <c r="EIB139" s="3"/>
      <c r="EIC139" s="3"/>
      <c r="EID139" s="3"/>
      <c r="EIE139" s="3"/>
      <c r="EIF139" s="3"/>
      <c r="EIG139" s="3"/>
      <c r="EIH139" s="3"/>
      <c r="EII139" s="3"/>
      <c r="EIJ139" s="3"/>
      <c r="EIK139" s="3"/>
      <c r="EIL139" s="3"/>
      <c r="EIM139" s="3"/>
      <c r="EIN139" s="3"/>
      <c r="EIO139" s="3"/>
      <c r="EIP139" s="3"/>
      <c r="EIQ139" s="3"/>
      <c r="EIR139" s="3"/>
      <c r="EIS139" s="3"/>
      <c r="EIT139" s="3"/>
      <c r="EIU139" s="3"/>
      <c r="EIV139" s="3"/>
      <c r="EIW139" s="3"/>
      <c r="EIX139" s="3"/>
      <c r="EIY139" s="3"/>
      <c r="EIZ139" s="3"/>
      <c r="EJA139" s="3"/>
      <c r="EJB139" s="3"/>
      <c r="EJC139" s="3"/>
      <c r="EJD139" s="3"/>
      <c r="EJE139" s="3"/>
      <c r="EJF139" s="3"/>
      <c r="EJG139" s="3"/>
      <c r="EJH139" s="3"/>
      <c r="EJI139" s="3"/>
      <c r="EJJ139" s="3"/>
      <c r="EJK139" s="3"/>
      <c r="EJL139" s="3"/>
      <c r="EJM139" s="3"/>
      <c r="EJN139" s="3"/>
      <c r="EJO139" s="3"/>
      <c r="EJP139" s="3"/>
      <c r="EJQ139" s="3"/>
      <c r="EJR139" s="3"/>
      <c r="EJS139" s="3"/>
      <c r="EJT139" s="3"/>
      <c r="EJU139" s="3"/>
      <c r="EJV139" s="3"/>
      <c r="EJW139" s="3"/>
      <c r="EJX139" s="3"/>
      <c r="EJY139" s="3"/>
      <c r="EJZ139" s="3"/>
      <c r="EKA139" s="3"/>
      <c r="EKB139" s="3"/>
      <c r="EKC139" s="3"/>
      <c r="EKD139" s="3"/>
      <c r="EKE139" s="3"/>
      <c r="EKF139" s="3"/>
      <c r="EKG139" s="3"/>
      <c r="EKH139" s="3"/>
      <c r="EKI139" s="3"/>
      <c r="EKJ139" s="3"/>
      <c r="EKK139" s="3"/>
      <c r="EKL139" s="3"/>
      <c r="EKM139" s="3"/>
      <c r="EKN139" s="3"/>
      <c r="EKO139" s="3"/>
      <c r="EKP139" s="3"/>
      <c r="EKQ139" s="3"/>
      <c r="EKR139" s="3"/>
      <c r="EKS139" s="3"/>
      <c r="EKT139" s="3"/>
      <c r="EKU139" s="3"/>
      <c r="EKV139" s="3"/>
      <c r="EKW139" s="3"/>
      <c r="EKX139" s="3"/>
      <c r="EKY139" s="3"/>
      <c r="EKZ139" s="3"/>
      <c r="ELA139" s="3"/>
      <c r="ELB139" s="3"/>
      <c r="ELC139" s="3"/>
      <c r="ELD139" s="3"/>
      <c r="ELE139" s="3"/>
      <c r="ELF139" s="3"/>
      <c r="ELG139" s="3"/>
      <c r="ELH139" s="3"/>
      <c r="ELI139" s="3"/>
      <c r="ELJ139" s="3"/>
      <c r="ELK139" s="3"/>
      <c r="ELL139" s="3"/>
      <c r="ELM139" s="3"/>
      <c r="ELN139" s="3"/>
      <c r="ELO139" s="3"/>
      <c r="ELP139" s="3"/>
      <c r="ELQ139" s="3"/>
      <c r="ELR139" s="3"/>
      <c r="ELS139" s="3"/>
      <c r="ELT139" s="3"/>
      <c r="ELU139" s="3"/>
      <c r="ELV139" s="3"/>
      <c r="ELW139" s="3"/>
      <c r="ELX139" s="3"/>
      <c r="ELY139" s="3"/>
      <c r="ELZ139" s="3"/>
      <c r="EMA139" s="3"/>
      <c r="EMB139" s="3"/>
      <c r="EMC139" s="3"/>
      <c r="EMD139" s="3"/>
      <c r="EME139" s="3"/>
      <c r="EMF139" s="3"/>
      <c r="EMG139" s="3"/>
      <c r="EMH139" s="3"/>
      <c r="EMI139" s="3"/>
      <c r="EMJ139" s="3"/>
      <c r="EMK139" s="3"/>
      <c r="EML139" s="3"/>
      <c r="EMM139" s="3"/>
      <c r="EMN139" s="3"/>
      <c r="EMO139" s="3"/>
      <c r="EMP139" s="3"/>
      <c r="EMQ139" s="3"/>
      <c r="EMR139" s="3"/>
      <c r="EMS139" s="3"/>
      <c r="EMT139" s="3"/>
      <c r="EMU139" s="3"/>
      <c r="EMV139" s="3"/>
      <c r="EMW139" s="3"/>
      <c r="EMX139" s="3"/>
      <c r="EMY139" s="3"/>
      <c r="EMZ139" s="3"/>
      <c r="ENA139" s="3"/>
      <c r="ENB139" s="3"/>
      <c r="ENC139" s="3"/>
      <c r="END139" s="3"/>
      <c r="ENE139" s="3"/>
      <c r="ENF139" s="3"/>
      <c r="ENG139" s="3"/>
      <c r="ENH139" s="3"/>
      <c r="ENI139" s="3"/>
      <c r="ENJ139" s="3"/>
      <c r="ENK139" s="3"/>
      <c r="ENL139" s="3"/>
      <c r="ENM139" s="3"/>
      <c r="ENN139" s="3"/>
      <c r="ENO139" s="3"/>
      <c r="ENP139" s="3"/>
      <c r="ENQ139" s="3"/>
      <c r="ENR139" s="3"/>
      <c r="ENS139" s="3"/>
      <c r="ENT139" s="3"/>
      <c r="ENU139" s="3"/>
      <c r="ENV139" s="3"/>
      <c r="ENW139" s="3"/>
      <c r="ENX139" s="3"/>
      <c r="ENY139" s="3"/>
      <c r="ENZ139" s="3"/>
      <c r="EOA139" s="3"/>
      <c r="EOB139" s="3"/>
      <c r="EOC139" s="3"/>
      <c r="EOD139" s="3"/>
      <c r="EOE139" s="3"/>
      <c r="EOF139" s="3"/>
      <c r="EOG139" s="3"/>
      <c r="EOH139" s="3"/>
      <c r="EOI139" s="3"/>
      <c r="EOJ139" s="3"/>
      <c r="EOK139" s="3"/>
      <c r="EOL139" s="3"/>
      <c r="EOM139" s="3"/>
      <c r="EON139" s="3"/>
      <c r="EOO139" s="3"/>
      <c r="EOP139" s="3"/>
      <c r="EOQ139" s="3"/>
      <c r="EOR139" s="3"/>
      <c r="EOS139" s="3"/>
      <c r="EOT139" s="3"/>
      <c r="EOU139" s="3"/>
      <c r="EOV139" s="3"/>
      <c r="EOW139" s="3"/>
      <c r="EOX139" s="3"/>
      <c r="EOY139" s="3"/>
      <c r="EOZ139" s="3"/>
      <c r="EPA139" s="3"/>
      <c r="EPB139" s="3"/>
      <c r="EPC139" s="3"/>
      <c r="EPD139" s="3"/>
      <c r="EPE139" s="3"/>
      <c r="EPF139" s="3"/>
      <c r="EPG139" s="3"/>
      <c r="EPH139" s="3"/>
      <c r="EPI139" s="3"/>
      <c r="EPJ139" s="3"/>
      <c r="EPK139" s="3"/>
      <c r="EPL139" s="3"/>
      <c r="EPM139" s="3"/>
      <c r="EPN139" s="3"/>
      <c r="EPO139" s="3"/>
      <c r="EPP139" s="3"/>
      <c r="EPQ139" s="3"/>
      <c r="EPR139" s="3"/>
      <c r="EPS139" s="3"/>
      <c r="EPT139" s="3"/>
      <c r="EPU139" s="3"/>
      <c r="EPV139" s="3"/>
      <c r="EPW139" s="3"/>
      <c r="EPX139" s="3"/>
      <c r="EPY139" s="3"/>
      <c r="EPZ139" s="3"/>
      <c r="EQA139" s="3"/>
      <c r="EQB139" s="3"/>
      <c r="EQC139" s="3"/>
      <c r="EQD139" s="3"/>
      <c r="EQE139" s="3"/>
      <c r="EQF139" s="3"/>
      <c r="EQG139" s="3"/>
      <c r="EQH139" s="3"/>
      <c r="EQI139" s="3"/>
      <c r="EQJ139" s="3"/>
      <c r="EQK139" s="3"/>
      <c r="EQL139" s="3"/>
      <c r="EQM139" s="3"/>
      <c r="EQN139" s="3"/>
      <c r="EQO139" s="3"/>
      <c r="EQP139" s="3"/>
      <c r="EQQ139" s="3"/>
      <c r="EQR139" s="3"/>
      <c r="EQS139" s="3"/>
      <c r="EQT139" s="3"/>
      <c r="EQU139" s="3"/>
      <c r="EQV139" s="3"/>
      <c r="EQW139" s="3"/>
      <c r="EQX139" s="3"/>
      <c r="EQY139" s="3"/>
      <c r="EQZ139" s="3"/>
      <c r="ERA139" s="3"/>
      <c r="ERB139" s="3"/>
      <c r="ERC139" s="3"/>
      <c r="ERD139" s="3"/>
      <c r="ERE139" s="3"/>
      <c r="ERF139" s="3"/>
      <c r="ERG139" s="3"/>
      <c r="ERH139" s="3"/>
      <c r="ERI139" s="3"/>
      <c r="ERJ139" s="3"/>
      <c r="ERK139" s="3"/>
      <c r="ERL139" s="3"/>
      <c r="ERM139" s="3"/>
      <c r="ERN139" s="3"/>
      <c r="ERO139" s="3"/>
      <c r="ERP139" s="3"/>
      <c r="ERQ139" s="3"/>
      <c r="ERR139" s="3"/>
      <c r="ERS139" s="3"/>
      <c r="ERT139" s="3"/>
      <c r="ERU139" s="3"/>
      <c r="ERV139" s="3"/>
      <c r="ERW139" s="3"/>
      <c r="ERX139" s="3"/>
      <c r="ERY139" s="3"/>
      <c r="ERZ139" s="3"/>
      <c r="ESA139" s="3"/>
      <c r="ESB139" s="3"/>
      <c r="ESC139" s="3"/>
      <c r="ESD139" s="3"/>
      <c r="ESE139" s="3"/>
      <c r="ESF139" s="3"/>
      <c r="ESG139" s="3"/>
      <c r="ESH139" s="3"/>
      <c r="ESI139" s="3"/>
      <c r="ESJ139" s="3"/>
      <c r="ESK139" s="3"/>
      <c r="ESL139" s="3"/>
      <c r="ESM139" s="3"/>
      <c r="ESN139" s="3"/>
      <c r="ESO139" s="3"/>
      <c r="ESP139" s="3"/>
      <c r="ESQ139" s="3"/>
      <c r="ESR139" s="3"/>
      <c r="ESS139" s="3"/>
      <c r="EST139" s="3"/>
      <c r="ESU139" s="3"/>
      <c r="ESV139" s="3"/>
      <c r="ESW139" s="3"/>
      <c r="ESX139" s="3"/>
      <c r="ESY139" s="3"/>
      <c r="ESZ139" s="3"/>
      <c r="ETA139" s="3"/>
      <c r="ETB139" s="3"/>
      <c r="ETC139" s="3"/>
      <c r="ETD139" s="3"/>
      <c r="ETE139" s="3"/>
      <c r="ETF139" s="3"/>
      <c r="ETG139" s="3"/>
      <c r="ETH139" s="3"/>
      <c r="ETI139" s="3"/>
      <c r="ETJ139" s="3"/>
      <c r="ETK139" s="3"/>
      <c r="ETL139" s="3"/>
      <c r="ETM139" s="3"/>
      <c r="ETN139" s="3"/>
      <c r="ETO139" s="3"/>
      <c r="ETP139" s="3"/>
      <c r="ETQ139" s="3"/>
      <c r="ETR139" s="3"/>
      <c r="ETS139" s="3"/>
      <c r="ETT139" s="3"/>
      <c r="ETU139" s="3"/>
      <c r="ETV139" s="3"/>
      <c r="ETW139" s="3"/>
      <c r="ETX139" s="3"/>
      <c r="ETY139" s="3"/>
      <c r="ETZ139" s="3"/>
      <c r="EUA139" s="3"/>
      <c r="EUB139" s="3"/>
      <c r="EUC139" s="3"/>
      <c r="EUD139" s="3"/>
      <c r="EUE139" s="3"/>
      <c r="EUF139" s="3"/>
      <c r="EUG139" s="3"/>
      <c r="EUH139" s="3"/>
      <c r="EUI139" s="3"/>
      <c r="EUJ139" s="3"/>
      <c r="EUK139" s="3"/>
      <c r="EUL139" s="3"/>
      <c r="EUM139" s="3"/>
      <c r="EUN139" s="3"/>
      <c r="EUO139" s="3"/>
      <c r="EUP139" s="3"/>
      <c r="EUQ139" s="3"/>
      <c r="EUR139" s="3"/>
      <c r="EUS139" s="3"/>
      <c r="EUT139" s="3"/>
      <c r="EUU139" s="3"/>
      <c r="EUV139" s="3"/>
      <c r="EUW139" s="3"/>
      <c r="EUX139" s="3"/>
      <c r="EUY139" s="3"/>
      <c r="EUZ139" s="3"/>
      <c r="EVA139" s="3"/>
      <c r="EVB139" s="3"/>
      <c r="EVC139" s="3"/>
      <c r="EVD139" s="3"/>
      <c r="EVE139" s="3"/>
      <c r="EVF139" s="3"/>
      <c r="EVG139" s="3"/>
      <c r="EVH139" s="3"/>
      <c r="EVI139" s="3"/>
      <c r="EVJ139" s="3"/>
      <c r="EVK139" s="3"/>
      <c r="EVL139" s="3"/>
      <c r="EVM139" s="3"/>
      <c r="EVN139" s="3"/>
      <c r="EVO139" s="3"/>
      <c r="EVP139" s="3"/>
      <c r="EVQ139" s="3"/>
      <c r="EVR139" s="3"/>
      <c r="EVS139" s="3"/>
      <c r="EVT139" s="3"/>
      <c r="EVU139" s="3"/>
      <c r="EVV139" s="3"/>
      <c r="EVW139" s="3"/>
      <c r="EVX139" s="3"/>
      <c r="EVY139" s="3"/>
      <c r="EVZ139" s="3"/>
      <c r="EWA139" s="3"/>
      <c r="EWB139" s="3"/>
      <c r="EWC139" s="3"/>
      <c r="EWD139" s="3"/>
      <c r="EWE139" s="3"/>
      <c r="EWF139" s="3"/>
      <c r="EWG139" s="3"/>
      <c r="EWH139" s="3"/>
      <c r="EWI139" s="3"/>
      <c r="EWJ139" s="3"/>
      <c r="EWK139" s="3"/>
      <c r="EWL139" s="3"/>
      <c r="EWM139" s="3"/>
      <c r="EWN139" s="3"/>
      <c r="EWO139" s="3"/>
      <c r="EWP139" s="3"/>
      <c r="EWQ139" s="3"/>
      <c r="EWR139" s="3"/>
      <c r="EWS139" s="3"/>
      <c r="EWT139" s="3"/>
      <c r="EWU139" s="3"/>
      <c r="EWV139" s="3"/>
      <c r="EWW139" s="3"/>
      <c r="EWX139" s="3"/>
      <c r="EWY139" s="3"/>
      <c r="EWZ139" s="3"/>
      <c r="EXA139" s="3"/>
      <c r="EXB139" s="3"/>
      <c r="EXC139" s="3"/>
      <c r="EXD139" s="3"/>
      <c r="EXE139" s="3"/>
      <c r="EXF139" s="3"/>
      <c r="EXG139" s="3"/>
      <c r="EXH139" s="3"/>
      <c r="EXI139" s="3"/>
      <c r="EXJ139" s="3"/>
      <c r="EXK139" s="3"/>
      <c r="EXL139" s="3"/>
      <c r="EXM139" s="3"/>
      <c r="EXN139" s="3"/>
      <c r="EXO139" s="3"/>
      <c r="EXP139" s="3"/>
      <c r="EXQ139" s="3"/>
      <c r="EXR139" s="3"/>
      <c r="EXS139" s="3"/>
      <c r="EXT139" s="3"/>
      <c r="EXU139" s="3"/>
      <c r="EXV139" s="3"/>
      <c r="EXW139" s="3"/>
      <c r="EXX139" s="3"/>
      <c r="EXY139" s="3"/>
      <c r="EXZ139" s="3"/>
      <c r="EYA139" s="3"/>
      <c r="EYB139" s="3"/>
      <c r="EYC139" s="3"/>
      <c r="EYD139" s="3"/>
      <c r="EYE139" s="3"/>
      <c r="EYF139" s="3"/>
      <c r="EYG139" s="3"/>
      <c r="EYH139" s="3"/>
      <c r="EYI139" s="3"/>
      <c r="EYJ139" s="3"/>
      <c r="EYK139" s="3"/>
      <c r="EYL139" s="3"/>
      <c r="EYM139" s="3"/>
      <c r="EYN139" s="3"/>
      <c r="EYO139" s="3"/>
      <c r="EYP139" s="3"/>
      <c r="EYQ139" s="3"/>
      <c r="EYR139" s="3"/>
      <c r="EYS139" s="3"/>
      <c r="EYT139" s="3"/>
      <c r="EYU139" s="3"/>
      <c r="EYV139" s="3"/>
      <c r="EYW139" s="3"/>
      <c r="EYX139" s="3"/>
      <c r="EYY139" s="3"/>
      <c r="EYZ139" s="3"/>
      <c r="EZA139" s="3"/>
      <c r="EZB139" s="3"/>
      <c r="EZC139" s="3"/>
      <c r="EZD139" s="3"/>
      <c r="EZE139" s="3"/>
      <c r="EZF139" s="3"/>
      <c r="EZG139" s="3"/>
      <c r="EZH139" s="3"/>
      <c r="EZI139" s="3"/>
      <c r="EZJ139" s="3"/>
      <c r="EZK139" s="3"/>
      <c r="EZL139" s="3"/>
      <c r="EZM139" s="3"/>
      <c r="EZN139" s="3"/>
      <c r="EZO139" s="3"/>
      <c r="EZP139" s="3"/>
      <c r="EZQ139" s="3"/>
      <c r="EZR139" s="3"/>
      <c r="EZS139" s="3"/>
      <c r="EZT139" s="3"/>
      <c r="EZU139" s="3"/>
      <c r="EZV139" s="3"/>
      <c r="EZW139" s="3"/>
      <c r="EZX139" s="3"/>
      <c r="EZY139" s="3"/>
      <c r="EZZ139" s="3"/>
      <c r="FAA139" s="3"/>
      <c r="FAB139" s="3"/>
      <c r="FAC139" s="3"/>
      <c r="FAD139" s="3"/>
      <c r="FAE139" s="3"/>
      <c r="FAF139" s="3"/>
      <c r="FAG139" s="3"/>
      <c r="FAH139" s="3"/>
      <c r="FAI139" s="3"/>
      <c r="FAJ139" s="3"/>
      <c r="FAK139" s="3"/>
      <c r="FAL139" s="3"/>
      <c r="FAM139" s="3"/>
      <c r="FAN139" s="3"/>
      <c r="FAO139" s="3"/>
      <c r="FAP139" s="3"/>
      <c r="FAQ139" s="3"/>
      <c r="FAR139" s="3"/>
      <c r="FAS139" s="3"/>
      <c r="FAT139" s="3"/>
      <c r="FAU139" s="3"/>
      <c r="FAV139" s="3"/>
      <c r="FAW139" s="3"/>
      <c r="FAX139" s="3"/>
      <c r="FAY139" s="3"/>
      <c r="FAZ139" s="3"/>
      <c r="FBA139" s="3"/>
      <c r="FBB139" s="3"/>
      <c r="FBC139" s="3"/>
      <c r="FBD139" s="3"/>
      <c r="FBE139" s="3"/>
      <c r="FBF139" s="3"/>
      <c r="FBG139" s="3"/>
      <c r="FBH139" s="3"/>
      <c r="FBI139" s="3"/>
      <c r="FBJ139" s="3"/>
      <c r="FBK139" s="3"/>
      <c r="FBL139" s="3"/>
      <c r="FBM139" s="3"/>
      <c r="FBN139" s="3"/>
      <c r="FBO139" s="3"/>
      <c r="FBP139" s="3"/>
      <c r="FBQ139" s="3"/>
      <c r="FBR139" s="3"/>
      <c r="FBS139" s="3"/>
      <c r="FBT139" s="3"/>
      <c r="FBU139" s="3"/>
      <c r="FBV139" s="3"/>
      <c r="FBW139" s="3"/>
      <c r="FBX139" s="3"/>
      <c r="FBY139" s="3"/>
      <c r="FBZ139" s="3"/>
      <c r="FCA139" s="3"/>
      <c r="FCB139" s="3"/>
      <c r="FCC139" s="3"/>
      <c r="FCD139" s="3"/>
      <c r="FCE139" s="3"/>
      <c r="FCF139" s="3"/>
      <c r="FCG139" s="3"/>
      <c r="FCH139" s="3"/>
      <c r="FCI139" s="3"/>
      <c r="FCJ139" s="3"/>
      <c r="FCK139" s="3"/>
      <c r="FCL139" s="3"/>
      <c r="FCM139" s="3"/>
      <c r="FCN139" s="3"/>
      <c r="FCO139" s="3"/>
      <c r="FCP139" s="3"/>
      <c r="FCQ139" s="3"/>
      <c r="FCR139" s="3"/>
      <c r="FCS139" s="3"/>
      <c r="FCT139" s="3"/>
      <c r="FCU139" s="3"/>
      <c r="FCV139" s="3"/>
      <c r="FCW139" s="3"/>
      <c r="FCX139" s="3"/>
      <c r="FCY139" s="3"/>
      <c r="FCZ139" s="3"/>
      <c r="FDA139" s="3"/>
      <c r="FDB139" s="3"/>
      <c r="FDC139" s="3"/>
      <c r="FDD139" s="3"/>
      <c r="FDE139" s="3"/>
      <c r="FDF139" s="3"/>
      <c r="FDG139" s="3"/>
      <c r="FDH139" s="3"/>
      <c r="FDI139" s="3"/>
      <c r="FDJ139" s="3"/>
      <c r="FDK139" s="3"/>
      <c r="FDL139" s="3"/>
      <c r="FDM139" s="3"/>
      <c r="FDN139" s="3"/>
      <c r="FDO139" s="3"/>
      <c r="FDP139" s="3"/>
      <c r="FDQ139" s="3"/>
      <c r="FDR139" s="3"/>
      <c r="FDS139" s="3"/>
      <c r="FDT139" s="3"/>
      <c r="FDU139" s="3"/>
      <c r="FDV139" s="3"/>
      <c r="FDW139" s="3"/>
      <c r="FDX139" s="3"/>
      <c r="FDY139" s="3"/>
      <c r="FDZ139" s="3"/>
      <c r="FEA139" s="3"/>
      <c r="FEB139" s="3"/>
      <c r="FEC139" s="3"/>
      <c r="FED139" s="3"/>
      <c r="FEE139" s="3"/>
      <c r="FEF139" s="3"/>
      <c r="FEG139" s="3"/>
      <c r="FEH139" s="3"/>
      <c r="FEI139" s="3"/>
      <c r="FEJ139" s="3"/>
      <c r="FEK139" s="3"/>
      <c r="FEL139" s="3"/>
      <c r="FEM139" s="3"/>
      <c r="FEN139" s="3"/>
      <c r="FEO139" s="3"/>
      <c r="FEP139" s="3"/>
      <c r="FEQ139" s="3"/>
      <c r="FER139" s="3"/>
      <c r="FES139" s="3"/>
      <c r="FET139" s="3"/>
      <c r="FEU139" s="3"/>
      <c r="FEV139" s="3"/>
      <c r="FEW139" s="3"/>
      <c r="FEX139" s="3"/>
      <c r="FEY139" s="3"/>
      <c r="FEZ139" s="3"/>
      <c r="FFA139" s="3"/>
      <c r="FFB139" s="3"/>
      <c r="FFC139" s="3"/>
      <c r="FFD139" s="3"/>
      <c r="FFE139" s="3"/>
      <c r="FFF139" s="3"/>
      <c r="FFG139" s="3"/>
      <c r="FFH139" s="3"/>
      <c r="FFI139" s="3"/>
      <c r="FFJ139" s="3"/>
      <c r="FFK139" s="3"/>
      <c r="FFL139" s="3"/>
      <c r="FFM139" s="3"/>
      <c r="FFN139" s="3"/>
      <c r="FFO139" s="3"/>
      <c r="FFP139" s="3"/>
      <c r="FFQ139" s="3"/>
      <c r="FFR139" s="3"/>
      <c r="FFS139" s="3"/>
      <c r="FFT139" s="3"/>
      <c r="FFU139" s="3"/>
      <c r="FFV139" s="3"/>
      <c r="FFW139" s="3"/>
      <c r="FFX139" s="3"/>
      <c r="FFY139" s="3"/>
      <c r="FFZ139" s="3"/>
      <c r="FGA139" s="3"/>
      <c r="FGB139" s="3"/>
      <c r="FGC139" s="3"/>
      <c r="FGD139" s="3"/>
      <c r="FGE139" s="3"/>
      <c r="FGF139" s="3"/>
      <c r="FGG139" s="3"/>
      <c r="FGH139" s="3"/>
      <c r="FGI139" s="3"/>
      <c r="FGJ139" s="3"/>
      <c r="FGK139" s="3"/>
      <c r="FGL139" s="3"/>
      <c r="FGM139" s="3"/>
      <c r="FGN139" s="3"/>
      <c r="FGO139" s="3"/>
      <c r="FGP139" s="3"/>
      <c r="FGQ139" s="3"/>
      <c r="FGR139" s="3"/>
      <c r="FGS139" s="3"/>
      <c r="FGT139" s="3"/>
      <c r="FGU139" s="3"/>
      <c r="FGV139" s="3"/>
      <c r="FGW139" s="3"/>
      <c r="FGX139" s="3"/>
      <c r="FGY139" s="3"/>
      <c r="FGZ139" s="3"/>
      <c r="FHA139" s="3"/>
      <c r="FHB139" s="3"/>
      <c r="FHC139" s="3"/>
      <c r="FHD139" s="3"/>
      <c r="FHE139" s="3"/>
      <c r="FHF139" s="3"/>
      <c r="FHG139" s="3"/>
      <c r="FHH139" s="3"/>
      <c r="FHI139" s="3"/>
      <c r="FHJ139" s="3"/>
      <c r="FHK139" s="3"/>
      <c r="FHL139" s="3"/>
      <c r="FHM139" s="3"/>
      <c r="FHN139" s="3"/>
      <c r="FHO139" s="3"/>
      <c r="FHP139" s="3"/>
      <c r="FHQ139" s="3"/>
      <c r="FHR139" s="3"/>
      <c r="FHS139" s="3"/>
      <c r="FHT139" s="3"/>
      <c r="FHU139" s="3"/>
      <c r="FHV139" s="3"/>
      <c r="FHW139" s="3"/>
      <c r="FHX139" s="3"/>
      <c r="FHY139" s="3"/>
      <c r="FHZ139" s="3"/>
      <c r="FIA139" s="3"/>
      <c r="FIB139" s="3"/>
      <c r="FIC139" s="3"/>
      <c r="FID139" s="3"/>
      <c r="FIE139" s="3"/>
      <c r="FIF139" s="3"/>
      <c r="FIG139" s="3"/>
      <c r="FIH139" s="3"/>
      <c r="FII139" s="3"/>
      <c r="FIJ139" s="3"/>
      <c r="FIK139" s="3"/>
      <c r="FIL139" s="3"/>
      <c r="FIM139" s="3"/>
      <c r="FIN139" s="3"/>
      <c r="FIO139" s="3"/>
      <c r="FIP139" s="3"/>
      <c r="FIQ139" s="3"/>
      <c r="FIR139" s="3"/>
      <c r="FIS139" s="3"/>
      <c r="FIT139" s="3"/>
      <c r="FIU139" s="3"/>
      <c r="FIV139" s="3"/>
      <c r="FIW139" s="3"/>
      <c r="FIX139" s="3"/>
      <c r="FIY139" s="3"/>
      <c r="FIZ139" s="3"/>
      <c r="FJA139" s="3"/>
      <c r="FJB139" s="3"/>
      <c r="FJC139" s="3"/>
      <c r="FJD139" s="3"/>
      <c r="FJE139" s="3"/>
      <c r="FJF139" s="3"/>
      <c r="FJG139" s="3"/>
      <c r="FJH139" s="3"/>
      <c r="FJI139" s="3"/>
      <c r="FJJ139" s="3"/>
      <c r="FJK139" s="3"/>
      <c r="FJL139" s="3"/>
      <c r="FJM139" s="3"/>
      <c r="FJN139" s="3"/>
      <c r="FJO139" s="3"/>
      <c r="FJP139" s="3"/>
      <c r="FJQ139" s="3"/>
      <c r="FJR139" s="3"/>
      <c r="FJS139" s="3"/>
      <c r="FJT139" s="3"/>
      <c r="FJU139" s="3"/>
      <c r="FJV139" s="3"/>
      <c r="FJW139" s="3"/>
      <c r="FJX139" s="3"/>
      <c r="FJY139" s="3"/>
      <c r="FJZ139" s="3"/>
      <c r="FKA139" s="3"/>
      <c r="FKB139" s="3"/>
      <c r="FKC139" s="3"/>
      <c r="FKD139" s="3"/>
      <c r="FKE139" s="3"/>
      <c r="FKF139" s="3"/>
      <c r="FKG139" s="3"/>
      <c r="FKH139" s="3"/>
      <c r="FKI139" s="3"/>
      <c r="FKJ139" s="3"/>
      <c r="FKK139" s="3"/>
      <c r="FKL139" s="3"/>
      <c r="FKM139" s="3"/>
      <c r="FKN139" s="3"/>
      <c r="FKO139" s="3"/>
      <c r="FKP139" s="3"/>
      <c r="FKQ139" s="3"/>
      <c r="FKR139" s="3"/>
      <c r="FKS139" s="3"/>
      <c r="FKT139" s="3"/>
      <c r="FKU139" s="3"/>
      <c r="FKV139" s="3"/>
      <c r="FKW139" s="3"/>
      <c r="FKX139" s="3"/>
      <c r="FKY139" s="3"/>
      <c r="FKZ139" s="3"/>
      <c r="FLA139" s="3"/>
      <c r="FLB139" s="3"/>
      <c r="FLC139" s="3"/>
      <c r="FLD139" s="3"/>
      <c r="FLE139" s="3"/>
      <c r="FLF139" s="3"/>
      <c r="FLG139" s="3"/>
      <c r="FLH139" s="3"/>
      <c r="FLI139" s="3"/>
      <c r="FLJ139" s="3"/>
      <c r="FLK139" s="3"/>
      <c r="FLL139" s="3"/>
      <c r="FLM139" s="3"/>
      <c r="FLN139" s="3"/>
      <c r="FLO139" s="3"/>
      <c r="FLP139" s="3"/>
      <c r="FLQ139" s="3"/>
      <c r="FLR139" s="3"/>
      <c r="FLS139" s="3"/>
      <c r="FLT139" s="3"/>
      <c r="FLU139" s="3"/>
      <c r="FLV139" s="3"/>
      <c r="FLW139" s="3"/>
      <c r="FLX139" s="3"/>
      <c r="FLY139" s="3"/>
      <c r="FLZ139" s="3"/>
      <c r="FMA139" s="3"/>
      <c r="FMB139" s="3"/>
      <c r="FMC139" s="3"/>
      <c r="FMD139" s="3"/>
      <c r="FME139" s="3"/>
      <c r="FMF139" s="3"/>
      <c r="FMG139" s="3"/>
      <c r="FMH139" s="3"/>
      <c r="FMI139" s="3"/>
      <c r="FMJ139" s="3"/>
      <c r="FMK139" s="3"/>
      <c r="FML139" s="3"/>
      <c r="FMM139" s="3"/>
      <c r="FMN139" s="3"/>
      <c r="FMO139" s="3"/>
      <c r="FMP139" s="3"/>
      <c r="FMQ139" s="3"/>
      <c r="FMR139" s="3"/>
      <c r="FMS139" s="3"/>
      <c r="FMT139" s="3"/>
      <c r="FMU139" s="3"/>
      <c r="FMV139" s="3"/>
      <c r="FMW139" s="3"/>
      <c r="FMX139" s="3"/>
      <c r="FMY139" s="3"/>
      <c r="FMZ139" s="3"/>
      <c r="FNA139" s="3"/>
      <c r="FNB139" s="3"/>
      <c r="FNC139" s="3"/>
      <c r="FND139" s="3"/>
      <c r="FNE139" s="3"/>
      <c r="FNF139" s="3"/>
      <c r="FNG139" s="3"/>
      <c r="FNH139" s="3"/>
      <c r="FNI139" s="3"/>
      <c r="FNJ139" s="3"/>
      <c r="FNK139" s="3"/>
      <c r="FNL139" s="3"/>
      <c r="FNM139" s="3"/>
      <c r="FNN139" s="3"/>
      <c r="FNO139" s="3"/>
      <c r="FNP139" s="3"/>
      <c r="FNQ139" s="3"/>
      <c r="FNR139" s="3"/>
      <c r="FNS139" s="3"/>
      <c r="FNT139" s="3"/>
      <c r="FNU139" s="3"/>
      <c r="FNV139" s="3"/>
      <c r="FNW139" s="3"/>
      <c r="FNX139" s="3"/>
      <c r="FNY139" s="3"/>
      <c r="FNZ139" s="3"/>
      <c r="FOA139" s="3"/>
      <c r="FOB139" s="3"/>
      <c r="FOC139" s="3"/>
      <c r="FOD139" s="3"/>
      <c r="FOE139" s="3"/>
      <c r="FOF139" s="3"/>
      <c r="FOG139" s="3"/>
      <c r="FOH139" s="3"/>
      <c r="FOI139" s="3"/>
      <c r="FOJ139" s="3"/>
      <c r="FOK139" s="3"/>
      <c r="FOL139" s="3"/>
      <c r="FOM139" s="3"/>
      <c r="FON139" s="3"/>
      <c r="FOO139" s="3"/>
      <c r="FOP139" s="3"/>
      <c r="FOQ139" s="3"/>
      <c r="FOR139" s="3"/>
      <c r="FOS139" s="3"/>
      <c r="FOT139" s="3"/>
      <c r="FOU139" s="3"/>
      <c r="FOV139" s="3"/>
      <c r="FOW139" s="3"/>
      <c r="FOX139" s="3"/>
      <c r="FOY139" s="3"/>
      <c r="FOZ139" s="3"/>
      <c r="FPA139" s="3"/>
      <c r="FPB139" s="3"/>
      <c r="FPC139" s="3"/>
      <c r="FPD139" s="3"/>
      <c r="FPE139" s="3"/>
      <c r="FPF139" s="3"/>
      <c r="FPG139" s="3"/>
      <c r="FPH139" s="3"/>
      <c r="FPI139" s="3"/>
      <c r="FPJ139" s="3"/>
      <c r="FPK139" s="3"/>
      <c r="FPL139" s="3"/>
      <c r="FPM139" s="3"/>
      <c r="FPN139" s="3"/>
      <c r="FPO139" s="3"/>
      <c r="FPP139" s="3"/>
      <c r="FPQ139" s="3"/>
      <c r="FPR139" s="3"/>
      <c r="FPS139" s="3"/>
      <c r="FPT139" s="3"/>
      <c r="FPU139" s="3"/>
      <c r="FPV139" s="3"/>
      <c r="FPW139" s="3"/>
      <c r="FPX139" s="3"/>
      <c r="FPY139" s="3"/>
      <c r="FPZ139" s="3"/>
      <c r="FQA139" s="3"/>
      <c r="FQB139" s="3"/>
      <c r="FQC139" s="3"/>
      <c r="FQD139" s="3"/>
      <c r="FQE139" s="3"/>
      <c r="FQF139" s="3"/>
      <c r="FQG139" s="3"/>
      <c r="FQH139" s="3"/>
      <c r="FQI139" s="3"/>
      <c r="FQJ139" s="3"/>
      <c r="FQK139" s="3"/>
      <c r="FQL139" s="3"/>
      <c r="FQM139" s="3"/>
      <c r="FQN139" s="3"/>
      <c r="FQO139" s="3"/>
      <c r="FQP139" s="3"/>
      <c r="FQQ139" s="3"/>
      <c r="FQR139" s="3"/>
      <c r="FQS139" s="3"/>
      <c r="FQT139" s="3"/>
      <c r="FQU139" s="3"/>
      <c r="FQV139" s="3"/>
      <c r="FQW139" s="3"/>
      <c r="FQX139" s="3"/>
      <c r="FQY139" s="3"/>
      <c r="FQZ139" s="3"/>
      <c r="FRA139" s="3"/>
      <c r="FRB139" s="3"/>
      <c r="FRC139" s="3"/>
      <c r="FRD139" s="3"/>
      <c r="FRE139" s="3"/>
      <c r="FRF139" s="3"/>
      <c r="FRG139" s="3"/>
      <c r="FRH139" s="3"/>
      <c r="FRI139" s="3"/>
      <c r="FRJ139" s="3"/>
      <c r="FRK139" s="3"/>
      <c r="FRL139" s="3"/>
      <c r="FRM139" s="3"/>
      <c r="FRN139" s="3"/>
      <c r="FRO139" s="3"/>
      <c r="FRP139" s="3"/>
      <c r="FRQ139" s="3"/>
      <c r="FRR139" s="3"/>
      <c r="FRS139" s="3"/>
      <c r="FRT139" s="3"/>
      <c r="FRU139" s="3"/>
      <c r="FRV139" s="3"/>
      <c r="FRW139" s="3"/>
      <c r="FRX139" s="3"/>
      <c r="FRY139" s="3"/>
      <c r="FRZ139" s="3"/>
      <c r="FSA139" s="3"/>
      <c r="FSB139" s="3"/>
      <c r="FSC139" s="3"/>
      <c r="FSD139" s="3"/>
      <c r="FSE139" s="3"/>
      <c r="FSF139" s="3"/>
      <c r="FSG139" s="3"/>
      <c r="FSH139" s="3"/>
      <c r="FSI139" s="3"/>
      <c r="FSJ139" s="3"/>
      <c r="FSK139" s="3"/>
      <c r="FSL139" s="3"/>
      <c r="FSM139" s="3"/>
      <c r="FSN139" s="3"/>
      <c r="FSO139" s="3"/>
      <c r="FSP139" s="3"/>
      <c r="FSQ139" s="3"/>
      <c r="FSR139" s="3"/>
      <c r="FSS139" s="3"/>
      <c r="FST139" s="3"/>
      <c r="FSU139" s="3"/>
      <c r="FSV139" s="3"/>
      <c r="FSW139" s="3"/>
      <c r="FSX139" s="3"/>
      <c r="FSY139" s="3"/>
      <c r="FSZ139" s="3"/>
      <c r="FTA139" s="3"/>
      <c r="FTB139" s="3"/>
      <c r="FTC139" s="3"/>
      <c r="FTD139" s="3"/>
      <c r="FTE139" s="3"/>
      <c r="FTF139" s="3"/>
      <c r="FTG139" s="3"/>
      <c r="FTH139" s="3"/>
      <c r="FTI139" s="3"/>
      <c r="FTJ139" s="3"/>
      <c r="FTK139" s="3"/>
      <c r="FTL139" s="3"/>
      <c r="FTM139" s="3"/>
      <c r="FTN139" s="3"/>
      <c r="FTO139" s="3"/>
      <c r="FTP139" s="3"/>
      <c r="FTQ139" s="3"/>
      <c r="FTR139" s="3"/>
      <c r="FTS139" s="3"/>
      <c r="FTT139" s="3"/>
      <c r="FTU139" s="3"/>
      <c r="FTV139" s="3"/>
      <c r="FTW139" s="3"/>
      <c r="FTX139" s="3"/>
      <c r="FTY139" s="3"/>
      <c r="FTZ139" s="3"/>
      <c r="FUA139" s="3"/>
      <c r="FUB139" s="3"/>
      <c r="FUC139" s="3"/>
      <c r="FUD139" s="3"/>
      <c r="FUE139" s="3"/>
      <c r="FUF139" s="3"/>
      <c r="FUG139" s="3"/>
      <c r="FUH139" s="3"/>
      <c r="FUI139" s="3"/>
      <c r="FUJ139" s="3"/>
      <c r="FUK139" s="3"/>
      <c r="FUL139" s="3"/>
      <c r="FUM139" s="3"/>
      <c r="FUN139" s="3"/>
      <c r="FUO139" s="3"/>
      <c r="FUP139" s="3"/>
      <c r="FUQ139" s="3"/>
      <c r="FUR139" s="3"/>
      <c r="FUS139" s="3"/>
      <c r="FUT139" s="3"/>
      <c r="FUU139" s="3"/>
      <c r="FUV139" s="3"/>
      <c r="FUW139" s="3"/>
      <c r="FUX139" s="3"/>
      <c r="FUY139" s="3"/>
      <c r="FUZ139" s="3"/>
      <c r="FVA139" s="3"/>
      <c r="FVB139" s="3"/>
      <c r="FVC139" s="3"/>
      <c r="FVD139" s="3"/>
      <c r="FVE139" s="3"/>
      <c r="FVF139" s="3"/>
      <c r="FVG139" s="3"/>
      <c r="FVH139" s="3"/>
      <c r="FVI139" s="3"/>
      <c r="FVJ139" s="3"/>
      <c r="FVK139" s="3"/>
      <c r="FVL139" s="3"/>
      <c r="FVM139" s="3"/>
      <c r="FVN139" s="3"/>
      <c r="FVO139" s="3"/>
      <c r="FVP139" s="3"/>
      <c r="FVQ139" s="3"/>
      <c r="FVR139" s="3"/>
      <c r="FVS139" s="3"/>
      <c r="FVT139" s="3"/>
      <c r="FVU139" s="3"/>
      <c r="FVV139" s="3"/>
      <c r="FVW139" s="3"/>
      <c r="FVX139" s="3"/>
      <c r="FVY139" s="3"/>
      <c r="FVZ139" s="3"/>
      <c r="FWA139" s="3"/>
      <c r="FWB139" s="3"/>
      <c r="FWC139" s="3"/>
      <c r="FWD139" s="3"/>
      <c r="FWE139" s="3"/>
      <c r="FWF139" s="3"/>
      <c r="FWG139" s="3"/>
      <c r="FWH139" s="3"/>
      <c r="FWI139" s="3"/>
      <c r="FWJ139" s="3"/>
      <c r="FWK139" s="3"/>
      <c r="FWL139" s="3"/>
      <c r="FWM139" s="3"/>
      <c r="FWN139" s="3"/>
      <c r="FWO139" s="3"/>
      <c r="FWP139" s="3"/>
      <c r="FWQ139" s="3"/>
      <c r="FWR139" s="3"/>
      <c r="FWS139" s="3"/>
      <c r="FWT139" s="3"/>
      <c r="FWU139" s="3"/>
      <c r="FWV139" s="3"/>
      <c r="FWW139" s="3"/>
      <c r="FWX139" s="3"/>
      <c r="FWY139" s="3"/>
      <c r="FWZ139" s="3"/>
      <c r="FXA139" s="3"/>
      <c r="FXB139" s="3"/>
      <c r="FXC139" s="3"/>
      <c r="FXD139" s="3"/>
      <c r="FXE139" s="3"/>
      <c r="FXF139" s="3"/>
      <c r="FXG139" s="3"/>
      <c r="FXH139" s="3"/>
      <c r="FXI139" s="3"/>
      <c r="FXJ139" s="3"/>
      <c r="FXK139" s="3"/>
      <c r="FXL139" s="3"/>
      <c r="FXM139" s="3"/>
      <c r="FXN139" s="3"/>
      <c r="FXO139" s="3"/>
      <c r="FXP139" s="3"/>
      <c r="FXQ139" s="3"/>
      <c r="FXR139" s="3"/>
      <c r="FXS139" s="3"/>
      <c r="FXT139" s="3"/>
      <c r="FXU139" s="3"/>
      <c r="FXV139" s="3"/>
      <c r="FXW139" s="3"/>
      <c r="FXX139" s="3"/>
      <c r="FXY139" s="3"/>
      <c r="FXZ139" s="3"/>
      <c r="FYA139" s="3"/>
      <c r="FYB139" s="3"/>
      <c r="FYC139" s="3"/>
      <c r="FYD139" s="3"/>
      <c r="FYE139" s="3"/>
      <c r="FYF139" s="3"/>
      <c r="FYG139" s="3"/>
      <c r="FYH139" s="3"/>
      <c r="FYI139" s="3"/>
      <c r="FYJ139" s="3"/>
      <c r="FYK139" s="3"/>
      <c r="FYL139" s="3"/>
      <c r="FYM139" s="3"/>
      <c r="FYN139" s="3"/>
      <c r="FYO139" s="3"/>
      <c r="FYP139" s="3"/>
      <c r="FYQ139" s="3"/>
      <c r="FYR139" s="3"/>
      <c r="FYS139" s="3"/>
      <c r="FYT139" s="3"/>
      <c r="FYU139" s="3"/>
      <c r="FYV139" s="3"/>
      <c r="FYW139" s="3"/>
      <c r="FYX139" s="3"/>
      <c r="FYY139" s="3"/>
      <c r="FYZ139" s="3"/>
      <c r="FZA139" s="3"/>
      <c r="FZB139" s="3"/>
      <c r="FZC139" s="3"/>
      <c r="FZD139" s="3"/>
      <c r="FZE139" s="3"/>
      <c r="FZF139" s="3"/>
      <c r="FZG139" s="3"/>
      <c r="FZH139" s="3"/>
      <c r="FZI139" s="3"/>
      <c r="FZJ139" s="3"/>
      <c r="FZK139" s="3"/>
      <c r="FZL139" s="3"/>
      <c r="FZM139" s="3"/>
      <c r="FZN139" s="3"/>
      <c r="FZO139" s="3"/>
      <c r="FZP139" s="3"/>
      <c r="FZQ139" s="3"/>
      <c r="FZR139" s="3"/>
      <c r="FZS139" s="3"/>
      <c r="FZT139" s="3"/>
      <c r="FZU139" s="3"/>
      <c r="FZV139" s="3"/>
      <c r="FZW139" s="3"/>
      <c r="FZX139" s="3"/>
      <c r="FZY139" s="3"/>
      <c r="FZZ139" s="3"/>
      <c r="GAA139" s="3"/>
      <c r="GAB139" s="3"/>
      <c r="GAC139" s="3"/>
      <c r="GAD139" s="3"/>
      <c r="GAE139" s="3"/>
      <c r="GAF139" s="3"/>
      <c r="GAG139" s="3"/>
      <c r="GAH139" s="3"/>
      <c r="GAI139" s="3"/>
      <c r="GAJ139" s="3"/>
      <c r="GAK139" s="3"/>
      <c r="GAL139" s="3"/>
      <c r="GAM139" s="3"/>
      <c r="GAN139" s="3"/>
      <c r="GAO139" s="3"/>
      <c r="GAP139" s="3"/>
      <c r="GAQ139" s="3"/>
      <c r="GAR139" s="3"/>
      <c r="GAS139" s="3"/>
      <c r="GAT139" s="3"/>
      <c r="GAU139" s="3"/>
      <c r="GAV139" s="3"/>
      <c r="GAW139" s="3"/>
      <c r="GAX139" s="3"/>
      <c r="GAY139" s="3"/>
      <c r="GAZ139" s="3"/>
      <c r="GBA139" s="3"/>
      <c r="GBB139" s="3"/>
      <c r="GBC139" s="3"/>
      <c r="GBD139" s="3"/>
      <c r="GBE139" s="3"/>
      <c r="GBF139" s="3"/>
      <c r="GBG139" s="3"/>
      <c r="GBH139" s="3"/>
      <c r="GBI139" s="3"/>
      <c r="GBJ139" s="3"/>
      <c r="GBK139" s="3"/>
      <c r="GBL139" s="3"/>
      <c r="GBM139" s="3"/>
      <c r="GBN139" s="3"/>
      <c r="GBO139" s="3"/>
      <c r="GBP139" s="3"/>
      <c r="GBQ139" s="3"/>
      <c r="GBR139" s="3"/>
      <c r="GBS139" s="3"/>
      <c r="GBT139" s="3"/>
      <c r="GBU139" s="3"/>
      <c r="GBV139" s="3"/>
      <c r="GBW139" s="3"/>
      <c r="GBX139" s="3"/>
      <c r="GBY139" s="3"/>
      <c r="GBZ139" s="3"/>
      <c r="GCA139" s="3"/>
      <c r="GCB139" s="3"/>
      <c r="GCC139" s="3"/>
      <c r="GCD139" s="3"/>
      <c r="GCE139" s="3"/>
      <c r="GCF139" s="3"/>
      <c r="GCG139" s="3"/>
      <c r="GCH139" s="3"/>
      <c r="GCI139" s="3"/>
      <c r="GCJ139" s="3"/>
      <c r="GCK139" s="3"/>
      <c r="GCL139" s="3"/>
      <c r="GCM139" s="3"/>
      <c r="GCN139" s="3"/>
      <c r="GCO139" s="3"/>
      <c r="GCP139" s="3"/>
      <c r="GCQ139" s="3"/>
      <c r="GCR139" s="3"/>
      <c r="GCS139" s="3"/>
      <c r="GCT139" s="3"/>
      <c r="GCU139" s="3"/>
      <c r="GCV139" s="3"/>
      <c r="GCW139" s="3"/>
      <c r="GCX139" s="3"/>
      <c r="GCY139" s="3"/>
      <c r="GCZ139" s="3"/>
      <c r="GDA139" s="3"/>
      <c r="GDB139" s="3"/>
      <c r="GDC139" s="3"/>
      <c r="GDD139" s="3"/>
      <c r="GDE139" s="3"/>
      <c r="GDF139" s="3"/>
      <c r="GDG139" s="3"/>
      <c r="GDH139" s="3"/>
      <c r="GDI139" s="3"/>
      <c r="GDJ139" s="3"/>
      <c r="GDK139" s="3"/>
      <c r="GDL139" s="3"/>
      <c r="GDM139" s="3"/>
      <c r="GDN139" s="3"/>
      <c r="GDO139" s="3"/>
      <c r="GDP139" s="3"/>
      <c r="GDQ139" s="3"/>
      <c r="GDR139" s="3"/>
      <c r="GDS139" s="3"/>
      <c r="GDT139" s="3"/>
      <c r="GDU139" s="3"/>
      <c r="GDV139" s="3"/>
      <c r="GDW139" s="3"/>
      <c r="GDX139" s="3"/>
      <c r="GDY139" s="3"/>
      <c r="GDZ139" s="3"/>
      <c r="GEA139" s="3"/>
      <c r="GEB139" s="3"/>
      <c r="GEC139" s="3"/>
      <c r="GED139" s="3"/>
      <c r="GEE139" s="3"/>
      <c r="GEF139" s="3"/>
      <c r="GEG139" s="3"/>
      <c r="GEH139" s="3"/>
      <c r="GEI139" s="3"/>
      <c r="GEJ139" s="3"/>
      <c r="GEK139" s="3"/>
      <c r="GEL139" s="3"/>
      <c r="GEM139" s="3"/>
      <c r="GEN139" s="3"/>
      <c r="GEO139" s="3"/>
      <c r="GEP139" s="3"/>
      <c r="GEQ139" s="3"/>
      <c r="GER139" s="3"/>
      <c r="GES139" s="3"/>
      <c r="GET139" s="3"/>
      <c r="GEU139" s="3"/>
      <c r="GEV139" s="3"/>
      <c r="GEW139" s="3"/>
      <c r="GEX139" s="3"/>
      <c r="GEY139" s="3"/>
      <c r="GEZ139" s="3"/>
      <c r="GFA139" s="3"/>
      <c r="GFB139" s="3"/>
      <c r="GFC139" s="3"/>
      <c r="GFD139" s="3"/>
      <c r="GFE139" s="3"/>
      <c r="GFF139" s="3"/>
      <c r="GFG139" s="3"/>
      <c r="GFH139" s="3"/>
      <c r="GFI139" s="3"/>
      <c r="GFJ139" s="3"/>
      <c r="GFK139" s="3"/>
      <c r="GFL139" s="3"/>
      <c r="GFM139" s="3"/>
      <c r="GFN139" s="3"/>
      <c r="GFO139" s="3"/>
      <c r="GFP139" s="3"/>
      <c r="GFQ139" s="3"/>
      <c r="GFR139" s="3"/>
      <c r="GFS139" s="3"/>
      <c r="GFT139" s="3"/>
      <c r="GFU139" s="3"/>
      <c r="GFV139" s="3"/>
      <c r="GFW139" s="3"/>
      <c r="GFX139" s="3"/>
      <c r="GFY139" s="3"/>
      <c r="GFZ139" s="3"/>
      <c r="GGA139" s="3"/>
      <c r="GGB139" s="3"/>
      <c r="GGC139" s="3"/>
      <c r="GGD139" s="3"/>
      <c r="GGE139" s="3"/>
      <c r="GGF139" s="3"/>
      <c r="GGG139" s="3"/>
      <c r="GGH139" s="3"/>
      <c r="GGI139" s="3"/>
      <c r="GGJ139" s="3"/>
      <c r="GGK139" s="3"/>
      <c r="GGL139" s="3"/>
      <c r="GGM139" s="3"/>
      <c r="GGN139" s="3"/>
      <c r="GGO139" s="3"/>
      <c r="GGP139" s="3"/>
      <c r="GGQ139" s="3"/>
      <c r="GGR139" s="3"/>
      <c r="GGS139" s="3"/>
      <c r="GGT139" s="3"/>
      <c r="GGU139" s="3"/>
      <c r="GGV139" s="3"/>
      <c r="GGW139" s="3"/>
      <c r="GGX139" s="3"/>
      <c r="GGY139" s="3"/>
      <c r="GGZ139" s="3"/>
      <c r="GHA139" s="3"/>
      <c r="GHB139" s="3"/>
      <c r="GHC139" s="3"/>
      <c r="GHD139" s="3"/>
      <c r="GHE139" s="3"/>
      <c r="GHF139" s="3"/>
      <c r="GHG139" s="3"/>
      <c r="GHH139" s="3"/>
      <c r="GHI139" s="3"/>
      <c r="GHJ139" s="3"/>
      <c r="GHK139" s="3"/>
      <c r="GHL139" s="3"/>
      <c r="GHM139" s="3"/>
      <c r="GHN139" s="3"/>
      <c r="GHO139" s="3"/>
      <c r="GHP139" s="3"/>
      <c r="GHQ139" s="3"/>
      <c r="GHR139" s="3"/>
      <c r="GHS139" s="3"/>
      <c r="GHT139" s="3"/>
      <c r="GHU139" s="3"/>
      <c r="GHV139" s="3"/>
      <c r="GHW139" s="3"/>
      <c r="GHX139" s="3"/>
      <c r="GHY139" s="3"/>
      <c r="GHZ139" s="3"/>
      <c r="GIA139" s="3"/>
      <c r="GIB139" s="3"/>
      <c r="GIC139" s="3"/>
      <c r="GID139" s="3"/>
      <c r="GIE139" s="3"/>
      <c r="GIF139" s="3"/>
      <c r="GIG139" s="3"/>
      <c r="GIH139" s="3"/>
      <c r="GII139" s="3"/>
      <c r="GIJ139" s="3"/>
      <c r="GIK139" s="3"/>
      <c r="GIL139" s="3"/>
      <c r="GIM139" s="3"/>
      <c r="GIN139" s="3"/>
      <c r="GIO139" s="3"/>
      <c r="GIP139" s="3"/>
      <c r="GIQ139" s="3"/>
      <c r="GIR139" s="3"/>
      <c r="GIS139" s="3"/>
      <c r="GIT139" s="3"/>
      <c r="GIU139" s="3"/>
      <c r="GIV139" s="3"/>
      <c r="GIW139" s="3"/>
      <c r="GIX139" s="3"/>
      <c r="GIY139" s="3"/>
      <c r="GIZ139" s="3"/>
      <c r="GJA139" s="3"/>
      <c r="GJB139" s="3"/>
      <c r="GJC139" s="3"/>
      <c r="GJD139" s="3"/>
      <c r="GJE139" s="3"/>
      <c r="GJF139" s="3"/>
      <c r="GJG139" s="3"/>
      <c r="GJH139" s="3"/>
      <c r="GJI139" s="3"/>
      <c r="GJJ139" s="3"/>
      <c r="GJK139" s="3"/>
      <c r="GJL139" s="3"/>
      <c r="GJM139" s="3"/>
      <c r="GJN139" s="3"/>
      <c r="GJO139" s="3"/>
      <c r="GJP139" s="3"/>
      <c r="GJQ139" s="3"/>
      <c r="GJR139" s="3"/>
      <c r="GJS139" s="3"/>
      <c r="GJT139" s="3"/>
      <c r="GJU139" s="3"/>
      <c r="GJV139" s="3"/>
      <c r="GJW139" s="3"/>
      <c r="GJX139" s="3"/>
      <c r="GJY139" s="3"/>
      <c r="GJZ139" s="3"/>
      <c r="GKA139" s="3"/>
      <c r="GKB139" s="3"/>
      <c r="GKC139" s="3"/>
      <c r="GKD139" s="3"/>
      <c r="GKE139" s="3"/>
      <c r="GKF139" s="3"/>
      <c r="GKG139" s="3"/>
      <c r="GKH139" s="3"/>
      <c r="GKI139" s="3"/>
      <c r="GKJ139" s="3"/>
      <c r="GKK139" s="3"/>
      <c r="GKL139" s="3"/>
      <c r="GKM139" s="3"/>
      <c r="GKN139" s="3"/>
      <c r="GKO139" s="3"/>
      <c r="GKP139" s="3"/>
      <c r="GKQ139" s="3"/>
      <c r="GKR139" s="3"/>
      <c r="GKS139" s="3"/>
      <c r="GKT139" s="3"/>
      <c r="GKU139" s="3"/>
      <c r="GKV139" s="3"/>
      <c r="GKW139" s="3"/>
      <c r="GKX139" s="3"/>
      <c r="GKY139" s="3"/>
      <c r="GKZ139" s="3"/>
      <c r="GLA139" s="3"/>
      <c r="GLB139" s="3"/>
      <c r="GLC139" s="3"/>
      <c r="GLD139" s="3"/>
      <c r="GLE139" s="3"/>
      <c r="GLF139" s="3"/>
      <c r="GLG139" s="3"/>
      <c r="GLH139" s="3"/>
      <c r="GLI139" s="3"/>
      <c r="GLJ139" s="3"/>
      <c r="GLK139" s="3"/>
      <c r="GLL139" s="3"/>
      <c r="GLM139" s="3"/>
      <c r="GLN139" s="3"/>
      <c r="GLO139" s="3"/>
      <c r="GLP139" s="3"/>
      <c r="GLQ139" s="3"/>
      <c r="GLR139" s="3"/>
      <c r="GLS139" s="3"/>
      <c r="GLT139" s="3"/>
      <c r="GLU139" s="3"/>
      <c r="GLV139" s="3"/>
      <c r="GLW139" s="3"/>
      <c r="GLX139" s="3"/>
      <c r="GLY139" s="3"/>
      <c r="GLZ139" s="3"/>
      <c r="GMA139" s="3"/>
      <c r="GMB139" s="3"/>
      <c r="GMC139" s="3"/>
      <c r="GMD139" s="3"/>
      <c r="GME139" s="3"/>
      <c r="GMF139" s="3"/>
      <c r="GMG139" s="3"/>
      <c r="GMH139" s="3"/>
      <c r="GMI139" s="3"/>
      <c r="GMJ139" s="3"/>
      <c r="GMK139" s="3"/>
      <c r="GML139" s="3"/>
      <c r="GMM139" s="3"/>
      <c r="GMN139" s="3"/>
      <c r="GMO139" s="3"/>
      <c r="GMP139" s="3"/>
      <c r="GMQ139" s="3"/>
      <c r="GMR139" s="3"/>
      <c r="GMS139" s="3"/>
      <c r="GMT139" s="3"/>
      <c r="GMU139" s="3"/>
      <c r="GMV139" s="3"/>
      <c r="GMW139" s="3"/>
      <c r="GMX139" s="3"/>
      <c r="GMY139" s="3"/>
      <c r="GMZ139" s="3"/>
      <c r="GNA139" s="3"/>
      <c r="GNB139" s="3"/>
      <c r="GNC139" s="3"/>
      <c r="GND139" s="3"/>
      <c r="GNE139" s="3"/>
      <c r="GNF139" s="3"/>
      <c r="GNG139" s="3"/>
      <c r="GNH139" s="3"/>
      <c r="GNI139" s="3"/>
      <c r="GNJ139" s="3"/>
      <c r="GNK139" s="3"/>
      <c r="GNL139" s="3"/>
      <c r="GNM139" s="3"/>
      <c r="GNN139" s="3"/>
      <c r="GNO139" s="3"/>
      <c r="GNP139" s="3"/>
      <c r="GNQ139" s="3"/>
      <c r="GNR139" s="3"/>
      <c r="GNS139" s="3"/>
      <c r="GNT139" s="3"/>
      <c r="GNU139" s="3"/>
      <c r="GNV139" s="3"/>
      <c r="GNW139" s="3"/>
      <c r="GNX139" s="3"/>
      <c r="GNY139" s="3"/>
      <c r="GNZ139" s="3"/>
      <c r="GOA139" s="3"/>
      <c r="GOB139" s="3"/>
      <c r="GOC139" s="3"/>
      <c r="GOD139" s="3"/>
      <c r="GOE139" s="3"/>
      <c r="GOF139" s="3"/>
      <c r="GOG139" s="3"/>
      <c r="GOH139" s="3"/>
      <c r="GOI139" s="3"/>
      <c r="GOJ139" s="3"/>
      <c r="GOK139" s="3"/>
      <c r="GOL139" s="3"/>
      <c r="GOM139" s="3"/>
      <c r="GON139" s="3"/>
      <c r="GOO139" s="3"/>
      <c r="GOP139" s="3"/>
      <c r="GOQ139" s="3"/>
      <c r="GOR139" s="3"/>
      <c r="GOS139" s="3"/>
      <c r="GOT139" s="3"/>
      <c r="GOU139" s="3"/>
      <c r="GOV139" s="3"/>
      <c r="GOW139" s="3"/>
      <c r="GOX139" s="3"/>
      <c r="GOY139" s="3"/>
      <c r="GOZ139" s="3"/>
      <c r="GPA139" s="3"/>
      <c r="GPB139" s="3"/>
      <c r="GPC139" s="3"/>
      <c r="GPD139" s="3"/>
      <c r="GPE139" s="3"/>
      <c r="GPF139" s="3"/>
      <c r="GPG139" s="3"/>
      <c r="GPH139" s="3"/>
      <c r="GPI139" s="3"/>
      <c r="GPJ139" s="3"/>
      <c r="GPK139" s="3"/>
      <c r="GPL139" s="3"/>
      <c r="GPM139" s="3"/>
      <c r="GPN139" s="3"/>
      <c r="GPO139" s="3"/>
      <c r="GPP139" s="3"/>
      <c r="GPQ139" s="3"/>
      <c r="GPR139" s="3"/>
      <c r="GPS139" s="3"/>
      <c r="GPT139" s="3"/>
      <c r="GPU139" s="3"/>
      <c r="GPV139" s="3"/>
      <c r="GPW139" s="3"/>
      <c r="GPX139" s="3"/>
      <c r="GPY139" s="3"/>
      <c r="GPZ139" s="3"/>
      <c r="GQA139" s="3"/>
      <c r="GQB139" s="3"/>
      <c r="GQC139" s="3"/>
      <c r="GQD139" s="3"/>
      <c r="GQE139" s="3"/>
      <c r="GQF139" s="3"/>
      <c r="GQG139" s="3"/>
      <c r="GQH139" s="3"/>
      <c r="GQI139" s="3"/>
      <c r="GQJ139" s="3"/>
      <c r="GQK139" s="3"/>
      <c r="GQL139" s="3"/>
      <c r="GQM139" s="3"/>
      <c r="GQN139" s="3"/>
      <c r="GQO139" s="3"/>
      <c r="GQP139" s="3"/>
      <c r="GQQ139" s="3"/>
      <c r="GQR139" s="3"/>
      <c r="GQS139" s="3"/>
      <c r="GQT139" s="3"/>
      <c r="GQU139" s="3"/>
      <c r="GQV139" s="3"/>
      <c r="GQW139" s="3"/>
      <c r="GQX139" s="3"/>
      <c r="GQY139" s="3"/>
      <c r="GQZ139" s="3"/>
      <c r="GRA139" s="3"/>
      <c r="GRB139" s="3"/>
      <c r="GRC139" s="3"/>
      <c r="GRD139" s="3"/>
      <c r="GRE139" s="3"/>
      <c r="GRF139" s="3"/>
      <c r="GRG139" s="3"/>
      <c r="GRH139" s="3"/>
      <c r="GRI139" s="3"/>
      <c r="GRJ139" s="3"/>
      <c r="GRK139" s="3"/>
      <c r="GRL139" s="3"/>
      <c r="GRM139" s="3"/>
      <c r="GRN139" s="3"/>
      <c r="GRO139" s="3"/>
      <c r="GRP139" s="3"/>
      <c r="GRQ139" s="3"/>
      <c r="GRR139" s="3"/>
      <c r="GRS139" s="3"/>
      <c r="GRT139" s="3"/>
      <c r="GRU139" s="3"/>
      <c r="GRV139" s="3"/>
      <c r="GRW139" s="3"/>
      <c r="GRX139" s="3"/>
      <c r="GRY139" s="3"/>
      <c r="GRZ139" s="3"/>
      <c r="GSA139" s="3"/>
      <c r="GSB139" s="3"/>
      <c r="GSC139" s="3"/>
      <c r="GSD139" s="3"/>
      <c r="GSE139" s="3"/>
      <c r="GSF139" s="3"/>
      <c r="GSG139" s="3"/>
      <c r="GSH139" s="3"/>
      <c r="GSI139" s="3"/>
      <c r="GSJ139" s="3"/>
      <c r="GSK139" s="3"/>
      <c r="GSL139" s="3"/>
      <c r="GSM139" s="3"/>
      <c r="GSN139" s="3"/>
      <c r="GSO139" s="3"/>
      <c r="GSP139" s="3"/>
      <c r="GSQ139" s="3"/>
      <c r="GSR139" s="3"/>
      <c r="GSS139" s="3"/>
      <c r="GST139" s="3"/>
      <c r="GSU139" s="3"/>
      <c r="GSV139" s="3"/>
      <c r="GSW139" s="3"/>
      <c r="GSX139" s="3"/>
      <c r="GSY139" s="3"/>
      <c r="GSZ139" s="3"/>
      <c r="GTA139" s="3"/>
      <c r="GTB139" s="3"/>
      <c r="GTC139" s="3"/>
      <c r="GTD139" s="3"/>
      <c r="GTE139" s="3"/>
      <c r="GTF139" s="3"/>
      <c r="GTG139" s="3"/>
      <c r="GTH139" s="3"/>
      <c r="GTI139" s="3"/>
      <c r="GTJ139" s="3"/>
      <c r="GTK139" s="3"/>
      <c r="GTL139" s="3"/>
      <c r="GTM139" s="3"/>
      <c r="GTN139" s="3"/>
      <c r="GTO139" s="3"/>
      <c r="GTP139" s="3"/>
      <c r="GTQ139" s="3"/>
      <c r="GTR139" s="3"/>
      <c r="GTS139" s="3"/>
      <c r="GTT139" s="3"/>
      <c r="GTU139" s="3"/>
      <c r="GTV139" s="3"/>
      <c r="GTW139" s="3"/>
      <c r="GTX139" s="3"/>
      <c r="GTY139" s="3"/>
      <c r="GTZ139" s="3"/>
      <c r="GUA139" s="3"/>
      <c r="GUB139" s="3"/>
      <c r="GUC139" s="3"/>
      <c r="GUD139" s="3"/>
      <c r="GUE139" s="3"/>
      <c r="GUF139" s="3"/>
      <c r="GUG139" s="3"/>
      <c r="GUH139" s="3"/>
      <c r="GUI139" s="3"/>
      <c r="GUJ139" s="3"/>
      <c r="GUK139" s="3"/>
      <c r="GUL139" s="3"/>
      <c r="GUM139" s="3"/>
      <c r="GUN139" s="3"/>
      <c r="GUO139" s="3"/>
      <c r="GUP139" s="3"/>
      <c r="GUQ139" s="3"/>
      <c r="GUR139" s="3"/>
      <c r="GUS139" s="3"/>
      <c r="GUT139" s="3"/>
      <c r="GUU139" s="3"/>
      <c r="GUV139" s="3"/>
      <c r="GUW139" s="3"/>
      <c r="GUX139" s="3"/>
      <c r="GUY139" s="3"/>
      <c r="GUZ139" s="3"/>
      <c r="GVA139" s="3"/>
      <c r="GVB139" s="3"/>
      <c r="GVC139" s="3"/>
      <c r="GVD139" s="3"/>
      <c r="GVE139" s="3"/>
      <c r="GVF139" s="3"/>
      <c r="GVG139" s="3"/>
      <c r="GVH139" s="3"/>
      <c r="GVI139" s="3"/>
      <c r="GVJ139" s="3"/>
      <c r="GVK139" s="3"/>
      <c r="GVL139" s="3"/>
      <c r="GVM139" s="3"/>
      <c r="GVN139" s="3"/>
      <c r="GVO139" s="3"/>
      <c r="GVP139" s="3"/>
      <c r="GVQ139" s="3"/>
      <c r="GVR139" s="3"/>
      <c r="GVS139" s="3"/>
      <c r="GVT139" s="3"/>
      <c r="GVU139" s="3"/>
      <c r="GVV139" s="3"/>
      <c r="GVW139" s="3"/>
      <c r="GVX139" s="3"/>
      <c r="GVY139" s="3"/>
      <c r="GVZ139" s="3"/>
      <c r="GWA139" s="3"/>
      <c r="GWB139" s="3"/>
      <c r="GWC139" s="3"/>
      <c r="GWD139" s="3"/>
      <c r="GWE139" s="3"/>
      <c r="GWF139" s="3"/>
      <c r="GWG139" s="3"/>
      <c r="GWH139" s="3"/>
      <c r="GWI139" s="3"/>
      <c r="GWJ139" s="3"/>
      <c r="GWK139" s="3"/>
      <c r="GWL139" s="3"/>
      <c r="GWM139" s="3"/>
      <c r="GWN139" s="3"/>
      <c r="GWO139" s="3"/>
      <c r="GWP139" s="3"/>
      <c r="GWQ139" s="3"/>
      <c r="GWR139" s="3"/>
      <c r="GWS139" s="3"/>
      <c r="GWT139" s="3"/>
      <c r="GWU139" s="3"/>
      <c r="GWV139" s="3"/>
      <c r="GWW139" s="3"/>
      <c r="GWX139" s="3"/>
      <c r="GWY139" s="3"/>
      <c r="GWZ139" s="3"/>
      <c r="GXA139" s="3"/>
      <c r="GXB139" s="3"/>
      <c r="GXC139" s="3"/>
      <c r="GXD139" s="3"/>
      <c r="GXE139" s="3"/>
      <c r="GXF139" s="3"/>
      <c r="GXG139" s="3"/>
      <c r="GXH139" s="3"/>
      <c r="GXI139" s="3"/>
      <c r="GXJ139" s="3"/>
      <c r="GXK139" s="3"/>
      <c r="GXL139" s="3"/>
      <c r="GXM139" s="3"/>
      <c r="GXN139" s="3"/>
      <c r="GXO139" s="3"/>
      <c r="GXP139" s="3"/>
      <c r="GXQ139" s="3"/>
      <c r="GXR139" s="3"/>
      <c r="GXS139" s="3"/>
      <c r="GXT139" s="3"/>
      <c r="GXU139" s="3"/>
      <c r="GXV139" s="3"/>
      <c r="GXW139" s="3"/>
      <c r="GXX139" s="3"/>
      <c r="GXY139" s="3"/>
      <c r="GXZ139" s="3"/>
      <c r="GYA139" s="3"/>
      <c r="GYB139" s="3"/>
      <c r="GYC139" s="3"/>
      <c r="GYD139" s="3"/>
      <c r="GYE139" s="3"/>
      <c r="GYF139" s="3"/>
      <c r="GYG139" s="3"/>
      <c r="GYH139" s="3"/>
      <c r="GYI139" s="3"/>
      <c r="GYJ139" s="3"/>
      <c r="GYK139" s="3"/>
      <c r="GYL139" s="3"/>
      <c r="GYM139" s="3"/>
      <c r="GYN139" s="3"/>
      <c r="GYO139" s="3"/>
      <c r="GYP139" s="3"/>
      <c r="GYQ139" s="3"/>
      <c r="GYR139" s="3"/>
      <c r="GYS139" s="3"/>
      <c r="GYT139" s="3"/>
      <c r="GYU139" s="3"/>
      <c r="GYV139" s="3"/>
      <c r="GYW139" s="3"/>
      <c r="GYX139" s="3"/>
      <c r="GYY139" s="3"/>
      <c r="GYZ139" s="3"/>
      <c r="GZA139" s="3"/>
      <c r="GZB139" s="3"/>
      <c r="GZC139" s="3"/>
      <c r="GZD139" s="3"/>
      <c r="GZE139" s="3"/>
      <c r="GZF139" s="3"/>
      <c r="GZG139" s="3"/>
      <c r="GZH139" s="3"/>
      <c r="GZI139" s="3"/>
      <c r="GZJ139" s="3"/>
      <c r="GZK139" s="3"/>
      <c r="GZL139" s="3"/>
      <c r="GZM139" s="3"/>
      <c r="GZN139" s="3"/>
      <c r="GZO139" s="3"/>
      <c r="GZP139" s="3"/>
      <c r="GZQ139" s="3"/>
      <c r="GZR139" s="3"/>
      <c r="GZS139" s="3"/>
      <c r="GZT139" s="3"/>
      <c r="GZU139" s="3"/>
      <c r="GZV139" s="3"/>
      <c r="GZW139" s="3"/>
      <c r="GZX139" s="3"/>
      <c r="GZY139" s="3"/>
      <c r="GZZ139" s="3"/>
      <c r="HAA139" s="3"/>
      <c r="HAB139" s="3"/>
      <c r="HAC139" s="3"/>
      <c r="HAD139" s="3"/>
      <c r="HAE139" s="3"/>
      <c r="HAF139" s="3"/>
      <c r="HAG139" s="3"/>
      <c r="HAH139" s="3"/>
      <c r="HAI139" s="3"/>
      <c r="HAJ139" s="3"/>
      <c r="HAK139" s="3"/>
      <c r="HAL139" s="3"/>
      <c r="HAM139" s="3"/>
      <c r="HAN139" s="3"/>
      <c r="HAO139" s="3"/>
      <c r="HAP139" s="3"/>
      <c r="HAQ139" s="3"/>
      <c r="HAR139" s="3"/>
      <c r="HAS139" s="3"/>
      <c r="HAT139" s="3"/>
      <c r="HAU139" s="3"/>
      <c r="HAV139" s="3"/>
      <c r="HAW139" s="3"/>
      <c r="HAX139" s="3"/>
      <c r="HAY139" s="3"/>
      <c r="HAZ139" s="3"/>
      <c r="HBA139" s="3"/>
      <c r="HBB139" s="3"/>
      <c r="HBC139" s="3"/>
      <c r="HBD139" s="3"/>
      <c r="HBE139" s="3"/>
      <c r="HBF139" s="3"/>
      <c r="HBG139" s="3"/>
      <c r="HBH139" s="3"/>
      <c r="HBI139" s="3"/>
      <c r="HBJ139" s="3"/>
      <c r="HBK139" s="3"/>
      <c r="HBL139" s="3"/>
      <c r="HBM139" s="3"/>
      <c r="HBN139" s="3"/>
      <c r="HBO139" s="3"/>
      <c r="HBP139" s="3"/>
      <c r="HBQ139" s="3"/>
      <c r="HBR139" s="3"/>
      <c r="HBS139" s="3"/>
      <c r="HBT139" s="3"/>
      <c r="HBU139" s="3"/>
      <c r="HBV139" s="3"/>
      <c r="HBW139" s="3"/>
      <c r="HBX139" s="3"/>
      <c r="HBY139" s="3"/>
      <c r="HBZ139" s="3"/>
      <c r="HCA139" s="3"/>
      <c r="HCB139" s="3"/>
      <c r="HCC139" s="3"/>
      <c r="HCD139" s="3"/>
      <c r="HCE139" s="3"/>
      <c r="HCF139" s="3"/>
      <c r="HCG139" s="3"/>
      <c r="HCH139" s="3"/>
      <c r="HCI139" s="3"/>
      <c r="HCJ139" s="3"/>
      <c r="HCK139" s="3"/>
      <c r="HCL139" s="3"/>
      <c r="HCM139" s="3"/>
      <c r="HCN139" s="3"/>
      <c r="HCO139" s="3"/>
      <c r="HCP139" s="3"/>
      <c r="HCQ139" s="3"/>
      <c r="HCR139" s="3"/>
      <c r="HCS139" s="3"/>
      <c r="HCT139" s="3"/>
      <c r="HCU139" s="3"/>
      <c r="HCV139" s="3"/>
      <c r="HCW139" s="3"/>
      <c r="HCX139" s="3"/>
      <c r="HCY139" s="3"/>
      <c r="HCZ139" s="3"/>
      <c r="HDA139" s="3"/>
      <c r="HDB139" s="3"/>
      <c r="HDC139" s="3"/>
      <c r="HDD139" s="3"/>
      <c r="HDE139" s="3"/>
      <c r="HDF139" s="3"/>
      <c r="HDG139" s="3"/>
      <c r="HDH139" s="3"/>
      <c r="HDI139" s="3"/>
      <c r="HDJ139" s="3"/>
      <c r="HDK139" s="3"/>
      <c r="HDL139" s="3"/>
      <c r="HDM139" s="3"/>
      <c r="HDN139" s="3"/>
      <c r="HDO139" s="3"/>
      <c r="HDP139" s="3"/>
      <c r="HDQ139" s="3"/>
      <c r="HDR139" s="3"/>
      <c r="HDS139" s="3"/>
      <c r="HDT139" s="3"/>
      <c r="HDU139" s="3"/>
      <c r="HDV139" s="3"/>
      <c r="HDW139" s="3"/>
      <c r="HDX139" s="3"/>
      <c r="HDY139" s="3"/>
      <c r="HDZ139" s="3"/>
      <c r="HEA139" s="3"/>
      <c r="HEB139" s="3"/>
      <c r="HEC139" s="3"/>
      <c r="HED139" s="3"/>
      <c r="HEE139" s="3"/>
      <c r="HEF139" s="3"/>
      <c r="HEG139" s="3"/>
      <c r="HEH139" s="3"/>
      <c r="HEI139" s="3"/>
      <c r="HEJ139" s="3"/>
      <c r="HEK139" s="3"/>
      <c r="HEL139" s="3"/>
      <c r="HEM139" s="3"/>
      <c r="HEN139" s="3"/>
      <c r="HEO139" s="3"/>
      <c r="HEP139" s="3"/>
      <c r="HEQ139" s="3"/>
      <c r="HER139" s="3"/>
      <c r="HES139" s="3"/>
      <c r="HET139" s="3"/>
      <c r="HEU139" s="3"/>
      <c r="HEV139" s="3"/>
      <c r="HEW139" s="3"/>
      <c r="HEX139" s="3"/>
      <c r="HEY139" s="3"/>
      <c r="HEZ139" s="3"/>
      <c r="HFA139" s="3"/>
      <c r="HFB139" s="3"/>
      <c r="HFC139" s="3"/>
      <c r="HFD139" s="3"/>
      <c r="HFE139" s="3"/>
      <c r="HFF139" s="3"/>
      <c r="HFG139" s="3"/>
      <c r="HFH139" s="3"/>
      <c r="HFI139" s="3"/>
      <c r="HFJ139" s="3"/>
      <c r="HFK139" s="3"/>
      <c r="HFL139" s="3"/>
      <c r="HFM139" s="3"/>
      <c r="HFN139" s="3"/>
      <c r="HFO139" s="3"/>
      <c r="HFP139" s="3"/>
      <c r="HFQ139" s="3"/>
      <c r="HFR139" s="3"/>
      <c r="HFS139" s="3"/>
      <c r="HFT139" s="3"/>
      <c r="HFU139" s="3"/>
      <c r="HFV139" s="3"/>
      <c r="HFW139" s="3"/>
      <c r="HFX139" s="3"/>
      <c r="HFY139" s="3"/>
      <c r="HFZ139" s="3"/>
      <c r="HGA139" s="3"/>
      <c r="HGB139" s="3"/>
      <c r="HGC139" s="3"/>
      <c r="HGD139" s="3"/>
      <c r="HGE139" s="3"/>
      <c r="HGF139" s="3"/>
      <c r="HGG139" s="3"/>
      <c r="HGH139" s="3"/>
      <c r="HGI139" s="3"/>
      <c r="HGJ139" s="3"/>
      <c r="HGK139" s="3"/>
      <c r="HGL139" s="3"/>
      <c r="HGM139" s="3"/>
      <c r="HGN139" s="3"/>
      <c r="HGO139" s="3"/>
      <c r="HGP139" s="3"/>
      <c r="HGQ139" s="3"/>
      <c r="HGR139" s="3"/>
      <c r="HGS139" s="3"/>
      <c r="HGT139" s="3"/>
      <c r="HGU139" s="3"/>
      <c r="HGV139" s="3"/>
      <c r="HGW139" s="3"/>
      <c r="HGX139" s="3"/>
      <c r="HGY139" s="3"/>
      <c r="HGZ139" s="3"/>
      <c r="HHA139" s="3"/>
      <c r="HHB139" s="3"/>
      <c r="HHC139" s="3"/>
      <c r="HHD139" s="3"/>
      <c r="HHE139" s="3"/>
      <c r="HHF139" s="3"/>
      <c r="HHG139" s="3"/>
      <c r="HHH139" s="3"/>
      <c r="HHI139" s="3"/>
      <c r="HHJ139" s="3"/>
      <c r="HHK139" s="3"/>
      <c r="HHL139" s="3"/>
      <c r="HHM139" s="3"/>
      <c r="HHN139" s="3"/>
      <c r="HHO139" s="3"/>
      <c r="HHP139" s="3"/>
      <c r="HHQ139" s="3"/>
      <c r="HHR139" s="3"/>
      <c r="HHS139" s="3"/>
      <c r="HHT139" s="3"/>
      <c r="HHU139" s="3"/>
      <c r="HHV139" s="3"/>
      <c r="HHW139" s="3"/>
      <c r="HHX139" s="3"/>
      <c r="HHY139" s="3"/>
      <c r="HHZ139" s="3"/>
      <c r="HIA139" s="3"/>
      <c r="HIB139" s="3"/>
      <c r="HIC139" s="3"/>
      <c r="HID139" s="3"/>
      <c r="HIE139" s="3"/>
      <c r="HIF139" s="3"/>
      <c r="HIG139" s="3"/>
      <c r="HIH139" s="3"/>
      <c r="HII139" s="3"/>
      <c r="HIJ139" s="3"/>
      <c r="HIK139" s="3"/>
      <c r="HIL139" s="3"/>
      <c r="HIM139" s="3"/>
      <c r="HIN139" s="3"/>
      <c r="HIO139" s="3"/>
      <c r="HIP139" s="3"/>
      <c r="HIQ139" s="3"/>
      <c r="HIR139" s="3"/>
      <c r="HIS139" s="3"/>
      <c r="HIT139" s="3"/>
      <c r="HIU139" s="3"/>
      <c r="HIV139" s="3"/>
      <c r="HIW139" s="3"/>
      <c r="HIX139" s="3"/>
      <c r="HIY139" s="3"/>
      <c r="HIZ139" s="3"/>
      <c r="HJA139" s="3"/>
      <c r="HJB139" s="3"/>
      <c r="HJC139" s="3"/>
      <c r="HJD139" s="3"/>
      <c r="HJE139" s="3"/>
      <c r="HJF139" s="3"/>
      <c r="HJG139" s="3"/>
      <c r="HJH139" s="3"/>
      <c r="HJI139" s="3"/>
      <c r="HJJ139" s="3"/>
      <c r="HJK139" s="3"/>
      <c r="HJL139" s="3"/>
      <c r="HJM139" s="3"/>
      <c r="HJN139" s="3"/>
      <c r="HJO139" s="3"/>
      <c r="HJP139" s="3"/>
      <c r="HJQ139" s="3"/>
      <c r="HJR139" s="3"/>
      <c r="HJS139" s="3"/>
      <c r="HJT139" s="3"/>
      <c r="HJU139" s="3"/>
      <c r="HJV139" s="3"/>
      <c r="HJW139" s="3"/>
      <c r="HJX139" s="3"/>
      <c r="HJY139" s="3"/>
      <c r="HJZ139" s="3"/>
      <c r="HKA139" s="3"/>
      <c r="HKB139" s="3"/>
      <c r="HKC139" s="3"/>
      <c r="HKD139" s="3"/>
      <c r="HKE139" s="3"/>
      <c r="HKF139" s="3"/>
      <c r="HKG139" s="3"/>
      <c r="HKH139" s="3"/>
      <c r="HKI139" s="3"/>
      <c r="HKJ139" s="3"/>
      <c r="HKK139" s="3"/>
      <c r="HKL139" s="3"/>
      <c r="HKM139" s="3"/>
      <c r="HKN139" s="3"/>
      <c r="HKO139" s="3"/>
      <c r="HKP139" s="3"/>
      <c r="HKQ139" s="3"/>
      <c r="HKR139" s="3"/>
      <c r="HKS139" s="3"/>
      <c r="HKT139" s="3"/>
      <c r="HKU139" s="3"/>
      <c r="HKV139" s="3"/>
      <c r="HKW139" s="3"/>
      <c r="HKX139" s="3"/>
      <c r="HKY139" s="3"/>
      <c r="HKZ139" s="3"/>
      <c r="HLA139" s="3"/>
      <c r="HLB139" s="3"/>
      <c r="HLC139" s="3"/>
      <c r="HLD139" s="3"/>
      <c r="HLE139" s="3"/>
      <c r="HLF139" s="3"/>
      <c r="HLG139" s="3"/>
      <c r="HLH139" s="3"/>
      <c r="HLI139" s="3"/>
      <c r="HLJ139" s="3"/>
      <c r="HLK139" s="3"/>
      <c r="HLL139" s="3"/>
      <c r="HLM139" s="3"/>
      <c r="HLN139" s="3"/>
      <c r="HLO139" s="3"/>
      <c r="HLP139" s="3"/>
      <c r="HLQ139" s="3"/>
      <c r="HLR139" s="3"/>
      <c r="HLS139" s="3"/>
      <c r="HLT139" s="3"/>
      <c r="HLU139" s="3"/>
      <c r="HLV139" s="3"/>
      <c r="HLW139" s="3"/>
      <c r="HLX139" s="3"/>
      <c r="HLY139" s="3"/>
      <c r="HLZ139" s="3"/>
      <c r="HMA139" s="3"/>
      <c r="HMB139" s="3"/>
      <c r="HMC139" s="3"/>
      <c r="HMD139" s="3"/>
      <c r="HME139" s="3"/>
      <c r="HMF139" s="3"/>
      <c r="HMG139" s="3"/>
      <c r="HMH139" s="3"/>
      <c r="HMI139" s="3"/>
      <c r="HMJ139" s="3"/>
      <c r="HMK139" s="3"/>
      <c r="HML139" s="3"/>
      <c r="HMM139" s="3"/>
      <c r="HMN139" s="3"/>
      <c r="HMO139" s="3"/>
      <c r="HMP139" s="3"/>
      <c r="HMQ139" s="3"/>
      <c r="HMR139" s="3"/>
      <c r="HMS139" s="3"/>
      <c r="HMT139" s="3"/>
      <c r="HMU139" s="3"/>
      <c r="HMV139" s="3"/>
      <c r="HMW139" s="3"/>
      <c r="HMX139" s="3"/>
      <c r="HMY139" s="3"/>
      <c r="HMZ139" s="3"/>
      <c r="HNA139" s="3"/>
      <c r="HNB139" s="3"/>
      <c r="HNC139" s="3"/>
      <c r="HND139" s="3"/>
      <c r="HNE139" s="3"/>
      <c r="HNF139" s="3"/>
      <c r="HNG139" s="3"/>
      <c r="HNH139" s="3"/>
      <c r="HNI139" s="3"/>
      <c r="HNJ139" s="3"/>
      <c r="HNK139" s="3"/>
      <c r="HNL139" s="3"/>
      <c r="HNM139" s="3"/>
      <c r="HNN139" s="3"/>
      <c r="HNO139" s="3"/>
      <c r="HNP139" s="3"/>
      <c r="HNQ139" s="3"/>
      <c r="HNR139" s="3"/>
      <c r="HNS139" s="3"/>
      <c r="HNT139" s="3"/>
      <c r="HNU139" s="3"/>
      <c r="HNV139" s="3"/>
      <c r="HNW139" s="3"/>
      <c r="HNX139" s="3"/>
      <c r="HNY139" s="3"/>
      <c r="HNZ139" s="3"/>
      <c r="HOA139" s="3"/>
      <c r="HOB139" s="3"/>
      <c r="HOC139" s="3"/>
      <c r="HOD139" s="3"/>
      <c r="HOE139" s="3"/>
      <c r="HOF139" s="3"/>
      <c r="HOG139" s="3"/>
      <c r="HOH139" s="3"/>
      <c r="HOI139" s="3"/>
      <c r="HOJ139" s="3"/>
      <c r="HOK139" s="3"/>
      <c r="HOL139" s="3"/>
      <c r="HOM139" s="3"/>
      <c r="HON139" s="3"/>
      <c r="HOO139" s="3"/>
      <c r="HOP139" s="3"/>
      <c r="HOQ139" s="3"/>
      <c r="HOR139" s="3"/>
      <c r="HOS139" s="3"/>
      <c r="HOT139" s="3"/>
      <c r="HOU139" s="3"/>
      <c r="HOV139" s="3"/>
      <c r="HOW139" s="3"/>
      <c r="HOX139" s="3"/>
      <c r="HOY139" s="3"/>
      <c r="HOZ139" s="3"/>
      <c r="HPA139" s="3"/>
      <c r="HPB139" s="3"/>
      <c r="HPC139" s="3"/>
      <c r="HPD139" s="3"/>
      <c r="HPE139" s="3"/>
      <c r="HPF139" s="3"/>
      <c r="HPG139" s="3"/>
      <c r="HPH139" s="3"/>
      <c r="HPI139" s="3"/>
      <c r="HPJ139" s="3"/>
      <c r="HPK139" s="3"/>
      <c r="HPL139" s="3"/>
      <c r="HPM139" s="3"/>
      <c r="HPN139" s="3"/>
      <c r="HPO139" s="3"/>
      <c r="HPP139" s="3"/>
      <c r="HPQ139" s="3"/>
      <c r="HPR139" s="3"/>
      <c r="HPS139" s="3"/>
      <c r="HPT139" s="3"/>
      <c r="HPU139" s="3"/>
      <c r="HPV139" s="3"/>
      <c r="HPW139" s="3"/>
      <c r="HPX139" s="3"/>
      <c r="HPY139" s="3"/>
      <c r="HPZ139" s="3"/>
      <c r="HQA139" s="3"/>
      <c r="HQB139" s="3"/>
      <c r="HQC139" s="3"/>
      <c r="HQD139" s="3"/>
      <c r="HQE139" s="3"/>
      <c r="HQF139" s="3"/>
      <c r="HQG139" s="3"/>
      <c r="HQH139" s="3"/>
      <c r="HQI139" s="3"/>
      <c r="HQJ139" s="3"/>
      <c r="HQK139" s="3"/>
      <c r="HQL139" s="3"/>
      <c r="HQM139" s="3"/>
      <c r="HQN139" s="3"/>
      <c r="HQO139" s="3"/>
      <c r="HQP139" s="3"/>
      <c r="HQQ139" s="3"/>
      <c r="HQR139" s="3"/>
      <c r="HQS139" s="3"/>
      <c r="HQT139" s="3"/>
      <c r="HQU139" s="3"/>
      <c r="HQV139" s="3"/>
      <c r="HQW139" s="3"/>
      <c r="HQX139" s="3"/>
      <c r="HQY139" s="3"/>
      <c r="HQZ139" s="3"/>
      <c r="HRA139" s="3"/>
      <c r="HRB139" s="3"/>
      <c r="HRC139" s="3"/>
      <c r="HRD139" s="3"/>
      <c r="HRE139" s="3"/>
      <c r="HRF139" s="3"/>
      <c r="HRG139" s="3"/>
      <c r="HRH139" s="3"/>
      <c r="HRI139" s="3"/>
      <c r="HRJ139" s="3"/>
      <c r="HRK139" s="3"/>
      <c r="HRL139" s="3"/>
      <c r="HRM139" s="3"/>
      <c r="HRN139" s="3"/>
      <c r="HRO139" s="3"/>
      <c r="HRP139" s="3"/>
      <c r="HRQ139" s="3"/>
      <c r="HRR139" s="3"/>
      <c r="HRS139" s="3"/>
      <c r="HRT139" s="3"/>
      <c r="HRU139" s="3"/>
      <c r="HRV139" s="3"/>
      <c r="HRW139" s="3"/>
      <c r="HRX139" s="3"/>
      <c r="HRY139" s="3"/>
      <c r="HRZ139" s="3"/>
      <c r="HSA139" s="3"/>
      <c r="HSB139" s="3"/>
      <c r="HSC139" s="3"/>
      <c r="HSD139" s="3"/>
      <c r="HSE139" s="3"/>
      <c r="HSF139" s="3"/>
      <c r="HSG139" s="3"/>
      <c r="HSH139" s="3"/>
      <c r="HSI139" s="3"/>
      <c r="HSJ139" s="3"/>
      <c r="HSK139" s="3"/>
      <c r="HSL139" s="3"/>
      <c r="HSM139" s="3"/>
      <c r="HSN139" s="3"/>
      <c r="HSO139" s="3"/>
      <c r="HSP139" s="3"/>
      <c r="HSQ139" s="3"/>
      <c r="HSR139" s="3"/>
      <c r="HSS139" s="3"/>
      <c r="HST139" s="3"/>
      <c r="HSU139" s="3"/>
      <c r="HSV139" s="3"/>
      <c r="HSW139" s="3"/>
      <c r="HSX139" s="3"/>
      <c r="HSY139" s="3"/>
      <c r="HSZ139" s="3"/>
      <c r="HTA139" s="3"/>
      <c r="HTB139" s="3"/>
      <c r="HTC139" s="3"/>
      <c r="HTD139" s="3"/>
      <c r="HTE139" s="3"/>
      <c r="HTF139" s="3"/>
      <c r="HTG139" s="3"/>
      <c r="HTH139" s="3"/>
      <c r="HTI139" s="3"/>
      <c r="HTJ139" s="3"/>
      <c r="HTK139" s="3"/>
      <c r="HTL139" s="3"/>
      <c r="HTM139" s="3"/>
      <c r="HTN139" s="3"/>
      <c r="HTO139" s="3"/>
      <c r="HTP139" s="3"/>
      <c r="HTQ139" s="3"/>
      <c r="HTR139" s="3"/>
      <c r="HTS139" s="3"/>
      <c r="HTT139" s="3"/>
      <c r="HTU139" s="3"/>
      <c r="HTV139" s="3"/>
      <c r="HTW139" s="3"/>
      <c r="HTX139" s="3"/>
      <c r="HTY139" s="3"/>
      <c r="HTZ139" s="3"/>
      <c r="HUA139" s="3"/>
      <c r="HUB139" s="3"/>
      <c r="HUC139" s="3"/>
      <c r="HUD139" s="3"/>
      <c r="HUE139" s="3"/>
      <c r="HUF139" s="3"/>
      <c r="HUG139" s="3"/>
      <c r="HUH139" s="3"/>
      <c r="HUI139" s="3"/>
      <c r="HUJ139" s="3"/>
      <c r="HUK139" s="3"/>
      <c r="HUL139" s="3"/>
      <c r="HUM139" s="3"/>
      <c r="HUN139" s="3"/>
      <c r="HUO139" s="3"/>
      <c r="HUP139" s="3"/>
      <c r="HUQ139" s="3"/>
      <c r="HUR139" s="3"/>
      <c r="HUS139" s="3"/>
      <c r="HUT139" s="3"/>
      <c r="HUU139" s="3"/>
      <c r="HUV139" s="3"/>
      <c r="HUW139" s="3"/>
      <c r="HUX139" s="3"/>
      <c r="HUY139" s="3"/>
      <c r="HUZ139" s="3"/>
      <c r="HVA139" s="3"/>
      <c r="HVB139" s="3"/>
      <c r="HVC139" s="3"/>
      <c r="HVD139" s="3"/>
      <c r="HVE139" s="3"/>
      <c r="HVF139" s="3"/>
      <c r="HVG139" s="3"/>
      <c r="HVH139" s="3"/>
      <c r="HVI139" s="3"/>
      <c r="HVJ139" s="3"/>
      <c r="HVK139" s="3"/>
      <c r="HVL139" s="3"/>
      <c r="HVM139" s="3"/>
      <c r="HVN139" s="3"/>
      <c r="HVO139" s="3"/>
      <c r="HVP139" s="3"/>
      <c r="HVQ139" s="3"/>
      <c r="HVR139" s="3"/>
      <c r="HVS139" s="3"/>
      <c r="HVT139" s="3"/>
      <c r="HVU139" s="3"/>
      <c r="HVV139" s="3"/>
      <c r="HVW139" s="3"/>
      <c r="HVX139" s="3"/>
      <c r="HVY139" s="3"/>
      <c r="HVZ139" s="3"/>
      <c r="HWA139" s="3"/>
      <c r="HWB139" s="3"/>
      <c r="HWC139" s="3"/>
      <c r="HWD139" s="3"/>
      <c r="HWE139" s="3"/>
      <c r="HWF139" s="3"/>
      <c r="HWG139" s="3"/>
      <c r="HWH139" s="3"/>
      <c r="HWI139" s="3"/>
      <c r="HWJ139" s="3"/>
      <c r="HWK139" s="3"/>
      <c r="HWL139" s="3"/>
      <c r="HWM139" s="3"/>
      <c r="HWN139" s="3"/>
      <c r="HWO139" s="3"/>
      <c r="HWP139" s="3"/>
      <c r="HWQ139" s="3"/>
      <c r="HWR139" s="3"/>
      <c r="HWS139" s="3"/>
      <c r="HWT139" s="3"/>
      <c r="HWU139" s="3"/>
      <c r="HWV139" s="3"/>
      <c r="HWW139" s="3"/>
      <c r="HWX139" s="3"/>
      <c r="HWY139" s="3"/>
      <c r="HWZ139" s="3"/>
      <c r="HXA139" s="3"/>
      <c r="HXB139" s="3"/>
      <c r="HXC139" s="3"/>
      <c r="HXD139" s="3"/>
      <c r="HXE139" s="3"/>
      <c r="HXF139" s="3"/>
      <c r="HXG139" s="3"/>
      <c r="HXH139" s="3"/>
      <c r="HXI139" s="3"/>
      <c r="HXJ139" s="3"/>
      <c r="HXK139" s="3"/>
      <c r="HXL139" s="3"/>
      <c r="HXM139" s="3"/>
      <c r="HXN139" s="3"/>
      <c r="HXO139" s="3"/>
      <c r="HXP139" s="3"/>
      <c r="HXQ139" s="3"/>
      <c r="HXR139" s="3"/>
      <c r="HXS139" s="3"/>
      <c r="HXT139" s="3"/>
      <c r="HXU139" s="3"/>
      <c r="HXV139" s="3"/>
      <c r="HXW139" s="3"/>
      <c r="HXX139" s="3"/>
      <c r="HXY139" s="3"/>
      <c r="HXZ139" s="3"/>
      <c r="HYA139" s="3"/>
      <c r="HYB139" s="3"/>
      <c r="HYC139" s="3"/>
      <c r="HYD139" s="3"/>
      <c r="HYE139" s="3"/>
      <c r="HYF139" s="3"/>
      <c r="HYG139" s="3"/>
      <c r="HYH139" s="3"/>
      <c r="HYI139" s="3"/>
      <c r="HYJ139" s="3"/>
      <c r="HYK139" s="3"/>
      <c r="HYL139" s="3"/>
      <c r="HYM139" s="3"/>
      <c r="HYN139" s="3"/>
      <c r="HYO139" s="3"/>
      <c r="HYP139" s="3"/>
      <c r="HYQ139" s="3"/>
      <c r="HYR139" s="3"/>
      <c r="HYS139" s="3"/>
      <c r="HYT139" s="3"/>
      <c r="HYU139" s="3"/>
      <c r="HYV139" s="3"/>
      <c r="HYW139" s="3"/>
      <c r="HYX139" s="3"/>
      <c r="HYY139" s="3"/>
      <c r="HYZ139" s="3"/>
      <c r="HZA139" s="3"/>
      <c r="HZB139" s="3"/>
      <c r="HZC139" s="3"/>
      <c r="HZD139" s="3"/>
      <c r="HZE139" s="3"/>
      <c r="HZF139" s="3"/>
      <c r="HZG139" s="3"/>
      <c r="HZH139" s="3"/>
      <c r="HZI139" s="3"/>
      <c r="HZJ139" s="3"/>
      <c r="HZK139" s="3"/>
      <c r="HZL139" s="3"/>
      <c r="HZM139" s="3"/>
      <c r="HZN139" s="3"/>
      <c r="HZO139" s="3"/>
      <c r="HZP139" s="3"/>
      <c r="HZQ139" s="3"/>
      <c r="HZR139" s="3"/>
      <c r="HZS139" s="3"/>
      <c r="HZT139" s="3"/>
      <c r="HZU139" s="3"/>
      <c r="HZV139" s="3"/>
      <c r="HZW139" s="3"/>
      <c r="HZX139" s="3"/>
      <c r="HZY139" s="3"/>
      <c r="HZZ139" s="3"/>
      <c r="IAA139" s="3"/>
      <c r="IAB139" s="3"/>
      <c r="IAC139" s="3"/>
      <c r="IAD139" s="3"/>
      <c r="IAE139" s="3"/>
      <c r="IAF139" s="3"/>
      <c r="IAG139" s="3"/>
      <c r="IAH139" s="3"/>
      <c r="IAI139" s="3"/>
      <c r="IAJ139" s="3"/>
      <c r="IAK139" s="3"/>
      <c r="IAL139" s="3"/>
      <c r="IAM139" s="3"/>
      <c r="IAN139" s="3"/>
      <c r="IAO139" s="3"/>
      <c r="IAP139" s="3"/>
      <c r="IAQ139" s="3"/>
      <c r="IAR139" s="3"/>
      <c r="IAS139" s="3"/>
      <c r="IAT139" s="3"/>
      <c r="IAU139" s="3"/>
      <c r="IAV139" s="3"/>
      <c r="IAW139" s="3"/>
      <c r="IAX139" s="3"/>
      <c r="IAY139" s="3"/>
      <c r="IAZ139" s="3"/>
      <c r="IBA139" s="3"/>
      <c r="IBB139" s="3"/>
      <c r="IBC139" s="3"/>
      <c r="IBD139" s="3"/>
      <c r="IBE139" s="3"/>
      <c r="IBF139" s="3"/>
      <c r="IBG139" s="3"/>
      <c r="IBH139" s="3"/>
      <c r="IBI139" s="3"/>
      <c r="IBJ139" s="3"/>
      <c r="IBK139" s="3"/>
      <c r="IBL139" s="3"/>
      <c r="IBM139" s="3"/>
      <c r="IBN139" s="3"/>
      <c r="IBO139" s="3"/>
      <c r="IBP139" s="3"/>
      <c r="IBQ139" s="3"/>
      <c r="IBR139" s="3"/>
      <c r="IBS139" s="3"/>
      <c r="IBT139" s="3"/>
      <c r="IBU139" s="3"/>
      <c r="IBV139" s="3"/>
      <c r="IBW139" s="3"/>
      <c r="IBX139" s="3"/>
      <c r="IBY139" s="3"/>
      <c r="IBZ139" s="3"/>
      <c r="ICA139" s="3"/>
      <c r="ICB139" s="3"/>
      <c r="ICC139" s="3"/>
      <c r="ICD139" s="3"/>
      <c r="ICE139" s="3"/>
      <c r="ICF139" s="3"/>
      <c r="ICG139" s="3"/>
      <c r="ICH139" s="3"/>
      <c r="ICI139" s="3"/>
      <c r="ICJ139" s="3"/>
      <c r="ICK139" s="3"/>
      <c r="ICL139" s="3"/>
      <c r="ICM139" s="3"/>
      <c r="ICN139" s="3"/>
      <c r="ICO139" s="3"/>
      <c r="ICP139" s="3"/>
      <c r="ICQ139" s="3"/>
      <c r="ICR139" s="3"/>
      <c r="ICS139" s="3"/>
      <c r="ICT139" s="3"/>
      <c r="ICU139" s="3"/>
      <c r="ICV139" s="3"/>
      <c r="ICW139" s="3"/>
      <c r="ICX139" s="3"/>
      <c r="ICY139" s="3"/>
      <c r="ICZ139" s="3"/>
      <c r="IDA139" s="3"/>
      <c r="IDB139" s="3"/>
      <c r="IDC139" s="3"/>
      <c r="IDD139" s="3"/>
      <c r="IDE139" s="3"/>
      <c r="IDF139" s="3"/>
      <c r="IDG139" s="3"/>
      <c r="IDH139" s="3"/>
      <c r="IDI139" s="3"/>
      <c r="IDJ139" s="3"/>
      <c r="IDK139" s="3"/>
      <c r="IDL139" s="3"/>
      <c r="IDM139" s="3"/>
      <c r="IDN139" s="3"/>
      <c r="IDO139" s="3"/>
      <c r="IDP139" s="3"/>
      <c r="IDQ139" s="3"/>
      <c r="IDR139" s="3"/>
      <c r="IDS139" s="3"/>
      <c r="IDT139" s="3"/>
      <c r="IDU139" s="3"/>
      <c r="IDV139" s="3"/>
      <c r="IDW139" s="3"/>
      <c r="IDX139" s="3"/>
      <c r="IDY139" s="3"/>
      <c r="IDZ139" s="3"/>
      <c r="IEA139" s="3"/>
      <c r="IEB139" s="3"/>
      <c r="IEC139" s="3"/>
      <c r="IED139" s="3"/>
      <c r="IEE139" s="3"/>
      <c r="IEF139" s="3"/>
      <c r="IEG139" s="3"/>
      <c r="IEH139" s="3"/>
      <c r="IEI139" s="3"/>
      <c r="IEJ139" s="3"/>
      <c r="IEK139" s="3"/>
      <c r="IEL139" s="3"/>
      <c r="IEM139" s="3"/>
      <c r="IEN139" s="3"/>
      <c r="IEO139" s="3"/>
      <c r="IEP139" s="3"/>
      <c r="IEQ139" s="3"/>
      <c r="IER139" s="3"/>
      <c r="IES139" s="3"/>
      <c r="IET139" s="3"/>
      <c r="IEU139" s="3"/>
      <c r="IEV139" s="3"/>
      <c r="IEW139" s="3"/>
      <c r="IEX139" s="3"/>
      <c r="IEY139" s="3"/>
      <c r="IEZ139" s="3"/>
      <c r="IFA139" s="3"/>
      <c r="IFB139" s="3"/>
      <c r="IFC139" s="3"/>
      <c r="IFD139" s="3"/>
      <c r="IFE139" s="3"/>
      <c r="IFF139" s="3"/>
      <c r="IFG139" s="3"/>
      <c r="IFH139" s="3"/>
      <c r="IFI139" s="3"/>
      <c r="IFJ139" s="3"/>
      <c r="IFK139" s="3"/>
      <c r="IFL139" s="3"/>
      <c r="IFM139" s="3"/>
      <c r="IFN139" s="3"/>
      <c r="IFO139" s="3"/>
      <c r="IFP139" s="3"/>
      <c r="IFQ139" s="3"/>
      <c r="IFR139" s="3"/>
      <c r="IFS139" s="3"/>
      <c r="IFT139" s="3"/>
      <c r="IFU139" s="3"/>
      <c r="IFV139" s="3"/>
      <c r="IFW139" s="3"/>
      <c r="IFX139" s="3"/>
      <c r="IFY139" s="3"/>
      <c r="IFZ139" s="3"/>
      <c r="IGA139" s="3"/>
      <c r="IGB139" s="3"/>
      <c r="IGC139" s="3"/>
      <c r="IGD139" s="3"/>
      <c r="IGE139" s="3"/>
      <c r="IGF139" s="3"/>
      <c r="IGG139" s="3"/>
      <c r="IGH139" s="3"/>
      <c r="IGI139" s="3"/>
      <c r="IGJ139" s="3"/>
      <c r="IGK139" s="3"/>
      <c r="IGL139" s="3"/>
      <c r="IGM139" s="3"/>
      <c r="IGN139" s="3"/>
      <c r="IGO139" s="3"/>
      <c r="IGP139" s="3"/>
      <c r="IGQ139" s="3"/>
      <c r="IGR139" s="3"/>
      <c r="IGS139" s="3"/>
      <c r="IGT139" s="3"/>
      <c r="IGU139" s="3"/>
      <c r="IGV139" s="3"/>
      <c r="IGW139" s="3"/>
      <c r="IGX139" s="3"/>
      <c r="IGY139" s="3"/>
      <c r="IGZ139" s="3"/>
      <c r="IHA139" s="3"/>
      <c r="IHB139" s="3"/>
      <c r="IHC139" s="3"/>
      <c r="IHD139" s="3"/>
      <c r="IHE139" s="3"/>
      <c r="IHF139" s="3"/>
      <c r="IHG139" s="3"/>
      <c r="IHH139" s="3"/>
      <c r="IHI139" s="3"/>
      <c r="IHJ139" s="3"/>
      <c r="IHK139" s="3"/>
      <c r="IHL139" s="3"/>
      <c r="IHM139" s="3"/>
      <c r="IHN139" s="3"/>
      <c r="IHO139" s="3"/>
      <c r="IHP139" s="3"/>
      <c r="IHQ139" s="3"/>
      <c r="IHR139" s="3"/>
      <c r="IHS139" s="3"/>
      <c r="IHT139" s="3"/>
      <c r="IHU139" s="3"/>
      <c r="IHV139" s="3"/>
      <c r="IHW139" s="3"/>
      <c r="IHX139" s="3"/>
      <c r="IHY139" s="3"/>
      <c r="IHZ139" s="3"/>
      <c r="IIA139" s="3"/>
      <c r="IIB139" s="3"/>
      <c r="IIC139" s="3"/>
      <c r="IID139" s="3"/>
      <c r="IIE139" s="3"/>
      <c r="IIF139" s="3"/>
      <c r="IIG139" s="3"/>
      <c r="IIH139" s="3"/>
      <c r="III139" s="3"/>
      <c r="IIJ139" s="3"/>
      <c r="IIK139" s="3"/>
      <c r="IIL139" s="3"/>
      <c r="IIM139" s="3"/>
      <c r="IIN139" s="3"/>
      <c r="IIO139" s="3"/>
      <c r="IIP139" s="3"/>
      <c r="IIQ139" s="3"/>
      <c r="IIR139" s="3"/>
      <c r="IIS139" s="3"/>
      <c r="IIT139" s="3"/>
      <c r="IIU139" s="3"/>
      <c r="IIV139" s="3"/>
      <c r="IIW139" s="3"/>
      <c r="IIX139" s="3"/>
      <c r="IIY139" s="3"/>
      <c r="IIZ139" s="3"/>
      <c r="IJA139" s="3"/>
      <c r="IJB139" s="3"/>
      <c r="IJC139" s="3"/>
      <c r="IJD139" s="3"/>
      <c r="IJE139" s="3"/>
      <c r="IJF139" s="3"/>
      <c r="IJG139" s="3"/>
      <c r="IJH139" s="3"/>
      <c r="IJI139" s="3"/>
      <c r="IJJ139" s="3"/>
      <c r="IJK139" s="3"/>
      <c r="IJL139" s="3"/>
      <c r="IJM139" s="3"/>
      <c r="IJN139" s="3"/>
      <c r="IJO139" s="3"/>
      <c r="IJP139" s="3"/>
      <c r="IJQ139" s="3"/>
      <c r="IJR139" s="3"/>
      <c r="IJS139" s="3"/>
      <c r="IJT139" s="3"/>
      <c r="IJU139" s="3"/>
      <c r="IJV139" s="3"/>
      <c r="IJW139" s="3"/>
      <c r="IJX139" s="3"/>
      <c r="IJY139" s="3"/>
      <c r="IJZ139" s="3"/>
      <c r="IKA139" s="3"/>
      <c r="IKB139" s="3"/>
      <c r="IKC139" s="3"/>
      <c r="IKD139" s="3"/>
      <c r="IKE139" s="3"/>
      <c r="IKF139" s="3"/>
      <c r="IKG139" s="3"/>
      <c r="IKH139" s="3"/>
      <c r="IKI139" s="3"/>
      <c r="IKJ139" s="3"/>
      <c r="IKK139" s="3"/>
      <c r="IKL139" s="3"/>
      <c r="IKM139" s="3"/>
      <c r="IKN139" s="3"/>
      <c r="IKO139" s="3"/>
      <c r="IKP139" s="3"/>
      <c r="IKQ139" s="3"/>
      <c r="IKR139" s="3"/>
      <c r="IKS139" s="3"/>
      <c r="IKT139" s="3"/>
      <c r="IKU139" s="3"/>
      <c r="IKV139" s="3"/>
      <c r="IKW139" s="3"/>
      <c r="IKX139" s="3"/>
      <c r="IKY139" s="3"/>
      <c r="IKZ139" s="3"/>
      <c r="ILA139" s="3"/>
      <c r="ILB139" s="3"/>
      <c r="ILC139" s="3"/>
      <c r="ILD139" s="3"/>
      <c r="ILE139" s="3"/>
      <c r="ILF139" s="3"/>
      <c r="ILG139" s="3"/>
      <c r="ILH139" s="3"/>
      <c r="ILI139" s="3"/>
      <c r="ILJ139" s="3"/>
      <c r="ILK139" s="3"/>
      <c r="ILL139" s="3"/>
      <c r="ILM139" s="3"/>
      <c r="ILN139" s="3"/>
      <c r="ILO139" s="3"/>
      <c r="ILP139" s="3"/>
      <c r="ILQ139" s="3"/>
      <c r="ILR139" s="3"/>
      <c r="ILS139" s="3"/>
      <c r="ILT139" s="3"/>
      <c r="ILU139" s="3"/>
      <c r="ILV139" s="3"/>
      <c r="ILW139" s="3"/>
      <c r="ILX139" s="3"/>
      <c r="ILY139" s="3"/>
      <c r="ILZ139" s="3"/>
      <c r="IMA139" s="3"/>
      <c r="IMB139" s="3"/>
      <c r="IMC139" s="3"/>
      <c r="IMD139" s="3"/>
      <c r="IME139" s="3"/>
      <c r="IMF139" s="3"/>
      <c r="IMG139" s="3"/>
      <c r="IMH139" s="3"/>
      <c r="IMI139" s="3"/>
      <c r="IMJ139" s="3"/>
      <c r="IMK139" s="3"/>
      <c r="IML139" s="3"/>
      <c r="IMM139" s="3"/>
      <c r="IMN139" s="3"/>
      <c r="IMO139" s="3"/>
      <c r="IMP139" s="3"/>
      <c r="IMQ139" s="3"/>
      <c r="IMR139" s="3"/>
      <c r="IMS139" s="3"/>
      <c r="IMT139" s="3"/>
      <c r="IMU139" s="3"/>
      <c r="IMV139" s="3"/>
      <c r="IMW139" s="3"/>
      <c r="IMX139" s="3"/>
      <c r="IMY139" s="3"/>
      <c r="IMZ139" s="3"/>
      <c r="INA139" s="3"/>
      <c r="INB139" s="3"/>
      <c r="INC139" s="3"/>
      <c r="IND139" s="3"/>
      <c r="INE139" s="3"/>
      <c r="INF139" s="3"/>
      <c r="ING139" s="3"/>
      <c r="INH139" s="3"/>
      <c r="INI139" s="3"/>
      <c r="INJ139" s="3"/>
      <c r="INK139" s="3"/>
      <c r="INL139" s="3"/>
      <c r="INM139" s="3"/>
      <c r="INN139" s="3"/>
      <c r="INO139" s="3"/>
      <c r="INP139" s="3"/>
      <c r="INQ139" s="3"/>
      <c r="INR139" s="3"/>
      <c r="INS139" s="3"/>
      <c r="INT139" s="3"/>
      <c r="INU139" s="3"/>
      <c r="INV139" s="3"/>
      <c r="INW139" s="3"/>
      <c r="INX139" s="3"/>
      <c r="INY139" s="3"/>
      <c r="INZ139" s="3"/>
      <c r="IOA139" s="3"/>
      <c r="IOB139" s="3"/>
      <c r="IOC139" s="3"/>
      <c r="IOD139" s="3"/>
      <c r="IOE139" s="3"/>
      <c r="IOF139" s="3"/>
      <c r="IOG139" s="3"/>
      <c r="IOH139" s="3"/>
      <c r="IOI139" s="3"/>
      <c r="IOJ139" s="3"/>
      <c r="IOK139" s="3"/>
      <c r="IOL139" s="3"/>
      <c r="IOM139" s="3"/>
      <c r="ION139" s="3"/>
      <c r="IOO139" s="3"/>
      <c r="IOP139" s="3"/>
      <c r="IOQ139" s="3"/>
      <c r="IOR139" s="3"/>
      <c r="IOS139" s="3"/>
      <c r="IOT139" s="3"/>
      <c r="IOU139" s="3"/>
      <c r="IOV139" s="3"/>
      <c r="IOW139" s="3"/>
      <c r="IOX139" s="3"/>
      <c r="IOY139" s="3"/>
      <c r="IOZ139" s="3"/>
      <c r="IPA139" s="3"/>
      <c r="IPB139" s="3"/>
      <c r="IPC139" s="3"/>
      <c r="IPD139" s="3"/>
      <c r="IPE139" s="3"/>
      <c r="IPF139" s="3"/>
      <c r="IPG139" s="3"/>
      <c r="IPH139" s="3"/>
      <c r="IPI139" s="3"/>
      <c r="IPJ139" s="3"/>
      <c r="IPK139" s="3"/>
      <c r="IPL139" s="3"/>
      <c r="IPM139" s="3"/>
      <c r="IPN139" s="3"/>
      <c r="IPO139" s="3"/>
      <c r="IPP139" s="3"/>
      <c r="IPQ139" s="3"/>
      <c r="IPR139" s="3"/>
      <c r="IPS139" s="3"/>
      <c r="IPT139" s="3"/>
      <c r="IPU139" s="3"/>
      <c r="IPV139" s="3"/>
      <c r="IPW139" s="3"/>
      <c r="IPX139" s="3"/>
      <c r="IPY139" s="3"/>
      <c r="IPZ139" s="3"/>
      <c r="IQA139" s="3"/>
      <c r="IQB139" s="3"/>
      <c r="IQC139" s="3"/>
      <c r="IQD139" s="3"/>
      <c r="IQE139" s="3"/>
      <c r="IQF139" s="3"/>
      <c r="IQG139" s="3"/>
      <c r="IQH139" s="3"/>
      <c r="IQI139" s="3"/>
      <c r="IQJ139" s="3"/>
      <c r="IQK139" s="3"/>
      <c r="IQL139" s="3"/>
      <c r="IQM139" s="3"/>
      <c r="IQN139" s="3"/>
      <c r="IQO139" s="3"/>
      <c r="IQP139" s="3"/>
      <c r="IQQ139" s="3"/>
      <c r="IQR139" s="3"/>
      <c r="IQS139" s="3"/>
      <c r="IQT139" s="3"/>
      <c r="IQU139" s="3"/>
      <c r="IQV139" s="3"/>
      <c r="IQW139" s="3"/>
      <c r="IQX139" s="3"/>
      <c r="IQY139" s="3"/>
      <c r="IQZ139" s="3"/>
      <c r="IRA139" s="3"/>
      <c r="IRB139" s="3"/>
      <c r="IRC139" s="3"/>
      <c r="IRD139" s="3"/>
      <c r="IRE139" s="3"/>
      <c r="IRF139" s="3"/>
      <c r="IRG139" s="3"/>
      <c r="IRH139" s="3"/>
      <c r="IRI139" s="3"/>
      <c r="IRJ139" s="3"/>
      <c r="IRK139" s="3"/>
      <c r="IRL139" s="3"/>
      <c r="IRM139" s="3"/>
      <c r="IRN139" s="3"/>
      <c r="IRO139" s="3"/>
      <c r="IRP139" s="3"/>
      <c r="IRQ139" s="3"/>
      <c r="IRR139" s="3"/>
      <c r="IRS139" s="3"/>
      <c r="IRT139" s="3"/>
      <c r="IRU139" s="3"/>
      <c r="IRV139" s="3"/>
      <c r="IRW139" s="3"/>
      <c r="IRX139" s="3"/>
      <c r="IRY139" s="3"/>
      <c r="IRZ139" s="3"/>
      <c r="ISA139" s="3"/>
      <c r="ISB139" s="3"/>
      <c r="ISC139" s="3"/>
      <c r="ISD139" s="3"/>
      <c r="ISE139" s="3"/>
      <c r="ISF139" s="3"/>
      <c r="ISG139" s="3"/>
      <c r="ISH139" s="3"/>
      <c r="ISI139" s="3"/>
      <c r="ISJ139" s="3"/>
      <c r="ISK139" s="3"/>
      <c r="ISL139" s="3"/>
      <c r="ISM139" s="3"/>
      <c r="ISN139" s="3"/>
      <c r="ISO139" s="3"/>
      <c r="ISP139" s="3"/>
      <c r="ISQ139" s="3"/>
      <c r="ISR139" s="3"/>
      <c r="ISS139" s="3"/>
      <c r="IST139" s="3"/>
      <c r="ISU139" s="3"/>
      <c r="ISV139" s="3"/>
      <c r="ISW139" s="3"/>
      <c r="ISX139" s="3"/>
      <c r="ISY139" s="3"/>
      <c r="ISZ139" s="3"/>
      <c r="ITA139" s="3"/>
      <c r="ITB139" s="3"/>
      <c r="ITC139" s="3"/>
      <c r="ITD139" s="3"/>
      <c r="ITE139" s="3"/>
      <c r="ITF139" s="3"/>
      <c r="ITG139" s="3"/>
      <c r="ITH139" s="3"/>
      <c r="ITI139" s="3"/>
      <c r="ITJ139" s="3"/>
      <c r="ITK139" s="3"/>
      <c r="ITL139" s="3"/>
      <c r="ITM139" s="3"/>
      <c r="ITN139" s="3"/>
      <c r="ITO139" s="3"/>
      <c r="ITP139" s="3"/>
      <c r="ITQ139" s="3"/>
      <c r="ITR139" s="3"/>
      <c r="ITS139" s="3"/>
      <c r="ITT139" s="3"/>
      <c r="ITU139" s="3"/>
      <c r="ITV139" s="3"/>
      <c r="ITW139" s="3"/>
      <c r="ITX139" s="3"/>
      <c r="ITY139" s="3"/>
      <c r="ITZ139" s="3"/>
      <c r="IUA139" s="3"/>
      <c r="IUB139" s="3"/>
      <c r="IUC139" s="3"/>
      <c r="IUD139" s="3"/>
      <c r="IUE139" s="3"/>
      <c r="IUF139" s="3"/>
      <c r="IUG139" s="3"/>
      <c r="IUH139" s="3"/>
      <c r="IUI139" s="3"/>
      <c r="IUJ139" s="3"/>
      <c r="IUK139" s="3"/>
      <c r="IUL139" s="3"/>
      <c r="IUM139" s="3"/>
      <c r="IUN139" s="3"/>
      <c r="IUO139" s="3"/>
      <c r="IUP139" s="3"/>
      <c r="IUQ139" s="3"/>
      <c r="IUR139" s="3"/>
      <c r="IUS139" s="3"/>
      <c r="IUT139" s="3"/>
      <c r="IUU139" s="3"/>
      <c r="IUV139" s="3"/>
      <c r="IUW139" s="3"/>
      <c r="IUX139" s="3"/>
      <c r="IUY139" s="3"/>
      <c r="IUZ139" s="3"/>
      <c r="IVA139" s="3"/>
      <c r="IVB139" s="3"/>
      <c r="IVC139" s="3"/>
      <c r="IVD139" s="3"/>
      <c r="IVE139" s="3"/>
      <c r="IVF139" s="3"/>
      <c r="IVG139" s="3"/>
      <c r="IVH139" s="3"/>
      <c r="IVI139" s="3"/>
      <c r="IVJ139" s="3"/>
      <c r="IVK139" s="3"/>
      <c r="IVL139" s="3"/>
      <c r="IVM139" s="3"/>
      <c r="IVN139" s="3"/>
      <c r="IVO139" s="3"/>
      <c r="IVP139" s="3"/>
      <c r="IVQ139" s="3"/>
      <c r="IVR139" s="3"/>
      <c r="IVS139" s="3"/>
      <c r="IVT139" s="3"/>
      <c r="IVU139" s="3"/>
      <c r="IVV139" s="3"/>
      <c r="IVW139" s="3"/>
      <c r="IVX139" s="3"/>
      <c r="IVY139" s="3"/>
      <c r="IVZ139" s="3"/>
      <c r="IWA139" s="3"/>
      <c r="IWB139" s="3"/>
      <c r="IWC139" s="3"/>
      <c r="IWD139" s="3"/>
      <c r="IWE139" s="3"/>
      <c r="IWF139" s="3"/>
      <c r="IWG139" s="3"/>
      <c r="IWH139" s="3"/>
      <c r="IWI139" s="3"/>
      <c r="IWJ139" s="3"/>
      <c r="IWK139" s="3"/>
      <c r="IWL139" s="3"/>
      <c r="IWM139" s="3"/>
      <c r="IWN139" s="3"/>
      <c r="IWO139" s="3"/>
      <c r="IWP139" s="3"/>
      <c r="IWQ139" s="3"/>
      <c r="IWR139" s="3"/>
      <c r="IWS139" s="3"/>
      <c r="IWT139" s="3"/>
      <c r="IWU139" s="3"/>
      <c r="IWV139" s="3"/>
      <c r="IWW139" s="3"/>
      <c r="IWX139" s="3"/>
      <c r="IWY139" s="3"/>
      <c r="IWZ139" s="3"/>
      <c r="IXA139" s="3"/>
      <c r="IXB139" s="3"/>
      <c r="IXC139" s="3"/>
      <c r="IXD139" s="3"/>
      <c r="IXE139" s="3"/>
      <c r="IXF139" s="3"/>
      <c r="IXG139" s="3"/>
      <c r="IXH139" s="3"/>
      <c r="IXI139" s="3"/>
      <c r="IXJ139" s="3"/>
      <c r="IXK139" s="3"/>
      <c r="IXL139" s="3"/>
      <c r="IXM139" s="3"/>
      <c r="IXN139" s="3"/>
      <c r="IXO139" s="3"/>
      <c r="IXP139" s="3"/>
      <c r="IXQ139" s="3"/>
      <c r="IXR139" s="3"/>
      <c r="IXS139" s="3"/>
      <c r="IXT139" s="3"/>
      <c r="IXU139" s="3"/>
      <c r="IXV139" s="3"/>
      <c r="IXW139" s="3"/>
      <c r="IXX139" s="3"/>
      <c r="IXY139" s="3"/>
      <c r="IXZ139" s="3"/>
      <c r="IYA139" s="3"/>
      <c r="IYB139" s="3"/>
      <c r="IYC139" s="3"/>
      <c r="IYD139" s="3"/>
      <c r="IYE139" s="3"/>
      <c r="IYF139" s="3"/>
      <c r="IYG139" s="3"/>
      <c r="IYH139" s="3"/>
      <c r="IYI139" s="3"/>
      <c r="IYJ139" s="3"/>
      <c r="IYK139" s="3"/>
      <c r="IYL139" s="3"/>
      <c r="IYM139" s="3"/>
      <c r="IYN139" s="3"/>
      <c r="IYO139" s="3"/>
      <c r="IYP139" s="3"/>
      <c r="IYQ139" s="3"/>
      <c r="IYR139" s="3"/>
      <c r="IYS139" s="3"/>
      <c r="IYT139" s="3"/>
      <c r="IYU139" s="3"/>
      <c r="IYV139" s="3"/>
      <c r="IYW139" s="3"/>
      <c r="IYX139" s="3"/>
      <c r="IYY139" s="3"/>
      <c r="IYZ139" s="3"/>
      <c r="IZA139" s="3"/>
      <c r="IZB139" s="3"/>
      <c r="IZC139" s="3"/>
      <c r="IZD139" s="3"/>
      <c r="IZE139" s="3"/>
      <c r="IZF139" s="3"/>
      <c r="IZG139" s="3"/>
      <c r="IZH139" s="3"/>
      <c r="IZI139" s="3"/>
      <c r="IZJ139" s="3"/>
      <c r="IZK139" s="3"/>
      <c r="IZL139" s="3"/>
      <c r="IZM139" s="3"/>
      <c r="IZN139" s="3"/>
      <c r="IZO139" s="3"/>
      <c r="IZP139" s="3"/>
      <c r="IZQ139" s="3"/>
      <c r="IZR139" s="3"/>
      <c r="IZS139" s="3"/>
      <c r="IZT139" s="3"/>
      <c r="IZU139" s="3"/>
      <c r="IZV139" s="3"/>
      <c r="IZW139" s="3"/>
      <c r="IZX139" s="3"/>
      <c r="IZY139" s="3"/>
      <c r="IZZ139" s="3"/>
      <c r="JAA139" s="3"/>
      <c r="JAB139" s="3"/>
      <c r="JAC139" s="3"/>
      <c r="JAD139" s="3"/>
      <c r="JAE139" s="3"/>
      <c r="JAF139" s="3"/>
      <c r="JAG139" s="3"/>
      <c r="JAH139" s="3"/>
      <c r="JAI139" s="3"/>
      <c r="JAJ139" s="3"/>
      <c r="JAK139" s="3"/>
      <c r="JAL139" s="3"/>
      <c r="JAM139" s="3"/>
      <c r="JAN139" s="3"/>
      <c r="JAO139" s="3"/>
      <c r="JAP139" s="3"/>
      <c r="JAQ139" s="3"/>
      <c r="JAR139" s="3"/>
      <c r="JAS139" s="3"/>
      <c r="JAT139" s="3"/>
      <c r="JAU139" s="3"/>
      <c r="JAV139" s="3"/>
      <c r="JAW139" s="3"/>
      <c r="JAX139" s="3"/>
      <c r="JAY139" s="3"/>
      <c r="JAZ139" s="3"/>
      <c r="JBA139" s="3"/>
      <c r="JBB139" s="3"/>
      <c r="JBC139" s="3"/>
      <c r="JBD139" s="3"/>
      <c r="JBE139" s="3"/>
      <c r="JBF139" s="3"/>
      <c r="JBG139" s="3"/>
      <c r="JBH139" s="3"/>
      <c r="JBI139" s="3"/>
      <c r="JBJ139" s="3"/>
      <c r="JBK139" s="3"/>
      <c r="JBL139" s="3"/>
      <c r="JBM139" s="3"/>
      <c r="JBN139" s="3"/>
      <c r="JBO139" s="3"/>
      <c r="JBP139" s="3"/>
      <c r="JBQ139" s="3"/>
      <c r="JBR139" s="3"/>
      <c r="JBS139" s="3"/>
      <c r="JBT139" s="3"/>
      <c r="JBU139" s="3"/>
      <c r="JBV139" s="3"/>
      <c r="JBW139" s="3"/>
      <c r="JBX139" s="3"/>
      <c r="JBY139" s="3"/>
      <c r="JBZ139" s="3"/>
      <c r="JCA139" s="3"/>
      <c r="JCB139" s="3"/>
      <c r="JCC139" s="3"/>
      <c r="JCD139" s="3"/>
      <c r="JCE139" s="3"/>
      <c r="JCF139" s="3"/>
      <c r="JCG139" s="3"/>
      <c r="JCH139" s="3"/>
      <c r="JCI139" s="3"/>
      <c r="JCJ139" s="3"/>
      <c r="JCK139" s="3"/>
      <c r="JCL139" s="3"/>
      <c r="JCM139" s="3"/>
      <c r="JCN139" s="3"/>
      <c r="JCO139" s="3"/>
      <c r="JCP139" s="3"/>
      <c r="JCQ139" s="3"/>
      <c r="JCR139" s="3"/>
      <c r="JCS139" s="3"/>
      <c r="JCT139" s="3"/>
      <c r="JCU139" s="3"/>
      <c r="JCV139" s="3"/>
      <c r="JCW139" s="3"/>
      <c r="JCX139" s="3"/>
      <c r="JCY139" s="3"/>
      <c r="JCZ139" s="3"/>
      <c r="JDA139" s="3"/>
      <c r="JDB139" s="3"/>
      <c r="JDC139" s="3"/>
      <c r="JDD139" s="3"/>
      <c r="JDE139" s="3"/>
      <c r="JDF139" s="3"/>
      <c r="JDG139" s="3"/>
      <c r="JDH139" s="3"/>
      <c r="JDI139" s="3"/>
      <c r="JDJ139" s="3"/>
      <c r="JDK139" s="3"/>
      <c r="JDL139" s="3"/>
      <c r="JDM139" s="3"/>
      <c r="JDN139" s="3"/>
      <c r="JDO139" s="3"/>
      <c r="JDP139" s="3"/>
      <c r="JDQ139" s="3"/>
      <c r="JDR139" s="3"/>
      <c r="JDS139" s="3"/>
      <c r="JDT139" s="3"/>
      <c r="JDU139" s="3"/>
      <c r="JDV139" s="3"/>
      <c r="JDW139" s="3"/>
      <c r="JDX139" s="3"/>
      <c r="JDY139" s="3"/>
      <c r="JDZ139" s="3"/>
      <c r="JEA139" s="3"/>
      <c r="JEB139" s="3"/>
      <c r="JEC139" s="3"/>
      <c r="JED139" s="3"/>
      <c r="JEE139" s="3"/>
      <c r="JEF139" s="3"/>
      <c r="JEG139" s="3"/>
      <c r="JEH139" s="3"/>
      <c r="JEI139" s="3"/>
      <c r="JEJ139" s="3"/>
      <c r="JEK139" s="3"/>
      <c r="JEL139" s="3"/>
      <c r="JEM139" s="3"/>
      <c r="JEN139" s="3"/>
      <c r="JEO139" s="3"/>
      <c r="JEP139" s="3"/>
      <c r="JEQ139" s="3"/>
      <c r="JER139" s="3"/>
      <c r="JES139" s="3"/>
      <c r="JET139" s="3"/>
      <c r="JEU139" s="3"/>
      <c r="JEV139" s="3"/>
      <c r="JEW139" s="3"/>
      <c r="JEX139" s="3"/>
      <c r="JEY139" s="3"/>
      <c r="JEZ139" s="3"/>
      <c r="JFA139" s="3"/>
      <c r="JFB139" s="3"/>
      <c r="JFC139" s="3"/>
      <c r="JFD139" s="3"/>
      <c r="JFE139" s="3"/>
      <c r="JFF139" s="3"/>
      <c r="JFG139" s="3"/>
      <c r="JFH139" s="3"/>
      <c r="JFI139" s="3"/>
      <c r="JFJ139" s="3"/>
      <c r="JFK139" s="3"/>
      <c r="JFL139" s="3"/>
      <c r="JFM139" s="3"/>
      <c r="JFN139" s="3"/>
      <c r="JFO139" s="3"/>
      <c r="JFP139" s="3"/>
      <c r="JFQ139" s="3"/>
      <c r="JFR139" s="3"/>
      <c r="JFS139" s="3"/>
      <c r="JFT139" s="3"/>
      <c r="JFU139" s="3"/>
      <c r="JFV139" s="3"/>
      <c r="JFW139" s="3"/>
      <c r="JFX139" s="3"/>
      <c r="JFY139" s="3"/>
      <c r="JFZ139" s="3"/>
      <c r="JGA139" s="3"/>
      <c r="JGB139" s="3"/>
      <c r="JGC139" s="3"/>
      <c r="JGD139" s="3"/>
      <c r="JGE139" s="3"/>
      <c r="JGF139" s="3"/>
      <c r="JGG139" s="3"/>
      <c r="JGH139" s="3"/>
      <c r="JGI139" s="3"/>
      <c r="JGJ139" s="3"/>
      <c r="JGK139" s="3"/>
      <c r="JGL139" s="3"/>
      <c r="JGM139" s="3"/>
      <c r="JGN139" s="3"/>
      <c r="JGO139" s="3"/>
      <c r="JGP139" s="3"/>
      <c r="JGQ139" s="3"/>
      <c r="JGR139" s="3"/>
      <c r="JGS139" s="3"/>
      <c r="JGT139" s="3"/>
      <c r="JGU139" s="3"/>
      <c r="JGV139" s="3"/>
      <c r="JGW139" s="3"/>
      <c r="JGX139" s="3"/>
      <c r="JGY139" s="3"/>
      <c r="JGZ139" s="3"/>
      <c r="JHA139" s="3"/>
      <c r="JHB139" s="3"/>
      <c r="JHC139" s="3"/>
      <c r="JHD139" s="3"/>
      <c r="JHE139" s="3"/>
      <c r="JHF139" s="3"/>
      <c r="JHG139" s="3"/>
      <c r="JHH139" s="3"/>
      <c r="JHI139" s="3"/>
      <c r="JHJ139" s="3"/>
      <c r="JHK139" s="3"/>
      <c r="JHL139" s="3"/>
      <c r="JHM139" s="3"/>
      <c r="JHN139" s="3"/>
      <c r="JHO139" s="3"/>
      <c r="JHP139" s="3"/>
      <c r="JHQ139" s="3"/>
      <c r="JHR139" s="3"/>
      <c r="JHS139" s="3"/>
      <c r="JHT139" s="3"/>
      <c r="JHU139" s="3"/>
      <c r="JHV139" s="3"/>
      <c r="JHW139" s="3"/>
      <c r="JHX139" s="3"/>
      <c r="JHY139" s="3"/>
      <c r="JHZ139" s="3"/>
      <c r="JIA139" s="3"/>
      <c r="JIB139" s="3"/>
      <c r="JIC139" s="3"/>
      <c r="JID139" s="3"/>
      <c r="JIE139" s="3"/>
      <c r="JIF139" s="3"/>
      <c r="JIG139" s="3"/>
      <c r="JIH139" s="3"/>
      <c r="JII139" s="3"/>
      <c r="JIJ139" s="3"/>
      <c r="JIK139" s="3"/>
      <c r="JIL139" s="3"/>
      <c r="JIM139" s="3"/>
      <c r="JIN139" s="3"/>
      <c r="JIO139" s="3"/>
      <c r="JIP139" s="3"/>
      <c r="JIQ139" s="3"/>
      <c r="JIR139" s="3"/>
      <c r="JIS139" s="3"/>
      <c r="JIT139" s="3"/>
      <c r="JIU139" s="3"/>
      <c r="JIV139" s="3"/>
      <c r="JIW139" s="3"/>
      <c r="JIX139" s="3"/>
      <c r="JIY139" s="3"/>
      <c r="JIZ139" s="3"/>
      <c r="JJA139" s="3"/>
      <c r="JJB139" s="3"/>
      <c r="JJC139" s="3"/>
      <c r="JJD139" s="3"/>
      <c r="JJE139" s="3"/>
      <c r="JJF139" s="3"/>
      <c r="JJG139" s="3"/>
      <c r="JJH139" s="3"/>
      <c r="JJI139" s="3"/>
      <c r="JJJ139" s="3"/>
      <c r="JJK139" s="3"/>
      <c r="JJL139" s="3"/>
      <c r="JJM139" s="3"/>
      <c r="JJN139" s="3"/>
      <c r="JJO139" s="3"/>
      <c r="JJP139" s="3"/>
      <c r="JJQ139" s="3"/>
      <c r="JJR139" s="3"/>
      <c r="JJS139" s="3"/>
      <c r="JJT139" s="3"/>
      <c r="JJU139" s="3"/>
      <c r="JJV139" s="3"/>
      <c r="JJW139" s="3"/>
      <c r="JJX139" s="3"/>
      <c r="JJY139" s="3"/>
      <c r="JJZ139" s="3"/>
      <c r="JKA139" s="3"/>
      <c r="JKB139" s="3"/>
      <c r="JKC139" s="3"/>
      <c r="JKD139" s="3"/>
      <c r="JKE139" s="3"/>
      <c r="JKF139" s="3"/>
      <c r="JKG139" s="3"/>
      <c r="JKH139" s="3"/>
      <c r="JKI139" s="3"/>
      <c r="JKJ139" s="3"/>
      <c r="JKK139" s="3"/>
      <c r="JKL139" s="3"/>
      <c r="JKM139" s="3"/>
      <c r="JKN139" s="3"/>
      <c r="JKO139" s="3"/>
      <c r="JKP139" s="3"/>
      <c r="JKQ139" s="3"/>
      <c r="JKR139" s="3"/>
      <c r="JKS139" s="3"/>
      <c r="JKT139" s="3"/>
      <c r="JKU139" s="3"/>
      <c r="JKV139" s="3"/>
      <c r="JKW139" s="3"/>
      <c r="JKX139" s="3"/>
      <c r="JKY139" s="3"/>
      <c r="JKZ139" s="3"/>
      <c r="JLA139" s="3"/>
      <c r="JLB139" s="3"/>
      <c r="JLC139" s="3"/>
      <c r="JLD139" s="3"/>
      <c r="JLE139" s="3"/>
      <c r="JLF139" s="3"/>
      <c r="JLG139" s="3"/>
      <c r="JLH139" s="3"/>
      <c r="JLI139" s="3"/>
      <c r="JLJ139" s="3"/>
      <c r="JLK139" s="3"/>
      <c r="JLL139" s="3"/>
      <c r="JLM139" s="3"/>
      <c r="JLN139" s="3"/>
      <c r="JLO139" s="3"/>
      <c r="JLP139" s="3"/>
      <c r="JLQ139" s="3"/>
      <c r="JLR139" s="3"/>
      <c r="JLS139" s="3"/>
      <c r="JLT139" s="3"/>
      <c r="JLU139" s="3"/>
      <c r="JLV139" s="3"/>
      <c r="JLW139" s="3"/>
      <c r="JLX139" s="3"/>
      <c r="JLY139" s="3"/>
      <c r="JLZ139" s="3"/>
      <c r="JMA139" s="3"/>
      <c r="JMB139" s="3"/>
      <c r="JMC139" s="3"/>
      <c r="JMD139" s="3"/>
      <c r="JME139" s="3"/>
      <c r="JMF139" s="3"/>
      <c r="JMG139" s="3"/>
      <c r="JMH139" s="3"/>
      <c r="JMI139" s="3"/>
      <c r="JMJ139" s="3"/>
      <c r="JMK139" s="3"/>
      <c r="JML139" s="3"/>
      <c r="JMM139" s="3"/>
      <c r="JMN139" s="3"/>
      <c r="JMO139" s="3"/>
      <c r="JMP139" s="3"/>
      <c r="JMQ139" s="3"/>
      <c r="JMR139" s="3"/>
      <c r="JMS139" s="3"/>
      <c r="JMT139" s="3"/>
      <c r="JMU139" s="3"/>
      <c r="JMV139" s="3"/>
      <c r="JMW139" s="3"/>
      <c r="JMX139" s="3"/>
      <c r="JMY139" s="3"/>
      <c r="JMZ139" s="3"/>
      <c r="JNA139" s="3"/>
      <c r="JNB139" s="3"/>
      <c r="JNC139" s="3"/>
      <c r="JND139" s="3"/>
      <c r="JNE139" s="3"/>
      <c r="JNF139" s="3"/>
      <c r="JNG139" s="3"/>
      <c r="JNH139" s="3"/>
      <c r="JNI139" s="3"/>
      <c r="JNJ139" s="3"/>
      <c r="JNK139" s="3"/>
      <c r="JNL139" s="3"/>
      <c r="JNM139" s="3"/>
      <c r="JNN139" s="3"/>
      <c r="JNO139" s="3"/>
      <c r="JNP139" s="3"/>
      <c r="JNQ139" s="3"/>
      <c r="JNR139" s="3"/>
      <c r="JNS139" s="3"/>
      <c r="JNT139" s="3"/>
      <c r="JNU139" s="3"/>
      <c r="JNV139" s="3"/>
      <c r="JNW139" s="3"/>
      <c r="JNX139" s="3"/>
      <c r="JNY139" s="3"/>
      <c r="JNZ139" s="3"/>
      <c r="JOA139" s="3"/>
      <c r="JOB139" s="3"/>
      <c r="JOC139" s="3"/>
      <c r="JOD139" s="3"/>
      <c r="JOE139" s="3"/>
      <c r="JOF139" s="3"/>
      <c r="JOG139" s="3"/>
      <c r="JOH139" s="3"/>
      <c r="JOI139" s="3"/>
      <c r="JOJ139" s="3"/>
      <c r="JOK139" s="3"/>
      <c r="JOL139" s="3"/>
      <c r="JOM139" s="3"/>
      <c r="JON139" s="3"/>
      <c r="JOO139" s="3"/>
      <c r="JOP139" s="3"/>
      <c r="JOQ139" s="3"/>
      <c r="JOR139" s="3"/>
      <c r="JOS139" s="3"/>
      <c r="JOT139" s="3"/>
      <c r="JOU139" s="3"/>
      <c r="JOV139" s="3"/>
      <c r="JOW139" s="3"/>
      <c r="JOX139" s="3"/>
      <c r="JOY139" s="3"/>
      <c r="JOZ139" s="3"/>
      <c r="JPA139" s="3"/>
      <c r="JPB139" s="3"/>
      <c r="JPC139" s="3"/>
      <c r="JPD139" s="3"/>
      <c r="JPE139" s="3"/>
      <c r="JPF139" s="3"/>
      <c r="JPG139" s="3"/>
      <c r="JPH139" s="3"/>
      <c r="JPI139" s="3"/>
      <c r="JPJ139" s="3"/>
      <c r="JPK139" s="3"/>
      <c r="JPL139" s="3"/>
      <c r="JPM139" s="3"/>
      <c r="JPN139" s="3"/>
      <c r="JPO139" s="3"/>
      <c r="JPP139" s="3"/>
      <c r="JPQ139" s="3"/>
      <c r="JPR139" s="3"/>
      <c r="JPS139" s="3"/>
      <c r="JPT139" s="3"/>
      <c r="JPU139" s="3"/>
      <c r="JPV139" s="3"/>
      <c r="JPW139" s="3"/>
      <c r="JPX139" s="3"/>
      <c r="JPY139" s="3"/>
      <c r="JPZ139" s="3"/>
      <c r="JQA139" s="3"/>
      <c r="JQB139" s="3"/>
      <c r="JQC139" s="3"/>
      <c r="JQD139" s="3"/>
      <c r="JQE139" s="3"/>
      <c r="JQF139" s="3"/>
      <c r="JQG139" s="3"/>
      <c r="JQH139" s="3"/>
      <c r="JQI139" s="3"/>
      <c r="JQJ139" s="3"/>
      <c r="JQK139" s="3"/>
      <c r="JQL139" s="3"/>
      <c r="JQM139" s="3"/>
      <c r="JQN139" s="3"/>
      <c r="JQO139" s="3"/>
      <c r="JQP139" s="3"/>
      <c r="JQQ139" s="3"/>
      <c r="JQR139" s="3"/>
      <c r="JQS139" s="3"/>
      <c r="JQT139" s="3"/>
      <c r="JQU139" s="3"/>
      <c r="JQV139" s="3"/>
      <c r="JQW139" s="3"/>
      <c r="JQX139" s="3"/>
      <c r="JQY139" s="3"/>
      <c r="JQZ139" s="3"/>
      <c r="JRA139" s="3"/>
      <c r="JRB139" s="3"/>
      <c r="JRC139" s="3"/>
      <c r="JRD139" s="3"/>
      <c r="JRE139" s="3"/>
      <c r="JRF139" s="3"/>
      <c r="JRG139" s="3"/>
      <c r="JRH139" s="3"/>
      <c r="JRI139" s="3"/>
      <c r="JRJ139" s="3"/>
      <c r="JRK139" s="3"/>
      <c r="JRL139" s="3"/>
      <c r="JRM139" s="3"/>
      <c r="JRN139" s="3"/>
      <c r="JRO139" s="3"/>
      <c r="JRP139" s="3"/>
      <c r="JRQ139" s="3"/>
      <c r="JRR139" s="3"/>
      <c r="JRS139" s="3"/>
      <c r="JRT139" s="3"/>
      <c r="JRU139" s="3"/>
      <c r="JRV139" s="3"/>
      <c r="JRW139" s="3"/>
      <c r="JRX139" s="3"/>
      <c r="JRY139" s="3"/>
      <c r="JRZ139" s="3"/>
      <c r="JSA139" s="3"/>
      <c r="JSB139" s="3"/>
      <c r="JSC139" s="3"/>
      <c r="JSD139" s="3"/>
      <c r="JSE139" s="3"/>
      <c r="JSF139" s="3"/>
      <c r="JSG139" s="3"/>
      <c r="JSH139" s="3"/>
      <c r="JSI139" s="3"/>
      <c r="JSJ139" s="3"/>
      <c r="JSK139" s="3"/>
      <c r="JSL139" s="3"/>
      <c r="JSM139" s="3"/>
      <c r="JSN139" s="3"/>
      <c r="JSO139" s="3"/>
      <c r="JSP139" s="3"/>
      <c r="JSQ139" s="3"/>
      <c r="JSR139" s="3"/>
      <c r="JSS139" s="3"/>
      <c r="JST139" s="3"/>
      <c r="JSU139" s="3"/>
      <c r="JSV139" s="3"/>
      <c r="JSW139" s="3"/>
      <c r="JSX139" s="3"/>
      <c r="JSY139" s="3"/>
      <c r="JSZ139" s="3"/>
      <c r="JTA139" s="3"/>
      <c r="JTB139" s="3"/>
      <c r="JTC139" s="3"/>
      <c r="JTD139" s="3"/>
      <c r="JTE139" s="3"/>
      <c r="JTF139" s="3"/>
      <c r="JTG139" s="3"/>
      <c r="JTH139" s="3"/>
      <c r="JTI139" s="3"/>
      <c r="JTJ139" s="3"/>
      <c r="JTK139" s="3"/>
      <c r="JTL139" s="3"/>
      <c r="JTM139" s="3"/>
      <c r="JTN139" s="3"/>
      <c r="JTO139" s="3"/>
      <c r="JTP139" s="3"/>
      <c r="JTQ139" s="3"/>
      <c r="JTR139" s="3"/>
      <c r="JTS139" s="3"/>
      <c r="JTT139" s="3"/>
      <c r="JTU139" s="3"/>
      <c r="JTV139" s="3"/>
      <c r="JTW139" s="3"/>
      <c r="JTX139" s="3"/>
      <c r="JTY139" s="3"/>
      <c r="JTZ139" s="3"/>
      <c r="JUA139" s="3"/>
      <c r="JUB139" s="3"/>
      <c r="JUC139" s="3"/>
      <c r="JUD139" s="3"/>
      <c r="JUE139" s="3"/>
      <c r="JUF139" s="3"/>
      <c r="JUG139" s="3"/>
      <c r="JUH139" s="3"/>
      <c r="JUI139" s="3"/>
      <c r="JUJ139" s="3"/>
      <c r="JUK139" s="3"/>
      <c r="JUL139" s="3"/>
      <c r="JUM139" s="3"/>
      <c r="JUN139" s="3"/>
      <c r="JUO139" s="3"/>
      <c r="JUP139" s="3"/>
      <c r="JUQ139" s="3"/>
      <c r="JUR139" s="3"/>
      <c r="JUS139" s="3"/>
      <c r="JUT139" s="3"/>
      <c r="JUU139" s="3"/>
      <c r="JUV139" s="3"/>
      <c r="JUW139" s="3"/>
      <c r="JUX139" s="3"/>
      <c r="JUY139" s="3"/>
      <c r="JUZ139" s="3"/>
      <c r="JVA139" s="3"/>
      <c r="JVB139" s="3"/>
      <c r="JVC139" s="3"/>
      <c r="JVD139" s="3"/>
      <c r="JVE139" s="3"/>
      <c r="JVF139" s="3"/>
      <c r="JVG139" s="3"/>
      <c r="JVH139" s="3"/>
      <c r="JVI139" s="3"/>
      <c r="JVJ139" s="3"/>
      <c r="JVK139" s="3"/>
      <c r="JVL139" s="3"/>
      <c r="JVM139" s="3"/>
      <c r="JVN139" s="3"/>
      <c r="JVO139" s="3"/>
      <c r="JVP139" s="3"/>
      <c r="JVQ139" s="3"/>
      <c r="JVR139" s="3"/>
      <c r="JVS139" s="3"/>
      <c r="JVT139" s="3"/>
      <c r="JVU139" s="3"/>
      <c r="JVV139" s="3"/>
      <c r="JVW139" s="3"/>
      <c r="JVX139" s="3"/>
      <c r="JVY139" s="3"/>
      <c r="JVZ139" s="3"/>
      <c r="JWA139" s="3"/>
      <c r="JWB139" s="3"/>
      <c r="JWC139" s="3"/>
      <c r="JWD139" s="3"/>
      <c r="JWE139" s="3"/>
      <c r="JWF139" s="3"/>
      <c r="JWG139" s="3"/>
      <c r="JWH139" s="3"/>
      <c r="JWI139" s="3"/>
      <c r="JWJ139" s="3"/>
      <c r="JWK139" s="3"/>
      <c r="JWL139" s="3"/>
      <c r="JWM139" s="3"/>
      <c r="JWN139" s="3"/>
      <c r="JWO139" s="3"/>
      <c r="JWP139" s="3"/>
      <c r="JWQ139" s="3"/>
      <c r="JWR139" s="3"/>
      <c r="JWS139" s="3"/>
      <c r="JWT139" s="3"/>
      <c r="JWU139" s="3"/>
      <c r="JWV139" s="3"/>
      <c r="JWW139" s="3"/>
      <c r="JWX139" s="3"/>
      <c r="JWY139" s="3"/>
      <c r="JWZ139" s="3"/>
      <c r="JXA139" s="3"/>
      <c r="JXB139" s="3"/>
      <c r="JXC139" s="3"/>
      <c r="JXD139" s="3"/>
      <c r="JXE139" s="3"/>
      <c r="JXF139" s="3"/>
      <c r="JXG139" s="3"/>
      <c r="JXH139" s="3"/>
      <c r="JXI139" s="3"/>
      <c r="JXJ139" s="3"/>
      <c r="JXK139" s="3"/>
      <c r="JXL139" s="3"/>
      <c r="JXM139" s="3"/>
      <c r="JXN139" s="3"/>
      <c r="JXO139" s="3"/>
      <c r="JXP139" s="3"/>
      <c r="JXQ139" s="3"/>
      <c r="JXR139" s="3"/>
      <c r="JXS139" s="3"/>
      <c r="JXT139" s="3"/>
      <c r="JXU139" s="3"/>
      <c r="JXV139" s="3"/>
      <c r="JXW139" s="3"/>
      <c r="JXX139" s="3"/>
      <c r="JXY139" s="3"/>
      <c r="JXZ139" s="3"/>
      <c r="JYA139" s="3"/>
      <c r="JYB139" s="3"/>
      <c r="JYC139" s="3"/>
      <c r="JYD139" s="3"/>
      <c r="JYE139" s="3"/>
      <c r="JYF139" s="3"/>
      <c r="JYG139" s="3"/>
      <c r="JYH139" s="3"/>
      <c r="JYI139" s="3"/>
      <c r="JYJ139" s="3"/>
      <c r="JYK139" s="3"/>
      <c r="JYL139" s="3"/>
      <c r="JYM139" s="3"/>
      <c r="JYN139" s="3"/>
      <c r="JYO139" s="3"/>
      <c r="JYP139" s="3"/>
      <c r="JYQ139" s="3"/>
      <c r="JYR139" s="3"/>
      <c r="JYS139" s="3"/>
      <c r="JYT139" s="3"/>
      <c r="JYU139" s="3"/>
      <c r="JYV139" s="3"/>
      <c r="JYW139" s="3"/>
      <c r="JYX139" s="3"/>
      <c r="JYY139" s="3"/>
      <c r="JYZ139" s="3"/>
      <c r="JZA139" s="3"/>
      <c r="JZB139" s="3"/>
      <c r="JZC139" s="3"/>
      <c r="JZD139" s="3"/>
      <c r="JZE139" s="3"/>
      <c r="JZF139" s="3"/>
      <c r="JZG139" s="3"/>
      <c r="JZH139" s="3"/>
      <c r="JZI139" s="3"/>
      <c r="JZJ139" s="3"/>
      <c r="JZK139" s="3"/>
      <c r="JZL139" s="3"/>
      <c r="JZM139" s="3"/>
      <c r="JZN139" s="3"/>
      <c r="JZO139" s="3"/>
      <c r="JZP139" s="3"/>
      <c r="JZQ139" s="3"/>
      <c r="JZR139" s="3"/>
      <c r="JZS139" s="3"/>
      <c r="JZT139" s="3"/>
      <c r="JZU139" s="3"/>
      <c r="JZV139" s="3"/>
      <c r="JZW139" s="3"/>
      <c r="JZX139" s="3"/>
      <c r="JZY139" s="3"/>
      <c r="JZZ139" s="3"/>
      <c r="KAA139" s="3"/>
      <c r="KAB139" s="3"/>
      <c r="KAC139" s="3"/>
      <c r="KAD139" s="3"/>
      <c r="KAE139" s="3"/>
      <c r="KAF139" s="3"/>
      <c r="KAG139" s="3"/>
      <c r="KAH139" s="3"/>
      <c r="KAI139" s="3"/>
      <c r="KAJ139" s="3"/>
      <c r="KAK139" s="3"/>
      <c r="KAL139" s="3"/>
      <c r="KAM139" s="3"/>
      <c r="KAN139" s="3"/>
      <c r="KAO139" s="3"/>
      <c r="KAP139" s="3"/>
      <c r="KAQ139" s="3"/>
      <c r="KAR139" s="3"/>
      <c r="KAS139" s="3"/>
      <c r="KAT139" s="3"/>
      <c r="KAU139" s="3"/>
      <c r="KAV139" s="3"/>
      <c r="KAW139" s="3"/>
      <c r="KAX139" s="3"/>
      <c r="KAY139" s="3"/>
      <c r="KAZ139" s="3"/>
      <c r="KBA139" s="3"/>
      <c r="KBB139" s="3"/>
      <c r="KBC139" s="3"/>
      <c r="KBD139" s="3"/>
      <c r="KBE139" s="3"/>
      <c r="KBF139" s="3"/>
      <c r="KBG139" s="3"/>
      <c r="KBH139" s="3"/>
      <c r="KBI139" s="3"/>
      <c r="KBJ139" s="3"/>
      <c r="KBK139" s="3"/>
      <c r="KBL139" s="3"/>
      <c r="KBM139" s="3"/>
      <c r="KBN139" s="3"/>
      <c r="KBO139" s="3"/>
      <c r="KBP139" s="3"/>
      <c r="KBQ139" s="3"/>
      <c r="KBR139" s="3"/>
      <c r="KBS139" s="3"/>
      <c r="KBT139" s="3"/>
      <c r="KBU139" s="3"/>
      <c r="KBV139" s="3"/>
      <c r="KBW139" s="3"/>
      <c r="KBX139" s="3"/>
      <c r="KBY139" s="3"/>
      <c r="KBZ139" s="3"/>
      <c r="KCA139" s="3"/>
      <c r="KCB139" s="3"/>
      <c r="KCC139" s="3"/>
      <c r="KCD139" s="3"/>
      <c r="KCE139" s="3"/>
      <c r="KCF139" s="3"/>
      <c r="KCG139" s="3"/>
      <c r="KCH139" s="3"/>
      <c r="KCI139" s="3"/>
      <c r="KCJ139" s="3"/>
      <c r="KCK139" s="3"/>
      <c r="KCL139" s="3"/>
      <c r="KCM139" s="3"/>
      <c r="KCN139" s="3"/>
      <c r="KCO139" s="3"/>
      <c r="KCP139" s="3"/>
      <c r="KCQ139" s="3"/>
      <c r="KCR139" s="3"/>
      <c r="KCS139" s="3"/>
      <c r="KCT139" s="3"/>
      <c r="KCU139" s="3"/>
      <c r="KCV139" s="3"/>
      <c r="KCW139" s="3"/>
      <c r="KCX139" s="3"/>
      <c r="KCY139" s="3"/>
      <c r="KCZ139" s="3"/>
      <c r="KDA139" s="3"/>
      <c r="KDB139" s="3"/>
      <c r="KDC139" s="3"/>
      <c r="KDD139" s="3"/>
      <c r="KDE139" s="3"/>
      <c r="KDF139" s="3"/>
      <c r="KDG139" s="3"/>
      <c r="KDH139" s="3"/>
      <c r="KDI139" s="3"/>
      <c r="KDJ139" s="3"/>
      <c r="KDK139" s="3"/>
      <c r="KDL139" s="3"/>
      <c r="KDM139" s="3"/>
      <c r="KDN139" s="3"/>
      <c r="KDO139" s="3"/>
      <c r="KDP139" s="3"/>
      <c r="KDQ139" s="3"/>
      <c r="KDR139" s="3"/>
      <c r="KDS139" s="3"/>
      <c r="KDT139" s="3"/>
      <c r="KDU139" s="3"/>
      <c r="KDV139" s="3"/>
      <c r="KDW139" s="3"/>
      <c r="KDX139" s="3"/>
      <c r="KDY139" s="3"/>
      <c r="KDZ139" s="3"/>
      <c r="KEA139" s="3"/>
      <c r="KEB139" s="3"/>
      <c r="KEC139" s="3"/>
      <c r="KED139" s="3"/>
      <c r="KEE139" s="3"/>
      <c r="KEF139" s="3"/>
      <c r="KEG139" s="3"/>
      <c r="KEH139" s="3"/>
      <c r="KEI139" s="3"/>
      <c r="KEJ139" s="3"/>
      <c r="KEK139" s="3"/>
      <c r="KEL139" s="3"/>
      <c r="KEM139" s="3"/>
      <c r="KEN139" s="3"/>
      <c r="KEO139" s="3"/>
      <c r="KEP139" s="3"/>
      <c r="KEQ139" s="3"/>
      <c r="KER139" s="3"/>
      <c r="KES139" s="3"/>
      <c r="KET139" s="3"/>
      <c r="KEU139" s="3"/>
      <c r="KEV139" s="3"/>
      <c r="KEW139" s="3"/>
      <c r="KEX139" s="3"/>
      <c r="KEY139" s="3"/>
      <c r="KEZ139" s="3"/>
      <c r="KFA139" s="3"/>
      <c r="KFB139" s="3"/>
      <c r="KFC139" s="3"/>
      <c r="KFD139" s="3"/>
      <c r="KFE139" s="3"/>
      <c r="KFF139" s="3"/>
      <c r="KFG139" s="3"/>
      <c r="KFH139" s="3"/>
      <c r="KFI139" s="3"/>
      <c r="KFJ139" s="3"/>
      <c r="KFK139" s="3"/>
      <c r="KFL139" s="3"/>
      <c r="KFM139" s="3"/>
      <c r="KFN139" s="3"/>
      <c r="KFO139" s="3"/>
      <c r="KFP139" s="3"/>
      <c r="KFQ139" s="3"/>
      <c r="KFR139" s="3"/>
      <c r="KFS139" s="3"/>
      <c r="KFT139" s="3"/>
      <c r="KFU139" s="3"/>
      <c r="KFV139" s="3"/>
      <c r="KFW139" s="3"/>
      <c r="KFX139" s="3"/>
      <c r="KFY139" s="3"/>
      <c r="KFZ139" s="3"/>
      <c r="KGA139" s="3"/>
      <c r="KGB139" s="3"/>
      <c r="KGC139" s="3"/>
      <c r="KGD139" s="3"/>
      <c r="KGE139" s="3"/>
      <c r="KGF139" s="3"/>
      <c r="KGG139" s="3"/>
      <c r="KGH139" s="3"/>
      <c r="KGI139" s="3"/>
      <c r="KGJ139" s="3"/>
      <c r="KGK139" s="3"/>
      <c r="KGL139" s="3"/>
      <c r="KGM139" s="3"/>
      <c r="KGN139" s="3"/>
      <c r="KGO139" s="3"/>
      <c r="KGP139" s="3"/>
      <c r="KGQ139" s="3"/>
      <c r="KGR139" s="3"/>
      <c r="KGS139" s="3"/>
      <c r="KGT139" s="3"/>
      <c r="KGU139" s="3"/>
      <c r="KGV139" s="3"/>
      <c r="KGW139" s="3"/>
      <c r="KGX139" s="3"/>
      <c r="KGY139" s="3"/>
      <c r="KGZ139" s="3"/>
      <c r="KHA139" s="3"/>
      <c r="KHB139" s="3"/>
      <c r="KHC139" s="3"/>
      <c r="KHD139" s="3"/>
      <c r="KHE139" s="3"/>
      <c r="KHF139" s="3"/>
      <c r="KHG139" s="3"/>
      <c r="KHH139" s="3"/>
      <c r="KHI139" s="3"/>
      <c r="KHJ139" s="3"/>
      <c r="KHK139" s="3"/>
      <c r="KHL139" s="3"/>
      <c r="KHM139" s="3"/>
      <c r="KHN139" s="3"/>
      <c r="KHO139" s="3"/>
      <c r="KHP139" s="3"/>
      <c r="KHQ139" s="3"/>
      <c r="KHR139" s="3"/>
      <c r="KHS139" s="3"/>
      <c r="KHT139" s="3"/>
      <c r="KHU139" s="3"/>
      <c r="KHV139" s="3"/>
      <c r="KHW139" s="3"/>
      <c r="KHX139" s="3"/>
      <c r="KHY139" s="3"/>
      <c r="KHZ139" s="3"/>
      <c r="KIA139" s="3"/>
      <c r="KIB139" s="3"/>
      <c r="KIC139" s="3"/>
      <c r="KID139" s="3"/>
      <c r="KIE139" s="3"/>
      <c r="KIF139" s="3"/>
      <c r="KIG139" s="3"/>
      <c r="KIH139" s="3"/>
      <c r="KII139" s="3"/>
      <c r="KIJ139" s="3"/>
      <c r="KIK139" s="3"/>
      <c r="KIL139" s="3"/>
      <c r="KIM139" s="3"/>
      <c r="KIN139" s="3"/>
      <c r="KIO139" s="3"/>
      <c r="KIP139" s="3"/>
      <c r="KIQ139" s="3"/>
      <c r="KIR139" s="3"/>
      <c r="KIS139" s="3"/>
      <c r="KIT139" s="3"/>
      <c r="KIU139" s="3"/>
      <c r="KIV139" s="3"/>
      <c r="KIW139" s="3"/>
      <c r="KIX139" s="3"/>
      <c r="KIY139" s="3"/>
      <c r="KIZ139" s="3"/>
      <c r="KJA139" s="3"/>
      <c r="KJB139" s="3"/>
      <c r="KJC139" s="3"/>
      <c r="KJD139" s="3"/>
      <c r="KJE139" s="3"/>
      <c r="KJF139" s="3"/>
      <c r="KJG139" s="3"/>
      <c r="KJH139" s="3"/>
      <c r="KJI139" s="3"/>
      <c r="KJJ139" s="3"/>
      <c r="KJK139" s="3"/>
      <c r="KJL139" s="3"/>
      <c r="KJM139" s="3"/>
      <c r="KJN139" s="3"/>
      <c r="KJO139" s="3"/>
      <c r="KJP139" s="3"/>
      <c r="KJQ139" s="3"/>
      <c r="KJR139" s="3"/>
      <c r="KJS139" s="3"/>
      <c r="KJT139" s="3"/>
      <c r="KJU139" s="3"/>
      <c r="KJV139" s="3"/>
      <c r="KJW139" s="3"/>
      <c r="KJX139" s="3"/>
      <c r="KJY139" s="3"/>
      <c r="KJZ139" s="3"/>
      <c r="KKA139" s="3"/>
      <c r="KKB139" s="3"/>
      <c r="KKC139" s="3"/>
      <c r="KKD139" s="3"/>
      <c r="KKE139" s="3"/>
      <c r="KKF139" s="3"/>
      <c r="KKG139" s="3"/>
      <c r="KKH139" s="3"/>
      <c r="KKI139" s="3"/>
      <c r="KKJ139" s="3"/>
      <c r="KKK139" s="3"/>
      <c r="KKL139" s="3"/>
      <c r="KKM139" s="3"/>
      <c r="KKN139" s="3"/>
      <c r="KKO139" s="3"/>
      <c r="KKP139" s="3"/>
      <c r="KKQ139" s="3"/>
      <c r="KKR139" s="3"/>
      <c r="KKS139" s="3"/>
      <c r="KKT139" s="3"/>
      <c r="KKU139" s="3"/>
      <c r="KKV139" s="3"/>
      <c r="KKW139" s="3"/>
      <c r="KKX139" s="3"/>
      <c r="KKY139" s="3"/>
      <c r="KKZ139" s="3"/>
      <c r="KLA139" s="3"/>
      <c r="KLB139" s="3"/>
      <c r="KLC139" s="3"/>
      <c r="KLD139" s="3"/>
      <c r="KLE139" s="3"/>
      <c r="KLF139" s="3"/>
      <c r="KLG139" s="3"/>
      <c r="KLH139" s="3"/>
      <c r="KLI139" s="3"/>
      <c r="KLJ139" s="3"/>
      <c r="KLK139" s="3"/>
      <c r="KLL139" s="3"/>
      <c r="KLM139" s="3"/>
      <c r="KLN139" s="3"/>
      <c r="KLO139" s="3"/>
      <c r="KLP139" s="3"/>
      <c r="KLQ139" s="3"/>
      <c r="KLR139" s="3"/>
      <c r="KLS139" s="3"/>
      <c r="KLT139" s="3"/>
      <c r="KLU139" s="3"/>
      <c r="KLV139" s="3"/>
      <c r="KLW139" s="3"/>
      <c r="KLX139" s="3"/>
      <c r="KLY139" s="3"/>
      <c r="KLZ139" s="3"/>
      <c r="KMA139" s="3"/>
      <c r="KMB139" s="3"/>
      <c r="KMC139" s="3"/>
      <c r="KMD139" s="3"/>
      <c r="KME139" s="3"/>
      <c r="KMF139" s="3"/>
      <c r="KMG139" s="3"/>
      <c r="KMH139" s="3"/>
      <c r="KMI139" s="3"/>
      <c r="KMJ139" s="3"/>
      <c r="KMK139" s="3"/>
      <c r="KML139" s="3"/>
      <c r="KMM139" s="3"/>
      <c r="KMN139" s="3"/>
      <c r="KMO139" s="3"/>
      <c r="KMP139" s="3"/>
      <c r="KMQ139" s="3"/>
      <c r="KMR139" s="3"/>
      <c r="KMS139" s="3"/>
      <c r="KMT139" s="3"/>
      <c r="KMU139" s="3"/>
      <c r="KMV139" s="3"/>
      <c r="KMW139" s="3"/>
      <c r="KMX139" s="3"/>
      <c r="KMY139" s="3"/>
      <c r="KMZ139" s="3"/>
      <c r="KNA139" s="3"/>
      <c r="KNB139" s="3"/>
      <c r="KNC139" s="3"/>
      <c r="KND139" s="3"/>
      <c r="KNE139" s="3"/>
      <c r="KNF139" s="3"/>
      <c r="KNG139" s="3"/>
      <c r="KNH139" s="3"/>
      <c r="KNI139" s="3"/>
      <c r="KNJ139" s="3"/>
      <c r="KNK139" s="3"/>
      <c r="KNL139" s="3"/>
      <c r="KNM139" s="3"/>
      <c r="KNN139" s="3"/>
      <c r="KNO139" s="3"/>
      <c r="KNP139" s="3"/>
      <c r="KNQ139" s="3"/>
      <c r="KNR139" s="3"/>
      <c r="KNS139" s="3"/>
      <c r="KNT139" s="3"/>
      <c r="KNU139" s="3"/>
      <c r="KNV139" s="3"/>
      <c r="KNW139" s="3"/>
      <c r="KNX139" s="3"/>
      <c r="KNY139" s="3"/>
      <c r="KNZ139" s="3"/>
      <c r="KOA139" s="3"/>
      <c r="KOB139" s="3"/>
      <c r="KOC139" s="3"/>
      <c r="KOD139" s="3"/>
      <c r="KOE139" s="3"/>
      <c r="KOF139" s="3"/>
      <c r="KOG139" s="3"/>
      <c r="KOH139" s="3"/>
      <c r="KOI139" s="3"/>
      <c r="KOJ139" s="3"/>
      <c r="KOK139" s="3"/>
      <c r="KOL139" s="3"/>
      <c r="KOM139" s="3"/>
      <c r="KON139" s="3"/>
      <c r="KOO139" s="3"/>
      <c r="KOP139" s="3"/>
      <c r="KOQ139" s="3"/>
      <c r="KOR139" s="3"/>
      <c r="KOS139" s="3"/>
      <c r="KOT139" s="3"/>
      <c r="KOU139" s="3"/>
      <c r="KOV139" s="3"/>
      <c r="KOW139" s="3"/>
      <c r="KOX139" s="3"/>
      <c r="KOY139" s="3"/>
      <c r="KOZ139" s="3"/>
      <c r="KPA139" s="3"/>
      <c r="KPB139" s="3"/>
      <c r="KPC139" s="3"/>
      <c r="KPD139" s="3"/>
      <c r="KPE139" s="3"/>
      <c r="KPF139" s="3"/>
      <c r="KPG139" s="3"/>
      <c r="KPH139" s="3"/>
      <c r="KPI139" s="3"/>
      <c r="KPJ139" s="3"/>
      <c r="KPK139" s="3"/>
      <c r="KPL139" s="3"/>
      <c r="KPM139" s="3"/>
      <c r="KPN139" s="3"/>
      <c r="KPO139" s="3"/>
      <c r="KPP139" s="3"/>
      <c r="KPQ139" s="3"/>
      <c r="KPR139" s="3"/>
      <c r="KPS139" s="3"/>
      <c r="KPT139" s="3"/>
      <c r="KPU139" s="3"/>
      <c r="KPV139" s="3"/>
      <c r="KPW139" s="3"/>
      <c r="KPX139" s="3"/>
      <c r="KPY139" s="3"/>
      <c r="KPZ139" s="3"/>
      <c r="KQA139" s="3"/>
      <c r="KQB139" s="3"/>
      <c r="KQC139" s="3"/>
      <c r="KQD139" s="3"/>
      <c r="KQE139" s="3"/>
      <c r="KQF139" s="3"/>
      <c r="KQG139" s="3"/>
      <c r="KQH139" s="3"/>
      <c r="KQI139" s="3"/>
      <c r="KQJ139" s="3"/>
      <c r="KQK139" s="3"/>
      <c r="KQL139" s="3"/>
      <c r="KQM139" s="3"/>
      <c r="KQN139" s="3"/>
      <c r="KQO139" s="3"/>
      <c r="KQP139" s="3"/>
      <c r="KQQ139" s="3"/>
      <c r="KQR139" s="3"/>
      <c r="KQS139" s="3"/>
      <c r="KQT139" s="3"/>
      <c r="KQU139" s="3"/>
      <c r="KQV139" s="3"/>
      <c r="KQW139" s="3"/>
      <c r="KQX139" s="3"/>
      <c r="KQY139" s="3"/>
      <c r="KQZ139" s="3"/>
      <c r="KRA139" s="3"/>
      <c r="KRB139" s="3"/>
      <c r="KRC139" s="3"/>
      <c r="KRD139" s="3"/>
      <c r="KRE139" s="3"/>
      <c r="KRF139" s="3"/>
      <c r="KRG139" s="3"/>
      <c r="KRH139" s="3"/>
      <c r="KRI139" s="3"/>
      <c r="KRJ139" s="3"/>
      <c r="KRK139" s="3"/>
      <c r="KRL139" s="3"/>
      <c r="KRM139" s="3"/>
      <c r="KRN139" s="3"/>
      <c r="KRO139" s="3"/>
      <c r="KRP139" s="3"/>
      <c r="KRQ139" s="3"/>
      <c r="KRR139" s="3"/>
      <c r="KRS139" s="3"/>
      <c r="KRT139" s="3"/>
      <c r="KRU139" s="3"/>
      <c r="KRV139" s="3"/>
      <c r="KRW139" s="3"/>
      <c r="KRX139" s="3"/>
      <c r="KRY139" s="3"/>
      <c r="KRZ139" s="3"/>
      <c r="KSA139" s="3"/>
      <c r="KSB139" s="3"/>
      <c r="KSC139" s="3"/>
      <c r="KSD139" s="3"/>
      <c r="KSE139" s="3"/>
      <c r="KSF139" s="3"/>
      <c r="KSG139" s="3"/>
      <c r="KSH139" s="3"/>
      <c r="KSI139" s="3"/>
      <c r="KSJ139" s="3"/>
      <c r="KSK139" s="3"/>
      <c r="KSL139" s="3"/>
      <c r="KSM139" s="3"/>
      <c r="KSN139" s="3"/>
      <c r="KSO139" s="3"/>
      <c r="KSP139" s="3"/>
      <c r="KSQ139" s="3"/>
      <c r="KSR139" s="3"/>
      <c r="KSS139" s="3"/>
      <c r="KST139" s="3"/>
      <c r="KSU139" s="3"/>
      <c r="KSV139" s="3"/>
      <c r="KSW139" s="3"/>
      <c r="KSX139" s="3"/>
      <c r="KSY139" s="3"/>
      <c r="KSZ139" s="3"/>
      <c r="KTA139" s="3"/>
      <c r="KTB139" s="3"/>
      <c r="KTC139" s="3"/>
      <c r="KTD139" s="3"/>
      <c r="KTE139" s="3"/>
      <c r="KTF139" s="3"/>
      <c r="KTG139" s="3"/>
      <c r="KTH139" s="3"/>
      <c r="KTI139" s="3"/>
      <c r="KTJ139" s="3"/>
      <c r="KTK139" s="3"/>
      <c r="KTL139" s="3"/>
      <c r="KTM139" s="3"/>
      <c r="KTN139" s="3"/>
      <c r="KTO139" s="3"/>
      <c r="KTP139" s="3"/>
      <c r="KTQ139" s="3"/>
      <c r="KTR139" s="3"/>
      <c r="KTS139" s="3"/>
      <c r="KTT139" s="3"/>
      <c r="KTU139" s="3"/>
      <c r="KTV139" s="3"/>
      <c r="KTW139" s="3"/>
      <c r="KTX139" s="3"/>
      <c r="KTY139" s="3"/>
      <c r="KTZ139" s="3"/>
      <c r="KUA139" s="3"/>
      <c r="KUB139" s="3"/>
      <c r="KUC139" s="3"/>
      <c r="KUD139" s="3"/>
      <c r="KUE139" s="3"/>
      <c r="KUF139" s="3"/>
      <c r="KUG139" s="3"/>
      <c r="KUH139" s="3"/>
      <c r="KUI139" s="3"/>
      <c r="KUJ139" s="3"/>
      <c r="KUK139" s="3"/>
      <c r="KUL139" s="3"/>
      <c r="KUM139" s="3"/>
      <c r="KUN139" s="3"/>
      <c r="KUO139" s="3"/>
      <c r="KUP139" s="3"/>
      <c r="KUQ139" s="3"/>
      <c r="KUR139" s="3"/>
      <c r="KUS139" s="3"/>
      <c r="KUT139" s="3"/>
      <c r="KUU139" s="3"/>
      <c r="KUV139" s="3"/>
      <c r="KUW139" s="3"/>
      <c r="KUX139" s="3"/>
      <c r="KUY139" s="3"/>
      <c r="KUZ139" s="3"/>
      <c r="KVA139" s="3"/>
      <c r="KVB139" s="3"/>
      <c r="KVC139" s="3"/>
      <c r="KVD139" s="3"/>
      <c r="KVE139" s="3"/>
      <c r="KVF139" s="3"/>
      <c r="KVG139" s="3"/>
      <c r="KVH139" s="3"/>
      <c r="KVI139" s="3"/>
      <c r="KVJ139" s="3"/>
      <c r="KVK139" s="3"/>
      <c r="KVL139" s="3"/>
      <c r="KVM139" s="3"/>
      <c r="KVN139" s="3"/>
      <c r="KVO139" s="3"/>
      <c r="KVP139" s="3"/>
      <c r="KVQ139" s="3"/>
      <c r="KVR139" s="3"/>
      <c r="KVS139" s="3"/>
      <c r="KVT139" s="3"/>
      <c r="KVU139" s="3"/>
      <c r="KVV139" s="3"/>
      <c r="KVW139" s="3"/>
      <c r="KVX139" s="3"/>
      <c r="KVY139" s="3"/>
      <c r="KVZ139" s="3"/>
      <c r="KWA139" s="3"/>
      <c r="KWB139" s="3"/>
      <c r="KWC139" s="3"/>
      <c r="KWD139" s="3"/>
      <c r="KWE139" s="3"/>
      <c r="KWF139" s="3"/>
      <c r="KWG139" s="3"/>
      <c r="KWH139" s="3"/>
      <c r="KWI139" s="3"/>
      <c r="KWJ139" s="3"/>
      <c r="KWK139" s="3"/>
      <c r="KWL139" s="3"/>
      <c r="KWM139" s="3"/>
      <c r="KWN139" s="3"/>
      <c r="KWO139" s="3"/>
      <c r="KWP139" s="3"/>
      <c r="KWQ139" s="3"/>
      <c r="KWR139" s="3"/>
      <c r="KWS139" s="3"/>
      <c r="KWT139" s="3"/>
      <c r="KWU139" s="3"/>
      <c r="KWV139" s="3"/>
      <c r="KWW139" s="3"/>
      <c r="KWX139" s="3"/>
      <c r="KWY139" s="3"/>
      <c r="KWZ139" s="3"/>
      <c r="KXA139" s="3"/>
      <c r="KXB139" s="3"/>
      <c r="KXC139" s="3"/>
      <c r="KXD139" s="3"/>
      <c r="KXE139" s="3"/>
      <c r="KXF139" s="3"/>
      <c r="KXG139" s="3"/>
      <c r="KXH139" s="3"/>
      <c r="KXI139" s="3"/>
      <c r="KXJ139" s="3"/>
      <c r="KXK139" s="3"/>
      <c r="KXL139" s="3"/>
      <c r="KXM139" s="3"/>
      <c r="KXN139" s="3"/>
      <c r="KXO139" s="3"/>
      <c r="KXP139" s="3"/>
      <c r="KXQ139" s="3"/>
      <c r="KXR139" s="3"/>
      <c r="KXS139" s="3"/>
      <c r="KXT139" s="3"/>
      <c r="KXU139" s="3"/>
      <c r="KXV139" s="3"/>
      <c r="KXW139" s="3"/>
      <c r="KXX139" s="3"/>
      <c r="KXY139" s="3"/>
      <c r="KXZ139" s="3"/>
      <c r="KYA139" s="3"/>
      <c r="KYB139" s="3"/>
      <c r="KYC139" s="3"/>
      <c r="KYD139" s="3"/>
      <c r="KYE139" s="3"/>
      <c r="KYF139" s="3"/>
      <c r="KYG139" s="3"/>
      <c r="KYH139" s="3"/>
      <c r="KYI139" s="3"/>
      <c r="KYJ139" s="3"/>
      <c r="KYK139" s="3"/>
      <c r="KYL139" s="3"/>
      <c r="KYM139" s="3"/>
      <c r="KYN139" s="3"/>
      <c r="KYO139" s="3"/>
      <c r="KYP139" s="3"/>
      <c r="KYQ139" s="3"/>
      <c r="KYR139" s="3"/>
      <c r="KYS139" s="3"/>
      <c r="KYT139" s="3"/>
      <c r="KYU139" s="3"/>
      <c r="KYV139" s="3"/>
      <c r="KYW139" s="3"/>
      <c r="KYX139" s="3"/>
      <c r="KYY139" s="3"/>
      <c r="KYZ139" s="3"/>
      <c r="KZA139" s="3"/>
      <c r="KZB139" s="3"/>
      <c r="KZC139" s="3"/>
      <c r="KZD139" s="3"/>
      <c r="KZE139" s="3"/>
      <c r="KZF139" s="3"/>
      <c r="KZG139" s="3"/>
      <c r="KZH139" s="3"/>
      <c r="KZI139" s="3"/>
      <c r="KZJ139" s="3"/>
      <c r="KZK139" s="3"/>
      <c r="KZL139" s="3"/>
      <c r="KZM139" s="3"/>
      <c r="KZN139" s="3"/>
      <c r="KZO139" s="3"/>
      <c r="KZP139" s="3"/>
      <c r="KZQ139" s="3"/>
      <c r="KZR139" s="3"/>
      <c r="KZS139" s="3"/>
      <c r="KZT139" s="3"/>
      <c r="KZU139" s="3"/>
      <c r="KZV139" s="3"/>
      <c r="KZW139" s="3"/>
      <c r="KZX139" s="3"/>
      <c r="KZY139" s="3"/>
      <c r="KZZ139" s="3"/>
      <c r="LAA139" s="3"/>
      <c r="LAB139" s="3"/>
      <c r="LAC139" s="3"/>
      <c r="LAD139" s="3"/>
      <c r="LAE139" s="3"/>
      <c r="LAF139" s="3"/>
      <c r="LAG139" s="3"/>
      <c r="LAH139" s="3"/>
      <c r="LAI139" s="3"/>
      <c r="LAJ139" s="3"/>
      <c r="LAK139" s="3"/>
      <c r="LAL139" s="3"/>
      <c r="LAM139" s="3"/>
      <c r="LAN139" s="3"/>
      <c r="LAO139" s="3"/>
      <c r="LAP139" s="3"/>
      <c r="LAQ139" s="3"/>
      <c r="LAR139" s="3"/>
      <c r="LAS139" s="3"/>
      <c r="LAT139" s="3"/>
      <c r="LAU139" s="3"/>
      <c r="LAV139" s="3"/>
      <c r="LAW139" s="3"/>
      <c r="LAX139" s="3"/>
      <c r="LAY139" s="3"/>
      <c r="LAZ139" s="3"/>
      <c r="LBA139" s="3"/>
      <c r="LBB139" s="3"/>
      <c r="LBC139" s="3"/>
      <c r="LBD139" s="3"/>
      <c r="LBE139" s="3"/>
      <c r="LBF139" s="3"/>
      <c r="LBG139" s="3"/>
      <c r="LBH139" s="3"/>
      <c r="LBI139" s="3"/>
      <c r="LBJ139" s="3"/>
      <c r="LBK139" s="3"/>
      <c r="LBL139" s="3"/>
      <c r="LBM139" s="3"/>
      <c r="LBN139" s="3"/>
      <c r="LBO139" s="3"/>
      <c r="LBP139" s="3"/>
      <c r="LBQ139" s="3"/>
      <c r="LBR139" s="3"/>
      <c r="LBS139" s="3"/>
      <c r="LBT139" s="3"/>
      <c r="LBU139" s="3"/>
      <c r="LBV139" s="3"/>
      <c r="LBW139" s="3"/>
      <c r="LBX139" s="3"/>
      <c r="LBY139" s="3"/>
      <c r="LBZ139" s="3"/>
      <c r="LCA139" s="3"/>
      <c r="LCB139" s="3"/>
      <c r="LCC139" s="3"/>
      <c r="LCD139" s="3"/>
      <c r="LCE139" s="3"/>
      <c r="LCF139" s="3"/>
      <c r="LCG139" s="3"/>
      <c r="LCH139" s="3"/>
      <c r="LCI139" s="3"/>
      <c r="LCJ139" s="3"/>
      <c r="LCK139" s="3"/>
      <c r="LCL139" s="3"/>
      <c r="LCM139" s="3"/>
      <c r="LCN139" s="3"/>
      <c r="LCO139" s="3"/>
      <c r="LCP139" s="3"/>
      <c r="LCQ139" s="3"/>
      <c r="LCR139" s="3"/>
      <c r="LCS139" s="3"/>
      <c r="LCT139" s="3"/>
      <c r="LCU139" s="3"/>
      <c r="LCV139" s="3"/>
      <c r="LCW139" s="3"/>
      <c r="LCX139" s="3"/>
      <c r="LCY139" s="3"/>
      <c r="LCZ139" s="3"/>
      <c r="LDA139" s="3"/>
      <c r="LDB139" s="3"/>
      <c r="LDC139" s="3"/>
      <c r="LDD139" s="3"/>
      <c r="LDE139" s="3"/>
      <c r="LDF139" s="3"/>
      <c r="LDG139" s="3"/>
      <c r="LDH139" s="3"/>
      <c r="LDI139" s="3"/>
      <c r="LDJ139" s="3"/>
      <c r="LDK139" s="3"/>
      <c r="LDL139" s="3"/>
      <c r="LDM139" s="3"/>
      <c r="LDN139" s="3"/>
      <c r="LDO139" s="3"/>
      <c r="LDP139" s="3"/>
      <c r="LDQ139" s="3"/>
      <c r="LDR139" s="3"/>
      <c r="LDS139" s="3"/>
      <c r="LDT139" s="3"/>
      <c r="LDU139" s="3"/>
      <c r="LDV139" s="3"/>
      <c r="LDW139" s="3"/>
      <c r="LDX139" s="3"/>
      <c r="LDY139" s="3"/>
      <c r="LDZ139" s="3"/>
      <c r="LEA139" s="3"/>
      <c r="LEB139" s="3"/>
      <c r="LEC139" s="3"/>
      <c r="LED139" s="3"/>
      <c r="LEE139" s="3"/>
      <c r="LEF139" s="3"/>
      <c r="LEG139" s="3"/>
      <c r="LEH139" s="3"/>
      <c r="LEI139" s="3"/>
      <c r="LEJ139" s="3"/>
      <c r="LEK139" s="3"/>
      <c r="LEL139" s="3"/>
      <c r="LEM139" s="3"/>
      <c r="LEN139" s="3"/>
      <c r="LEO139" s="3"/>
      <c r="LEP139" s="3"/>
      <c r="LEQ139" s="3"/>
      <c r="LER139" s="3"/>
      <c r="LES139" s="3"/>
      <c r="LET139" s="3"/>
      <c r="LEU139" s="3"/>
      <c r="LEV139" s="3"/>
      <c r="LEW139" s="3"/>
      <c r="LEX139" s="3"/>
      <c r="LEY139" s="3"/>
      <c r="LEZ139" s="3"/>
      <c r="LFA139" s="3"/>
      <c r="LFB139" s="3"/>
      <c r="LFC139" s="3"/>
      <c r="LFD139" s="3"/>
      <c r="LFE139" s="3"/>
      <c r="LFF139" s="3"/>
      <c r="LFG139" s="3"/>
      <c r="LFH139" s="3"/>
      <c r="LFI139" s="3"/>
      <c r="LFJ139" s="3"/>
      <c r="LFK139" s="3"/>
      <c r="LFL139" s="3"/>
      <c r="LFM139" s="3"/>
      <c r="LFN139" s="3"/>
      <c r="LFO139" s="3"/>
      <c r="LFP139" s="3"/>
      <c r="LFQ139" s="3"/>
      <c r="LFR139" s="3"/>
      <c r="LFS139" s="3"/>
      <c r="LFT139" s="3"/>
      <c r="LFU139" s="3"/>
      <c r="LFV139" s="3"/>
      <c r="LFW139" s="3"/>
      <c r="LFX139" s="3"/>
      <c r="LFY139" s="3"/>
      <c r="LFZ139" s="3"/>
      <c r="LGA139" s="3"/>
      <c r="LGB139" s="3"/>
      <c r="LGC139" s="3"/>
      <c r="LGD139" s="3"/>
      <c r="LGE139" s="3"/>
      <c r="LGF139" s="3"/>
      <c r="LGG139" s="3"/>
      <c r="LGH139" s="3"/>
      <c r="LGI139" s="3"/>
      <c r="LGJ139" s="3"/>
      <c r="LGK139" s="3"/>
      <c r="LGL139" s="3"/>
      <c r="LGM139" s="3"/>
      <c r="LGN139" s="3"/>
      <c r="LGO139" s="3"/>
      <c r="LGP139" s="3"/>
      <c r="LGQ139" s="3"/>
      <c r="LGR139" s="3"/>
      <c r="LGS139" s="3"/>
      <c r="LGT139" s="3"/>
      <c r="LGU139" s="3"/>
      <c r="LGV139" s="3"/>
      <c r="LGW139" s="3"/>
      <c r="LGX139" s="3"/>
      <c r="LGY139" s="3"/>
      <c r="LGZ139" s="3"/>
      <c r="LHA139" s="3"/>
      <c r="LHB139" s="3"/>
      <c r="LHC139" s="3"/>
      <c r="LHD139" s="3"/>
      <c r="LHE139" s="3"/>
      <c r="LHF139" s="3"/>
      <c r="LHG139" s="3"/>
      <c r="LHH139" s="3"/>
      <c r="LHI139" s="3"/>
      <c r="LHJ139" s="3"/>
      <c r="LHK139" s="3"/>
      <c r="LHL139" s="3"/>
      <c r="LHM139" s="3"/>
      <c r="LHN139" s="3"/>
      <c r="LHO139" s="3"/>
      <c r="LHP139" s="3"/>
      <c r="LHQ139" s="3"/>
      <c r="LHR139" s="3"/>
      <c r="LHS139" s="3"/>
      <c r="LHT139" s="3"/>
      <c r="LHU139" s="3"/>
      <c r="LHV139" s="3"/>
      <c r="LHW139" s="3"/>
      <c r="LHX139" s="3"/>
      <c r="LHY139" s="3"/>
      <c r="LHZ139" s="3"/>
      <c r="LIA139" s="3"/>
      <c r="LIB139" s="3"/>
      <c r="LIC139" s="3"/>
      <c r="LID139" s="3"/>
      <c r="LIE139" s="3"/>
      <c r="LIF139" s="3"/>
      <c r="LIG139" s="3"/>
      <c r="LIH139" s="3"/>
      <c r="LII139" s="3"/>
      <c r="LIJ139" s="3"/>
      <c r="LIK139" s="3"/>
      <c r="LIL139" s="3"/>
      <c r="LIM139" s="3"/>
      <c r="LIN139" s="3"/>
      <c r="LIO139" s="3"/>
      <c r="LIP139" s="3"/>
      <c r="LIQ139" s="3"/>
      <c r="LIR139" s="3"/>
      <c r="LIS139" s="3"/>
      <c r="LIT139" s="3"/>
      <c r="LIU139" s="3"/>
      <c r="LIV139" s="3"/>
      <c r="LIW139" s="3"/>
      <c r="LIX139" s="3"/>
      <c r="LIY139" s="3"/>
      <c r="LIZ139" s="3"/>
      <c r="LJA139" s="3"/>
      <c r="LJB139" s="3"/>
      <c r="LJC139" s="3"/>
      <c r="LJD139" s="3"/>
      <c r="LJE139" s="3"/>
      <c r="LJF139" s="3"/>
      <c r="LJG139" s="3"/>
      <c r="LJH139" s="3"/>
      <c r="LJI139" s="3"/>
      <c r="LJJ139" s="3"/>
      <c r="LJK139" s="3"/>
      <c r="LJL139" s="3"/>
      <c r="LJM139" s="3"/>
      <c r="LJN139" s="3"/>
      <c r="LJO139" s="3"/>
      <c r="LJP139" s="3"/>
      <c r="LJQ139" s="3"/>
      <c r="LJR139" s="3"/>
      <c r="LJS139" s="3"/>
      <c r="LJT139" s="3"/>
      <c r="LJU139" s="3"/>
      <c r="LJV139" s="3"/>
      <c r="LJW139" s="3"/>
      <c r="LJX139" s="3"/>
      <c r="LJY139" s="3"/>
      <c r="LJZ139" s="3"/>
      <c r="LKA139" s="3"/>
      <c r="LKB139" s="3"/>
      <c r="LKC139" s="3"/>
      <c r="LKD139" s="3"/>
      <c r="LKE139" s="3"/>
      <c r="LKF139" s="3"/>
      <c r="LKG139" s="3"/>
      <c r="LKH139" s="3"/>
      <c r="LKI139" s="3"/>
      <c r="LKJ139" s="3"/>
      <c r="LKK139" s="3"/>
      <c r="LKL139" s="3"/>
      <c r="LKM139" s="3"/>
      <c r="LKN139" s="3"/>
      <c r="LKO139" s="3"/>
      <c r="LKP139" s="3"/>
      <c r="LKQ139" s="3"/>
      <c r="LKR139" s="3"/>
      <c r="LKS139" s="3"/>
      <c r="LKT139" s="3"/>
      <c r="LKU139" s="3"/>
      <c r="LKV139" s="3"/>
      <c r="LKW139" s="3"/>
      <c r="LKX139" s="3"/>
      <c r="LKY139" s="3"/>
      <c r="LKZ139" s="3"/>
      <c r="LLA139" s="3"/>
      <c r="LLB139" s="3"/>
      <c r="LLC139" s="3"/>
      <c r="LLD139" s="3"/>
      <c r="LLE139" s="3"/>
      <c r="LLF139" s="3"/>
      <c r="LLG139" s="3"/>
      <c r="LLH139" s="3"/>
      <c r="LLI139" s="3"/>
      <c r="LLJ139" s="3"/>
      <c r="LLK139" s="3"/>
      <c r="LLL139" s="3"/>
      <c r="LLM139" s="3"/>
      <c r="LLN139" s="3"/>
      <c r="LLO139" s="3"/>
      <c r="LLP139" s="3"/>
      <c r="LLQ139" s="3"/>
      <c r="LLR139" s="3"/>
      <c r="LLS139" s="3"/>
      <c r="LLT139" s="3"/>
      <c r="LLU139" s="3"/>
      <c r="LLV139" s="3"/>
      <c r="LLW139" s="3"/>
      <c r="LLX139" s="3"/>
      <c r="LLY139" s="3"/>
      <c r="LLZ139" s="3"/>
      <c r="LMA139" s="3"/>
      <c r="LMB139" s="3"/>
      <c r="LMC139" s="3"/>
      <c r="LMD139" s="3"/>
      <c r="LME139" s="3"/>
      <c r="LMF139" s="3"/>
      <c r="LMG139" s="3"/>
      <c r="LMH139" s="3"/>
      <c r="LMI139" s="3"/>
      <c r="LMJ139" s="3"/>
      <c r="LMK139" s="3"/>
      <c r="LML139" s="3"/>
      <c r="LMM139" s="3"/>
      <c r="LMN139" s="3"/>
      <c r="LMO139" s="3"/>
      <c r="LMP139" s="3"/>
      <c r="LMQ139" s="3"/>
      <c r="LMR139" s="3"/>
      <c r="LMS139" s="3"/>
      <c r="LMT139" s="3"/>
      <c r="LMU139" s="3"/>
      <c r="LMV139" s="3"/>
      <c r="LMW139" s="3"/>
      <c r="LMX139" s="3"/>
      <c r="LMY139" s="3"/>
      <c r="LMZ139" s="3"/>
      <c r="LNA139" s="3"/>
      <c r="LNB139" s="3"/>
      <c r="LNC139" s="3"/>
      <c r="LND139" s="3"/>
      <c r="LNE139" s="3"/>
      <c r="LNF139" s="3"/>
      <c r="LNG139" s="3"/>
      <c r="LNH139" s="3"/>
      <c r="LNI139" s="3"/>
      <c r="LNJ139" s="3"/>
      <c r="LNK139" s="3"/>
      <c r="LNL139" s="3"/>
      <c r="LNM139" s="3"/>
      <c r="LNN139" s="3"/>
      <c r="LNO139" s="3"/>
      <c r="LNP139" s="3"/>
      <c r="LNQ139" s="3"/>
      <c r="LNR139" s="3"/>
      <c r="LNS139" s="3"/>
      <c r="LNT139" s="3"/>
      <c r="LNU139" s="3"/>
      <c r="LNV139" s="3"/>
      <c r="LNW139" s="3"/>
      <c r="LNX139" s="3"/>
      <c r="LNY139" s="3"/>
      <c r="LNZ139" s="3"/>
      <c r="LOA139" s="3"/>
      <c r="LOB139" s="3"/>
      <c r="LOC139" s="3"/>
      <c r="LOD139" s="3"/>
      <c r="LOE139" s="3"/>
      <c r="LOF139" s="3"/>
      <c r="LOG139" s="3"/>
      <c r="LOH139" s="3"/>
      <c r="LOI139" s="3"/>
      <c r="LOJ139" s="3"/>
      <c r="LOK139" s="3"/>
      <c r="LOL139" s="3"/>
      <c r="LOM139" s="3"/>
      <c r="LON139" s="3"/>
      <c r="LOO139" s="3"/>
      <c r="LOP139" s="3"/>
      <c r="LOQ139" s="3"/>
      <c r="LOR139" s="3"/>
      <c r="LOS139" s="3"/>
      <c r="LOT139" s="3"/>
      <c r="LOU139" s="3"/>
      <c r="LOV139" s="3"/>
      <c r="LOW139" s="3"/>
      <c r="LOX139" s="3"/>
      <c r="LOY139" s="3"/>
      <c r="LOZ139" s="3"/>
      <c r="LPA139" s="3"/>
      <c r="LPB139" s="3"/>
      <c r="LPC139" s="3"/>
      <c r="LPD139" s="3"/>
      <c r="LPE139" s="3"/>
      <c r="LPF139" s="3"/>
      <c r="LPG139" s="3"/>
      <c r="LPH139" s="3"/>
      <c r="LPI139" s="3"/>
      <c r="LPJ139" s="3"/>
      <c r="LPK139" s="3"/>
      <c r="LPL139" s="3"/>
      <c r="LPM139" s="3"/>
      <c r="LPN139" s="3"/>
      <c r="LPO139" s="3"/>
      <c r="LPP139" s="3"/>
      <c r="LPQ139" s="3"/>
      <c r="LPR139" s="3"/>
      <c r="LPS139" s="3"/>
      <c r="LPT139" s="3"/>
      <c r="LPU139" s="3"/>
      <c r="LPV139" s="3"/>
      <c r="LPW139" s="3"/>
      <c r="LPX139" s="3"/>
      <c r="LPY139" s="3"/>
      <c r="LPZ139" s="3"/>
      <c r="LQA139" s="3"/>
      <c r="LQB139" s="3"/>
      <c r="LQC139" s="3"/>
      <c r="LQD139" s="3"/>
      <c r="LQE139" s="3"/>
      <c r="LQF139" s="3"/>
      <c r="LQG139" s="3"/>
      <c r="LQH139" s="3"/>
      <c r="LQI139" s="3"/>
      <c r="LQJ139" s="3"/>
      <c r="LQK139" s="3"/>
      <c r="LQL139" s="3"/>
      <c r="LQM139" s="3"/>
      <c r="LQN139" s="3"/>
      <c r="LQO139" s="3"/>
      <c r="LQP139" s="3"/>
      <c r="LQQ139" s="3"/>
      <c r="LQR139" s="3"/>
      <c r="LQS139" s="3"/>
      <c r="LQT139" s="3"/>
      <c r="LQU139" s="3"/>
      <c r="LQV139" s="3"/>
      <c r="LQW139" s="3"/>
      <c r="LQX139" s="3"/>
      <c r="LQY139" s="3"/>
      <c r="LQZ139" s="3"/>
      <c r="LRA139" s="3"/>
      <c r="LRB139" s="3"/>
      <c r="LRC139" s="3"/>
      <c r="LRD139" s="3"/>
      <c r="LRE139" s="3"/>
      <c r="LRF139" s="3"/>
      <c r="LRG139" s="3"/>
      <c r="LRH139" s="3"/>
      <c r="LRI139" s="3"/>
      <c r="LRJ139" s="3"/>
      <c r="LRK139" s="3"/>
      <c r="LRL139" s="3"/>
      <c r="LRM139" s="3"/>
      <c r="LRN139" s="3"/>
      <c r="LRO139" s="3"/>
      <c r="LRP139" s="3"/>
      <c r="LRQ139" s="3"/>
      <c r="LRR139" s="3"/>
      <c r="LRS139" s="3"/>
      <c r="LRT139" s="3"/>
      <c r="LRU139" s="3"/>
      <c r="LRV139" s="3"/>
      <c r="LRW139" s="3"/>
      <c r="LRX139" s="3"/>
      <c r="LRY139" s="3"/>
      <c r="LRZ139" s="3"/>
      <c r="LSA139" s="3"/>
      <c r="LSB139" s="3"/>
      <c r="LSC139" s="3"/>
      <c r="LSD139" s="3"/>
      <c r="LSE139" s="3"/>
      <c r="LSF139" s="3"/>
      <c r="LSG139" s="3"/>
      <c r="LSH139" s="3"/>
      <c r="LSI139" s="3"/>
      <c r="LSJ139" s="3"/>
      <c r="LSK139" s="3"/>
      <c r="LSL139" s="3"/>
      <c r="LSM139" s="3"/>
      <c r="LSN139" s="3"/>
      <c r="LSO139" s="3"/>
      <c r="LSP139" s="3"/>
      <c r="LSQ139" s="3"/>
      <c r="LSR139" s="3"/>
      <c r="LSS139" s="3"/>
      <c r="LST139" s="3"/>
      <c r="LSU139" s="3"/>
      <c r="LSV139" s="3"/>
      <c r="LSW139" s="3"/>
      <c r="LSX139" s="3"/>
      <c r="LSY139" s="3"/>
      <c r="LSZ139" s="3"/>
      <c r="LTA139" s="3"/>
      <c r="LTB139" s="3"/>
      <c r="LTC139" s="3"/>
      <c r="LTD139" s="3"/>
      <c r="LTE139" s="3"/>
      <c r="LTF139" s="3"/>
      <c r="LTG139" s="3"/>
      <c r="LTH139" s="3"/>
      <c r="LTI139" s="3"/>
      <c r="LTJ139" s="3"/>
      <c r="LTK139" s="3"/>
      <c r="LTL139" s="3"/>
      <c r="LTM139" s="3"/>
      <c r="LTN139" s="3"/>
      <c r="LTO139" s="3"/>
      <c r="LTP139" s="3"/>
      <c r="LTQ139" s="3"/>
      <c r="LTR139" s="3"/>
      <c r="LTS139" s="3"/>
      <c r="LTT139" s="3"/>
      <c r="LTU139" s="3"/>
      <c r="LTV139" s="3"/>
      <c r="LTW139" s="3"/>
      <c r="LTX139" s="3"/>
      <c r="LTY139" s="3"/>
      <c r="LTZ139" s="3"/>
      <c r="LUA139" s="3"/>
      <c r="LUB139" s="3"/>
      <c r="LUC139" s="3"/>
      <c r="LUD139" s="3"/>
      <c r="LUE139" s="3"/>
      <c r="LUF139" s="3"/>
      <c r="LUG139" s="3"/>
      <c r="LUH139" s="3"/>
      <c r="LUI139" s="3"/>
      <c r="LUJ139" s="3"/>
      <c r="LUK139" s="3"/>
      <c r="LUL139" s="3"/>
      <c r="LUM139" s="3"/>
      <c r="LUN139" s="3"/>
      <c r="LUO139" s="3"/>
      <c r="LUP139" s="3"/>
      <c r="LUQ139" s="3"/>
      <c r="LUR139" s="3"/>
      <c r="LUS139" s="3"/>
      <c r="LUT139" s="3"/>
      <c r="LUU139" s="3"/>
      <c r="LUV139" s="3"/>
      <c r="LUW139" s="3"/>
      <c r="LUX139" s="3"/>
      <c r="LUY139" s="3"/>
      <c r="LUZ139" s="3"/>
      <c r="LVA139" s="3"/>
      <c r="LVB139" s="3"/>
      <c r="LVC139" s="3"/>
      <c r="LVD139" s="3"/>
      <c r="LVE139" s="3"/>
      <c r="LVF139" s="3"/>
      <c r="LVG139" s="3"/>
      <c r="LVH139" s="3"/>
      <c r="LVI139" s="3"/>
      <c r="LVJ139" s="3"/>
      <c r="LVK139" s="3"/>
      <c r="LVL139" s="3"/>
      <c r="LVM139" s="3"/>
      <c r="LVN139" s="3"/>
      <c r="LVO139" s="3"/>
      <c r="LVP139" s="3"/>
      <c r="LVQ139" s="3"/>
      <c r="LVR139" s="3"/>
      <c r="LVS139" s="3"/>
      <c r="LVT139" s="3"/>
      <c r="LVU139" s="3"/>
      <c r="LVV139" s="3"/>
      <c r="LVW139" s="3"/>
      <c r="LVX139" s="3"/>
      <c r="LVY139" s="3"/>
      <c r="LVZ139" s="3"/>
      <c r="LWA139" s="3"/>
      <c r="LWB139" s="3"/>
      <c r="LWC139" s="3"/>
      <c r="LWD139" s="3"/>
      <c r="LWE139" s="3"/>
      <c r="LWF139" s="3"/>
      <c r="LWG139" s="3"/>
      <c r="LWH139" s="3"/>
      <c r="LWI139" s="3"/>
      <c r="LWJ139" s="3"/>
      <c r="LWK139" s="3"/>
      <c r="LWL139" s="3"/>
      <c r="LWM139" s="3"/>
      <c r="LWN139" s="3"/>
      <c r="LWO139" s="3"/>
      <c r="LWP139" s="3"/>
      <c r="LWQ139" s="3"/>
      <c r="LWR139" s="3"/>
      <c r="LWS139" s="3"/>
      <c r="LWT139" s="3"/>
      <c r="LWU139" s="3"/>
      <c r="LWV139" s="3"/>
      <c r="LWW139" s="3"/>
      <c r="LWX139" s="3"/>
      <c r="LWY139" s="3"/>
      <c r="LWZ139" s="3"/>
      <c r="LXA139" s="3"/>
      <c r="LXB139" s="3"/>
      <c r="LXC139" s="3"/>
      <c r="LXD139" s="3"/>
      <c r="LXE139" s="3"/>
      <c r="LXF139" s="3"/>
      <c r="LXG139" s="3"/>
      <c r="LXH139" s="3"/>
      <c r="LXI139" s="3"/>
      <c r="LXJ139" s="3"/>
      <c r="LXK139" s="3"/>
      <c r="LXL139" s="3"/>
      <c r="LXM139" s="3"/>
      <c r="LXN139" s="3"/>
      <c r="LXO139" s="3"/>
      <c r="LXP139" s="3"/>
      <c r="LXQ139" s="3"/>
      <c r="LXR139" s="3"/>
      <c r="LXS139" s="3"/>
      <c r="LXT139" s="3"/>
      <c r="LXU139" s="3"/>
      <c r="LXV139" s="3"/>
      <c r="LXW139" s="3"/>
      <c r="LXX139" s="3"/>
      <c r="LXY139" s="3"/>
      <c r="LXZ139" s="3"/>
      <c r="LYA139" s="3"/>
      <c r="LYB139" s="3"/>
      <c r="LYC139" s="3"/>
      <c r="LYD139" s="3"/>
      <c r="LYE139" s="3"/>
      <c r="LYF139" s="3"/>
      <c r="LYG139" s="3"/>
      <c r="LYH139" s="3"/>
      <c r="LYI139" s="3"/>
      <c r="LYJ139" s="3"/>
      <c r="LYK139" s="3"/>
      <c r="LYL139" s="3"/>
      <c r="LYM139" s="3"/>
      <c r="LYN139" s="3"/>
      <c r="LYO139" s="3"/>
      <c r="LYP139" s="3"/>
      <c r="LYQ139" s="3"/>
      <c r="LYR139" s="3"/>
      <c r="LYS139" s="3"/>
      <c r="LYT139" s="3"/>
      <c r="LYU139" s="3"/>
      <c r="LYV139" s="3"/>
      <c r="LYW139" s="3"/>
      <c r="LYX139" s="3"/>
      <c r="LYY139" s="3"/>
      <c r="LYZ139" s="3"/>
      <c r="LZA139" s="3"/>
      <c r="LZB139" s="3"/>
      <c r="LZC139" s="3"/>
      <c r="LZD139" s="3"/>
      <c r="LZE139" s="3"/>
      <c r="LZF139" s="3"/>
      <c r="LZG139" s="3"/>
      <c r="LZH139" s="3"/>
      <c r="LZI139" s="3"/>
      <c r="LZJ139" s="3"/>
      <c r="LZK139" s="3"/>
      <c r="LZL139" s="3"/>
      <c r="LZM139" s="3"/>
      <c r="LZN139" s="3"/>
      <c r="LZO139" s="3"/>
      <c r="LZP139" s="3"/>
      <c r="LZQ139" s="3"/>
      <c r="LZR139" s="3"/>
      <c r="LZS139" s="3"/>
      <c r="LZT139" s="3"/>
      <c r="LZU139" s="3"/>
      <c r="LZV139" s="3"/>
      <c r="LZW139" s="3"/>
      <c r="LZX139" s="3"/>
      <c r="LZY139" s="3"/>
      <c r="LZZ139" s="3"/>
      <c r="MAA139" s="3"/>
      <c r="MAB139" s="3"/>
      <c r="MAC139" s="3"/>
      <c r="MAD139" s="3"/>
      <c r="MAE139" s="3"/>
      <c r="MAF139" s="3"/>
      <c r="MAG139" s="3"/>
      <c r="MAH139" s="3"/>
      <c r="MAI139" s="3"/>
      <c r="MAJ139" s="3"/>
      <c r="MAK139" s="3"/>
      <c r="MAL139" s="3"/>
      <c r="MAM139" s="3"/>
      <c r="MAN139" s="3"/>
      <c r="MAO139" s="3"/>
      <c r="MAP139" s="3"/>
      <c r="MAQ139" s="3"/>
      <c r="MAR139" s="3"/>
      <c r="MAS139" s="3"/>
      <c r="MAT139" s="3"/>
      <c r="MAU139" s="3"/>
      <c r="MAV139" s="3"/>
      <c r="MAW139" s="3"/>
      <c r="MAX139" s="3"/>
      <c r="MAY139" s="3"/>
      <c r="MAZ139" s="3"/>
      <c r="MBA139" s="3"/>
      <c r="MBB139" s="3"/>
      <c r="MBC139" s="3"/>
      <c r="MBD139" s="3"/>
      <c r="MBE139" s="3"/>
      <c r="MBF139" s="3"/>
      <c r="MBG139" s="3"/>
      <c r="MBH139" s="3"/>
      <c r="MBI139" s="3"/>
      <c r="MBJ139" s="3"/>
      <c r="MBK139" s="3"/>
      <c r="MBL139" s="3"/>
      <c r="MBM139" s="3"/>
      <c r="MBN139" s="3"/>
      <c r="MBO139" s="3"/>
      <c r="MBP139" s="3"/>
      <c r="MBQ139" s="3"/>
      <c r="MBR139" s="3"/>
      <c r="MBS139" s="3"/>
      <c r="MBT139" s="3"/>
      <c r="MBU139" s="3"/>
      <c r="MBV139" s="3"/>
      <c r="MBW139" s="3"/>
      <c r="MBX139" s="3"/>
      <c r="MBY139" s="3"/>
      <c r="MBZ139" s="3"/>
      <c r="MCA139" s="3"/>
      <c r="MCB139" s="3"/>
      <c r="MCC139" s="3"/>
      <c r="MCD139" s="3"/>
      <c r="MCE139" s="3"/>
      <c r="MCF139" s="3"/>
      <c r="MCG139" s="3"/>
      <c r="MCH139" s="3"/>
      <c r="MCI139" s="3"/>
      <c r="MCJ139" s="3"/>
      <c r="MCK139" s="3"/>
      <c r="MCL139" s="3"/>
      <c r="MCM139" s="3"/>
      <c r="MCN139" s="3"/>
      <c r="MCO139" s="3"/>
      <c r="MCP139" s="3"/>
      <c r="MCQ139" s="3"/>
      <c r="MCR139" s="3"/>
      <c r="MCS139" s="3"/>
      <c r="MCT139" s="3"/>
      <c r="MCU139" s="3"/>
      <c r="MCV139" s="3"/>
      <c r="MCW139" s="3"/>
      <c r="MCX139" s="3"/>
      <c r="MCY139" s="3"/>
      <c r="MCZ139" s="3"/>
      <c r="MDA139" s="3"/>
      <c r="MDB139" s="3"/>
      <c r="MDC139" s="3"/>
      <c r="MDD139" s="3"/>
      <c r="MDE139" s="3"/>
      <c r="MDF139" s="3"/>
      <c r="MDG139" s="3"/>
      <c r="MDH139" s="3"/>
      <c r="MDI139" s="3"/>
      <c r="MDJ139" s="3"/>
      <c r="MDK139" s="3"/>
      <c r="MDL139" s="3"/>
      <c r="MDM139" s="3"/>
      <c r="MDN139" s="3"/>
      <c r="MDO139" s="3"/>
      <c r="MDP139" s="3"/>
      <c r="MDQ139" s="3"/>
      <c r="MDR139" s="3"/>
      <c r="MDS139" s="3"/>
      <c r="MDT139" s="3"/>
      <c r="MDU139" s="3"/>
      <c r="MDV139" s="3"/>
      <c r="MDW139" s="3"/>
      <c r="MDX139" s="3"/>
      <c r="MDY139" s="3"/>
      <c r="MDZ139" s="3"/>
      <c r="MEA139" s="3"/>
      <c r="MEB139" s="3"/>
      <c r="MEC139" s="3"/>
      <c r="MED139" s="3"/>
      <c r="MEE139" s="3"/>
      <c r="MEF139" s="3"/>
      <c r="MEG139" s="3"/>
      <c r="MEH139" s="3"/>
      <c r="MEI139" s="3"/>
      <c r="MEJ139" s="3"/>
      <c r="MEK139" s="3"/>
      <c r="MEL139" s="3"/>
      <c r="MEM139" s="3"/>
      <c r="MEN139" s="3"/>
      <c r="MEO139" s="3"/>
      <c r="MEP139" s="3"/>
      <c r="MEQ139" s="3"/>
      <c r="MER139" s="3"/>
      <c r="MES139" s="3"/>
      <c r="MET139" s="3"/>
      <c r="MEU139" s="3"/>
      <c r="MEV139" s="3"/>
      <c r="MEW139" s="3"/>
      <c r="MEX139" s="3"/>
      <c r="MEY139" s="3"/>
      <c r="MEZ139" s="3"/>
      <c r="MFA139" s="3"/>
      <c r="MFB139" s="3"/>
      <c r="MFC139" s="3"/>
      <c r="MFD139" s="3"/>
      <c r="MFE139" s="3"/>
      <c r="MFF139" s="3"/>
      <c r="MFG139" s="3"/>
      <c r="MFH139" s="3"/>
      <c r="MFI139" s="3"/>
      <c r="MFJ139" s="3"/>
      <c r="MFK139" s="3"/>
      <c r="MFL139" s="3"/>
      <c r="MFM139" s="3"/>
      <c r="MFN139" s="3"/>
      <c r="MFO139" s="3"/>
      <c r="MFP139" s="3"/>
      <c r="MFQ139" s="3"/>
      <c r="MFR139" s="3"/>
      <c r="MFS139" s="3"/>
      <c r="MFT139" s="3"/>
      <c r="MFU139" s="3"/>
      <c r="MFV139" s="3"/>
      <c r="MFW139" s="3"/>
      <c r="MFX139" s="3"/>
      <c r="MFY139" s="3"/>
      <c r="MFZ139" s="3"/>
      <c r="MGA139" s="3"/>
      <c r="MGB139" s="3"/>
      <c r="MGC139" s="3"/>
      <c r="MGD139" s="3"/>
      <c r="MGE139" s="3"/>
      <c r="MGF139" s="3"/>
      <c r="MGG139" s="3"/>
      <c r="MGH139" s="3"/>
      <c r="MGI139" s="3"/>
      <c r="MGJ139" s="3"/>
      <c r="MGK139" s="3"/>
      <c r="MGL139" s="3"/>
      <c r="MGM139" s="3"/>
      <c r="MGN139" s="3"/>
      <c r="MGO139" s="3"/>
      <c r="MGP139" s="3"/>
      <c r="MGQ139" s="3"/>
      <c r="MGR139" s="3"/>
      <c r="MGS139" s="3"/>
      <c r="MGT139" s="3"/>
      <c r="MGU139" s="3"/>
      <c r="MGV139" s="3"/>
      <c r="MGW139" s="3"/>
      <c r="MGX139" s="3"/>
      <c r="MGY139" s="3"/>
      <c r="MGZ139" s="3"/>
      <c r="MHA139" s="3"/>
      <c r="MHB139" s="3"/>
      <c r="MHC139" s="3"/>
      <c r="MHD139" s="3"/>
      <c r="MHE139" s="3"/>
      <c r="MHF139" s="3"/>
      <c r="MHG139" s="3"/>
      <c r="MHH139" s="3"/>
      <c r="MHI139" s="3"/>
      <c r="MHJ139" s="3"/>
      <c r="MHK139" s="3"/>
      <c r="MHL139" s="3"/>
      <c r="MHM139" s="3"/>
      <c r="MHN139" s="3"/>
      <c r="MHO139" s="3"/>
      <c r="MHP139" s="3"/>
      <c r="MHQ139" s="3"/>
      <c r="MHR139" s="3"/>
      <c r="MHS139" s="3"/>
      <c r="MHT139" s="3"/>
      <c r="MHU139" s="3"/>
      <c r="MHV139" s="3"/>
      <c r="MHW139" s="3"/>
      <c r="MHX139" s="3"/>
      <c r="MHY139" s="3"/>
      <c r="MHZ139" s="3"/>
      <c r="MIA139" s="3"/>
      <c r="MIB139" s="3"/>
      <c r="MIC139" s="3"/>
      <c r="MID139" s="3"/>
      <c r="MIE139" s="3"/>
      <c r="MIF139" s="3"/>
      <c r="MIG139" s="3"/>
      <c r="MIH139" s="3"/>
      <c r="MII139" s="3"/>
      <c r="MIJ139" s="3"/>
      <c r="MIK139" s="3"/>
      <c r="MIL139" s="3"/>
      <c r="MIM139" s="3"/>
      <c r="MIN139" s="3"/>
      <c r="MIO139" s="3"/>
      <c r="MIP139" s="3"/>
      <c r="MIQ139" s="3"/>
      <c r="MIR139" s="3"/>
      <c r="MIS139" s="3"/>
      <c r="MIT139" s="3"/>
      <c r="MIU139" s="3"/>
      <c r="MIV139" s="3"/>
      <c r="MIW139" s="3"/>
      <c r="MIX139" s="3"/>
      <c r="MIY139" s="3"/>
      <c r="MIZ139" s="3"/>
      <c r="MJA139" s="3"/>
      <c r="MJB139" s="3"/>
      <c r="MJC139" s="3"/>
      <c r="MJD139" s="3"/>
      <c r="MJE139" s="3"/>
      <c r="MJF139" s="3"/>
      <c r="MJG139" s="3"/>
      <c r="MJH139" s="3"/>
      <c r="MJI139" s="3"/>
      <c r="MJJ139" s="3"/>
      <c r="MJK139" s="3"/>
      <c r="MJL139" s="3"/>
      <c r="MJM139" s="3"/>
      <c r="MJN139" s="3"/>
      <c r="MJO139" s="3"/>
      <c r="MJP139" s="3"/>
      <c r="MJQ139" s="3"/>
      <c r="MJR139" s="3"/>
      <c r="MJS139" s="3"/>
      <c r="MJT139" s="3"/>
      <c r="MJU139" s="3"/>
      <c r="MJV139" s="3"/>
      <c r="MJW139" s="3"/>
      <c r="MJX139" s="3"/>
      <c r="MJY139" s="3"/>
      <c r="MJZ139" s="3"/>
      <c r="MKA139" s="3"/>
      <c r="MKB139" s="3"/>
      <c r="MKC139" s="3"/>
      <c r="MKD139" s="3"/>
      <c r="MKE139" s="3"/>
      <c r="MKF139" s="3"/>
      <c r="MKG139" s="3"/>
      <c r="MKH139" s="3"/>
      <c r="MKI139" s="3"/>
      <c r="MKJ139" s="3"/>
      <c r="MKK139" s="3"/>
      <c r="MKL139" s="3"/>
      <c r="MKM139" s="3"/>
      <c r="MKN139" s="3"/>
      <c r="MKO139" s="3"/>
      <c r="MKP139" s="3"/>
      <c r="MKQ139" s="3"/>
      <c r="MKR139" s="3"/>
      <c r="MKS139" s="3"/>
      <c r="MKT139" s="3"/>
      <c r="MKU139" s="3"/>
      <c r="MKV139" s="3"/>
      <c r="MKW139" s="3"/>
      <c r="MKX139" s="3"/>
      <c r="MKY139" s="3"/>
      <c r="MKZ139" s="3"/>
      <c r="MLA139" s="3"/>
      <c r="MLB139" s="3"/>
      <c r="MLC139" s="3"/>
      <c r="MLD139" s="3"/>
      <c r="MLE139" s="3"/>
      <c r="MLF139" s="3"/>
      <c r="MLG139" s="3"/>
      <c r="MLH139" s="3"/>
      <c r="MLI139" s="3"/>
      <c r="MLJ139" s="3"/>
      <c r="MLK139" s="3"/>
      <c r="MLL139" s="3"/>
      <c r="MLM139" s="3"/>
      <c r="MLN139" s="3"/>
      <c r="MLO139" s="3"/>
      <c r="MLP139" s="3"/>
      <c r="MLQ139" s="3"/>
      <c r="MLR139" s="3"/>
      <c r="MLS139" s="3"/>
      <c r="MLT139" s="3"/>
      <c r="MLU139" s="3"/>
      <c r="MLV139" s="3"/>
      <c r="MLW139" s="3"/>
      <c r="MLX139" s="3"/>
      <c r="MLY139" s="3"/>
      <c r="MLZ139" s="3"/>
      <c r="MMA139" s="3"/>
      <c r="MMB139" s="3"/>
      <c r="MMC139" s="3"/>
      <c r="MMD139" s="3"/>
      <c r="MME139" s="3"/>
      <c r="MMF139" s="3"/>
      <c r="MMG139" s="3"/>
      <c r="MMH139" s="3"/>
      <c r="MMI139" s="3"/>
      <c r="MMJ139" s="3"/>
      <c r="MMK139" s="3"/>
      <c r="MML139" s="3"/>
      <c r="MMM139" s="3"/>
      <c r="MMN139" s="3"/>
      <c r="MMO139" s="3"/>
      <c r="MMP139" s="3"/>
      <c r="MMQ139" s="3"/>
      <c r="MMR139" s="3"/>
      <c r="MMS139" s="3"/>
      <c r="MMT139" s="3"/>
      <c r="MMU139" s="3"/>
      <c r="MMV139" s="3"/>
      <c r="MMW139" s="3"/>
      <c r="MMX139" s="3"/>
      <c r="MMY139" s="3"/>
      <c r="MMZ139" s="3"/>
      <c r="MNA139" s="3"/>
      <c r="MNB139" s="3"/>
      <c r="MNC139" s="3"/>
      <c r="MND139" s="3"/>
      <c r="MNE139" s="3"/>
      <c r="MNF139" s="3"/>
      <c r="MNG139" s="3"/>
      <c r="MNH139" s="3"/>
      <c r="MNI139" s="3"/>
      <c r="MNJ139" s="3"/>
      <c r="MNK139" s="3"/>
      <c r="MNL139" s="3"/>
      <c r="MNM139" s="3"/>
      <c r="MNN139" s="3"/>
      <c r="MNO139" s="3"/>
      <c r="MNP139" s="3"/>
      <c r="MNQ139" s="3"/>
      <c r="MNR139" s="3"/>
      <c r="MNS139" s="3"/>
      <c r="MNT139" s="3"/>
      <c r="MNU139" s="3"/>
      <c r="MNV139" s="3"/>
      <c r="MNW139" s="3"/>
      <c r="MNX139" s="3"/>
      <c r="MNY139" s="3"/>
      <c r="MNZ139" s="3"/>
      <c r="MOA139" s="3"/>
      <c r="MOB139" s="3"/>
      <c r="MOC139" s="3"/>
      <c r="MOD139" s="3"/>
      <c r="MOE139" s="3"/>
      <c r="MOF139" s="3"/>
      <c r="MOG139" s="3"/>
      <c r="MOH139" s="3"/>
      <c r="MOI139" s="3"/>
      <c r="MOJ139" s="3"/>
      <c r="MOK139" s="3"/>
      <c r="MOL139" s="3"/>
      <c r="MOM139" s="3"/>
      <c r="MON139" s="3"/>
      <c r="MOO139" s="3"/>
      <c r="MOP139" s="3"/>
      <c r="MOQ139" s="3"/>
      <c r="MOR139" s="3"/>
      <c r="MOS139" s="3"/>
      <c r="MOT139" s="3"/>
      <c r="MOU139" s="3"/>
      <c r="MOV139" s="3"/>
      <c r="MOW139" s="3"/>
      <c r="MOX139" s="3"/>
      <c r="MOY139" s="3"/>
      <c r="MOZ139" s="3"/>
      <c r="MPA139" s="3"/>
      <c r="MPB139" s="3"/>
      <c r="MPC139" s="3"/>
      <c r="MPD139" s="3"/>
      <c r="MPE139" s="3"/>
      <c r="MPF139" s="3"/>
      <c r="MPG139" s="3"/>
      <c r="MPH139" s="3"/>
      <c r="MPI139" s="3"/>
      <c r="MPJ139" s="3"/>
      <c r="MPK139" s="3"/>
      <c r="MPL139" s="3"/>
      <c r="MPM139" s="3"/>
      <c r="MPN139" s="3"/>
      <c r="MPO139" s="3"/>
      <c r="MPP139" s="3"/>
      <c r="MPQ139" s="3"/>
      <c r="MPR139" s="3"/>
      <c r="MPS139" s="3"/>
      <c r="MPT139" s="3"/>
      <c r="MPU139" s="3"/>
      <c r="MPV139" s="3"/>
      <c r="MPW139" s="3"/>
      <c r="MPX139" s="3"/>
      <c r="MPY139" s="3"/>
      <c r="MPZ139" s="3"/>
      <c r="MQA139" s="3"/>
      <c r="MQB139" s="3"/>
      <c r="MQC139" s="3"/>
      <c r="MQD139" s="3"/>
      <c r="MQE139" s="3"/>
      <c r="MQF139" s="3"/>
      <c r="MQG139" s="3"/>
      <c r="MQH139" s="3"/>
      <c r="MQI139" s="3"/>
      <c r="MQJ139" s="3"/>
      <c r="MQK139" s="3"/>
      <c r="MQL139" s="3"/>
      <c r="MQM139" s="3"/>
      <c r="MQN139" s="3"/>
      <c r="MQO139" s="3"/>
      <c r="MQP139" s="3"/>
      <c r="MQQ139" s="3"/>
      <c r="MQR139" s="3"/>
      <c r="MQS139" s="3"/>
      <c r="MQT139" s="3"/>
      <c r="MQU139" s="3"/>
      <c r="MQV139" s="3"/>
      <c r="MQW139" s="3"/>
      <c r="MQX139" s="3"/>
      <c r="MQY139" s="3"/>
      <c r="MQZ139" s="3"/>
      <c r="MRA139" s="3"/>
      <c r="MRB139" s="3"/>
      <c r="MRC139" s="3"/>
      <c r="MRD139" s="3"/>
      <c r="MRE139" s="3"/>
      <c r="MRF139" s="3"/>
      <c r="MRG139" s="3"/>
      <c r="MRH139" s="3"/>
      <c r="MRI139" s="3"/>
      <c r="MRJ139" s="3"/>
      <c r="MRK139" s="3"/>
      <c r="MRL139" s="3"/>
      <c r="MRM139" s="3"/>
      <c r="MRN139" s="3"/>
      <c r="MRO139" s="3"/>
      <c r="MRP139" s="3"/>
      <c r="MRQ139" s="3"/>
      <c r="MRR139" s="3"/>
      <c r="MRS139" s="3"/>
      <c r="MRT139" s="3"/>
      <c r="MRU139" s="3"/>
      <c r="MRV139" s="3"/>
      <c r="MRW139" s="3"/>
      <c r="MRX139" s="3"/>
      <c r="MRY139" s="3"/>
      <c r="MRZ139" s="3"/>
      <c r="MSA139" s="3"/>
      <c r="MSB139" s="3"/>
      <c r="MSC139" s="3"/>
      <c r="MSD139" s="3"/>
      <c r="MSE139" s="3"/>
      <c r="MSF139" s="3"/>
      <c r="MSG139" s="3"/>
      <c r="MSH139" s="3"/>
      <c r="MSI139" s="3"/>
      <c r="MSJ139" s="3"/>
      <c r="MSK139" s="3"/>
      <c r="MSL139" s="3"/>
      <c r="MSM139" s="3"/>
      <c r="MSN139" s="3"/>
      <c r="MSO139" s="3"/>
      <c r="MSP139" s="3"/>
      <c r="MSQ139" s="3"/>
      <c r="MSR139" s="3"/>
      <c r="MSS139" s="3"/>
      <c r="MST139" s="3"/>
      <c r="MSU139" s="3"/>
      <c r="MSV139" s="3"/>
      <c r="MSW139" s="3"/>
      <c r="MSX139" s="3"/>
      <c r="MSY139" s="3"/>
      <c r="MSZ139" s="3"/>
      <c r="MTA139" s="3"/>
      <c r="MTB139" s="3"/>
      <c r="MTC139" s="3"/>
      <c r="MTD139" s="3"/>
      <c r="MTE139" s="3"/>
      <c r="MTF139" s="3"/>
      <c r="MTG139" s="3"/>
      <c r="MTH139" s="3"/>
      <c r="MTI139" s="3"/>
      <c r="MTJ139" s="3"/>
      <c r="MTK139" s="3"/>
      <c r="MTL139" s="3"/>
      <c r="MTM139" s="3"/>
      <c r="MTN139" s="3"/>
      <c r="MTO139" s="3"/>
      <c r="MTP139" s="3"/>
      <c r="MTQ139" s="3"/>
      <c r="MTR139" s="3"/>
      <c r="MTS139" s="3"/>
      <c r="MTT139" s="3"/>
      <c r="MTU139" s="3"/>
      <c r="MTV139" s="3"/>
      <c r="MTW139" s="3"/>
      <c r="MTX139" s="3"/>
      <c r="MTY139" s="3"/>
      <c r="MTZ139" s="3"/>
      <c r="MUA139" s="3"/>
      <c r="MUB139" s="3"/>
      <c r="MUC139" s="3"/>
      <c r="MUD139" s="3"/>
      <c r="MUE139" s="3"/>
      <c r="MUF139" s="3"/>
      <c r="MUG139" s="3"/>
      <c r="MUH139" s="3"/>
      <c r="MUI139" s="3"/>
      <c r="MUJ139" s="3"/>
      <c r="MUK139" s="3"/>
      <c r="MUL139" s="3"/>
      <c r="MUM139" s="3"/>
      <c r="MUN139" s="3"/>
      <c r="MUO139" s="3"/>
      <c r="MUP139" s="3"/>
      <c r="MUQ139" s="3"/>
      <c r="MUR139" s="3"/>
      <c r="MUS139" s="3"/>
      <c r="MUT139" s="3"/>
      <c r="MUU139" s="3"/>
      <c r="MUV139" s="3"/>
      <c r="MUW139" s="3"/>
      <c r="MUX139" s="3"/>
      <c r="MUY139" s="3"/>
      <c r="MUZ139" s="3"/>
      <c r="MVA139" s="3"/>
      <c r="MVB139" s="3"/>
      <c r="MVC139" s="3"/>
      <c r="MVD139" s="3"/>
      <c r="MVE139" s="3"/>
      <c r="MVF139" s="3"/>
      <c r="MVG139" s="3"/>
      <c r="MVH139" s="3"/>
      <c r="MVI139" s="3"/>
      <c r="MVJ139" s="3"/>
      <c r="MVK139" s="3"/>
      <c r="MVL139" s="3"/>
      <c r="MVM139" s="3"/>
      <c r="MVN139" s="3"/>
      <c r="MVO139" s="3"/>
      <c r="MVP139" s="3"/>
      <c r="MVQ139" s="3"/>
      <c r="MVR139" s="3"/>
      <c r="MVS139" s="3"/>
      <c r="MVT139" s="3"/>
      <c r="MVU139" s="3"/>
      <c r="MVV139" s="3"/>
      <c r="MVW139" s="3"/>
      <c r="MVX139" s="3"/>
      <c r="MVY139" s="3"/>
      <c r="MVZ139" s="3"/>
      <c r="MWA139" s="3"/>
      <c r="MWB139" s="3"/>
      <c r="MWC139" s="3"/>
      <c r="MWD139" s="3"/>
      <c r="MWE139" s="3"/>
      <c r="MWF139" s="3"/>
      <c r="MWG139" s="3"/>
      <c r="MWH139" s="3"/>
      <c r="MWI139" s="3"/>
      <c r="MWJ139" s="3"/>
      <c r="MWK139" s="3"/>
      <c r="MWL139" s="3"/>
      <c r="MWM139" s="3"/>
      <c r="MWN139" s="3"/>
      <c r="MWO139" s="3"/>
      <c r="MWP139" s="3"/>
      <c r="MWQ139" s="3"/>
      <c r="MWR139" s="3"/>
      <c r="MWS139" s="3"/>
      <c r="MWT139" s="3"/>
      <c r="MWU139" s="3"/>
      <c r="MWV139" s="3"/>
      <c r="MWW139" s="3"/>
      <c r="MWX139" s="3"/>
      <c r="MWY139" s="3"/>
      <c r="MWZ139" s="3"/>
      <c r="MXA139" s="3"/>
      <c r="MXB139" s="3"/>
      <c r="MXC139" s="3"/>
      <c r="MXD139" s="3"/>
      <c r="MXE139" s="3"/>
      <c r="MXF139" s="3"/>
      <c r="MXG139" s="3"/>
      <c r="MXH139" s="3"/>
      <c r="MXI139" s="3"/>
      <c r="MXJ139" s="3"/>
      <c r="MXK139" s="3"/>
      <c r="MXL139" s="3"/>
      <c r="MXM139" s="3"/>
      <c r="MXN139" s="3"/>
      <c r="MXO139" s="3"/>
      <c r="MXP139" s="3"/>
      <c r="MXQ139" s="3"/>
      <c r="MXR139" s="3"/>
      <c r="MXS139" s="3"/>
      <c r="MXT139" s="3"/>
      <c r="MXU139" s="3"/>
      <c r="MXV139" s="3"/>
      <c r="MXW139" s="3"/>
      <c r="MXX139" s="3"/>
      <c r="MXY139" s="3"/>
      <c r="MXZ139" s="3"/>
      <c r="MYA139" s="3"/>
      <c r="MYB139" s="3"/>
      <c r="MYC139" s="3"/>
      <c r="MYD139" s="3"/>
      <c r="MYE139" s="3"/>
      <c r="MYF139" s="3"/>
      <c r="MYG139" s="3"/>
      <c r="MYH139" s="3"/>
      <c r="MYI139" s="3"/>
      <c r="MYJ139" s="3"/>
      <c r="MYK139" s="3"/>
      <c r="MYL139" s="3"/>
      <c r="MYM139" s="3"/>
      <c r="MYN139" s="3"/>
      <c r="MYO139" s="3"/>
      <c r="MYP139" s="3"/>
      <c r="MYQ139" s="3"/>
      <c r="MYR139" s="3"/>
      <c r="MYS139" s="3"/>
      <c r="MYT139" s="3"/>
      <c r="MYU139" s="3"/>
      <c r="MYV139" s="3"/>
      <c r="MYW139" s="3"/>
      <c r="MYX139" s="3"/>
      <c r="MYY139" s="3"/>
      <c r="MYZ139" s="3"/>
      <c r="MZA139" s="3"/>
      <c r="MZB139" s="3"/>
      <c r="MZC139" s="3"/>
      <c r="MZD139" s="3"/>
      <c r="MZE139" s="3"/>
      <c r="MZF139" s="3"/>
      <c r="MZG139" s="3"/>
      <c r="MZH139" s="3"/>
      <c r="MZI139" s="3"/>
      <c r="MZJ139" s="3"/>
      <c r="MZK139" s="3"/>
      <c r="MZL139" s="3"/>
      <c r="MZM139" s="3"/>
      <c r="MZN139" s="3"/>
      <c r="MZO139" s="3"/>
      <c r="MZP139" s="3"/>
      <c r="MZQ139" s="3"/>
      <c r="MZR139" s="3"/>
      <c r="MZS139" s="3"/>
      <c r="MZT139" s="3"/>
      <c r="MZU139" s="3"/>
      <c r="MZV139" s="3"/>
      <c r="MZW139" s="3"/>
      <c r="MZX139" s="3"/>
      <c r="MZY139" s="3"/>
      <c r="MZZ139" s="3"/>
      <c r="NAA139" s="3"/>
      <c r="NAB139" s="3"/>
      <c r="NAC139" s="3"/>
      <c r="NAD139" s="3"/>
      <c r="NAE139" s="3"/>
      <c r="NAF139" s="3"/>
      <c r="NAG139" s="3"/>
      <c r="NAH139" s="3"/>
      <c r="NAI139" s="3"/>
      <c r="NAJ139" s="3"/>
      <c r="NAK139" s="3"/>
      <c r="NAL139" s="3"/>
      <c r="NAM139" s="3"/>
      <c r="NAN139" s="3"/>
      <c r="NAO139" s="3"/>
      <c r="NAP139" s="3"/>
      <c r="NAQ139" s="3"/>
      <c r="NAR139" s="3"/>
      <c r="NAS139" s="3"/>
      <c r="NAT139" s="3"/>
      <c r="NAU139" s="3"/>
      <c r="NAV139" s="3"/>
      <c r="NAW139" s="3"/>
      <c r="NAX139" s="3"/>
      <c r="NAY139" s="3"/>
      <c r="NAZ139" s="3"/>
      <c r="NBA139" s="3"/>
      <c r="NBB139" s="3"/>
      <c r="NBC139" s="3"/>
      <c r="NBD139" s="3"/>
      <c r="NBE139" s="3"/>
      <c r="NBF139" s="3"/>
      <c r="NBG139" s="3"/>
      <c r="NBH139" s="3"/>
      <c r="NBI139" s="3"/>
      <c r="NBJ139" s="3"/>
      <c r="NBK139" s="3"/>
      <c r="NBL139" s="3"/>
      <c r="NBM139" s="3"/>
      <c r="NBN139" s="3"/>
      <c r="NBO139" s="3"/>
      <c r="NBP139" s="3"/>
      <c r="NBQ139" s="3"/>
      <c r="NBR139" s="3"/>
      <c r="NBS139" s="3"/>
      <c r="NBT139" s="3"/>
      <c r="NBU139" s="3"/>
      <c r="NBV139" s="3"/>
      <c r="NBW139" s="3"/>
      <c r="NBX139" s="3"/>
      <c r="NBY139" s="3"/>
      <c r="NBZ139" s="3"/>
      <c r="NCA139" s="3"/>
      <c r="NCB139" s="3"/>
      <c r="NCC139" s="3"/>
      <c r="NCD139" s="3"/>
      <c r="NCE139" s="3"/>
      <c r="NCF139" s="3"/>
      <c r="NCG139" s="3"/>
      <c r="NCH139" s="3"/>
      <c r="NCI139" s="3"/>
      <c r="NCJ139" s="3"/>
      <c r="NCK139" s="3"/>
      <c r="NCL139" s="3"/>
      <c r="NCM139" s="3"/>
      <c r="NCN139" s="3"/>
      <c r="NCO139" s="3"/>
      <c r="NCP139" s="3"/>
      <c r="NCQ139" s="3"/>
      <c r="NCR139" s="3"/>
      <c r="NCS139" s="3"/>
      <c r="NCT139" s="3"/>
      <c r="NCU139" s="3"/>
      <c r="NCV139" s="3"/>
      <c r="NCW139" s="3"/>
      <c r="NCX139" s="3"/>
      <c r="NCY139" s="3"/>
      <c r="NCZ139" s="3"/>
      <c r="NDA139" s="3"/>
      <c r="NDB139" s="3"/>
      <c r="NDC139" s="3"/>
      <c r="NDD139" s="3"/>
      <c r="NDE139" s="3"/>
      <c r="NDF139" s="3"/>
      <c r="NDG139" s="3"/>
      <c r="NDH139" s="3"/>
      <c r="NDI139" s="3"/>
      <c r="NDJ139" s="3"/>
      <c r="NDK139" s="3"/>
      <c r="NDL139" s="3"/>
      <c r="NDM139" s="3"/>
      <c r="NDN139" s="3"/>
      <c r="NDO139" s="3"/>
      <c r="NDP139" s="3"/>
      <c r="NDQ139" s="3"/>
      <c r="NDR139" s="3"/>
      <c r="NDS139" s="3"/>
      <c r="NDT139" s="3"/>
      <c r="NDU139" s="3"/>
      <c r="NDV139" s="3"/>
      <c r="NDW139" s="3"/>
      <c r="NDX139" s="3"/>
      <c r="NDY139" s="3"/>
      <c r="NDZ139" s="3"/>
      <c r="NEA139" s="3"/>
      <c r="NEB139" s="3"/>
      <c r="NEC139" s="3"/>
      <c r="NED139" s="3"/>
      <c r="NEE139" s="3"/>
      <c r="NEF139" s="3"/>
      <c r="NEG139" s="3"/>
      <c r="NEH139" s="3"/>
      <c r="NEI139" s="3"/>
      <c r="NEJ139" s="3"/>
      <c r="NEK139" s="3"/>
      <c r="NEL139" s="3"/>
      <c r="NEM139" s="3"/>
      <c r="NEN139" s="3"/>
      <c r="NEO139" s="3"/>
      <c r="NEP139" s="3"/>
      <c r="NEQ139" s="3"/>
      <c r="NER139" s="3"/>
      <c r="NES139" s="3"/>
      <c r="NET139" s="3"/>
      <c r="NEU139" s="3"/>
      <c r="NEV139" s="3"/>
      <c r="NEW139" s="3"/>
      <c r="NEX139" s="3"/>
      <c r="NEY139" s="3"/>
      <c r="NEZ139" s="3"/>
      <c r="NFA139" s="3"/>
      <c r="NFB139" s="3"/>
      <c r="NFC139" s="3"/>
      <c r="NFD139" s="3"/>
      <c r="NFE139" s="3"/>
      <c r="NFF139" s="3"/>
      <c r="NFG139" s="3"/>
      <c r="NFH139" s="3"/>
      <c r="NFI139" s="3"/>
      <c r="NFJ139" s="3"/>
      <c r="NFK139" s="3"/>
      <c r="NFL139" s="3"/>
      <c r="NFM139" s="3"/>
      <c r="NFN139" s="3"/>
      <c r="NFO139" s="3"/>
      <c r="NFP139" s="3"/>
      <c r="NFQ139" s="3"/>
      <c r="NFR139" s="3"/>
      <c r="NFS139" s="3"/>
      <c r="NFT139" s="3"/>
      <c r="NFU139" s="3"/>
      <c r="NFV139" s="3"/>
      <c r="NFW139" s="3"/>
      <c r="NFX139" s="3"/>
      <c r="NFY139" s="3"/>
      <c r="NFZ139" s="3"/>
      <c r="NGA139" s="3"/>
      <c r="NGB139" s="3"/>
      <c r="NGC139" s="3"/>
      <c r="NGD139" s="3"/>
      <c r="NGE139" s="3"/>
      <c r="NGF139" s="3"/>
      <c r="NGG139" s="3"/>
      <c r="NGH139" s="3"/>
      <c r="NGI139" s="3"/>
      <c r="NGJ139" s="3"/>
      <c r="NGK139" s="3"/>
      <c r="NGL139" s="3"/>
      <c r="NGM139" s="3"/>
      <c r="NGN139" s="3"/>
      <c r="NGO139" s="3"/>
      <c r="NGP139" s="3"/>
      <c r="NGQ139" s="3"/>
      <c r="NGR139" s="3"/>
      <c r="NGS139" s="3"/>
      <c r="NGT139" s="3"/>
      <c r="NGU139" s="3"/>
      <c r="NGV139" s="3"/>
      <c r="NGW139" s="3"/>
      <c r="NGX139" s="3"/>
      <c r="NGY139" s="3"/>
      <c r="NGZ139" s="3"/>
      <c r="NHA139" s="3"/>
      <c r="NHB139" s="3"/>
      <c r="NHC139" s="3"/>
      <c r="NHD139" s="3"/>
      <c r="NHE139" s="3"/>
      <c r="NHF139" s="3"/>
      <c r="NHG139" s="3"/>
      <c r="NHH139" s="3"/>
      <c r="NHI139" s="3"/>
      <c r="NHJ139" s="3"/>
      <c r="NHK139" s="3"/>
      <c r="NHL139" s="3"/>
      <c r="NHM139" s="3"/>
      <c r="NHN139" s="3"/>
      <c r="NHO139" s="3"/>
      <c r="NHP139" s="3"/>
      <c r="NHQ139" s="3"/>
      <c r="NHR139" s="3"/>
      <c r="NHS139" s="3"/>
      <c r="NHT139" s="3"/>
      <c r="NHU139" s="3"/>
      <c r="NHV139" s="3"/>
      <c r="NHW139" s="3"/>
      <c r="NHX139" s="3"/>
      <c r="NHY139" s="3"/>
      <c r="NHZ139" s="3"/>
      <c r="NIA139" s="3"/>
      <c r="NIB139" s="3"/>
      <c r="NIC139" s="3"/>
      <c r="NID139" s="3"/>
      <c r="NIE139" s="3"/>
      <c r="NIF139" s="3"/>
      <c r="NIG139" s="3"/>
      <c r="NIH139" s="3"/>
      <c r="NII139" s="3"/>
      <c r="NIJ139" s="3"/>
      <c r="NIK139" s="3"/>
      <c r="NIL139" s="3"/>
      <c r="NIM139" s="3"/>
      <c r="NIN139" s="3"/>
      <c r="NIO139" s="3"/>
      <c r="NIP139" s="3"/>
      <c r="NIQ139" s="3"/>
      <c r="NIR139" s="3"/>
      <c r="NIS139" s="3"/>
      <c r="NIT139" s="3"/>
      <c r="NIU139" s="3"/>
      <c r="NIV139" s="3"/>
      <c r="NIW139" s="3"/>
      <c r="NIX139" s="3"/>
      <c r="NIY139" s="3"/>
      <c r="NIZ139" s="3"/>
      <c r="NJA139" s="3"/>
      <c r="NJB139" s="3"/>
      <c r="NJC139" s="3"/>
      <c r="NJD139" s="3"/>
      <c r="NJE139" s="3"/>
      <c r="NJF139" s="3"/>
      <c r="NJG139" s="3"/>
      <c r="NJH139" s="3"/>
      <c r="NJI139" s="3"/>
      <c r="NJJ139" s="3"/>
      <c r="NJK139" s="3"/>
      <c r="NJL139" s="3"/>
      <c r="NJM139" s="3"/>
      <c r="NJN139" s="3"/>
      <c r="NJO139" s="3"/>
      <c r="NJP139" s="3"/>
      <c r="NJQ139" s="3"/>
      <c r="NJR139" s="3"/>
      <c r="NJS139" s="3"/>
      <c r="NJT139" s="3"/>
      <c r="NJU139" s="3"/>
      <c r="NJV139" s="3"/>
      <c r="NJW139" s="3"/>
      <c r="NJX139" s="3"/>
      <c r="NJY139" s="3"/>
      <c r="NJZ139" s="3"/>
      <c r="NKA139" s="3"/>
      <c r="NKB139" s="3"/>
      <c r="NKC139" s="3"/>
      <c r="NKD139" s="3"/>
      <c r="NKE139" s="3"/>
      <c r="NKF139" s="3"/>
      <c r="NKG139" s="3"/>
      <c r="NKH139" s="3"/>
      <c r="NKI139" s="3"/>
      <c r="NKJ139" s="3"/>
      <c r="NKK139" s="3"/>
      <c r="NKL139" s="3"/>
      <c r="NKM139" s="3"/>
      <c r="NKN139" s="3"/>
      <c r="NKO139" s="3"/>
      <c r="NKP139" s="3"/>
      <c r="NKQ139" s="3"/>
      <c r="NKR139" s="3"/>
      <c r="NKS139" s="3"/>
      <c r="NKT139" s="3"/>
      <c r="NKU139" s="3"/>
      <c r="NKV139" s="3"/>
      <c r="NKW139" s="3"/>
      <c r="NKX139" s="3"/>
      <c r="NKY139" s="3"/>
      <c r="NKZ139" s="3"/>
      <c r="NLA139" s="3"/>
      <c r="NLB139" s="3"/>
      <c r="NLC139" s="3"/>
      <c r="NLD139" s="3"/>
      <c r="NLE139" s="3"/>
      <c r="NLF139" s="3"/>
      <c r="NLG139" s="3"/>
      <c r="NLH139" s="3"/>
      <c r="NLI139" s="3"/>
      <c r="NLJ139" s="3"/>
      <c r="NLK139" s="3"/>
      <c r="NLL139" s="3"/>
      <c r="NLM139" s="3"/>
      <c r="NLN139" s="3"/>
      <c r="NLO139" s="3"/>
      <c r="NLP139" s="3"/>
      <c r="NLQ139" s="3"/>
      <c r="NLR139" s="3"/>
      <c r="NLS139" s="3"/>
      <c r="NLT139" s="3"/>
      <c r="NLU139" s="3"/>
      <c r="NLV139" s="3"/>
      <c r="NLW139" s="3"/>
      <c r="NLX139" s="3"/>
      <c r="NLY139" s="3"/>
      <c r="NLZ139" s="3"/>
      <c r="NMA139" s="3"/>
      <c r="NMB139" s="3"/>
      <c r="NMC139" s="3"/>
      <c r="NMD139" s="3"/>
      <c r="NME139" s="3"/>
      <c r="NMF139" s="3"/>
      <c r="NMG139" s="3"/>
      <c r="NMH139" s="3"/>
      <c r="NMI139" s="3"/>
      <c r="NMJ139" s="3"/>
      <c r="NMK139" s="3"/>
      <c r="NML139" s="3"/>
      <c r="NMM139" s="3"/>
      <c r="NMN139" s="3"/>
      <c r="NMO139" s="3"/>
      <c r="NMP139" s="3"/>
      <c r="NMQ139" s="3"/>
      <c r="NMR139" s="3"/>
      <c r="NMS139" s="3"/>
      <c r="NMT139" s="3"/>
      <c r="NMU139" s="3"/>
      <c r="NMV139" s="3"/>
      <c r="NMW139" s="3"/>
      <c r="NMX139" s="3"/>
      <c r="NMY139" s="3"/>
      <c r="NMZ139" s="3"/>
      <c r="NNA139" s="3"/>
      <c r="NNB139" s="3"/>
      <c r="NNC139" s="3"/>
      <c r="NND139" s="3"/>
      <c r="NNE139" s="3"/>
      <c r="NNF139" s="3"/>
      <c r="NNG139" s="3"/>
      <c r="NNH139" s="3"/>
      <c r="NNI139" s="3"/>
      <c r="NNJ139" s="3"/>
      <c r="NNK139" s="3"/>
      <c r="NNL139" s="3"/>
      <c r="NNM139" s="3"/>
      <c r="NNN139" s="3"/>
      <c r="NNO139" s="3"/>
      <c r="NNP139" s="3"/>
      <c r="NNQ139" s="3"/>
      <c r="NNR139" s="3"/>
      <c r="NNS139" s="3"/>
      <c r="NNT139" s="3"/>
      <c r="NNU139" s="3"/>
      <c r="NNV139" s="3"/>
      <c r="NNW139" s="3"/>
      <c r="NNX139" s="3"/>
      <c r="NNY139" s="3"/>
      <c r="NNZ139" s="3"/>
      <c r="NOA139" s="3"/>
      <c r="NOB139" s="3"/>
      <c r="NOC139" s="3"/>
      <c r="NOD139" s="3"/>
      <c r="NOE139" s="3"/>
      <c r="NOF139" s="3"/>
      <c r="NOG139" s="3"/>
      <c r="NOH139" s="3"/>
      <c r="NOI139" s="3"/>
      <c r="NOJ139" s="3"/>
      <c r="NOK139" s="3"/>
      <c r="NOL139" s="3"/>
      <c r="NOM139" s="3"/>
      <c r="NON139" s="3"/>
      <c r="NOO139" s="3"/>
      <c r="NOP139" s="3"/>
      <c r="NOQ139" s="3"/>
      <c r="NOR139" s="3"/>
      <c r="NOS139" s="3"/>
      <c r="NOT139" s="3"/>
      <c r="NOU139" s="3"/>
      <c r="NOV139" s="3"/>
      <c r="NOW139" s="3"/>
      <c r="NOX139" s="3"/>
      <c r="NOY139" s="3"/>
      <c r="NOZ139" s="3"/>
      <c r="NPA139" s="3"/>
      <c r="NPB139" s="3"/>
      <c r="NPC139" s="3"/>
      <c r="NPD139" s="3"/>
      <c r="NPE139" s="3"/>
      <c r="NPF139" s="3"/>
      <c r="NPG139" s="3"/>
      <c r="NPH139" s="3"/>
      <c r="NPI139" s="3"/>
      <c r="NPJ139" s="3"/>
      <c r="NPK139" s="3"/>
      <c r="NPL139" s="3"/>
      <c r="NPM139" s="3"/>
      <c r="NPN139" s="3"/>
      <c r="NPO139" s="3"/>
      <c r="NPP139" s="3"/>
      <c r="NPQ139" s="3"/>
      <c r="NPR139" s="3"/>
      <c r="NPS139" s="3"/>
      <c r="NPT139" s="3"/>
      <c r="NPU139" s="3"/>
      <c r="NPV139" s="3"/>
      <c r="NPW139" s="3"/>
      <c r="NPX139" s="3"/>
      <c r="NPY139" s="3"/>
      <c r="NPZ139" s="3"/>
      <c r="NQA139" s="3"/>
      <c r="NQB139" s="3"/>
      <c r="NQC139" s="3"/>
      <c r="NQD139" s="3"/>
      <c r="NQE139" s="3"/>
      <c r="NQF139" s="3"/>
      <c r="NQG139" s="3"/>
      <c r="NQH139" s="3"/>
      <c r="NQI139" s="3"/>
      <c r="NQJ139" s="3"/>
      <c r="NQK139" s="3"/>
      <c r="NQL139" s="3"/>
      <c r="NQM139" s="3"/>
      <c r="NQN139" s="3"/>
      <c r="NQO139" s="3"/>
      <c r="NQP139" s="3"/>
      <c r="NQQ139" s="3"/>
      <c r="NQR139" s="3"/>
      <c r="NQS139" s="3"/>
      <c r="NQT139" s="3"/>
      <c r="NQU139" s="3"/>
      <c r="NQV139" s="3"/>
      <c r="NQW139" s="3"/>
      <c r="NQX139" s="3"/>
      <c r="NQY139" s="3"/>
      <c r="NQZ139" s="3"/>
      <c r="NRA139" s="3"/>
      <c r="NRB139" s="3"/>
      <c r="NRC139" s="3"/>
      <c r="NRD139" s="3"/>
      <c r="NRE139" s="3"/>
      <c r="NRF139" s="3"/>
      <c r="NRG139" s="3"/>
      <c r="NRH139" s="3"/>
      <c r="NRI139" s="3"/>
      <c r="NRJ139" s="3"/>
      <c r="NRK139" s="3"/>
      <c r="NRL139" s="3"/>
      <c r="NRM139" s="3"/>
      <c r="NRN139" s="3"/>
      <c r="NRO139" s="3"/>
      <c r="NRP139" s="3"/>
      <c r="NRQ139" s="3"/>
      <c r="NRR139" s="3"/>
      <c r="NRS139" s="3"/>
      <c r="NRT139" s="3"/>
      <c r="NRU139" s="3"/>
      <c r="NRV139" s="3"/>
      <c r="NRW139" s="3"/>
      <c r="NRX139" s="3"/>
      <c r="NRY139" s="3"/>
      <c r="NRZ139" s="3"/>
      <c r="NSA139" s="3"/>
      <c r="NSB139" s="3"/>
      <c r="NSC139" s="3"/>
      <c r="NSD139" s="3"/>
      <c r="NSE139" s="3"/>
      <c r="NSF139" s="3"/>
      <c r="NSG139" s="3"/>
      <c r="NSH139" s="3"/>
      <c r="NSI139" s="3"/>
      <c r="NSJ139" s="3"/>
      <c r="NSK139" s="3"/>
      <c r="NSL139" s="3"/>
      <c r="NSM139" s="3"/>
      <c r="NSN139" s="3"/>
      <c r="NSO139" s="3"/>
      <c r="NSP139" s="3"/>
      <c r="NSQ139" s="3"/>
      <c r="NSR139" s="3"/>
      <c r="NSS139" s="3"/>
      <c r="NST139" s="3"/>
      <c r="NSU139" s="3"/>
      <c r="NSV139" s="3"/>
      <c r="NSW139" s="3"/>
      <c r="NSX139" s="3"/>
      <c r="NSY139" s="3"/>
      <c r="NSZ139" s="3"/>
      <c r="NTA139" s="3"/>
      <c r="NTB139" s="3"/>
      <c r="NTC139" s="3"/>
      <c r="NTD139" s="3"/>
      <c r="NTE139" s="3"/>
      <c r="NTF139" s="3"/>
      <c r="NTG139" s="3"/>
      <c r="NTH139" s="3"/>
      <c r="NTI139" s="3"/>
      <c r="NTJ139" s="3"/>
      <c r="NTK139" s="3"/>
      <c r="NTL139" s="3"/>
      <c r="NTM139" s="3"/>
      <c r="NTN139" s="3"/>
      <c r="NTO139" s="3"/>
      <c r="NTP139" s="3"/>
      <c r="NTQ139" s="3"/>
      <c r="NTR139" s="3"/>
      <c r="NTS139" s="3"/>
      <c r="NTT139" s="3"/>
      <c r="NTU139" s="3"/>
      <c r="NTV139" s="3"/>
      <c r="NTW139" s="3"/>
      <c r="NTX139" s="3"/>
      <c r="NTY139" s="3"/>
      <c r="NTZ139" s="3"/>
      <c r="NUA139" s="3"/>
      <c r="NUB139" s="3"/>
      <c r="NUC139" s="3"/>
      <c r="NUD139" s="3"/>
      <c r="NUE139" s="3"/>
      <c r="NUF139" s="3"/>
      <c r="NUG139" s="3"/>
      <c r="NUH139" s="3"/>
      <c r="NUI139" s="3"/>
      <c r="NUJ139" s="3"/>
      <c r="NUK139" s="3"/>
      <c r="NUL139" s="3"/>
      <c r="NUM139" s="3"/>
      <c r="NUN139" s="3"/>
      <c r="NUO139" s="3"/>
      <c r="NUP139" s="3"/>
      <c r="NUQ139" s="3"/>
      <c r="NUR139" s="3"/>
      <c r="NUS139" s="3"/>
      <c r="NUT139" s="3"/>
      <c r="NUU139" s="3"/>
      <c r="NUV139" s="3"/>
      <c r="NUW139" s="3"/>
      <c r="NUX139" s="3"/>
      <c r="NUY139" s="3"/>
      <c r="NUZ139" s="3"/>
      <c r="NVA139" s="3"/>
      <c r="NVB139" s="3"/>
      <c r="NVC139" s="3"/>
      <c r="NVD139" s="3"/>
      <c r="NVE139" s="3"/>
      <c r="NVF139" s="3"/>
      <c r="NVG139" s="3"/>
      <c r="NVH139" s="3"/>
      <c r="NVI139" s="3"/>
      <c r="NVJ139" s="3"/>
      <c r="NVK139" s="3"/>
      <c r="NVL139" s="3"/>
      <c r="NVM139" s="3"/>
      <c r="NVN139" s="3"/>
      <c r="NVO139" s="3"/>
      <c r="NVP139" s="3"/>
      <c r="NVQ139" s="3"/>
      <c r="NVR139" s="3"/>
      <c r="NVS139" s="3"/>
      <c r="NVT139" s="3"/>
      <c r="NVU139" s="3"/>
      <c r="NVV139" s="3"/>
      <c r="NVW139" s="3"/>
      <c r="NVX139" s="3"/>
      <c r="NVY139" s="3"/>
      <c r="NVZ139" s="3"/>
      <c r="NWA139" s="3"/>
      <c r="NWB139" s="3"/>
      <c r="NWC139" s="3"/>
      <c r="NWD139" s="3"/>
      <c r="NWE139" s="3"/>
      <c r="NWF139" s="3"/>
      <c r="NWG139" s="3"/>
      <c r="NWH139" s="3"/>
      <c r="NWI139" s="3"/>
      <c r="NWJ139" s="3"/>
      <c r="NWK139" s="3"/>
      <c r="NWL139" s="3"/>
      <c r="NWM139" s="3"/>
      <c r="NWN139" s="3"/>
      <c r="NWO139" s="3"/>
      <c r="NWP139" s="3"/>
      <c r="NWQ139" s="3"/>
      <c r="NWR139" s="3"/>
      <c r="NWS139" s="3"/>
      <c r="NWT139" s="3"/>
      <c r="NWU139" s="3"/>
      <c r="NWV139" s="3"/>
      <c r="NWW139" s="3"/>
      <c r="NWX139" s="3"/>
      <c r="NWY139" s="3"/>
      <c r="NWZ139" s="3"/>
      <c r="NXA139" s="3"/>
      <c r="NXB139" s="3"/>
      <c r="NXC139" s="3"/>
      <c r="NXD139" s="3"/>
      <c r="NXE139" s="3"/>
      <c r="NXF139" s="3"/>
      <c r="NXG139" s="3"/>
      <c r="NXH139" s="3"/>
      <c r="NXI139" s="3"/>
      <c r="NXJ139" s="3"/>
      <c r="NXK139" s="3"/>
      <c r="NXL139" s="3"/>
      <c r="NXM139" s="3"/>
      <c r="NXN139" s="3"/>
      <c r="NXO139" s="3"/>
      <c r="NXP139" s="3"/>
      <c r="NXQ139" s="3"/>
      <c r="NXR139" s="3"/>
      <c r="NXS139" s="3"/>
      <c r="NXT139" s="3"/>
      <c r="NXU139" s="3"/>
      <c r="NXV139" s="3"/>
      <c r="NXW139" s="3"/>
      <c r="NXX139" s="3"/>
      <c r="NXY139" s="3"/>
      <c r="NXZ139" s="3"/>
      <c r="NYA139" s="3"/>
      <c r="NYB139" s="3"/>
      <c r="NYC139" s="3"/>
      <c r="NYD139" s="3"/>
      <c r="NYE139" s="3"/>
      <c r="NYF139" s="3"/>
      <c r="NYG139" s="3"/>
      <c r="NYH139" s="3"/>
      <c r="NYI139" s="3"/>
      <c r="NYJ139" s="3"/>
      <c r="NYK139" s="3"/>
      <c r="NYL139" s="3"/>
      <c r="NYM139" s="3"/>
      <c r="NYN139" s="3"/>
      <c r="NYO139" s="3"/>
      <c r="NYP139" s="3"/>
      <c r="NYQ139" s="3"/>
      <c r="NYR139" s="3"/>
      <c r="NYS139" s="3"/>
      <c r="NYT139" s="3"/>
      <c r="NYU139" s="3"/>
      <c r="NYV139" s="3"/>
      <c r="NYW139" s="3"/>
      <c r="NYX139" s="3"/>
      <c r="NYY139" s="3"/>
      <c r="NYZ139" s="3"/>
      <c r="NZA139" s="3"/>
      <c r="NZB139" s="3"/>
      <c r="NZC139" s="3"/>
      <c r="NZD139" s="3"/>
      <c r="NZE139" s="3"/>
      <c r="NZF139" s="3"/>
      <c r="NZG139" s="3"/>
      <c r="NZH139" s="3"/>
      <c r="NZI139" s="3"/>
      <c r="NZJ139" s="3"/>
      <c r="NZK139" s="3"/>
      <c r="NZL139" s="3"/>
      <c r="NZM139" s="3"/>
      <c r="NZN139" s="3"/>
      <c r="NZO139" s="3"/>
      <c r="NZP139" s="3"/>
      <c r="NZQ139" s="3"/>
      <c r="NZR139" s="3"/>
      <c r="NZS139" s="3"/>
      <c r="NZT139" s="3"/>
      <c r="NZU139" s="3"/>
      <c r="NZV139" s="3"/>
      <c r="NZW139" s="3"/>
      <c r="NZX139" s="3"/>
      <c r="NZY139" s="3"/>
      <c r="NZZ139" s="3"/>
      <c r="OAA139" s="3"/>
      <c r="OAB139" s="3"/>
      <c r="OAC139" s="3"/>
      <c r="OAD139" s="3"/>
      <c r="OAE139" s="3"/>
      <c r="OAF139" s="3"/>
      <c r="OAG139" s="3"/>
      <c r="OAH139" s="3"/>
      <c r="OAI139" s="3"/>
      <c r="OAJ139" s="3"/>
      <c r="OAK139" s="3"/>
      <c r="OAL139" s="3"/>
      <c r="OAM139" s="3"/>
      <c r="OAN139" s="3"/>
      <c r="OAO139" s="3"/>
      <c r="OAP139" s="3"/>
      <c r="OAQ139" s="3"/>
      <c r="OAR139" s="3"/>
      <c r="OAS139" s="3"/>
      <c r="OAT139" s="3"/>
      <c r="OAU139" s="3"/>
      <c r="OAV139" s="3"/>
      <c r="OAW139" s="3"/>
      <c r="OAX139" s="3"/>
      <c r="OAY139" s="3"/>
      <c r="OAZ139" s="3"/>
      <c r="OBA139" s="3"/>
      <c r="OBB139" s="3"/>
      <c r="OBC139" s="3"/>
      <c r="OBD139" s="3"/>
      <c r="OBE139" s="3"/>
      <c r="OBF139" s="3"/>
      <c r="OBG139" s="3"/>
      <c r="OBH139" s="3"/>
      <c r="OBI139" s="3"/>
      <c r="OBJ139" s="3"/>
      <c r="OBK139" s="3"/>
      <c r="OBL139" s="3"/>
      <c r="OBM139" s="3"/>
      <c r="OBN139" s="3"/>
      <c r="OBO139" s="3"/>
      <c r="OBP139" s="3"/>
      <c r="OBQ139" s="3"/>
      <c r="OBR139" s="3"/>
      <c r="OBS139" s="3"/>
      <c r="OBT139" s="3"/>
      <c r="OBU139" s="3"/>
      <c r="OBV139" s="3"/>
      <c r="OBW139" s="3"/>
      <c r="OBX139" s="3"/>
      <c r="OBY139" s="3"/>
      <c r="OBZ139" s="3"/>
      <c r="OCA139" s="3"/>
      <c r="OCB139" s="3"/>
      <c r="OCC139" s="3"/>
      <c r="OCD139" s="3"/>
      <c r="OCE139" s="3"/>
      <c r="OCF139" s="3"/>
      <c r="OCG139" s="3"/>
      <c r="OCH139" s="3"/>
      <c r="OCI139" s="3"/>
      <c r="OCJ139" s="3"/>
      <c r="OCK139" s="3"/>
      <c r="OCL139" s="3"/>
      <c r="OCM139" s="3"/>
      <c r="OCN139" s="3"/>
      <c r="OCO139" s="3"/>
      <c r="OCP139" s="3"/>
      <c r="OCQ139" s="3"/>
      <c r="OCR139" s="3"/>
      <c r="OCS139" s="3"/>
      <c r="OCT139" s="3"/>
      <c r="OCU139" s="3"/>
      <c r="OCV139" s="3"/>
      <c r="OCW139" s="3"/>
      <c r="OCX139" s="3"/>
      <c r="OCY139" s="3"/>
      <c r="OCZ139" s="3"/>
      <c r="ODA139" s="3"/>
      <c r="ODB139" s="3"/>
      <c r="ODC139" s="3"/>
      <c r="ODD139" s="3"/>
      <c r="ODE139" s="3"/>
      <c r="ODF139" s="3"/>
      <c r="ODG139" s="3"/>
      <c r="ODH139" s="3"/>
      <c r="ODI139" s="3"/>
      <c r="ODJ139" s="3"/>
      <c r="ODK139" s="3"/>
      <c r="ODL139" s="3"/>
      <c r="ODM139" s="3"/>
      <c r="ODN139" s="3"/>
      <c r="ODO139" s="3"/>
      <c r="ODP139" s="3"/>
      <c r="ODQ139" s="3"/>
      <c r="ODR139" s="3"/>
      <c r="ODS139" s="3"/>
      <c r="ODT139" s="3"/>
      <c r="ODU139" s="3"/>
      <c r="ODV139" s="3"/>
      <c r="ODW139" s="3"/>
      <c r="ODX139" s="3"/>
      <c r="ODY139" s="3"/>
      <c r="ODZ139" s="3"/>
      <c r="OEA139" s="3"/>
      <c r="OEB139" s="3"/>
      <c r="OEC139" s="3"/>
      <c r="OED139" s="3"/>
      <c r="OEE139" s="3"/>
      <c r="OEF139" s="3"/>
      <c r="OEG139" s="3"/>
      <c r="OEH139" s="3"/>
      <c r="OEI139" s="3"/>
      <c r="OEJ139" s="3"/>
      <c r="OEK139" s="3"/>
      <c r="OEL139" s="3"/>
      <c r="OEM139" s="3"/>
      <c r="OEN139" s="3"/>
      <c r="OEO139" s="3"/>
      <c r="OEP139" s="3"/>
      <c r="OEQ139" s="3"/>
      <c r="OER139" s="3"/>
      <c r="OES139" s="3"/>
      <c r="OET139" s="3"/>
      <c r="OEU139" s="3"/>
      <c r="OEV139" s="3"/>
      <c r="OEW139" s="3"/>
      <c r="OEX139" s="3"/>
      <c r="OEY139" s="3"/>
      <c r="OEZ139" s="3"/>
      <c r="OFA139" s="3"/>
      <c r="OFB139" s="3"/>
      <c r="OFC139" s="3"/>
      <c r="OFD139" s="3"/>
      <c r="OFE139" s="3"/>
      <c r="OFF139" s="3"/>
      <c r="OFG139" s="3"/>
      <c r="OFH139" s="3"/>
      <c r="OFI139" s="3"/>
      <c r="OFJ139" s="3"/>
      <c r="OFK139" s="3"/>
      <c r="OFL139" s="3"/>
      <c r="OFM139" s="3"/>
      <c r="OFN139" s="3"/>
      <c r="OFO139" s="3"/>
      <c r="OFP139" s="3"/>
      <c r="OFQ139" s="3"/>
      <c r="OFR139" s="3"/>
      <c r="OFS139" s="3"/>
      <c r="OFT139" s="3"/>
      <c r="OFU139" s="3"/>
      <c r="OFV139" s="3"/>
      <c r="OFW139" s="3"/>
      <c r="OFX139" s="3"/>
      <c r="OFY139" s="3"/>
      <c r="OFZ139" s="3"/>
      <c r="OGA139" s="3"/>
      <c r="OGB139" s="3"/>
      <c r="OGC139" s="3"/>
      <c r="OGD139" s="3"/>
      <c r="OGE139" s="3"/>
      <c r="OGF139" s="3"/>
      <c r="OGG139" s="3"/>
      <c r="OGH139" s="3"/>
      <c r="OGI139" s="3"/>
      <c r="OGJ139" s="3"/>
      <c r="OGK139" s="3"/>
      <c r="OGL139" s="3"/>
      <c r="OGM139" s="3"/>
      <c r="OGN139" s="3"/>
      <c r="OGO139" s="3"/>
      <c r="OGP139" s="3"/>
      <c r="OGQ139" s="3"/>
      <c r="OGR139" s="3"/>
      <c r="OGS139" s="3"/>
      <c r="OGT139" s="3"/>
      <c r="OGU139" s="3"/>
      <c r="OGV139" s="3"/>
      <c r="OGW139" s="3"/>
      <c r="OGX139" s="3"/>
      <c r="OGY139" s="3"/>
      <c r="OGZ139" s="3"/>
      <c r="OHA139" s="3"/>
      <c r="OHB139" s="3"/>
      <c r="OHC139" s="3"/>
      <c r="OHD139" s="3"/>
      <c r="OHE139" s="3"/>
      <c r="OHF139" s="3"/>
      <c r="OHG139" s="3"/>
      <c r="OHH139" s="3"/>
      <c r="OHI139" s="3"/>
      <c r="OHJ139" s="3"/>
      <c r="OHK139" s="3"/>
      <c r="OHL139" s="3"/>
      <c r="OHM139" s="3"/>
      <c r="OHN139" s="3"/>
      <c r="OHO139" s="3"/>
      <c r="OHP139" s="3"/>
      <c r="OHQ139" s="3"/>
      <c r="OHR139" s="3"/>
      <c r="OHS139" s="3"/>
      <c r="OHT139" s="3"/>
      <c r="OHU139" s="3"/>
      <c r="OHV139" s="3"/>
      <c r="OHW139" s="3"/>
      <c r="OHX139" s="3"/>
      <c r="OHY139" s="3"/>
      <c r="OHZ139" s="3"/>
      <c r="OIA139" s="3"/>
      <c r="OIB139" s="3"/>
      <c r="OIC139" s="3"/>
      <c r="OID139" s="3"/>
      <c r="OIE139" s="3"/>
      <c r="OIF139" s="3"/>
      <c r="OIG139" s="3"/>
      <c r="OIH139" s="3"/>
      <c r="OII139" s="3"/>
      <c r="OIJ139" s="3"/>
      <c r="OIK139" s="3"/>
      <c r="OIL139" s="3"/>
      <c r="OIM139" s="3"/>
      <c r="OIN139" s="3"/>
      <c r="OIO139" s="3"/>
      <c r="OIP139" s="3"/>
      <c r="OIQ139" s="3"/>
      <c r="OIR139" s="3"/>
      <c r="OIS139" s="3"/>
      <c r="OIT139" s="3"/>
      <c r="OIU139" s="3"/>
      <c r="OIV139" s="3"/>
      <c r="OIW139" s="3"/>
      <c r="OIX139" s="3"/>
      <c r="OIY139" s="3"/>
      <c r="OIZ139" s="3"/>
      <c r="OJA139" s="3"/>
      <c r="OJB139" s="3"/>
      <c r="OJC139" s="3"/>
      <c r="OJD139" s="3"/>
      <c r="OJE139" s="3"/>
      <c r="OJF139" s="3"/>
      <c r="OJG139" s="3"/>
      <c r="OJH139" s="3"/>
      <c r="OJI139" s="3"/>
      <c r="OJJ139" s="3"/>
      <c r="OJK139" s="3"/>
      <c r="OJL139" s="3"/>
      <c r="OJM139" s="3"/>
      <c r="OJN139" s="3"/>
      <c r="OJO139" s="3"/>
      <c r="OJP139" s="3"/>
      <c r="OJQ139" s="3"/>
      <c r="OJR139" s="3"/>
      <c r="OJS139" s="3"/>
      <c r="OJT139" s="3"/>
      <c r="OJU139" s="3"/>
      <c r="OJV139" s="3"/>
      <c r="OJW139" s="3"/>
      <c r="OJX139" s="3"/>
      <c r="OJY139" s="3"/>
      <c r="OJZ139" s="3"/>
      <c r="OKA139" s="3"/>
      <c r="OKB139" s="3"/>
      <c r="OKC139" s="3"/>
      <c r="OKD139" s="3"/>
      <c r="OKE139" s="3"/>
      <c r="OKF139" s="3"/>
      <c r="OKG139" s="3"/>
      <c r="OKH139" s="3"/>
      <c r="OKI139" s="3"/>
      <c r="OKJ139" s="3"/>
      <c r="OKK139" s="3"/>
      <c r="OKL139" s="3"/>
      <c r="OKM139" s="3"/>
      <c r="OKN139" s="3"/>
      <c r="OKO139" s="3"/>
      <c r="OKP139" s="3"/>
      <c r="OKQ139" s="3"/>
      <c r="OKR139" s="3"/>
      <c r="OKS139" s="3"/>
      <c r="OKT139" s="3"/>
      <c r="OKU139" s="3"/>
      <c r="OKV139" s="3"/>
      <c r="OKW139" s="3"/>
      <c r="OKX139" s="3"/>
      <c r="OKY139" s="3"/>
      <c r="OKZ139" s="3"/>
      <c r="OLA139" s="3"/>
      <c r="OLB139" s="3"/>
      <c r="OLC139" s="3"/>
      <c r="OLD139" s="3"/>
      <c r="OLE139" s="3"/>
      <c r="OLF139" s="3"/>
      <c r="OLG139" s="3"/>
      <c r="OLH139" s="3"/>
      <c r="OLI139" s="3"/>
      <c r="OLJ139" s="3"/>
      <c r="OLK139" s="3"/>
      <c r="OLL139" s="3"/>
      <c r="OLM139" s="3"/>
      <c r="OLN139" s="3"/>
      <c r="OLO139" s="3"/>
      <c r="OLP139" s="3"/>
      <c r="OLQ139" s="3"/>
      <c r="OLR139" s="3"/>
      <c r="OLS139" s="3"/>
      <c r="OLT139" s="3"/>
      <c r="OLU139" s="3"/>
      <c r="OLV139" s="3"/>
      <c r="OLW139" s="3"/>
      <c r="OLX139" s="3"/>
      <c r="OLY139" s="3"/>
      <c r="OLZ139" s="3"/>
      <c r="OMA139" s="3"/>
      <c r="OMB139" s="3"/>
      <c r="OMC139" s="3"/>
      <c r="OMD139" s="3"/>
      <c r="OME139" s="3"/>
      <c r="OMF139" s="3"/>
      <c r="OMG139" s="3"/>
      <c r="OMH139" s="3"/>
      <c r="OMI139" s="3"/>
      <c r="OMJ139" s="3"/>
      <c r="OMK139" s="3"/>
      <c r="OML139" s="3"/>
      <c r="OMM139" s="3"/>
      <c r="OMN139" s="3"/>
      <c r="OMO139" s="3"/>
      <c r="OMP139" s="3"/>
      <c r="OMQ139" s="3"/>
      <c r="OMR139" s="3"/>
      <c r="OMS139" s="3"/>
      <c r="OMT139" s="3"/>
      <c r="OMU139" s="3"/>
      <c r="OMV139" s="3"/>
      <c r="OMW139" s="3"/>
      <c r="OMX139" s="3"/>
      <c r="OMY139" s="3"/>
      <c r="OMZ139" s="3"/>
      <c r="ONA139" s="3"/>
      <c r="ONB139" s="3"/>
      <c r="ONC139" s="3"/>
      <c r="OND139" s="3"/>
      <c r="ONE139" s="3"/>
      <c r="ONF139" s="3"/>
      <c r="ONG139" s="3"/>
      <c r="ONH139" s="3"/>
      <c r="ONI139" s="3"/>
      <c r="ONJ139" s="3"/>
      <c r="ONK139" s="3"/>
      <c r="ONL139" s="3"/>
      <c r="ONM139" s="3"/>
      <c r="ONN139" s="3"/>
      <c r="ONO139" s="3"/>
      <c r="ONP139" s="3"/>
      <c r="ONQ139" s="3"/>
      <c r="ONR139" s="3"/>
      <c r="ONS139" s="3"/>
      <c r="ONT139" s="3"/>
      <c r="ONU139" s="3"/>
      <c r="ONV139" s="3"/>
      <c r="ONW139" s="3"/>
      <c r="ONX139" s="3"/>
      <c r="ONY139" s="3"/>
      <c r="ONZ139" s="3"/>
      <c r="OOA139" s="3"/>
      <c r="OOB139" s="3"/>
      <c r="OOC139" s="3"/>
      <c r="OOD139" s="3"/>
      <c r="OOE139" s="3"/>
      <c r="OOF139" s="3"/>
      <c r="OOG139" s="3"/>
      <c r="OOH139" s="3"/>
      <c r="OOI139" s="3"/>
      <c r="OOJ139" s="3"/>
      <c r="OOK139" s="3"/>
      <c r="OOL139" s="3"/>
      <c r="OOM139" s="3"/>
      <c r="OON139" s="3"/>
      <c r="OOO139" s="3"/>
      <c r="OOP139" s="3"/>
      <c r="OOQ139" s="3"/>
      <c r="OOR139" s="3"/>
      <c r="OOS139" s="3"/>
      <c r="OOT139" s="3"/>
      <c r="OOU139" s="3"/>
      <c r="OOV139" s="3"/>
      <c r="OOW139" s="3"/>
      <c r="OOX139" s="3"/>
      <c r="OOY139" s="3"/>
      <c r="OOZ139" s="3"/>
      <c r="OPA139" s="3"/>
      <c r="OPB139" s="3"/>
      <c r="OPC139" s="3"/>
      <c r="OPD139" s="3"/>
      <c r="OPE139" s="3"/>
      <c r="OPF139" s="3"/>
      <c r="OPG139" s="3"/>
      <c r="OPH139" s="3"/>
      <c r="OPI139" s="3"/>
      <c r="OPJ139" s="3"/>
      <c r="OPK139" s="3"/>
      <c r="OPL139" s="3"/>
      <c r="OPM139" s="3"/>
      <c r="OPN139" s="3"/>
      <c r="OPO139" s="3"/>
      <c r="OPP139" s="3"/>
      <c r="OPQ139" s="3"/>
      <c r="OPR139" s="3"/>
      <c r="OPS139" s="3"/>
      <c r="OPT139" s="3"/>
      <c r="OPU139" s="3"/>
      <c r="OPV139" s="3"/>
      <c r="OPW139" s="3"/>
      <c r="OPX139" s="3"/>
      <c r="OPY139" s="3"/>
      <c r="OPZ139" s="3"/>
      <c r="OQA139" s="3"/>
      <c r="OQB139" s="3"/>
      <c r="OQC139" s="3"/>
      <c r="OQD139" s="3"/>
      <c r="OQE139" s="3"/>
      <c r="OQF139" s="3"/>
      <c r="OQG139" s="3"/>
      <c r="OQH139" s="3"/>
      <c r="OQI139" s="3"/>
      <c r="OQJ139" s="3"/>
      <c r="OQK139" s="3"/>
      <c r="OQL139" s="3"/>
      <c r="OQM139" s="3"/>
      <c r="OQN139" s="3"/>
      <c r="OQO139" s="3"/>
      <c r="OQP139" s="3"/>
      <c r="OQQ139" s="3"/>
      <c r="OQR139" s="3"/>
      <c r="OQS139" s="3"/>
      <c r="OQT139" s="3"/>
      <c r="OQU139" s="3"/>
      <c r="OQV139" s="3"/>
      <c r="OQW139" s="3"/>
      <c r="OQX139" s="3"/>
      <c r="OQY139" s="3"/>
      <c r="OQZ139" s="3"/>
      <c r="ORA139" s="3"/>
      <c r="ORB139" s="3"/>
      <c r="ORC139" s="3"/>
      <c r="ORD139" s="3"/>
      <c r="ORE139" s="3"/>
      <c r="ORF139" s="3"/>
      <c r="ORG139" s="3"/>
      <c r="ORH139" s="3"/>
      <c r="ORI139" s="3"/>
      <c r="ORJ139" s="3"/>
      <c r="ORK139" s="3"/>
      <c r="ORL139" s="3"/>
      <c r="ORM139" s="3"/>
      <c r="ORN139" s="3"/>
      <c r="ORO139" s="3"/>
      <c r="ORP139" s="3"/>
      <c r="ORQ139" s="3"/>
      <c r="ORR139" s="3"/>
      <c r="ORS139" s="3"/>
      <c r="ORT139" s="3"/>
      <c r="ORU139" s="3"/>
      <c r="ORV139" s="3"/>
      <c r="ORW139" s="3"/>
      <c r="ORX139" s="3"/>
      <c r="ORY139" s="3"/>
      <c r="ORZ139" s="3"/>
      <c r="OSA139" s="3"/>
      <c r="OSB139" s="3"/>
      <c r="OSC139" s="3"/>
      <c r="OSD139" s="3"/>
      <c r="OSE139" s="3"/>
      <c r="OSF139" s="3"/>
      <c r="OSG139" s="3"/>
      <c r="OSH139" s="3"/>
      <c r="OSI139" s="3"/>
      <c r="OSJ139" s="3"/>
      <c r="OSK139" s="3"/>
      <c r="OSL139" s="3"/>
      <c r="OSM139" s="3"/>
      <c r="OSN139" s="3"/>
      <c r="OSO139" s="3"/>
      <c r="OSP139" s="3"/>
      <c r="OSQ139" s="3"/>
      <c r="OSR139" s="3"/>
      <c r="OSS139" s="3"/>
      <c r="OST139" s="3"/>
      <c r="OSU139" s="3"/>
      <c r="OSV139" s="3"/>
      <c r="OSW139" s="3"/>
      <c r="OSX139" s="3"/>
      <c r="OSY139" s="3"/>
      <c r="OSZ139" s="3"/>
      <c r="OTA139" s="3"/>
      <c r="OTB139" s="3"/>
      <c r="OTC139" s="3"/>
      <c r="OTD139" s="3"/>
      <c r="OTE139" s="3"/>
      <c r="OTF139" s="3"/>
      <c r="OTG139" s="3"/>
      <c r="OTH139" s="3"/>
      <c r="OTI139" s="3"/>
      <c r="OTJ139" s="3"/>
      <c r="OTK139" s="3"/>
      <c r="OTL139" s="3"/>
      <c r="OTM139" s="3"/>
      <c r="OTN139" s="3"/>
      <c r="OTO139" s="3"/>
      <c r="OTP139" s="3"/>
      <c r="OTQ139" s="3"/>
      <c r="OTR139" s="3"/>
      <c r="OTS139" s="3"/>
      <c r="OTT139" s="3"/>
      <c r="OTU139" s="3"/>
      <c r="OTV139" s="3"/>
      <c r="OTW139" s="3"/>
      <c r="OTX139" s="3"/>
      <c r="OTY139" s="3"/>
      <c r="OTZ139" s="3"/>
      <c r="OUA139" s="3"/>
      <c r="OUB139" s="3"/>
      <c r="OUC139" s="3"/>
      <c r="OUD139" s="3"/>
      <c r="OUE139" s="3"/>
      <c r="OUF139" s="3"/>
      <c r="OUG139" s="3"/>
      <c r="OUH139" s="3"/>
      <c r="OUI139" s="3"/>
      <c r="OUJ139" s="3"/>
      <c r="OUK139" s="3"/>
      <c r="OUL139" s="3"/>
      <c r="OUM139" s="3"/>
      <c r="OUN139" s="3"/>
      <c r="OUO139" s="3"/>
      <c r="OUP139" s="3"/>
      <c r="OUQ139" s="3"/>
      <c r="OUR139" s="3"/>
      <c r="OUS139" s="3"/>
      <c r="OUT139" s="3"/>
      <c r="OUU139" s="3"/>
      <c r="OUV139" s="3"/>
      <c r="OUW139" s="3"/>
      <c r="OUX139" s="3"/>
      <c r="OUY139" s="3"/>
      <c r="OUZ139" s="3"/>
      <c r="OVA139" s="3"/>
      <c r="OVB139" s="3"/>
      <c r="OVC139" s="3"/>
      <c r="OVD139" s="3"/>
      <c r="OVE139" s="3"/>
      <c r="OVF139" s="3"/>
      <c r="OVG139" s="3"/>
      <c r="OVH139" s="3"/>
      <c r="OVI139" s="3"/>
      <c r="OVJ139" s="3"/>
      <c r="OVK139" s="3"/>
      <c r="OVL139" s="3"/>
      <c r="OVM139" s="3"/>
      <c r="OVN139" s="3"/>
      <c r="OVO139" s="3"/>
      <c r="OVP139" s="3"/>
      <c r="OVQ139" s="3"/>
      <c r="OVR139" s="3"/>
      <c r="OVS139" s="3"/>
      <c r="OVT139" s="3"/>
      <c r="OVU139" s="3"/>
      <c r="OVV139" s="3"/>
      <c r="OVW139" s="3"/>
      <c r="OVX139" s="3"/>
      <c r="OVY139" s="3"/>
      <c r="OVZ139" s="3"/>
      <c r="OWA139" s="3"/>
      <c r="OWB139" s="3"/>
      <c r="OWC139" s="3"/>
      <c r="OWD139" s="3"/>
      <c r="OWE139" s="3"/>
      <c r="OWF139" s="3"/>
      <c r="OWG139" s="3"/>
      <c r="OWH139" s="3"/>
      <c r="OWI139" s="3"/>
      <c r="OWJ139" s="3"/>
      <c r="OWK139" s="3"/>
      <c r="OWL139" s="3"/>
      <c r="OWM139" s="3"/>
      <c r="OWN139" s="3"/>
      <c r="OWO139" s="3"/>
      <c r="OWP139" s="3"/>
      <c r="OWQ139" s="3"/>
      <c r="OWR139" s="3"/>
      <c r="OWS139" s="3"/>
      <c r="OWT139" s="3"/>
      <c r="OWU139" s="3"/>
      <c r="OWV139" s="3"/>
      <c r="OWW139" s="3"/>
      <c r="OWX139" s="3"/>
      <c r="OWY139" s="3"/>
      <c r="OWZ139" s="3"/>
      <c r="OXA139" s="3"/>
      <c r="OXB139" s="3"/>
      <c r="OXC139" s="3"/>
      <c r="OXD139" s="3"/>
      <c r="OXE139" s="3"/>
      <c r="OXF139" s="3"/>
      <c r="OXG139" s="3"/>
      <c r="OXH139" s="3"/>
      <c r="OXI139" s="3"/>
      <c r="OXJ139" s="3"/>
      <c r="OXK139" s="3"/>
      <c r="OXL139" s="3"/>
      <c r="OXM139" s="3"/>
      <c r="OXN139" s="3"/>
      <c r="OXO139" s="3"/>
      <c r="OXP139" s="3"/>
      <c r="OXQ139" s="3"/>
      <c r="OXR139" s="3"/>
      <c r="OXS139" s="3"/>
      <c r="OXT139" s="3"/>
      <c r="OXU139" s="3"/>
      <c r="OXV139" s="3"/>
      <c r="OXW139" s="3"/>
      <c r="OXX139" s="3"/>
      <c r="OXY139" s="3"/>
      <c r="OXZ139" s="3"/>
      <c r="OYA139" s="3"/>
      <c r="OYB139" s="3"/>
      <c r="OYC139" s="3"/>
      <c r="OYD139" s="3"/>
      <c r="OYE139" s="3"/>
      <c r="OYF139" s="3"/>
      <c r="OYG139" s="3"/>
      <c r="OYH139" s="3"/>
      <c r="OYI139" s="3"/>
      <c r="OYJ139" s="3"/>
      <c r="OYK139" s="3"/>
      <c r="OYL139" s="3"/>
      <c r="OYM139" s="3"/>
      <c r="OYN139" s="3"/>
      <c r="OYO139" s="3"/>
      <c r="OYP139" s="3"/>
      <c r="OYQ139" s="3"/>
      <c r="OYR139" s="3"/>
      <c r="OYS139" s="3"/>
      <c r="OYT139" s="3"/>
      <c r="OYU139" s="3"/>
      <c r="OYV139" s="3"/>
      <c r="OYW139" s="3"/>
      <c r="OYX139" s="3"/>
      <c r="OYY139" s="3"/>
      <c r="OYZ139" s="3"/>
      <c r="OZA139" s="3"/>
      <c r="OZB139" s="3"/>
      <c r="OZC139" s="3"/>
      <c r="OZD139" s="3"/>
      <c r="OZE139" s="3"/>
      <c r="OZF139" s="3"/>
      <c r="OZG139" s="3"/>
      <c r="OZH139" s="3"/>
      <c r="OZI139" s="3"/>
      <c r="OZJ139" s="3"/>
      <c r="OZK139" s="3"/>
      <c r="OZL139" s="3"/>
      <c r="OZM139" s="3"/>
      <c r="OZN139" s="3"/>
      <c r="OZO139" s="3"/>
      <c r="OZP139" s="3"/>
      <c r="OZQ139" s="3"/>
      <c r="OZR139" s="3"/>
      <c r="OZS139" s="3"/>
      <c r="OZT139" s="3"/>
      <c r="OZU139" s="3"/>
      <c r="OZV139" s="3"/>
      <c r="OZW139" s="3"/>
      <c r="OZX139" s="3"/>
      <c r="OZY139" s="3"/>
      <c r="OZZ139" s="3"/>
      <c r="PAA139" s="3"/>
      <c r="PAB139" s="3"/>
      <c r="PAC139" s="3"/>
      <c r="PAD139" s="3"/>
      <c r="PAE139" s="3"/>
      <c r="PAF139" s="3"/>
      <c r="PAG139" s="3"/>
      <c r="PAH139" s="3"/>
      <c r="PAI139" s="3"/>
      <c r="PAJ139" s="3"/>
      <c r="PAK139" s="3"/>
      <c r="PAL139" s="3"/>
      <c r="PAM139" s="3"/>
      <c r="PAN139" s="3"/>
      <c r="PAO139" s="3"/>
      <c r="PAP139" s="3"/>
      <c r="PAQ139" s="3"/>
      <c r="PAR139" s="3"/>
      <c r="PAS139" s="3"/>
      <c r="PAT139" s="3"/>
      <c r="PAU139" s="3"/>
      <c r="PAV139" s="3"/>
      <c r="PAW139" s="3"/>
      <c r="PAX139" s="3"/>
      <c r="PAY139" s="3"/>
      <c r="PAZ139" s="3"/>
      <c r="PBA139" s="3"/>
      <c r="PBB139" s="3"/>
      <c r="PBC139" s="3"/>
      <c r="PBD139" s="3"/>
      <c r="PBE139" s="3"/>
      <c r="PBF139" s="3"/>
      <c r="PBG139" s="3"/>
      <c r="PBH139" s="3"/>
      <c r="PBI139" s="3"/>
      <c r="PBJ139" s="3"/>
      <c r="PBK139" s="3"/>
      <c r="PBL139" s="3"/>
      <c r="PBM139" s="3"/>
      <c r="PBN139" s="3"/>
      <c r="PBO139" s="3"/>
      <c r="PBP139" s="3"/>
      <c r="PBQ139" s="3"/>
      <c r="PBR139" s="3"/>
      <c r="PBS139" s="3"/>
      <c r="PBT139" s="3"/>
      <c r="PBU139" s="3"/>
      <c r="PBV139" s="3"/>
      <c r="PBW139" s="3"/>
      <c r="PBX139" s="3"/>
      <c r="PBY139" s="3"/>
      <c r="PBZ139" s="3"/>
      <c r="PCA139" s="3"/>
      <c r="PCB139" s="3"/>
      <c r="PCC139" s="3"/>
      <c r="PCD139" s="3"/>
      <c r="PCE139" s="3"/>
      <c r="PCF139" s="3"/>
      <c r="PCG139" s="3"/>
      <c r="PCH139" s="3"/>
      <c r="PCI139" s="3"/>
      <c r="PCJ139" s="3"/>
      <c r="PCK139" s="3"/>
      <c r="PCL139" s="3"/>
      <c r="PCM139" s="3"/>
      <c r="PCN139" s="3"/>
      <c r="PCO139" s="3"/>
      <c r="PCP139" s="3"/>
      <c r="PCQ139" s="3"/>
      <c r="PCR139" s="3"/>
      <c r="PCS139" s="3"/>
      <c r="PCT139" s="3"/>
      <c r="PCU139" s="3"/>
      <c r="PCV139" s="3"/>
      <c r="PCW139" s="3"/>
      <c r="PCX139" s="3"/>
      <c r="PCY139" s="3"/>
      <c r="PCZ139" s="3"/>
      <c r="PDA139" s="3"/>
      <c r="PDB139" s="3"/>
      <c r="PDC139" s="3"/>
      <c r="PDD139" s="3"/>
      <c r="PDE139" s="3"/>
      <c r="PDF139" s="3"/>
      <c r="PDG139" s="3"/>
      <c r="PDH139" s="3"/>
      <c r="PDI139" s="3"/>
      <c r="PDJ139" s="3"/>
      <c r="PDK139" s="3"/>
      <c r="PDL139" s="3"/>
      <c r="PDM139" s="3"/>
      <c r="PDN139" s="3"/>
      <c r="PDO139" s="3"/>
      <c r="PDP139" s="3"/>
      <c r="PDQ139" s="3"/>
      <c r="PDR139" s="3"/>
      <c r="PDS139" s="3"/>
      <c r="PDT139" s="3"/>
      <c r="PDU139" s="3"/>
      <c r="PDV139" s="3"/>
      <c r="PDW139" s="3"/>
      <c r="PDX139" s="3"/>
      <c r="PDY139" s="3"/>
      <c r="PDZ139" s="3"/>
      <c r="PEA139" s="3"/>
      <c r="PEB139" s="3"/>
      <c r="PEC139" s="3"/>
      <c r="PED139" s="3"/>
      <c r="PEE139" s="3"/>
      <c r="PEF139" s="3"/>
      <c r="PEG139" s="3"/>
      <c r="PEH139" s="3"/>
      <c r="PEI139" s="3"/>
      <c r="PEJ139" s="3"/>
      <c r="PEK139" s="3"/>
      <c r="PEL139" s="3"/>
      <c r="PEM139" s="3"/>
      <c r="PEN139" s="3"/>
      <c r="PEO139" s="3"/>
      <c r="PEP139" s="3"/>
      <c r="PEQ139" s="3"/>
      <c r="PER139" s="3"/>
      <c r="PES139" s="3"/>
      <c r="PET139" s="3"/>
      <c r="PEU139" s="3"/>
      <c r="PEV139" s="3"/>
      <c r="PEW139" s="3"/>
      <c r="PEX139" s="3"/>
      <c r="PEY139" s="3"/>
      <c r="PEZ139" s="3"/>
      <c r="PFA139" s="3"/>
      <c r="PFB139" s="3"/>
      <c r="PFC139" s="3"/>
      <c r="PFD139" s="3"/>
      <c r="PFE139" s="3"/>
      <c r="PFF139" s="3"/>
      <c r="PFG139" s="3"/>
      <c r="PFH139" s="3"/>
      <c r="PFI139" s="3"/>
      <c r="PFJ139" s="3"/>
      <c r="PFK139" s="3"/>
      <c r="PFL139" s="3"/>
      <c r="PFM139" s="3"/>
      <c r="PFN139" s="3"/>
      <c r="PFO139" s="3"/>
      <c r="PFP139" s="3"/>
      <c r="PFQ139" s="3"/>
      <c r="PFR139" s="3"/>
      <c r="PFS139" s="3"/>
      <c r="PFT139" s="3"/>
      <c r="PFU139" s="3"/>
      <c r="PFV139" s="3"/>
      <c r="PFW139" s="3"/>
      <c r="PFX139" s="3"/>
      <c r="PFY139" s="3"/>
      <c r="PFZ139" s="3"/>
      <c r="PGA139" s="3"/>
      <c r="PGB139" s="3"/>
      <c r="PGC139" s="3"/>
      <c r="PGD139" s="3"/>
      <c r="PGE139" s="3"/>
      <c r="PGF139" s="3"/>
      <c r="PGG139" s="3"/>
      <c r="PGH139" s="3"/>
      <c r="PGI139" s="3"/>
      <c r="PGJ139" s="3"/>
      <c r="PGK139" s="3"/>
      <c r="PGL139" s="3"/>
      <c r="PGM139" s="3"/>
      <c r="PGN139" s="3"/>
      <c r="PGO139" s="3"/>
      <c r="PGP139" s="3"/>
      <c r="PGQ139" s="3"/>
      <c r="PGR139" s="3"/>
      <c r="PGS139" s="3"/>
      <c r="PGT139" s="3"/>
      <c r="PGU139" s="3"/>
      <c r="PGV139" s="3"/>
      <c r="PGW139" s="3"/>
      <c r="PGX139" s="3"/>
      <c r="PGY139" s="3"/>
      <c r="PGZ139" s="3"/>
      <c r="PHA139" s="3"/>
      <c r="PHB139" s="3"/>
      <c r="PHC139" s="3"/>
      <c r="PHD139" s="3"/>
      <c r="PHE139" s="3"/>
      <c r="PHF139" s="3"/>
      <c r="PHG139" s="3"/>
      <c r="PHH139" s="3"/>
      <c r="PHI139" s="3"/>
      <c r="PHJ139" s="3"/>
      <c r="PHK139" s="3"/>
      <c r="PHL139" s="3"/>
      <c r="PHM139" s="3"/>
      <c r="PHN139" s="3"/>
      <c r="PHO139" s="3"/>
      <c r="PHP139" s="3"/>
      <c r="PHQ139" s="3"/>
      <c r="PHR139" s="3"/>
      <c r="PHS139" s="3"/>
      <c r="PHT139" s="3"/>
      <c r="PHU139" s="3"/>
      <c r="PHV139" s="3"/>
      <c r="PHW139" s="3"/>
      <c r="PHX139" s="3"/>
      <c r="PHY139" s="3"/>
      <c r="PHZ139" s="3"/>
      <c r="PIA139" s="3"/>
      <c r="PIB139" s="3"/>
      <c r="PIC139" s="3"/>
      <c r="PID139" s="3"/>
      <c r="PIE139" s="3"/>
      <c r="PIF139" s="3"/>
      <c r="PIG139" s="3"/>
      <c r="PIH139" s="3"/>
      <c r="PII139" s="3"/>
      <c r="PIJ139" s="3"/>
      <c r="PIK139" s="3"/>
      <c r="PIL139" s="3"/>
      <c r="PIM139" s="3"/>
      <c r="PIN139" s="3"/>
      <c r="PIO139" s="3"/>
      <c r="PIP139" s="3"/>
      <c r="PIQ139" s="3"/>
      <c r="PIR139" s="3"/>
      <c r="PIS139" s="3"/>
      <c r="PIT139" s="3"/>
      <c r="PIU139" s="3"/>
      <c r="PIV139" s="3"/>
      <c r="PIW139" s="3"/>
      <c r="PIX139" s="3"/>
      <c r="PIY139" s="3"/>
      <c r="PIZ139" s="3"/>
      <c r="PJA139" s="3"/>
      <c r="PJB139" s="3"/>
      <c r="PJC139" s="3"/>
      <c r="PJD139" s="3"/>
      <c r="PJE139" s="3"/>
      <c r="PJF139" s="3"/>
      <c r="PJG139" s="3"/>
      <c r="PJH139" s="3"/>
      <c r="PJI139" s="3"/>
      <c r="PJJ139" s="3"/>
      <c r="PJK139" s="3"/>
      <c r="PJL139" s="3"/>
      <c r="PJM139" s="3"/>
      <c r="PJN139" s="3"/>
      <c r="PJO139" s="3"/>
      <c r="PJP139" s="3"/>
      <c r="PJQ139" s="3"/>
      <c r="PJR139" s="3"/>
      <c r="PJS139" s="3"/>
      <c r="PJT139" s="3"/>
      <c r="PJU139" s="3"/>
      <c r="PJV139" s="3"/>
      <c r="PJW139" s="3"/>
      <c r="PJX139" s="3"/>
      <c r="PJY139" s="3"/>
      <c r="PJZ139" s="3"/>
      <c r="PKA139" s="3"/>
      <c r="PKB139" s="3"/>
      <c r="PKC139" s="3"/>
      <c r="PKD139" s="3"/>
      <c r="PKE139" s="3"/>
      <c r="PKF139" s="3"/>
      <c r="PKG139" s="3"/>
      <c r="PKH139" s="3"/>
      <c r="PKI139" s="3"/>
      <c r="PKJ139" s="3"/>
      <c r="PKK139" s="3"/>
      <c r="PKL139" s="3"/>
      <c r="PKM139" s="3"/>
      <c r="PKN139" s="3"/>
      <c r="PKO139" s="3"/>
      <c r="PKP139" s="3"/>
      <c r="PKQ139" s="3"/>
      <c r="PKR139" s="3"/>
      <c r="PKS139" s="3"/>
      <c r="PKT139" s="3"/>
      <c r="PKU139" s="3"/>
      <c r="PKV139" s="3"/>
      <c r="PKW139" s="3"/>
      <c r="PKX139" s="3"/>
      <c r="PKY139" s="3"/>
      <c r="PKZ139" s="3"/>
      <c r="PLA139" s="3"/>
      <c r="PLB139" s="3"/>
      <c r="PLC139" s="3"/>
      <c r="PLD139" s="3"/>
      <c r="PLE139" s="3"/>
      <c r="PLF139" s="3"/>
      <c r="PLG139" s="3"/>
      <c r="PLH139" s="3"/>
      <c r="PLI139" s="3"/>
      <c r="PLJ139" s="3"/>
      <c r="PLK139" s="3"/>
      <c r="PLL139" s="3"/>
      <c r="PLM139" s="3"/>
      <c r="PLN139" s="3"/>
      <c r="PLO139" s="3"/>
      <c r="PLP139" s="3"/>
      <c r="PLQ139" s="3"/>
      <c r="PLR139" s="3"/>
      <c r="PLS139" s="3"/>
      <c r="PLT139" s="3"/>
      <c r="PLU139" s="3"/>
      <c r="PLV139" s="3"/>
      <c r="PLW139" s="3"/>
      <c r="PLX139" s="3"/>
      <c r="PLY139" s="3"/>
      <c r="PLZ139" s="3"/>
      <c r="PMA139" s="3"/>
      <c r="PMB139" s="3"/>
      <c r="PMC139" s="3"/>
      <c r="PMD139" s="3"/>
      <c r="PME139" s="3"/>
      <c r="PMF139" s="3"/>
      <c r="PMG139" s="3"/>
      <c r="PMH139" s="3"/>
      <c r="PMI139" s="3"/>
      <c r="PMJ139" s="3"/>
      <c r="PMK139" s="3"/>
      <c r="PML139" s="3"/>
      <c r="PMM139" s="3"/>
      <c r="PMN139" s="3"/>
      <c r="PMO139" s="3"/>
      <c r="PMP139" s="3"/>
      <c r="PMQ139" s="3"/>
      <c r="PMR139" s="3"/>
      <c r="PMS139" s="3"/>
      <c r="PMT139" s="3"/>
      <c r="PMU139" s="3"/>
      <c r="PMV139" s="3"/>
      <c r="PMW139" s="3"/>
      <c r="PMX139" s="3"/>
      <c r="PMY139" s="3"/>
      <c r="PMZ139" s="3"/>
      <c r="PNA139" s="3"/>
      <c r="PNB139" s="3"/>
      <c r="PNC139" s="3"/>
      <c r="PND139" s="3"/>
      <c r="PNE139" s="3"/>
      <c r="PNF139" s="3"/>
      <c r="PNG139" s="3"/>
      <c r="PNH139" s="3"/>
      <c r="PNI139" s="3"/>
      <c r="PNJ139" s="3"/>
      <c r="PNK139" s="3"/>
      <c r="PNL139" s="3"/>
      <c r="PNM139" s="3"/>
      <c r="PNN139" s="3"/>
      <c r="PNO139" s="3"/>
      <c r="PNP139" s="3"/>
      <c r="PNQ139" s="3"/>
      <c r="PNR139" s="3"/>
      <c r="PNS139" s="3"/>
      <c r="PNT139" s="3"/>
      <c r="PNU139" s="3"/>
      <c r="PNV139" s="3"/>
      <c r="PNW139" s="3"/>
      <c r="PNX139" s="3"/>
      <c r="PNY139" s="3"/>
      <c r="PNZ139" s="3"/>
      <c r="POA139" s="3"/>
      <c r="POB139" s="3"/>
      <c r="POC139" s="3"/>
      <c r="POD139" s="3"/>
      <c r="POE139" s="3"/>
      <c r="POF139" s="3"/>
      <c r="POG139" s="3"/>
      <c r="POH139" s="3"/>
      <c r="POI139" s="3"/>
      <c r="POJ139" s="3"/>
      <c r="POK139" s="3"/>
      <c r="POL139" s="3"/>
      <c r="POM139" s="3"/>
      <c r="PON139" s="3"/>
      <c r="POO139" s="3"/>
      <c r="POP139" s="3"/>
      <c r="POQ139" s="3"/>
      <c r="POR139" s="3"/>
      <c r="POS139" s="3"/>
      <c r="POT139" s="3"/>
      <c r="POU139" s="3"/>
      <c r="POV139" s="3"/>
      <c r="POW139" s="3"/>
      <c r="POX139" s="3"/>
      <c r="POY139" s="3"/>
      <c r="POZ139" s="3"/>
      <c r="PPA139" s="3"/>
      <c r="PPB139" s="3"/>
      <c r="PPC139" s="3"/>
      <c r="PPD139" s="3"/>
      <c r="PPE139" s="3"/>
      <c r="PPF139" s="3"/>
      <c r="PPG139" s="3"/>
      <c r="PPH139" s="3"/>
      <c r="PPI139" s="3"/>
      <c r="PPJ139" s="3"/>
      <c r="PPK139" s="3"/>
      <c r="PPL139" s="3"/>
      <c r="PPM139" s="3"/>
      <c r="PPN139" s="3"/>
      <c r="PPO139" s="3"/>
      <c r="PPP139" s="3"/>
      <c r="PPQ139" s="3"/>
      <c r="PPR139" s="3"/>
      <c r="PPS139" s="3"/>
      <c r="PPT139" s="3"/>
      <c r="PPU139" s="3"/>
      <c r="PPV139" s="3"/>
      <c r="PPW139" s="3"/>
      <c r="PPX139" s="3"/>
      <c r="PPY139" s="3"/>
      <c r="PPZ139" s="3"/>
      <c r="PQA139" s="3"/>
      <c r="PQB139" s="3"/>
      <c r="PQC139" s="3"/>
      <c r="PQD139" s="3"/>
      <c r="PQE139" s="3"/>
      <c r="PQF139" s="3"/>
      <c r="PQG139" s="3"/>
      <c r="PQH139" s="3"/>
      <c r="PQI139" s="3"/>
      <c r="PQJ139" s="3"/>
      <c r="PQK139" s="3"/>
      <c r="PQL139" s="3"/>
      <c r="PQM139" s="3"/>
      <c r="PQN139" s="3"/>
      <c r="PQO139" s="3"/>
      <c r="PQP139" s="3"/>
      <c r="PQQ139" s="3"/>
      <c r="PQR139" s="3"/>
      <c r="PQS139" s="3"/>
      <c r="PQT139" s="3"/>
      <c r="PQU139" s="3"/>
      <c r="PQV139" s="3"/>
      <c r="PQW139" s="3"/>
      <c r="PQX139" s="3"/>
      <c r="PQY139" s="3"/>
      <c r="PQZ139" s="3"/>
      <c r="PRA139" s="3"/>
      <c r="PRB139" s="3"/>
      <c r="PRC139" s="3"/>
      <c r="PRD139" s="3"/>
      <c r="PRE139" s="3"/>
      <c r="PRF139" s="3"/>
      <c r="PRG139" s="3"/>
      <c r="PRH139" s="3"/>
      <c r="PRI139" s="3"/>
      <c r="PRJ139" s="3"/>
      <c r="PRK139" s="3"/>
      <c r="PRL139" s="3"/>
      <c r="PRM139" s="3"/>
      <c r="PRN139" s="3"/>
      <c r="PRO139" s="3"/>
      <c r="PRP139" s="3"/>
      <c r="PRQ139" s="3"/>
      <c r="PRR139" s="3"/>
      <c r="PRS139" s="3"/>
      <c r="PRT139" s="3"/>
      <c r="PRU139" s="3"/>
      <c r="PRV139" s="3"/>
      <c r="PRW139" s="3"/>
      <c r="PRX139" s="3"/>
      <c r="PRY139" s="3"/>
      <c r="PRZ139" s="3"/>
      <c r="PSA139" s="3"/>
      <c r="PSB139" s="3"/>
      <c r="PSC139" s="3"/>
      <c r="PSD139" s="3"/>
      <c r="PSE139" s="3"/>
      <c r="PSF139" s="3"/>
      <c r="PSG139" s="3"/>
      <c r="PSH139" s="3"/>
      <c r="PSI139" s="3"/>
      <c r="PSJ139" s="3"/>
      <c r="PSK139" s="3"/>
      <c r="PSL139" s="3"/>
      <c r="PSM139" s="3"/>
      <c r="PSN139" s="3"/>
      <c r="PSO139" s="3"/>
      <c r="PSP139" s="3"/>
      <c r="PSQ139" s="3"/>
      <c r="PSR139" s="3"/>
      <c r="PSS139" s="3"/>
      <c r="PST139" s="3"/>
      <c r="PSU139" s="3"/>
      <c r="PSV139" s="3"/>
      <c r="PSW139" s="3"/>
      <c r="PSX139" s="3"/>
      <c r="PSY139" s="3"/>
      <c r="PSZ139" s="3"/>
      <c r="PTA139" s="3"/>
      <c r="PTB139" s="3"/>
      <c r="PTC139" s="3"/>
      <c r="PTD139" s="3"/>
      <c r="PTE139" s="3"/>
      <c r="PTF139" s="3"/>
      <c r="PTG139" s="3"/>
      <c r="PTH139" s="3"/>
      <c r="PTI139" s="3"/>
      <c r="PTJ139" s="3"/>
      <c r="PTK139" s="3"/>
      <c r="PTL139" s="3"/>
      <c r="PTM139" s="3"/>
      <c r="PTN139" s="3"/>
      <c r="PTO139" s="3"/>
      <c r="PTP139" s="3"/>
      <c r="PTQ139" s="3"/>
      <c r="PTR139" s="3"/>
      <c r="PTS139" s="3"/>
      <c r="PTT139" s="3"/>
      <c r="PTU139" s="3"/>
      <c r="PTV139" s="3"/>
      <c r="PTW139" s="3"/>
      <c r="PTX139" s="3"/>
      <c r="PTY139" s="3"/>
      <c r="PTZ139" s="3"/>
      <c r="PUA139" s="3"/>
      <c r="PUB139" s="3"/>
      <c r="PUC139" s="3"/>
      <c r="PUD139" s="3"/>
      <c r="PUE139" s="3"/>
      <c r="PUF139" s="3"/>
      <c r="PUG139" s="3"/>
      <c r="PUH139" s="3"/>
      <c r="PUI139" s="3"/>
      <c r="PUJ139" s="3"/>
      <c r="PUK139" s="3"/>
      <c r="PUL139" s="3"/>
      <c r="PUM139" s="3"/>
      <c r="PUN139" s="3"/>
      <c r="PUO139" s="3"/>
      <c r="PUP139" s="3"/>
      <c r="PUQ139" s="3"/>
      <c r="PUR139" s="3"/>
      <c r="PUS139" s="3"/>
      <c r="PUT139" s="3"/>
      <c r="PUU139" s="3"/>
      <c r="PUV139" s="3"/>
      <c r="PUW139" s="3"/>
      <c r="PUX139" s="3"/>
      <c r="PUY139" s="3"/>
      <c r="PUZ139" s="3"/>
      <c r="PVA139" s="3"/>
      <c r="PVB139" s="3"/>
      <c r="PVC139" s="3"/>
      <c r="PVD139" s="3"/>
      <c r="PVE139" s="3"/>
      <c r="PVF139" s="3"/>
      <c r="PVG139" s="3"/>
      <c r="PVH139" s="3"/>
      <c r="PVI139" s="3"/>
      <c r="PVJ139" s="3"/>
      <c r="PVK139" s="3"/>
      <c r="PVL139" s="3"/>
      <c r="PVM139" s="3"/>
      <c r="PVN139" s="3"/>
      <c r="PVO139" s="3"/>
      <c r="PVP139" s="3"/>
      <c r="PVQ139" s="3"/>
      <c r="PVR139" s="3"/>
      <c r="PVS139" s="3"/>
      <c r="PVT139" s="3"/>
      <c r="PVU139" s="3"/>
      <c r="PVV139" s="3"/>
      <c r="PVW139" s="3"/>
      <c r="PVX139" s="3"/>
      <c r="PVY139" s="3"/>
      <c r="PVZ139" s="3"/>
      <c r="PWA139" s="3"/>
      <c r="PWB139" s="3"/>
      <c r="PWC139" s="3"/>
      <c r="PWD139" s="3"/>
      <c r="PWE139" s="3"/>
      <c r="PWF139" s="3"/>
      <c r="PWG139" s="3"/>
      <c r="PWH139" s="3"/>
      <c r="PWI139" s="3"/>
      <c r="PWJ139" s="3"/>
      <c r="PWK139" s="3"/>
      <c r="PWL139" s="3"/>
      <c r="PWM139" s="3"/>
      <c r="PWN139" s="3"/>
      <c r="PWO139" s="3"/>
      <c r="PWP139" s="3"/>
      <c r="PWQ139" s="3"/>
      <c r="PWR139" s="3"/>
      <c r="PWS139" s="3"/>
      <c r="PWT139" s="3"/>
      <c r="PWU139" s="3"/>
      <c r="PWV139" s="3"/>
      <c r="PWW139" s="3"/>
      <c r="PWX139" s="3"/>
      <c r="PWY139" s="3"/>
      <c r="PWZ139" s="3"/>
      <c r="PXA139" s="3"/>
      <c r="PXB139" s="3"/>
      <c r="PXC139" s="3"/>
      <c r="PXD139" s="3"/>
      <c r="PXE139" s="3"/>
      <c r="PXF139" s="3"/>
      <c r="PXG139" s="3"/>
      <c r="PXH139" s="3"/>
      <c r="PXI139" s="3"/>
      <c r="PXJ139" s="3"/>
      <c r="PXK139" s="3"/>
      <c r="PXL139" s="3"/>
      <c r="PXM139" s="3"/>
      <c r="PXN139" s="3"/>
      <c r="PXO139" s="3"/>
      <c r="PXP139" s="3"/>
      <c r="PXQ139" s="3"/>
      <c r="PXR139" s="3"/>
      <c r="PXS139" s="3"/>
      <c r="PXT139" s="3"/>
      <c r="PXU139" s="3"/>
      <c r="PXV139" s="3"/>
      <c r="PXW139" s="3"/>
      <c r="PXX139" s="3"/>
      <c r="PXY139" s="3"/>
      <c r="PXZ139" s="3"/>
      <c r="PYA139" s="3"/>
      <c r="PYB139" s="3"/>
      <c r="PYC139" s="3"/>
      <c r="PYD139" s="3"/>
      <c r="PYE139" s="3"/>
      <c r="PYF139" s="3"/>
      <c r="PYG139" s="3"/>
      <c r="PYH139" s="3"/>
      <c r="PYI139" s="3"/>
      <c r="PYJ139" s="3"/>
      <c r="PYK139" s="3"/>
      <c r="PYL139" s="3"/>
      <c r="PYM139" s="3"/>
      <c r="PYN139" s="3"/>
      <c r="PYO139" s="3"/>
      <c r="PYP139" s="3"/>
      <c r="PYQ139" s="3"/>
      <c r="PYR139" s="3"/>
      <c r="PYS139" s="3"/>
      <c r="PYT139" s="3"/>
      <c r="PYU139" s="3"/>
      <c r="PYV139" s="3"/>
      <c r="PYW139" s="3"/>
      <c r="PYX139" s="3"/>
      <c r="PYY139" s="3"/>
      <c r="PYZ139" s="3"/>
      <c r="PZA139" s="3"/>
      <c r="PZB139" s="3"/>
      <c r="PZC139" s="3"/>
      <c r="PZD139" s="3"/>
      <c r="PZE139" s="3"/>
      <c r="PZF139" s="3"/>
      <c r="PZG139" s="3"/>
      <c r="PZH139" s="3"/>
      <c r="PZI139" s="3"/>
      <c r="PZJ139" s="3"/>
      <c r="PZK139" s="3"/>
      <c r="PZL139" s="3"/>
      <c r="PZM139" s="3"/>
      <c r="PZN139" s="3"/>
      <c r="PZO139" s="3"/>
      <c r="PZP139" s="3"/>
      <c r="PZQ139" s="3"/>
      <c r="PZR139" s="3"/>
      <c r="PZS139" s="3"/>
      <c r="PZT139" s="3"/>
      <c r="PZU139" s="3"/>
      <c r="PZV139" s="3"/>
      <c r="PZW139" s="3"/>
      <c r="PZX139" s="3"/>
      <c r="PZY139" s="3"/>
      <c r="PZZ139" s="3"/>
      <c r="QAA139" s="3"/>
      <c r="QAB139" s="3"/>
      <c r="QAC139" s="3"/>
      <c r="QAD139" s="3"/>
      <c r="QAE139" s="3"/>
      <c r="QAF139" s="3"/>
      <c r="QAG139" s="3"/>
      <c r="QAH139" s="3"/>
      <c r="QAI139" s="3"/>
      <c r="QAJ139" s="3"/>
      <c r="QAK139" s="3"/>
      <c r="QAL139" s="3"/>
      <c r="QAM139" s="3"/>
      <c r="QAN139" s="3"/>
      <c r="QAO139" s="3"/>
      <c r="QAP139" s="3"/>
      <c r="QAQ139" s="3"/>
      <c r="QAR139" s="3"/>
      <c r="QAS139" s="3"/>
      <c r="QAT139" s="3"/>
      <c r="QAU139" s="3"/>
      <c r="QAV139" s="3"/>
      <c r="QAW139" s="3"/>
      <c r="QAX139" s="3"/>
      <c r="QAY139" s="3"/>
      <c r="QAZ139" s="3"/>
      <c r="QBA139" s="3"/>
      <c r="QBB139" s="3"/>
      <c r="QBC139" s="3"/>
      <c r="QBD139" s="3"/>
      <c r="QBE139" s="3"/>
      <c r="QBF139" s="3"/>
      <c r="QBG139" s="3"/>
      <c r="QBH139" s="3"/>
      <c r="QBI139" s="3"/>
      <c r="QBJ139" s="3"/>
      <c r="QBK139" s="3"/>
      <c r="QBL139" s="3"/>
      <c r="QBM139" s="3"/>
      <c r="QBN139" s="3"/>
      <c r="QBO139" s="3"/>
      <c r="QBP139" s="3"/>
      <c r="QBQ139" s="3"/>
      <c r="QBR139" s="3"/>
      <c r="QBS139" s="3"/>
      <c r="QBT139" s="3"/>
      <c r="QBU139" s="3"/>
      <c r="QBV139" s="3"/>
      <c r="QBW139" s="3"/>
      <c r="QBX139" s="3"/>
      <c r="QBY139" s="3"/>
      <c r="QBZ139" s="3"/>
      <c r="QCA139" s="3"/>
      <c r="QCB139" s="3"/>
      <c r="QCC139" s="3"/>
      <c r="QCD139" s="3"/>
      <c r="QCE139" s="3"/>
      <c r="QCF139" s="3"/>
      <c r="QCG139" s="3"/>
      <c r="QCH139" s="3"/>
      <c r="QCI139" s="3"/>
      <c r="QCJ139" s="3"/>
      <c r="QCK139" s="3"/>
      <c r="QCL139" s="3"/>
      <c r="QCM139" s="3"/>
      <c r="QCN139" s="3"/>
      <c r="QCO139" s="3"/>
      <c r="QCP139" s="3"/>
      <c r="QCQ139" s="3"/>
      <c r="QCR139" s="3"/>
      <c r="QCS139" s="3"/>
      <c r="QCT139" s="3"/>
      <c r="QCU139" s="3"/>
      <c r="QCV139" s="3"/>
      <c r="QCW139" s="3"/>
      <c r="QCX139" s="3"/>
      <c r="QCY139" s="3"/>
      <c r="QCZ139" s="3"/>
      <c r="QDA139" s="3"/>
      <c r="QDB139" s="3"/>
      <c r="QDC139" s="3"/>
      <c r="QDD139" s="3"/>
      <c r="QDE139" s="3"/>
      <c r="QDF139" s="3"/>
      <c r="QDG139" s="3"/>
      <c r="QDH139" s="3"/>
      <c r="QDI139" s="3"/>
      <c r="QDJ139" s="3"/>
      <c r="QDK139" s="3"/>
      <c r="QDL139" s="3"/>
      <c r="QDM139" s="3"/>
      <c r="QDN139" s="3"/>
      <c r="QDO139" s="3"/>
      <c r="QDP139" s="3"/>
      <c r="QDQ139" s="3"/>
      <c r="QDR139" s="3"/>
      <c r="QDS139" s="3"/>
      <c r="QDT139" s="3"/>
      <c r="QDU139" s="3"/>
      <c r="QDV139" s="3"/>
      <c r="QDW139" s="3"/>
      <c r="QDX139" s="3"/>
      <c r="QDY139" s="3"/>
      <c r="QDZ139" s="3"/>
      <c r="QEA139" s="3"/>
      <c r="QEB139" s="3"/>
      <c r="QEC139" s="3"/>
      <c r="QED139" s="3"/>
      <c r="QEE139" s="3"/>
      <c r="QEF139" s="3"/>
      <c r="QEG139" s="3"/>
      <c r="QEH139" s="3"/>
      <c r="QEI139" s="3"/>
      <c r="QEJ139" s="3"/>
      <c r="QEK139" s="3"/>
      <c r="QEL139" s="3"/>
      <c r="QEM139" s="3"/>
      <c r="QEN139" s="3"/>
      <c r="QEO139" s="3"/>
      <c r="QEP139" s="3"/>
      <c r="QEQ139" s="3"/>
      <c r="QER139" s="3"/>
      <c r="QES139" s="3"/>
      <c r="QET139" s="3"/>
      <c r="QEU139" s="3"/>
      <c r="QEV139" s="3"/>
      <c r="QEW139" s="3"/>
      <c r="QEX139" s="3"/>
      <c r="QEY139" s="3"/>
      <c r="QEZ139" s="3"/>
      <c r="QFA139" s="3"/>
      <c r="QFB139" s="3"/>
      <c r="QFC139" s="3"/>
      <c r="QFD139" s="3"/>
      <c r="QFE139" s="3"/>
      <c r="QFF139" s="3"/>
      <c r="QFG139" s="3"/>
      <c r="QFH139" s="3"/>
      <c r="QFI139" s="3"/>
      <c r="QFJ139" s="3"/>
      <c r="QFK139" s="3"/>
      <c r="QFL139" s="3"/>
      <c r="QFM139" s="3"/>
      <c r="QFN139" s="3"/>
      <c r="QFO139" s="3"/>
      <c r="QFP139" s="3"/>
      <c r="QFQ139" s="3"/>
      <c r="QFR139" s="3"/>
      <c r="QFS139" s="3"/>
      <c r="QFT139" s="3"/>
      <c r="QFU139" s="3"/>
      <c r="QFV139" s="3"/>
      <c r="QFW139" s="3"/>
      <c r="QFX139" s="3"/>
      <c r="QFY139" s="3"/>
      <c r="QFZ139" s="3"/>
      <c r="QGA139" s="3"/>
      <c r="QGB139" s="3"/>
      <c r="QGC139" s="3"/>
      <c r="QGD139" s="3"/>
      <c r="QGE139" s="3"/>
      <c r="QGF139" s="3"/>
      <c r="QGG139" s="3"/>
      <c r="QGH139" s="3"/>
      <c r="QGI139" s="3"/>
      <c r="QGJ139" s="3"/>
      <c r="QGK139" s="3"/>
      <c r="QGL139" s="3"/>
      <c r="QGM139" s="3"/>
      <c r="QGN139" s="3"/>
      <c r="QGO139" s="3"/>
      <c r="QGP139" s="3"/>
      <c r="QGQ139" s="3"/>
      <c r="QGR139" s="3"/>
      <c r="QGS139" s="3"/>
      <c r="QGT139" s="3"/>
      <c r="QGU139" s="3"/>
      <c r="QGV139" s="3"/>
      <c r="QGW139" s="3"/>
      <c r="QGX139" s="3"/>
      <c r="QGY139" s="3"/>
      <c r="QGZ139" s="3"/>
      <c r="QHA139" s="3"/>
      <c r="QHB139" s="3"/>
      <c r="QHC139" s="3"/>
      <c r="QHD139" s="3"/>
      <c r="QHE139" s="3"/>
      <c r="QHF139" s="3"/>
      <c r="QHG139" s="3"/>
      <c r="QHH139" s="3"/>
      <c r="QHI139" s="3"/>
      <c r="QHJ139" s="3"/>
      <c r="QHK139" s="3"/>
      <c r="QHL139" s="3"/>
      <c r="QHM139" s="3"/>
      <c r="QHN139" s="3"/>
      <c r="QHO139" s="3"/>
      <c r="QHP139" s="3"/>
      <c r="QHQ139" s="3"/>
      <c r="QHR139" s="3"/>
      <c r="QHS139" s="3"/>
      <c r="QHT139" s="3"/>
      <c r="QHU139" s="3"/>
      <c r="QHV139" s="3"/>
      <c r="QHW139" s="3"/>
      <c r="QHX139" s="3"/>
      <c r="QHY139" s="3"/>
      <c r="QHZ139" s="3"/>
      <c r="QIA139" s="3"/>
      <c r="QIB139" s="3"/>
      <c r="QIC139" s="3"/>
      <c r="QID139" s="3"/>
      <c r="QIE139" s="3"/>
      <c r="QIF139" s="3"/>
      <c r="QIG139" s="3"/>
      <c r="QIH139" s="3"/>
      <c r="QII139" s="3"/>
      <c r="QIJ139" s="3"/>
      <c r="QIK139" s="3"/>
      <c r="QIL139" s="3"/>
      <c r="QIM139" s="3"/>
      <c r="QIN139" s="3"/>
      <c r="QIO139" s="3"/>
      <c r="QIP139" s="3"/>
      <c r="QIQ139" s="3"/>
      <c r="QIR139" s="3"/>
      <c r="QIS139" s="3"/>
      <c r="QIT139" s="3"/>
      <c r="QIU139" s="3"/>
      <c r="QIV139" s="3"/>
      <c r="QIW139" s="3"/>
      <c r="QIX139" s="3"/>
      <c r="QIY139" s="3"/>
      <c r="QIZ139" s="3"/>
      <c r="QJA139" s="3"/>
      <c r="QJB139" s="3"/>
      <c r="QJC139" s="3"/>
      <c r="QJD139" s="3"/>
      <c r="QJE139" s="3"/>
      <c r="QJF139" s="3"/>
      <c r="QJG139" s="3"/>
      <c r="QJH139" s="3"/>
      <c r="QJI139" s="3"/>
      <c r="QJJ139" s="3"/>
      <c r="QJK139" s="3"/>
      <c r="QJL139" s="3"/>
      <c r="QJM139" s="3"/>
      <c r="QJN139" s="3"/>
      <c r="QJO139" s="3"/>
      <c r="QJP139" s="3"/>
      <c r="QJQ139" s="3"/>
      <c r="QJR139" s="3"/>
      <c r="QJS139" s="3"/>
      <c r="QJT139" s="3"/>
      <c r="QJU139" s="3"/>
      <c r="QJV139" s="3"/>
      <c r="QJW139" s="3"/>
      <c r="QJX139" s="3"/>
      <c r="QJY139" s="3"/>
      <c r="QJZ139" s="3"/>
      <c r="QKA139" s="3"/>
      <c r="QKB139" s="3"/>
      <c r="QKC139" s="3"/>
      <c r="QKD139" s="3"/>
      <c r="QKE139" s="3"/>
      <c r="QKF139" s="3"/>
      <c r="QKG139" s="3"/>
      <c r="QKH139" s="3"/>
      <c r="QKI139" s="3"/>
      <c r="QKJ139" s="3"/>
      <c r="QKK139" s="3"/>
      <c r="QKL139" s="3"/>
      <c r="QKM139" s="3"/>
      <c r="QKN139" s="3"/>
      <c r="QKO139" s="3"/>
      <c r="QKP139" s="3"/>
      <c r="QKQ139" s="3"/>
      <c r="QKR139" s="3"/>
      <c r="QKS139" s="3"/>
      <c r="QKT139" s="3"/>
      <c r="QKU139" s="3"/>
      <c r="QKV139" s="3"/>
      <c r="QKW139" s="3"/>
      <c r="QKX139" s="3"/>
      <c r="QKY139" s="3"/>
      <c r="QKZ139" s="3"/>
      <c r="QLA139" s="3"/>
      <c r="QLB139" s="3"/>
      <c r="QLC139" s="3"/>
      <c r="QLD139" s="3"/>
      <c r="QLE139" s="3"/>
      <c r="QLF139" s="3"/>
      <c r="QLG139" s="3"/>
      <c r="QLH139" s="3"/>
      <c r="QLI139" s="3"/>
      <c r="QLJ139" s="3"/>
      <c r="QLK139" s="3"/>
      <c r="QLL139" s="3"/>
      <c r="QLM139" s="3"/>
      <c r="QLN139" s="3"/>
      <c r="QLO139" s="3"/>
      <c r="QLP139" s="3"/>
      <c r="QLQ139" s="3"/>
      <c r="QLR139" s="3"/>
      <c r="QLS139" s="3"/>
      <c r="QLT139" s="3"/>
      <c r="QLU139" s="3"/>
      <c r="QLV139" s="3"/>
      <c r="QLW139" s="3"/>
      <c r="QLX139" s="3"/>
      <c r="QLY139" s="3"/>
      <c r="QLZ139" s="3"/>
      <c r="QMA139" s="3"/>
      <c r="QMB139" s="3"/>
      <c r="QMC139" s="3"/>
      <c r="QMD139" s="3"/>
      <c r="QME139" s="3"/>
      <c r="QMF139" s="3"/>
      <c r="QMG139" s="3"/>
      <c r="QMH139" s="3"/>
      <c r="QMI139" s="3"/>
      <c r="QMJ139" s="3"/>
      <c r="QMK139" s="3"/>
      <c r="QML139" s="3"/>
      <c r="QMM139" s="3"/>
      <c r="QMN139" s="3"/>
      <c r="QMO139" s="3"/>
      <c r="QMP139" s="3"/>
      <c r="QMQ139" s="3"/>
      <c r="QMR139" s="3"/>
      <c r="QMS139" s="3"/>
      <c r="QMT139" s="3"/>
      <c r="QMU139" s="3"/>
      <c r="QMV139" s="3"/>
      <c r="QMW139" s="3"/>
      <c r="QMX139" s="3"/>
      <c r="QMY139" s="3"/>
      <c r="QMZ139" s="3"/>
      <c r="QNA139" s="3"/>
      <c r="QNB139" s="3"/>
      <c r="QNC139" s="3"/>
      <c r="QND139" s="3"/>
      <c r="QNE139" s="3"/>
      <c r="QNF139" s="3"/>
      <c r="QNG139" s="3"/>
      <c r="QNH139" s="3"/>
      <c r="QNI139" s="3"/>
      <c r="QNJ139" s="3"/>
      <c r="QNK139" s="3"/>
      <c r="QNL139" s="3"/>
      <c r="QNM139" s="3"/>
      <c r="QNN139" s="3"/>
      <c r="QNO139" s="3"/>
      <c r="QNP139" s="3"/>
      <c r="QNQ139" s="3"/>
      <c r="QNR139" s="3"/>
      <c r="QNS139" s="3"/>
      <c r="QNT139" s="3"/>
      <c r="QNU139" s="3"/>
      <c r="QNV139" s="3"/>
      <c r="QNW139" s="3"/>
      <c r="QNX139" s="3"/>
      <c r="QNY139" s="3"/>
      <c r="QNZ139" s="3"/>
      <c r="QOA139" s="3"/>
      <c r="QOB139" s="3"/>
      <c r="QOC139" s="3"/>
      <c r="QOD139" s="3"/>
      <c r="QOE139" s="3"/>
      <c r="QOF139" s="3"/>
      <c r="QOG139" s="3"/>
      <c r="QOH139" s="3"/>
      <c r="QOI139" s="3"/>
      <c r="QOJ139" s="3"/>
      <c r="QOK139" s="3"/>
      <c r="QOL139" s="3"/>
      <c r="QOM139" s="3"/>
      <c r="QON139" s="3"/>
      <c r="QOO139" s="3"/>
      <c r="QOP139" s="3"/>
      <c r="QOQ139" s="3"/>
      <c r="QOR139" s="3"/>
      <c r="QOS139" s="3"/>
      <c r="QOT139" s="3"/>
      <c r="QOU139" s="3"/>
      <c r="QOV139" s="3"/>
      <c r="QOW139" s="3"/>
      <c r="QOX139" s="3"/>
      <c r="QOY139" s="3"/>
      <c r="QOZ139" s="3"/>
      <c r="QPA139" s="3"/>
      <c r="QPB139" s="3"/>
      <c r="QPC139" s="3"/>
      <c r="QPD139" s="3"/>
      <c r="QPE139" s="3"/>
      <c r="QPF139" s="3"/>
      <c r="QPG139" s="3"/>
      <c r="QPH139" s="3"/>
      <c r="QPI139" s="3"/>
      <c r="QPJ139" s="3"/>
      <c r="QPK139" s="3"/>
      <c r="QPL139" s="3"/>
      <c r="QPM139" s="3"/>
      <c r="QPN139" s="3"/>
      <c r="QPO139" s="3"/>
      <c r="QPP139" s="3"/>
      <c r="QPQ139" s="3"/>
      <c r="QPR139" s="3"/>
      <c r="QPS139" s="3"/>
      <c r="QPT139" s="3"/>
      <c r="QPU139" s="3"/>
      <c r="QPV139" s="3"/>
      <c r="QPW139" s="3"/>
      <c r="QPX139" s="3"/>
      <c r="QPY139" s="3"/>
      <c r="QPZ139" s="3"/>
      <c r="QQA139" s="3"/>
      <c r="QQB139" s="3"/>
      <c r="QQC139" s="3"/>
      <c r="QQD139" s="3"/>
      <c r="QQE139" s="3"/>
      <c r="QQF139" s="3"/>
      <c r="QQG139" s="3"/>
      <c r="QQH139" s="3"/>
      <c r="QQI139" s="3"/>
      <c r="QQJ139" s="3"/>
      <c r="QQK139" s="3"/>
      <c r="QQL139" s="3"/>
      <c r="QQM139" s="3"/>
      <c r="QQN139" s="3"/>
      <c r="QQO139" s="3"/>
      <c r="QQP139" s="3"/>
      <c r="QQQ139" s="3"/>
      <c r="QQR139" s="3"/>
      <c r="QQS139" s="3"/>
      <c r="QQT139" s="3"/>
      <c r="QQU139" s="3"/>
      <c r="QQV139" s="3"/>
      <c r="QQW139" s="3"/>
      <c r="QQX139" s="3"/>
      <c r="QQY139" s="3"/>
      <c r="QQZ139" s="3"/>
      <c r="QRA139" s="3"/>
      <c r="QRB139" s="3"/>
      <c r="QRC139" s="3"/>
      <c r="QRD139" s="3"/>
      <c r="QRE139" s="3"/>
      <c r="QRF139" s="3"/>
      <c r="QRG139" s="3"/>
      <c r="QRH139" s="3"/>
      <c r="QRI139" s="3"/>
      <c r="QRJ139" s="3"/>
      <c r="QRK139" s="3"/>
      <c r="QRL139" s="3"/>
      <c r="QRM139" s="3"/>
      <c r="QRN139" s="3"/>
      <c r="QRO139" s="3"/>
      <c r="QRP139" s="3"/>
      <c r="QRQ139" s="3"/>
      <c r="QRR139" s="3"/>
      <c r="QRS139" s="3"/>
      <c r="QRT139" s="3"/>
      <c r="QRU139" s="3"/>
      <c r="QRV139" s="3"/>
      <c r="QRW139" s="3"/>
      <c r="QRX139" s="3"/>
      <c r="QRY139" s="3"/>
      <c r="QRZ139" s="3"/>
      <c r="QSA139" s="3"/>
      <c r="QSB139" s="3"/>
      <c r="QSC139" s="3"/>
      <c r="QSD139" s="3"/>
      <c r="QSE139" s="3"/>
      <c r="QSF139" s="3"/>
      <c r="QSG139" s="3"/>
      <c r="QSH139" s="3"/>
      <c r="QSI139" s="3"/>
      <c r="QSJ139" s="3"/>
      <c r="QSK139" s="3"/>
      <c r="QSL139" s="3"/>
      <c r="QSM139" s="3"/>
      <c r="QSN139" s="3"/>
      <c r="QSO139" s="3"/>
      <c r="QSP139" s="3"/>
      <c r="QSQ139" s="3"/>
      <c r="QSR139" s="3"/>
      <c r="QSS139" s="3"/>
      <c r="QST139" s="3"/>
      <c r="QSU139" s="3"/>
      <c r="QSV139" s="3"/>
      <c r="QSW139" s="3"/>
      <c r="QSX139" s="3"/>
      <c r="QSY139" s="3"/>
      <c r="QSZ139" s="3"/>
      <c r="QTA139" s="3"/>
      <c r="QTB139" s="3"/>
      <c r="QTC139" s="3"/>
      <c r="QTD139" s="3"/>
      <c r="QTE139" s="3"/>
      <c r="QTF139" s="3"/>
      <c r="QTG139" s="3"/>
      <c r="QTH139" s="3"/>
      <c r="QTI139" s="3"/>
      <c r="QTJ139" s="3"/>
      <c r="QTK139" s="3"/>
      <c r="QTL139" s="3"/>
      <c r="QTM139" s="3"/>
      <c r="QTN139" s="3"/>
      <c r="QTO139" s="3"/>
      <c r="QTP139" s="3"/>
      <c r="QTQ139" s="3"/>
      <c r="QTR139" s="3"/>
      <c r="QTS139" s="3"/>
      <c r="QTT139" s="3"/>
      <c r="QTU139" s="3"/>
      <c r="QTV139" s="3"/>
      <c r="QTW139" s="3"/>
      <c r="QTX139" s="3"/>
      <c r="QTY139" s="3"/>
      <c r="QTZ139" s="3"/>
      <c r="QUA139" s="3"/>
      <c r="QUB139" s="3"/>
      <c r="QUC139" s="3"/>
      <c r="QUD139" s="3"/>
      <c r="QUE139" s="3"/>
      <c r="QUF139" s="3"/>
      <c r="QUG139" s="3"/>
      <c r="QUH139" s="3"/>
      <c r="QUI139" s="3"/>
      <c r="QUJ139" s="3"/>
      <c r="QUK139" s="3"/>
      <c r="QUL139" s="3"/>
      <c r="QUM139" s="3"/>
      <c r="QUN139" s="3"/>
      <c r="QUO139" s="3"/>
      <c r="QUP139" s="3"/>
      <c r="QUQ139" s="3"/>
      <c r="QUR139" s="3"/>
      <c r="QUS139" s="3"/>
      <c r="QUT139" s="3"/>
      <c r="QUU139" s="3"/>
      <c r="QUV139" s="3"/>
      <c r="QUW139" s="3"/>
      <c r="QUX139" s="3"/>
      <c r="QUY139" s="3"/>
      <c r="QUZ139" s="3"/>
      <c r="QVA139" s="3"/>
      <c r="QVB139" s="3"/>
      <c r="QVC139" s="3"/>
      <c r="QVD139" s="3"/>
      <c r="QVE139" s="3"/>
      <c r="QVF139" s="3"/>
      <c r="QVG139" s="3"/>
      <c r="QVH139" s="3"/>
      <c r="QVI139" s="3"/>
      <c r="QVJ139" s="3"/>
      <c r="QVK139" s="3"/>
      <c r="QVL139" s="3"/>
      <c r="QVM139" s="3"/>
      <c r="QVN139" s="3"/>
      <c r="QVO139" s="3"/>
      <c r="QVP139" s="3"/>
      <c r="QVQ139" s="3"/>
      <c r="QVR139" s="3"/>
      <c r="QVS139" s="3"/>
      <c r="QVT139" s="3"/>
      <c r="QVU139" s="3"/>
      <c r="QVV139" s="3"/>
      <c r="QVW139" s="3"/>
      <c r="QVX139" s="3"/>
      <c r="QVY139" s="3"/>
      <c r="QVZ139" s="3"/>
      <c r="QWA139" s="3"/>
      <c r="QWB139" s="3"/>
      <c r="QWC139" s="3"/>
      <c r="QWD139" s="3"/>
      <c r="QWE139" s="3"/>
      <c r="QWF139" s="3"/>
      <c r="QWG139" s="3"/>
      <c r="QWH139" s="3"/>
      <c r="QWI139" s="3"/>
      <c r="QWJ139" s="3"/>
      <c r="QWK139" s="3"/>
      <c r="QWL139" s="3"/>
      <c r="QWM139" s="3"/>
      <c r="QWN139" s="3"/>
      <c r="QWO139" s="3"/>
      <c r="QWP139" s="3"/>
      <c r="QWQ139" s="3"/>
      <c r="QWR139" s="3"/>
      <c r="QWS139" s="3"/>
      <c r="QWT139" s="3"/>
      <c r="QWU139" s="3"/>
      <c r="QWV139" s="3"/>
      <c r="QWW139" s="3"/>
      <c r="QWX139" s="3"/>
      <c r="QWY139" s="3"/>
      <c r="QWZ139" s="3"/>
      <c r="QXA139" s="3"/>
      <c r="QXB139" s="3"/>
      <c r="QXC139" s="3"/>
      <c r="QXD139" s="3"/>
      <c r="QXE139" s="3"/>
      <c r="QXF139" s="3"/>
      <c r="QXG139" s="3"/>
      <c r="QXH139" s="3"/>
      <c r="QXI139" s="3"/>
      <c r="QXJ139" s="3"/>
      <c r="QXK139" s="3"/>
      <c r="QXL139" s="3"/>
      <c r="QXM139" s="3"/>
      <c r="QXN139" s="3"/>
      <c r="QXO139" s="3"/>
      <c r="QXP139" s="3"/>
      <c r="QXQ139" s="3"/>
      <c r="QXR139" s="3"/>
      <c r="QXS139" s="3"/>
      <c r="QXT139" s="3"/>
      <c r="QXU139" s="3"/>
      <c r="QXV139" s="3"/>
      <c r="QXW139" s="3"/>
      <c r="QXX139" s="3"/>
      <c r="QXY139" s="3"/>
      <c r="QXZ139" s="3"/>
      <c r="QYA139" s="3"/>
      <c r="QYB139" s="3"/>
      <c r="QYC139" s="3"/>
      <c r="QYD139" s="3"/>
      <c r="QYE139" s="3"/>
      <c r="QYF139" s="3"/>
      <c r="QYG139" s="3"/>
      <c r="QYH139" s="3"/>
      <c r="QYI139" s="3"/>
      <c r="QYJ139" s="3"/>
      <c r="QYK139" s="3"/>
      <c r="QYL139" s="3"/>
      <c r="QYM139" s="3"/>
      <c r="QYN139" s="3"/>
      <c r="QYO139" s="3"/>
      <c r="QYP139" s="3"/>
      <c r="QYQ139" s="3"/>
      <c r="QYR139" s="3"/>
      <c r="QYS139" s="3"/>
      <c r="QYT139" s="3"/>
      <c r="QYU139" s="3"/>
      <c r="QYV139" s="3"/>
      <c r="QYW139" s="3"/>
      <c r="QYX139" s="3"/>
      <c r="QYY139" s="3"/>
      <c r="QYZ139" s="3"/>
      <c r="QZA139" s="3"/>
      <c r="QZB139" s="3"/>
      <c r="QZC139" s="3"/>
      <c r="QZD139" s="3"/>
      <c r="QZE139" s="3"/>
      <c r="QZF139" s="3"/>
      <c r="QZG139" s="3"/>
      <c r="QZH139" s="3"/>
      <c r="QZI139" s="3"/>
      <c r="QZJ139" s="3"/>
      <c r="QZK139" s="3"/>
      <c r="QZL139" s="3"/>
      <c r="QZM139" s="3"/>
      <c r="QZN139" s="3"/>
      <c r="QZO139" s="3"/>
      <c r="QZP139" s="3"/>
      <c r="QZQ139" s="3"/>
      <c r="QZR139" s="3"/>
      <c r="QZS139" s="3"/>
      <c r="QZT139" s="3"/>
      <c r="QZU139" s="3"/>
      <c r="QZV139" s="3"/>
      <c r="QZW139" s="3"/>
      <c r="QZX139" s="3"/>
      <c r="QZY139" s="3"/>
      <c r="QZZ139" s="3"/>
      <c r="RAA139" s="3"/>
      <c r="RAB139" s="3"/>
      <c r="RAC139" s="3"/>
      <c r="RAD139" s="3"/>
      <c r="RAE139" s="3"/>
      <c r="RAF139" s="3"/>
      <c r="RAG139" s="3"/>
      <c r="RAH139" s="3"/>
      <c r="RAI139" s="3"/>
      <c r="RAJ139" s="3"/>
      <c r="RAK139" s="3"/>
      <c r="RAL139" s="3"/>
      <c r="RAM139" s="3"/>
      <c r="RAN139" s="3"/>
      <c r="RAO139" s="3"/>
      <c r="RAP139" s="3"/>
      <c r="RAQ139" s="3"/>
      <c r="RAR139" s="3"/>
      <c r="RAS139" s="3"/>
      <c r="RAT139" s="3"/>
      <c r="RAU139" s="3"/>
      <c r="RAV139" s="3"/>
      <c r="RAW139" s="3"/>
      <c r="RAX139" s="3"/>
      <c r="RAY139" s="3"/>
      <c r="RAZ139" s="3"/>
      <c r="RBA139" s="3"/>
      <c r="RBB139" s="3"/>
      <c r="RBC139" s="3"/>
      <c r="RBD139" s="3"/>
      <c r="RBE139" s="3"/>
      <c r="RBF139" s="3"/>
      <c r="RBG139" s="3"/>
      <c r="RBH139" s="3"/>
      <c r="RBI139" s="3"/>
      <c r="RBJ139" s="3"/>
      <c r="RBK139" s="3"/>
      <c r="RBL139" s="3"/>
      <c r="RBM139" s="3"/>
      <c r="RBN139" s="3"/>
      <c r="RBO139" s="3"/>
      <c r="RBP139" s="3"/>
      <c r="RBQ139" s="3"/>
      <c r="RBR139" s="3"/>
      <c r="RBS139" s="3"/>
      <c r="RBT139" s="3"/>
      <c r="RBU139" s="3"/>
      <c r="RBV139" s="3"/>
      <c r="RBW139" s="3"/>
      <c r="RBX139" s="3"/>
      <c r="RBY139" s="3"/>
      <c r="RBZ139" s="3"/>
      <c r="RCA139" s="3"/>
      <c r="RCB139" s="3"/>
      <c r="RCC139" s="3"/>
      <c r="RCD139" s="3"/>
      <c r="RCE139" s="3"/>
      <c r="RCF139" s="3"/>
      <c r="RCG139" s="3"/>
      <c r="RCH139" s="3"/>
      <c r="RCI139" s="3"/>
      <c r="RCJ139" s="3"/>
      <c r="RCK139" s="3"/>
      <c r="RCL139" s="3"/>
      <c r="RCM139" s="3"/>
      <c r="RCN139" s="3"/>
      <c r="RCO139" s="3"/>
      <c r="RCP139" s="3"/>
      <c r="RCQ139" s="3"/>
      <c r="RCR139" s="3"/>
      <c r="RCS139" s="3"/>
      <c r="RCT139" s="3"/>
      <c r="RCU139" s="3"/>
      <c r="RCV139" s="3"/>
      <c r="RCW139" s="3"/>
      <c r="RCX139" s="3"/>
      <c r="RCY139" s="3"/>
      <c r="RCZ139" s="3"/>
      <c r="RDA139" s="3"/>
      <c r="RDB139" s="3"/>
      <c r="RDC139" s="3"/>
      <c r="RDD139" s="3"/>
      <c r="RDE139" s="3"/>
      <c r="RDF139" s="3"/>
      <c r="RDG139" s="3"/>
      <c r="RDH139" s="3"/>
      <c r="RDI139" s="3"/>
      <c r="RDJ139" s="3"/>
      <c r="RDK139" s="3"/>
      <c r="RDL139" s="3"/>
      <c r="RDM139" s="3"/>
      <c r="RDN139" s="3"/>
      <c r="RDO139" s="3"/>
      <c r="RDP139" s="3"/>
      <c r="RDQ139" s="3"/>
      <c r="RDR139" s="3"/>
      <c r="RDS139" s="3"/>
      <c r="RDT139" s="3"/>
      <c r="RDU139" s="3"/>
      <c r="RDV139" s="3"/>
      <c r="RDW139" s="3"/>
      <c r="RDX139" s="3"/>
      <c r="RDY139" s="3"/>
      <c r="RDZ139" s="3"/>
      <c r="REA139" s="3"/>
      <c r="REB139" s="3"/>
      <c r="REC139" s="3"/>
      <c r="RED139" s="3"/>
      <c r="REE139" s="3"/>
      <c r="REF139" s="3"/>
      <c r="REG139" s="3"/>
      <c r="REH139" s="3"/>
      <c r="REI139" s="3"/>
      <c r="REJ139" s="3"/>
      <c r="REK139" s="3"/>
      <c r="REL139" s="3"/>
      <c r="REM139" s="3"/>
      <c r="REN139" s="3"/>
      <c r="REO139" s="3"/>
      <c r="REP139" s="3"/>
      <c r="REQ139" s="3"/>
      <c r="RER139" s="3"/>
      <c r="RES139" s="3"/>
      <c r="RET139" s="3"/>
      <c r="REU139" s="3"/>
      <c r="REV139" s="3"/>
      <c r="REW139" s="3"/>
      <c r="REX139" s="3"/>
      <c r="REY139" s="3"/>
      <c r="REZ139" s="3"/>
      <c r="RFA139" s="3"/>
      <c r="RFB139" s="3"/>
      <c r="RFC139" s="3"/>
      <c r="RFD139" s="3"/>
      <c r="RFE139" s="3"/>
      <c r="RFF139" s="3"/>
      <c r="RFG139" s="3"/>
      <c r="RFH139" s="3"/>
      <c r="RFI139" s="3"/>
      <c r="RFJ139" s="3"/>
      <c r="RFK139" s="3"/>
      <c r="RFL139" s="3"/>
      <c r="RFM139" s="3"/>
      <c r="RFN139" s="3"/>
      <c r="RFO139" s="3"/>
      <c r="RFP139" s="3"/>
      <c r="RFQ139" s="3"/>
      <c r="RFR139" s="3"/>
      <c r="RFS139" s="3"/>
      <c r="RFT139" s="3"/>
      <c r="RFU139" s="3"/>
      <c r="RFV139" s="3"/>
      <c r="RFW139" s="3"/>
      <c r="RFX139" s="3"/>
      <c r="RFY139" s="3"/>
      <c r="RFZ139" s="3"/>
      <c r="RGA139" s="3"/>
      <c r="RGB139" s="3"/>
      <c r="RGC139" s="3"/>
      <c r="RGD139" s="3"/>
      <c r="RGE139" s="3"/>
      <c r="RGF139" s="3"/>
      <c r="RGG139" s="3"/>
      <c r="RGH139" s="3"/>
      <c r="RGI139" s="3"/>
      <c r="RGJ139" s="3"/>
      <c r="RGK139" s="3"/>
      <c r="RGL139" s="3"/>
      <c r="RGM139" s="3"/>
      <c r="RGN139" s="3"/>
      <c r="RGO139" s="3"/>
      <c r="RGP139" s="3"/>
      <c r="RGQ139" s="3"/>
      <c r="RGR139" s="3"/>
      <c r="RGS139" s="3"/>
      <c r="RGT139" s="3"/>
      <c r="RGU139" s="3"/>
      <c r="RGV139" s="3"/>
      <c r="RGW139" s="3"/>
      <c r="RGX139" s="3"/>
      <c r="RGY139" s="3"/>
      <c r="RGZ139" s="3"/>
      <c r="RHA139" s="3"/>
      <c r="RHB139" s="3"/>
      <c r="RHC139" s="3"/>
      <c r="RHD139" s="3"/>
      <c r="RHE139" s="3"/>
      <c r="RHF139" s="3"/>
      <c r="RHG139" s="3"/>
      <c r="RHH139" s="3"/>
      <c r="RHI139" s="3"/>
      <c r="RHJ139" s="3"/>
      <c r="RHK139" s="3"/>
      <c r="RHL139" s="3"/>
      <c r="RHM139" s="3"/>
      <c r="RHN139" s="3"/>
      <c r="RHO139" s="3"/>
      <c r="RHP139" s="3"/>
      <c r="RHQ139" s="3"/>
      <c r="RHR139" s="3"/>
      <c r="RHS139" s="3"/>
      <c r="RHT139" s="3"/>
      <c r="RHU139" s="3"/>
      <c r="RHV139" s="3"/>
      <c r="RHW139" s="3"/>
      <c r="RHX139" s="3"/>
      <c r="RHY139" s="3"/>
      <c r="RHZ139" s="3"/>
      <c r="RIA139" s="3"/>
      <c r="RIB139" s="3"/>
      <c r="RIC139" s="3"/>
      <c r="RID139" s="3"/>
      <c r="RIE139" s="3"/>
      <c r="RIF139" s="3"/>
      <c r="RIG139" s="3"/>
      <c r="RIH139" s="3"/>
      <c r="RII139" s="3"/>
      <c r="RIJ139" s="3"/>
      <c r="RIK139" s="3"/>
      <c r="RIL139" s="3"/>
      <c r="RIM139" s="3"/>
      <c r="RIN139" s="3"/>
      <c r="RIO139" s="3"/>
      <c r="RIP139" s="3"/>
      <c r="RIQ139" s="3"/>
      <c r="RIR139" s="3"/>
      <c r="RIS139" s="3"/>
      <c r="RIT139" s="3"/>
      <c r="RIU139" s="3"/>
      <c r="RIV139" s="3"/>
      <c r="RIW139" s="3"/>
      <c r="RIX139" s="3"/>
      <c r="RIY139" s="3"/>
      <c r="RIZ139" s="3"/>
      <c r="RJA139" s="3"/>
      <c r="RJB139" s="3"/>
      <c r="RJC139" s="3"/>
      <c r="RJD139" s="3"/>
      <c r="RJE139" s="3"/>
      <c r="RJF139" s="3"/>
      <c r="RJG139" s="3"/>
      <c r="RJH139" s="3"/>
      <c r="RJI139" s="3"/>
      <c r="RJJ139" s="3"/>
      <c r="RJK139" s="3"/>
      <c r="RJL139" s="3"/>
      <c r="RJM139" s="3"/>
      <c r="RJN139" s="3"/>
      <c r="RJO139" s="3"/>
      <c r="RJP139" s="3"/>
      <c r="RJQ139" s="3"/>
      <c r="RJR139" s="3"/>
      <c r="RJS139" s="3"/>
      <c r="RJT139" s="3"/>
      <c r="RJU139" s="3"/>
      <c r="RJV139" s="3"/>
      <c r="RJW139" s="3"/>
      <c r="RJX139" s="3"/>
      <c r="RJY139" s="3"/>
      <c r="RJZ139" s="3"/>
      <c r="RKA139" s="3"/>
      <c r="RKB139" s="3"/>
      <c r="RKC139" s="3"/>
      <c r="RKD139" s="3"/>
      <c r="RKE139" s="3"/>
      <c r="RKF139" s="3"/>
      <c r="RKG139" s="3"/>
      <c r="RKH139" s="3"/>
      <c r="RKI139" s="3"/>
      <c r="RKJ139" s="3"/>
      <c r="RKK139" s="3"/>
      <c r="RKL139" s="3"/>
      <c r="RKM139" s="3"/>
      <c r="RKN139" s="3"/>
      <c r="RKO139" s="3"/>
      <c r="RKP139" s="3"/>
      <c r="RKQ139" s="3"/>
      <c r="RKR139" s="3"/>
      <c r="RKS139" s="3"/>
      <c r="RKT139" s="3"/>
      <c r="RKU139" s="3"/>
      <c r="RKV139" s="3"/>
      <c r="RKW139" s="3"/>
      <c r="RKX139" s="3"/>
      <c r="RKY139" s="3"/>
      <c r="RKZ139" s="3"/>
      <c r="RLA139" s="3"/>
      <c r="RLB139" s="3"/>
      <c r="RLC139" s="3"/>
      <c r="RLD139" s="3"/>
      <c r="RLE139" s="3"/>
      <c r="RLF139" s="3"/>
      <c r="RLG139" s="3"/>
      <c r="RLH139" s="3"/>
      <c r="RLI139" s="3"/>
      <c r="RLJ139" s="3"/>
      <c r="RLK139" s="3"/>
      <c r="RLL139" s="3"/>
      <c r="RLM139" s="3"/>
      <c r="RLN139" s="3"/>
      <c r="RLO139" s="3"/>
      <c r="RLP139" s="3"/>
      <c r="RLQ139" s="3"/>
      <c r="RLR139" s="3"/>
      <c r="RLS139" s="3"/>
      <c r="RLT139" s="3"/>
      <c r="RLU139" s="3"/>
      <c r="RLV139" s="3"/>
      <c r="RLW139" s="3"/>
      <c r="RLX139" s="3"/>
      <c r="RLY139" s="3"/>
      <c r="RLZ139" s="3"/>
      <c r="RMA139" s="3"/>
      <c r="RMB139" s="3"/>
      <c r="RMC139" s="3"/>
      <c r="RMD139" s="3"/>
      <c r="RME139" s="3"/>
      <c r="RMF139" s="3"/>
      <c r="RMG139" s="3"/>
      <c r="RMH139" s="3"/>
      <c r="RMI139" s="3"/>
      <c r="RMJ139" s="3"/>
      <c r="RMK139" s="3"/>
      <c r="RML139" s="3"/>
      <c r="RMM139" s="3"/>
      <c r="RMN139" s="3"/>
      <c r="RMO139" s="3"/>
      <c r="RMP139" s="3"/>
      <c r="RMQ139" s="3"/>
      <c r="RMR139" s="3"/>
      <c r="RMS139" s="3"/>
      <c r="RMT139" s="3"/>
      <c r="RMU139" s="3"/>
      <c r="RMV139" s="3"/>
      <c r="RMW139" s="3"/>
      <c r="RMX139" s="3"/>
      <c r="RMY139" s="3"/>
      <c r="RMZ139" s="3"/>
      <c r="RNA139" s="3"/>
      <c r="RNB139" s="3"/>
      <c r="RNC139" s="3"/>
      <c r="RND139" s="3"/>
      <c r="RNE139" s="3"/>
      <c r="RNF139" s="3"/>
      <c r="RNG139" s="3"/>
      <c r="RNH139" s="3"/>
      <c r="RNI139" s="3"/>
      <c r="RNJ139" s="3"/>
      <c r="RNK139" s="3"/>
      <c r="RNL139" s="3"/>
      <c r="RNM139" s="3"/>
      <c r="RNN139" s="3"/>
      <c r="RNO139" s="3"/>
      <c r="RNP139" s="3"/>
      <c r="RNQ139" s="3"/>
      <c r="RNR139" s="3"/>
      <c r="RNS139" s="3"/>
      <c r="RNT139" s="3"/>
      <c r="RNU139" s="3"/>
      <c r="RNV139" s="3"/>
      <c r="RNW139" s="3"/>
      <c r="RNX139" s="3"/>
      <c r="RNY139" s="3"/>
      <c r="RNZ139" s="3"/>
      <c r="ROA139" s="3"/>
      <c r="ROB139" s="3"/>
      <c r="ROC139" s="3"/>
      <c r="ROD139" s="3"/>
      <c r="ROE139" s="3"/>
      <c r="ROF139" s="3"/>
      <c r="ROG139" s="3"/>
      <c r="ROH139" s="3"/>
      <c r="ROI139" s="3"/>
      <c r="ROJ139" s="3"/>
      <c r="ROK139" s="3"/>
      <c r="ROL139" s="3"/>
      <c r="ROM139" s="3"/>
      <c r="RON139" s="3"/>
      <c r="ROO139" s="3"/>
      <c r="ROP139" s="3"/>
      <c r="ROQ139" s="3"/>
      <c r="ROR139" s="3"/>
      <c r="ROS139" s="3"/>
      <c r="ROT139" s="3"/>
      <c r="ROU139" s="3"/>
      <c r="ROV139" s="3"/>
      <c r="ROW139" s="3"/>
      <c r="ROX139" s="3"/>
      <c r="ROY139" s="3"/>
      <c r="ROZ139" s="3"/>
      <c r="RPA139" s="3"/>
      <c r="RPB139" s="3"/>
      <c r="RPC139" s="3"/>
      <c r="RPD139" s="3"/>
      <c r="RPE139" s="3"/>
      <c r="RPF139" s="3"/>
      <c r="RPG139" s="3"/>
      <c r="RPH139" s="3"/>
      <c r="RPI139" s="3"/>
      <c r="RPJ139" s="3"/>
      <c r="RPK139" s="3"/>
      <c r="RPL139" s="3"/>
      <c r="RPM139" s="3"/>
      <c r="RPN139" s="3"/>
      <c r="RPO139" s="3"/>
      <c r="RPP139" s="3"/>
      <c r="RPQ139" s="3"/>
      <c r="RPR139" s="3"/>
      <c r="RPS139" s="3"/>
      <c r="RPT139" s="3"/>
      <c r="RPU139" s="3"/>
      <c r="RPV139" s="3"/>
      <c r="RPW139" s="3"/>
      <c r="RPX139" s="3"/>
      <c r="RPY139" s="3"/>
      <c r="RPZ139" s="3"/>
      <c r="RQA139" s="3"/>
      <c r="RQB139" s="3"/>
      <c r="RQC139" s="3"/>
      <c r="RQD139" s="3"/>
      <c r="RQE139" s="3"/>
      <c r="RQF139" s="3"/>
      <c r="RQG139" s="3"/>
      <c r="RQH139" s="3"/>
      <c r="RQI139" s="3"/>
      <c r="RQJ139" s="3"/>
      <c r="RQK139" s="3"/>
      <c r="RQL139" s="3"/>
      <c r="RQM139" s="3"/>
      <c r="RQN139" s="3"/>
      <c r="RQO139" s="3"/>
      <c r="RQP139" s="3"/>
      <c r="RQQ139" s="3"/>
      <c r="RQR139" s="3"/>
      <c r="RQS139" s="3"/>
      <c r="RQT139" s="3"/>
      <c r="RQU139" s="3"/>
      <c r="RQV139" s="3"/>
      <c r="RQW139" s="3"/>
      <c r="RQX139" s="3"/>
      <c r="RQY139" s="3"/>
      <c r="RQZ139" s="3"/>
      <c r="RRA139" s="3"/>
      <c r="RRB139" s="3"/>
      <c r="RRC139" s="3"/>
      <c r="RRD139" s="3"/>
      <c r="RRE139" s="3"/>
      <c r="RRF139" s="3"/>
      <c r="RRG139" s="3"/>
      <c r="RRH139" s="3"/>
      <c r="RRI139" s="3"/>
      <c r="RRJ139" s="3"/>
      <c r="RRK139" s="3"/>
      <c r="RRL139" s="3"/>
      <c r="RRM139" s="3"/>
      <c r="RRN139" s="3"/>
      <c r="RRO139" s="3"/>
      <c r="RRP139" s="3"/>
      <c r="RRQ139" s="3"/>
      <c r="RRR139" s="3"/>
      <c r="RRS139" s="3"/>
      <c r="RRT139" s="3"/>
      <c r="RRU139" s="3"/>
      <c r="RRV139" s="3"/>
      <c r="RRW139" s="3"/>
      <c r="RRX139" s="3"/>
      <c r="RRY139" s="3"/>
      <c r="RRZ139" s="3"/>
      <c r="RSA139" s="3"/>
      <c r="RSB139" s="3"/>
      <c r="RSC139" s="3"/>
      <c r="RSD139" s="3"/>
      <c r="RSE139" s="3"/>
      <c r="RSF139" s="3"/>
      <c r="RSG139" s="3"/>
      <c r="RSH139" s="3"/>
      <c r="RSI139" s="3"/>
      <c r="RSJ139" s="3"/>
      <c r="RSK139" s="3"/>
      <c r="RSL139" s="3"/>
      <c r="RSM139" s="3"/>
      <c r="RSN139" s="3"/>
      <c r="RSO139" s="3"/>
      <c r="RSP139" s="3"/>
      <c r="RSQ139" s="3"/>
      <c r="RSR139" s="3"/>
      <c r="RSS139" s="3"/>
      <c r="RST139" s="3"/>
      <c r="RSU139" s="3"/>
      <c r="RSV139" s="3"/>
      <c r="RSW139" s="3"/>
      <c r="RSX139" s="3"/>
      <c r="RSY139" s="3"/>
      <c r="RSZ139" s="3"/>
      <c r="RTA139" s="3"/>
      <c r="RTB139" s="3"/>
      <c r="RTC139" s="3"/>
      <c r="RTD139" s="3"/>
      <c r="RTE139" s="3"/>
      <c r="RTF139" s="3"/>
      <c r="RTG139" s="3"/>
      <c r="RTH139" s="3"/>
      <c r="RTI139" s="3"/>
      <c r="RTJ139" s="3"/>
      <c r="RTK139" s="3"/>
      <c r="RTL139" s="3"/>
      <c r="RTM139" s="3"/>
      <c r="RTN139" s="3"/>
      <c r="RTO139" s="3"/>
      <c r="RTP139" s="3"/>
      <c r="RTQ139" s="3"/>
      <c r="RTR139" s="3"/>
      <c r="RTS139" s="3"/>
      <c r="RTT139" s="3"/>
      <c r="RTU139" s="3"/>
      <c r="RTV139" s="3"/>
      <c r="RTW139" s="3"/>
      <c r="RTX139" s="3"/>
      <c r="RTY139" s="3"/>
      <c r="RTZ139" s="3"/>
      <c r="RUA139" s="3"/>
      <c r="RUB139" s="3"/>
      <c r="RUC139" s="3"/>
      <c r="RUD139" s="3"/>
      <c r="RUE139" s="3"/>
      <c r="RUF139" s="3"/>
      <c r="RUG139" s="3"/>
      <c r="RUH139" s="3"/>
      <c r="RUI139" s="3"/>
      <c r="RUJ139" s="3"/>
      <c r="RUK139" s="3"/>
      <c r="RUL139" s="3"/>
      <c r="RUM139" s="3"/>
      <c r="RUN139" s="3"/>
      <c r="RUO139" s="3"/>
      <c r="RUP139" s="3"/>
      <c r="RUQ139" s="3"/>
      <c r="RUR139" s="3"/>
      <c r="RUS139" s="3"/>
      <c r="RUT139" s="3"/>
      <c r="RUU139" s="3"/>
      <c r="RUV139" s="3"/>
      <c r="RUW139" s="3"/>
      <c r="RUX139" s="3"/>
      <c r="RUY139" s="3"/>
      <c r="RUZ139" s="3"/>
      <c r="RVA139" s="3"/>
      <c r="RVB139" s="3"/>
      <c r="RVC139" s="3"/>
      <c r="RVD139" s="3"/>
      <c r="RVE139" s="3"/>
      <c r="RVF139" s="3"/>
      <c r="RVG139" s="3"/>
      <c r="RVH139" s="3"/>
      <c r="RVI139" s="3"/>
      <c r="RVJ139" s="3"/>
      <c r="RVK139" s="3"/>
      <c r="RVL139" s="3"/>
      <c r="RVM139" s="3"/>
      <c r="RVN139" s="3"/>
      <c r="RVO139" s="3"/>
      <c r="RVP139" s="3"/>
      <c r="RVQ139" s="3"/>
      <c r="RVR139" s="3"/>
      <c r="RVS139" s="3"/>
      <c r="RVT139" s="3"/>
      <c r="RVU139" s="3"/>
      <c r="RVV139" s="3"/>
      <c r="RVW139" s="3"/>
      <c r="RVX139" s="3"/>
      <c r="RVY139" s="3"/>
      <c r="RVZ139" s="3"/>
      <c r="RWA139" s="3"/>
      <c r="RWB139" s="3"/>
      <c r="RWC139" s="3"/>
      <c r="RWD139" s="3"/>
      <c r="RWE139" s="3"/>
      <c r="RWF139" s="3"/>
      <c r="RWG139" s="3"/>
      <c r="RWH139" s="3"/>
      <c r="RWI139" s="3"/>
      <c r="RWJ139" s="3"/>
      <c r="RWK139" s="3"/>
      <c r="RWL139" s="3"/>
      <c r="RWM139" s="3"/>
      <c r="RWN139" s="3"/>
      <c r="RWO139" s="3"/>
      <c r="RWP139" s="3"/>
      <c r="RWQ139" s="3"/>
      <c r="RWR139" s="3"/>
      <c r="RWS139" s="3"/>
      <c r="RWT139" s="3"/>
      <c r="RWU139" s="3"/>
      <c r="RWV139" s="3"/>
      <c r="RWW139" s="3"/>
      <c r="RWX139" s="3"/>
      <c r="RWY139" s="3"/>
      <c r="RWZ139" s="3"/>
      <c r="RXA139" s="3"/>
      <c r="RXB139" s="3"/>
      <c r="RXC139" s="3"/>
      <c r="RXD139" s="3"/>
      <c r="RXE139" s="3"/>
      <c r="RXF139" s="3"/>
      <c r="RXG139" s="3"/>
      <c r="RXH139" s="3"/>
      <c r="RXI139" s="3"/>
      <c r="RXJ139" s="3"/>
      <c r="RXK139" s="3"/>
      <c r="RXL139" s="3"/>
      <c r="RXM139" s="3"/>
      <c r="RXN139" s="3"/>
      <c r="RXO139" s="3"/>
      <c r="RXP139" s="3"/>
      <c r="RXQ139" s="3"/>
      <c r="RXR139" s="3"/>
      <c r="RXS139" s="3"/>
      <c r="RXT139" s="3"/>
      <c r="RXU139" s="3"/>
      <c r="RXV139" s="3"/>
      <c r="RXW139" s="3"/>
      <c r="RXX139" s="3"/>
      <c r="RXY139" s="3"/>
      <c r="RXZ139" s="3"/>
      <c r="RYA139" s="3"/>
      <c r="RYB139" s="3"/>
      <c r="RYC139" s="3"/>
      <c r="RYD139" s="3"/>
      <c r="RYE139" s="3"/>
      <c r="RYF139" s="3"/>
      <c r="RYG139" s="3"/>
      <c r="RYH139" s="3"/>
      <c r="RYI139" s="3"/>
      <c r="RYJ139" s="3"/>
      <c r="RYK139" s="3"/>
      <c r="RYL139" s="3"/>
      <c r="RYM139" s="3"/>
      <c r="RYN139" s="3"/>
      <c r="RYO139" s="3"/>
      <c r="RYP139" s="3"/>
      <c r="RYQ139" s="3"/>
      <c r="RYR139" s="3"/>
      <c r="RYS139" s="3"/>
      <c r="RYT139" s="3"/>
      <c r="RYU139" s="3"/>
      <c r="RYV139" s="3"/>
      <c r="RYW139" s="3"/>
      <c r="RYX139" s="3"/>
      <c r="RYY139" s="3"/>
      <c r="RYZ139" s="3"/>
      <c r="RZA139" s="3"/>
      <c r="RZB139" s="3"/>
      <c r="RZC139" s="3"/>
      <c r="RZD139" s="3"/>
      <c r="RZE139" s="3"/>
      <c r="RZF139" s="3"/>
      <c r="RZG139" s="3"/>
      <c r="RZH139" s="3"/>
      <c r="RZI139" s="3"/>
      <c r="RZJ139" s="3"/>
      <c r="RZK139" s="3"/>
      <c r="RZL139" s="3"/>
      <c r="RZM139" s="3"/>
      <c r="RZN139" s="3"/>
      <c r="RZO139" s="3"/>
      <c r="RZP139" s="3"/>
      <c r="RZQ139" s="3"/>
      <c r="RZR139" s="3"/>
      <c r="RZS139" s="3"/>
      <c r="RZT139" s="3"/>
      <c r="RZU139" s="3"/>
      <c r="RZV139" s="3"/>
      <c r="RZW139" s="3"/>
      <c r="RZX139" s="3"/>
      <c r="RZY139" s="3"/>
      <c r="RZZ139" s="3"/>
      <c r="SAA139" s="3"/>
      <c r="SAB139" s="3"/>
      <c r="SAC139" s="3"/>
      <c r="SAD139" s="3"/>
      <c r="SAE139" s="3"/>
      <c r="SAF139" s="3"/>
      <c r="SAG139" s="3"/>
      <c r="SAH139" s="3"/>
      <c r="SAI139" s="3"/>
      <c r="SAJ139" s="3"/>
      <c r="SAK139" s="3"/>
      <c r="SAL139" s="3"/>
      <c r="SAM139" s="3"/>
      <c r="SAN139" s="3"/>
      <c r="SAO139" s="3"/>
      <c r="SAP139" s="3"/>
      <c r="SAQ139" s="3"/>
      <c r="SAR139" s="3"/>
      <c r="SAS139" s="3"/>
      <c r="SAT139" s="3"/>
      <c r="SAU139" s="3"/>
      <c r="SAV139" s="3"/>
      <c r="SAW139" s="3"/>
      <c r="SAX139" s="3"/>
      <c r="SAY139" s="3"/>
      <c r="SAZ139" s="3"/>
      <c r="SBA139" s="3"/>
      <c r="SBB139" s="3"/>
      <c r="SBC139" s="3"/>
      <c r="SBD139" s="3"/>
      <c r="SBE139" s="3"/>
      <c r="SBF139" s="3"/>
      <c r="SBG139" s="3"/>
      <c r="SBH139" s="3"/>
      <c r="SBI139" s="3"/>
      <c r="SBJ139" s="3"/>
      <c r="SBK139" s="3"/>
      <c r="SBL139" s="3"/>
      <c r="SBM139" s="3"/>
      <c r="SBN139" s="3"/>
      <c r="SBO139" s="3"/>
      <c r="SBP139" s="3"/>
      <c r="SBQ139" s="3"/>
      <c r="SBR139" s="3"/>
      <c r="SBS139" s="3"/>
      <c r="SBT139" s="3"/>
      <c r="SBU139" s="3"/>
      <c r="SBV139" s="3"/>
      <c r="SBW139" s="3"/>
      <c r="SBX139" s="3"/>
      <c r="SBY139" s="3"/>
      <c r="SBZ139" s="3"/>
      <c r="SCA139" s="3"/>
      <c r="SCB139" s="3"/>
      <c r="SCC139" s="3"/>
      <c r="SCD139" s="3"/>
      <c r="SCE139" s="3"/>
      <c r="SCF139" s="3"/>
      <c r="SCG139" s="3"/>
      <c r="SCH139" s="3"/>
      <c r="SCI139" s="3"/>
      <c r="SCJ139" s="3"/>
      <c r="SCK139" s="3"/>
      <c r="SCL139" s="3"/>
      <c r="SCM139" s="3"/>
      <c r="SCN139" s="3"/>
      <c r="SCO139" s="3"/>
      <c r="SCP139" s="3"/>
      <c r="SCQ139" s="3"/>
      <c r="SCR139" s="3"/>
      <c r="SCS139" s="3"/>
      <c r="SCT139" s="3"/>
      <c r="SCU139" s="3"/>
      <c r="SCV139" s="3"/>
      <c r="SCW139" s="3"/>
      <c r="SCX139" s="3"/>
      <c r="SCY139" s="3"/>
      <c r="SCZ139" s="3"/>
      <c r="SDA139" s="3"/>
      <c r="SDB139" s="3"/>
      <c r="SDC139" s="3"/>
      <c r="SDD139" s="3"/>
      <c r="SDE139" s="3"/>
      <c r="SDF139" s="3"/>
      <c r="SDG139" s="3"/>
      <c r="SDH139" s="3"/>
      <c r="SDI139" s="3"/>
      <c r="SDJ139" s="3"/>
      <c r="SDK139" s="3"/>
      <c r="SDL139" s="3"/>
      <c r="SDM139" s="3"/>
      <c r="SDN139" s="3"/>
      <c r="SDO139" s="3"/>
      <c r="SDP139" s="3"/>
      <c r="SDQ139" s="3"/>
      <c r="SDR139" s="3"/>
      <c r="SDS139" s="3"/>
      <c r="SDT139" s="3"/>
      <c r="SDU139" s="3"/>
      <c r="SDV139" s="3"/>
      <c r="SDW139" s="3"/>
      <c r="SDX139" s="3"/>
      <c r="SDY139" s="3"/>
      <c r="SDZ139" s="3"/>
      <c r="SEA139" s="3"/>
      <c r="SEB139" s="3"/>
      <c r="SEC139" s="3"/>
      <c r="SED139" s="3"/>
      <c r="SEE139" s="3"/>
      <c r="SEF139" s="3"/>
      <c r="SEG139" s="3"/>
      <c r="SEH139" s="3"/>
      <c r="SEI139" s="3"/>
      <c r="SEJ139" s="3"/>
      <c r="SEK139" s="3"/>
      <c r="SEL139" s="3"/>
      <c r="SEM139" s="3"/>
      <c r="SEN139" s="3"/>
      <c r="SEO139" s="3"/>
      <c r="SEP139" s="3"/>
      <c r="SEQ139" s="3"/>
      <c r="SER139" s="3"/>
      <c r="SES139" s="3"/>
      <c r="SET139" s="3"/>
      <c r="SEU139" s="3"/>
      <c r="SEV139" s="3"/>
      <c r="SEW139" s="3"/>
      <c r="SEX139" s="3"/>
      <c r="SEY139" s="3"/>
      <c r="SEZ139" s="3"/>
      <c r="SFA139" s="3"/>
      <c r="SFB139" s="3"/>
      <c r="SFC139" s="3"/>
      <c r="SFD139" s="3"/>
      <c r="SFE139" s="3"/>
      <c r="SFF139" s="3"/>
      <c r="SFG139" s="3"/>
      <c r="SFH139" s="3"/>
      <c r="SFI139" s="3"/>
      <c r="SFJ139" s="3"/>
      <c r="SFK139" s="3"/>
      <c r="SFL139" s="3"/>
      <c r="SFM139" s="3"/>
      <c r="SFN139" s="3"/>
      <c r="SFO139" s="3"/>
      <c r="SFP139" s="3"/>
      <c r="SFQ139" s="3"/>
      <c r="SFR139" s="3"/>
      <c r="SFS139" s="3"/>
      <c r="SFT139" s="3"/>
      <c r="SFU139" s="3"/>
      <c r="SFV139" s="3"/>
      <c r="SFW139" s="3"/>
      <c r="SFX139" s="3"/>
      <c r="SFY139" s="3"/>
      <c r="SFZ139" s="3"/>
      <c r="SGA139" s="3"/>
      <c r="SGB139" s="3"/>
      <c r="SGC139" s="3"/>
      <c r="SGD139" s="3"/>
      <c r="SGE139" s="3"/>
      <c r="SGF139" s="3"/>
      <c r="SGG139" s="3"/>
      <c r="SGH139" s="3"/>
      <c r="SGI139" s="3"/>
      <c r="SGJ139" s="3"/>
      <c r="SGK139" s="3"/>
      <c r="SGL139" s="3"/>
      <c r="SGM139" s="3"/>
      <c r="SGN139" s="3"/>
      <c r="SGO139" s="3"/>
      <c r="SGP139" s="3"/>
      <c r="SGQ139" s="3"/>
      <c r="SGR139" s="3"/>
      <c r="SGS139" s="3"/>
      <c r="SGT139" s="3"/>
      <c r="SGU139" s="3"/>
      <c r="SGV139" s="3"/>
      <c r="SGW139" s="3"/>
      <c r="SGX139" s="3"/>
      <c r="SGY139" s="3"/>
      <c r="SGZ139" s="3"/>
      <c r="SHA139" s="3"/>
      <c r="SHB139" s="3"/>
      <c r="SHC139" s="3"/>
      <c r="SHD139" s="3"/>
      <c r="SHE139" s="3"/>
      <c r="SHF139" s="3"/>
      <c r="SHG139" s="3"/>
      <c r="SHH139" s="3"/>
      <c r="SHI139" s="3"/>
      <c r="SHJ139" s="3"/>
      <c r="SHK139" s="3"/>
      <c r="SHL139" s="3"/>
      <c r="SHM139" s="3"/>
      <c r="SHN139" s="3"/>
      <c r="SHO139" s="3"/>
      <c r="SHP139" s="3"/>
      <c r="SHQ139" s="3"/>
      <c r="SHR139" s="3"/>
      <c r="SHS139" s="3"/>
      <c r="SHT139" s="3"/>
      <c r="SHU139" s="3"/>
      <c r="SHV139" s="3"/>
      <c r="SHW139" s="3"/>
      <c r="SHX139" s="3"/>
      <c r="SHY139" s="3"/>
      <c r="SHZ139" s="3"/>
      <c r="SIA139" s="3"/>
      <c r="SIB139" s="3"/>
      <c r="SIC139" s="3"/>
      <c r="SID139" s="3"/>
      <c r="SIE139" s="3"/>
      <c r="SIF139" s="3"/>
      <c r="SIG139" s="3"/>
      <c r="SIH139" s="3"/>
      <c r="SII139" s="3"/>
      <c r="SIJ139" s="3"/>
      <c r="SIK139" s="3"/>
      <c r="SIL139" s="3"/>
      <c r="SIM139" s="3"/>
      <c r="SIN139" s="3"/>
      <c r="SIO139" s="3"/>
      <c r="SIP139" s="3"/>
      <c r="SIQ139" s="3"/>
      <c r="SIR139" s="3"/>
      <c r="SIS139" s="3"/>
      <c r="SIT139" s="3"/>
      <c r="SIU139" s="3"/>
      <c r="SIV139" s="3"/>
      <c r="SIW139" s="3"/>
      <c r="SIX139" s="3"/>
      <c r="SIY139" s="3"/>
      <c r="SIZ139" s="3"/>
      <c r="SJA139" s="3"/>
      <c r="SJB139" s="3"/>
      <c r="SJC139" s="3"/>
      <c r="SJD139" s="3"/>
      <c r="SJE139" s="3"/>
      <c r="SJF139" s="3"/>
      <c r="SJG139" s="3"/>
      <c r="SJH139" s="3"/>
      <c r="SJI139" s="3"/>
      <c r="SJJ139" s="3"/>
      <c r="SJK139" s="3"/>
      <c r="SJL139" s="3"/>
      <c r="SJM139" s="3"/>
      <c r="SJN139" s="3"/>
      <c r="SJO139" s="3"/>
      <c r="SJP139" s="3"/>
      <c r="SJQ139" s="3"/>
      <c r="SJR139" s="3"/>
      <c r="SJS139" s="3"/>
      <c r="SJT139" s="3"/>
      <c r="SJU139" s="3"/>
      <c r="SJV139" s="3"/>
      <c r="SJW139" s="3"/>
      <c r="SJX139" s="3"/>
      <c r="SJY139" s="3"/>
      <c r="SJZ139" s="3"/>
      <c r="SKA139" s="3"/>
      <c r="SKB139" s="3"/>
      <c r="SKC139" s="3"/>
      <c r="SKD139" s="3"/>
      <c r="SKE139" s="3"/>
      <c r="SKF139" s="3"/>
      <c r="SKG139" s="3"/>
      <c r="SKH139" s="3"/>
      <c r="SKI139" s="3"/>
      <c r="SKJ139" s="3"/>
      <c r="SKK139" s="3"/>
      <c r="SKL139" s="3"/>
      <c r="SKM139" s="3"/>
      <c r="SKN139" s="3"/>
      <c r="SKO139" s="3"/>
      <c r="SKP139" s="3"/>
      <c r="SKQ139" s="3"/>
      <c r="SKR139" s="3"/>
      <c r="SKS139" s="3"/>
      <c r="SKT139" s="3"/>
      <c r="SKU139" s="3"/>
      <c r="SKV139" s="3"/>
      <c r="SKW139" s="3"/>
      <c r="SKX139" s="3"/>
      <c r="SKY139" s="3"/>
      <c r="SKZ139" s="3"/>
      <c r="SLA139" s="3"/>
      <c r="SLB139" s="3"/>
      <c r="SLC139" s="3"/>
      <c r="SLD139" s="3"/>
      <c r="SLE139" s="3"/>
      <c r="SLF139" s="3"/>
      <c r="SLG139" s="3"/>
      <c r="SLH139" s="3"/>
      <c r="SLI139" s="3"/>
      <c r="SLJ139" s="3"/>
      <c r="SLK139" s="3"/>
      <c r="SLL139" s="3"/>
      <c r="SLM139" s="3"/>
      <c r="SLN139" s="3"/>
      <c r="SLO139" s="3"/>
      <c r="SLP139" s="3"/>
      <c r="SLQ139" s="3"/>
      <c r="SLR139" s="3"/>
      <c r="SLS139" s="3"/>
      <c r="SLT139" s="3"/>
      <c r="SLU139" s="3"/>
      <c r="SLV139" s="3"/>
      <c r="SLW139" s="3"/>
      <c r="SLX139" s="3"/>
      <c r="SLY139" s="3"/>
      <c r="SLZ139" s="3"/>
      <c r="SMA139" s="3"/>
      <c r="SMB139" s="3"/>
      <c r="SMC139" s="3"/>
      <c r="SMD139" s="3"/>
      <c r="SME139" s="3"/>
      <c r="SMF139" s="3"/>
      <c r="SMG139" s="3"/>
      <c r="SMH139" s="3"/>
      <c r="SMI139" s="3"/>
      <c r="SMJ139" s="3"/>
      <c r="SMK139" s="3"/>
      <c r="SML139" s="3"/>
      <c r="SMM139" s="3"/>
      <c r="SMN139" s="3"/>
      <c r="SMO139" s="3"/>
      <c r="SMP139" s="3"/>
      <c r="SMQ139" s="3"/>
      <c r="SMR139" s="3"/>
      <c r="SMS139" s="3"/>
      <c r="SMT139" s="3"/>
      <c r="SMU139" s="3"/>
      <c r="SMV139" s="3"/>
      <c r="SMW139" s="3"/>
      <c r="SMX139" s="3"/>
      <c r="SMY139" s="3"/>
      <c r="SMZ139" s="3"/>
      <c r="SNA139" s="3"/>
      <c r="SNB139" s="3"/>
      <c r="SNC139" s="3"/>
      <c r="SND139" s="3"/>
      <c r="SNE139" s="3"/>
      <c r="SNF139" s="3"/>
      <c r="SNG139" s="3"/>
      <c r="SNH139" s="3"/>
      <c r="SNI139" s="3"/>
      <c r="SNJ139" s="3"/>
      <c r="SNK139" s="3"/>
      <c r="SNL139" s="3"/>
      <c r="SNM139" s="3"/>
      <c r="SNN139" s="3"/>
      <c r="SNO139" s="3"/>
      <c r="SNP139" s="3"/>
      <c r="SNQ139" s="3"/>
      <c r="SNR139" s="3"/>
      <c r="SNS139" s="3"/>
      <c r="SNT139" s="3"/>
      <c r="SNU139" s="3"/>
      <c r="SNV139" s="3"/>
      <c r="SNW139" s="3"/>
      <c r="SNX139" s="3"/>
      <c r="SNY139" s="3"/>
      <c r="SNZ139" s="3"/>
      <c r="SOA139" s="3"/>
      <c r="SOB139" s="3"/>
      <c r="SOC139" s="3"/>
      <c r="SOD139" s="3"/>
      <c r="SOE139" s="3"/>
      <c r="SOF139" s="3"/>
      <c r="SOG139" s="3"/>
      <c r="SOH139" s="3"/>
      <c r="SOI139" s="3"/>
      <c r="SOJ139" s="3"/>
      <c r="SOK139" s="3"/>
      <c r="SOL139" s="3"/>
      <c r="SOM139" s="3"/>
      <c r="SON139" s="3"/>
      <c r="SOO139" s="3"/>
      <c r="SOP139" s="3"/>
      <c r="SOQ139" s="3"/>
      <c r="SOR139" s="3"/>
      <c r="SOS139" s="3"/>
      <c r="SOT139" s="3"/>
      <c r="SOU139" s="3"/>
      <c r="SOV139" s="3"/>
      <c r="SOW139" s="3"/>
      <c r="SOX139" s="3"/>
      <c r="SOY139" s="3"/>
      <c r="SOZ139" s="3"/>
      <c r="SPA139" s="3"/>
      <c r="SPB139" s="3"/>
      <c r="SPC139" s="3"/>
      <c r="SPD139" s="3"/>
      <c r="SPE139" s="3"/>
      <c r="SPF139" s="3"/>
      <c r="SPG139" s="3"/>
      <c r="SPH139" s="3"/>
      <c r="SPI139" s="3"/>
      <c r="SPJ139" s="3"/>
      <c r="SPK139" s="3"/>
      <c r="SPL139" s="3"/>
      <c r="SPM139" s="3"/>
      <c r="SPN139" s="3"/>
      <c r="SPO139" s="3"/>
      <c r="SPP139" s="3"/>
      <c r="SPQ139" s="3"/>
      <c r="SPR139" s="3"/>
      <c r="SPS139" s="3"/>
      <c r="SPT139" s="3"/>
      <c r="SPU139" s="3"/>
      <c r="SPV139" s="3"/>
      <c r="SPW139" s="3"/>
      <c r="SPX139" s="3"/>
      <c r="SPY139" s="3"/>
      <c r="SPZ139" s="3"/>
      <c r="SQA139" s="3"/>
      <c r="SQB139" s="3"/>
      <c r="SQC139" s="3"/>
      <c r="SQD139" s="3"/>
      <c r="SQE139" s="3"/>
      <c r="SQF139" s="3"/>
      <c r="SQG139" s="3"/>
      <c r="SQH139" s="3"/>
      <c r="SQI139" s="3"/>
      <c r="SQJ139" s="3"/>
      <c r="SQK139" s="3"/>
      <c r="SQL139" s="3"/>
      <c r="SQM139" s="3"/>
      <c r="SQN139" s="3"/>
      <c r="SQO139" s="3"/>
      <c r="SQP139" s="3"/>
      <c r="SQQ139" s="3"/>
      <c r="SQR139" s="3"/>
      <c r="SQS139" s="3"/>
      <c r="SQT139" s="3"/>
      <c r="SQU139" s="3"/>
      <c r="SQV139" s="3"/>
      <c r="SQW139" s="3"/>
      <c r="SQX139" s="3"/>
      <c r="SQY139" s="3"/>
      <c r="SQZ139" s="3"/>
      <c r="SRA139" s="3"/>
      <c r="SRB139" s="3"/>
      <c r="SRC139" s="3"/>
      <c r="SRD139" s="3"/>
      <c r="SRE139" s="3"/>
      <c r="SRF139" s="3"/>
      <c r="SRG139" s="3"/>
      <c r="SRH139" s="3"/>
      <c r="SRI139" s="3"/>
      <c r="SRJ139" s="3"/>
      <c r="SRK139" s="3"/>
      <c r="SRL139" s="3"/>
      <c r="SRM139" s="3"/>
      <c r="SRN139" s="3"/>
      <c r="SRO139" s="3"/>
      <c r="SRP139" s="3"/>
      <c r="SRQ139" s="3"/>
      <c r="SRR139" s="3"/>
      <c r="SRS139" s="3"/>
      <c r="SRT139" s="3"/>
      <c r="SRU139" s="3"/>
      <c r="SRV139" s="3"/>
      <c r="SRW139" s="3"/>
      <c r="SRX139" s="3"/>
      <c r="SRY139" s="3"/>
      <c r="SRZ139" s="3"/>
      <c r="SSA139" s="3"/>
      <c r="SSB139" s="3"/>
      <c r="SSC139" s="3"/>
      <c r="SSD139" s="3"/>
      <c r="SSE139" s="3"/>
      <c r="SSF139" s="3"/>
      <c r="SSG139" s="3"/>
      <c r="SSH139" s="3"/>
      <c r="SSI139" s="3"/>
      <c r="SSJ139" s="3"/>
      <c r="SSK139" s="3"/>
      <c r="SSL139" s="3"/>
      <c r="SSM139" s="3"/>
      <c r="SSN139" s="3"/>
      <c r="SSO139" s="3"/>
      <c r="SSP139" s="3"/>
      <c r="SSQ139" s="3"/>
      <c r="SSR139" s="3"/>
      <c r="SSS139" s="3"/>
      <c r="SST139" s="3"/>
      <c r="SSU139" s="3"/>
      <c r="SSV139" s="3"/>
      <c r="SSW139" s="3"/>
      <c r="SSX139" s="3"/>
      <c r="SSY139" s="3"/>
      <c r="SSZ139" s="3"/>
      <c r="STA139" s="3"/>
      <c r="STB139" s="3"/>
      <c r="STC139" s="3"/>
      <c r="STD139" s="3"/>
      <c r="STE139" s="3"/>
      <c r="STF139" s="3"/>
      <c r="STG139" s="3"/>
      <c r="STH139" s="3"/>
      <c r="STI139" s="3"/>
      <c r="STJ139" s="3"/>
      <c r="STK139" s="3"/>
      <c r="STL139" s="3"/>
      <c r="STM139" s="3"/>
      <c r="STN139" s="3"/>
      <c r="STO139" s="3"/>
      <c r="STP139" s="3"/>
      <c r="STQ139" s="3"/>
      <c r="STR139" s="3"/>
      <c r="STS139" s="3"/>
      <c r="STT139" s="3"/>
      <c r="STU139" s="3"/>
      <c r="STV139" s="3"/>
      <c r="STW139" s="3"/>
      <c r="STX139" s="3"/>
      <c r="STY139" s="3"/>
      <c r="STZ139" s="3"/>
      <c r="SUA139" s="3"/>
      <c r="SUB139" s="3"/>
      <c r="SUC139" s="3"/>
      <c r="SUD139" s="3"/>
      <c r="SUE139" s="3"/>
      <c r="SUF139" s="3"/>
      <c r="SUG139" s="3"/>
      <c r="SUH139" s="3"/>
      <c r="SUI139" s="3"/>
      <c r="SUJ139" s="3"/>
      <c r="SUK139" s="3"/>
      <c r="SUL139" s="3"/>
      <c r="SUM139" s="3"/>
      <c r="SUN139" s="3"/>
      <c r="SUO139" s="3"/>
      <c r="SUP139" s="3"/>
      <c r="SUQ139" s="3"/>
      <c r="SUR139" s="3"/>
      <c r="SUS139" s="3"/>
      <c r="SUT139" s="3"/>
      <c r="SUU139" s="3"/>
      <c r="SUV139" s="3"/>
      <c r="SUW139" s="3"/>
      <c r="SUX139" s="3"/>
      <c r="SUY139" s="3"/>
      <c r="SUZ139" s="3"/>
      <c r="SVA139" s="3"/>
      <c r="SVB139" s="3"/>
      <c r="SVC139" s="3"/>
      <c r="SVD139" s="3"/>
      <c r="SVE139" s="3"/>
      <c r="SVF139" s="3"/>
      <c r="SVG139" s="3"/>
      <c r="SVH139" s="3"/>
      <c r="SVI139" s="3"/>
      <c r="SVJ139" s="3"/>
      <c r="SVK139" s="3"/>
      <c r="SVL139" s="3"/>
      <c r="SVM139" s="3"/>
      <c r="SVN139" s="3"/>
      <c r="SVO139" s="3"/>
      <c r="SVP139" s="3"/>
      <c r="SVQ139" s="3"/>
      <c r="SVR139" s="3"/>
      <c r="SVS139" s="3"/>
      <c r="SVT139" s="3"/>
      <c r="SVU139" s="3"/>
      <c r="SVV139" s="3"/>
      <c r="SVW139" s="3"/>
      <c r="SVX139" s="3"/>
      <c r="SVY139" s="3"/>
      <c r="SVZ139" s="3"/>
      <c r="SWA139" s="3"/>
      <c r="SWB139" s="3"/>
      <c r="SWC139" s="3"/>
      <c r="SWD139" s="3"/>
      <c r="SWE139" s="3"/>
      <c r="SWF139" s="3"/>
      <c r="SWG139" s="3"/>
      <c r="SWH139" s="3"/>
      <c r="SWI139" s="3"/>
      <c r="SWJ139" s="3"/>
      <c r="SWK139" s="3"/>
      <c r="SWL139" s="3"/>
      <c r="SWM139" s="3"/>
      <c r="SWN139" s="3"/>
      <c r="SWO139" s="3"/>
      <c r="SWP139" s="3"/>
      <c r="SWQ139" s="3"/>
      <c r="SWR139" s="3"/>
      <c r="SWS139" s="3"/>
      <c r="SWT139" s="3"/>
      <c r="SWU139" s="3"/>
      <c r="SWV139" s="3"/>
      <c r="SWW139" s="3"/>
      <c r="SWX139" s="3"/>
      <c r="SWY139" s="3"/>
      <c r="SWZ139" s="3"/>
      <c r="SXA139" s="3"/>
      <c r="SXB139" s="3"/>
      <c r="SXC139" s="3"/>
      <c r="SXD139" s="3"/>
      <c r="SXE139" s="3"/>
      <c r="SXF139" s="3"/>
      <c r="SXG139" s="3"/>
      <c r="SXH139" s="3"/>
      <c r="SXI139" s="3"/>
      <c r="SXJ139" s="3"/>
      <c r="SXK139" s="3"/>
      <c r="SXL139" s="3"/>
      <c r="SXM139" s="3"/>
      <c r="SXN139" s="3"/>
      <c r="SXO139" s="3"/>
      <c r="SXP139" s="3"/>
      <c r="SXQ139" s="3"/>
      <c r="SXR139" s="3"/>
      <c r="SXS139" s="3"/>
      <c r="SXT139" s="3"/>
      <c r="SXU139" s="3"/>
      <c r="SXV139" s="3"/>
      <c r="SXW139" s="3"/>
      <c r="SXX139" s="3"/>
      <c r="SXY139" s="3"/>
      <c r="SXZ139" s="3"/>
      <c r="SYA139" s="3"/>
      <c r="SYB139" s="3"/>
      <c r="SYC139" s="3"/>
      <c r="SYD139" s="3"/>
      <c r="SYE139" s="3"/>
      <c r="SYF139" s="3"/>
      <c r="SYG139" s="3"/>
      <c r="SYH139" s="3"/>
      <c r="SYI139" s="3"/>
      <c r="SYJ139" s="3"/>
      <c r="SYK139" s="3"/>
      <c r="SYL139" s="3"/>
      <c r="SYM139" s="3"/>
      <c r="SYN139" s="3"/>
      <c r="SYO139" s="3"/>
      <c r="SYP139" s="3"/>
      <c r="SYQ139" s="3"/>
      <c r="SYR139" s="3"/>
      <c r="SYS139" s="3"/>
      <c r="SYT139" s="3"/>
      <c r="SYU139" s="3"/>
      <c r="SYV139" s="3"/>
      <c r="SYW139" s="3"/>
      <c r="SYX139" s="3"/>
      <c r="SYY139" s="3"/>
      <c r="SYZ139" s="3"/>
      <c r="SZA139" s="3"/>
      <c r="SZB139" s="3"/>
      <c r="SZC139" s="3"/>
      <c r="SZD139" s="3"/>
      <c r="SZE139" s="3"/>
      <c r="SZF139" s="3"/>
      <c r="SZG139" s="3"/>
      <c r="SZH139" s="3"/>
      <c r="SZI139" s="3"/>
      <c r="SZJ139" s="3"/>
      <c r="SZK139" s="3"/>
      <c r="SZL139" s="3"/>
      <c r="SZM139" s="3"/>
      <c r="SZN139" s="3"/>
      <c r="SZO139" s="3"/>
      <c r="SZP139" s="3"/>
      <c r="SZQ139" s="3"/>
      <c r="SZR139" s="3"/>
      <c r="SZS139" s="3"/>
      <c r="SZT139" s="3"/>
      <c r="SZU139" s="3"/>
      <c r="SZV139" s="3"/>
      <c r="SZW139" s="3"/>
      <c r="SZX139" s="3"/>
      <c r="SZY139" s="3"/>
      <c r="SZZ139" s="3"/>
      <c r="TAA139" s="3"/>
      <c r="TAB139" s="3"/>
      <c r="TAC139" s="3"/>
      <c r="TAD139" s="3"/>
      <c r="TAE139" s="3"/>
      <c r="TAF139" s="3"/>
      <c r="TAG139" s="3"/>
      <c r="TAH139" s="3"/>
      <c r="TAI139" s="3"/>
      <c r="TAJ139" s="3"/>
      <c r="TAK139" s="3"/>
      <c r="TAL139" s="3"/>
      <c r="TAM139" s="3"/>
      <c r="TAN139" s="3"/>
      <c r="TAO139" s="3"/>
      <c r="TAP139" s="3"/>
      <c r="TAQ139" s="3"/>
      <c r="TAR139" s="3"/>
      <c r="TAS139" s="3"/>
      <c r="TAT139" s="3"/>
      <c r="TAU139" s="3"/>
      <c r="TAV139" s="3"/>
      <c r="TAW139" s="3"/>
      <c r="TAX139" s="3"/>
      <c r="TAY139" s="3"/>
      <c r="TAZ139" s="3"/>
      <c r="TBA139" s="3"/>
      <c r="TBB139" s="3"/>
      <c r="TBC139" s="3"/>
      <c r="TBD139" s="3"/>
      <c r="TBE139" s="3"/>
      <c r="TBF139" s="3"/>
      <c r="TBG139" s="3"/>
      <c r="TBH139" s="3"/>
      <c r="TBI139" s="3"/>
      <c r="TBJ139" s="3"/>
      <c r="TBK139" s="3"/>
      <c r="TBL139" s="3"/>
      <c r="TBM139" s="3"/>
      <c r="TBN139" s="3"/>
      <c r="TBO139" s="3"/>
      <c r="TBP139" s="3"/>
      <c r="TBQ139" s="3"/>
      <c r="TBR139" s="3"/>
      <c r="TBS139" s="3"/>
      <c r="TBT139" s="3"/>
      <c r="TBU139" s="3"/>
      <c r="TBV139" s="3"/>
      <c r="TBW139" s="3"/>
      <c r="TBX139" s="3"/>
      <c r="TBY139" s="3"/>
      <c r="TBZ139" s="3"/>
      <c r="TCA139" s="3"/>
      <c r="TCB139" s="3"/>
      <c r="TCC139" s="3"/>
      <c r="TCD139" s="3"/>
      <c r="TCE139" s="3"/>
      <c r="TCF139" s="3"/>
      <c r="TCG139" s="3"/>
      <c r="TCH139" s="3"/>
      <c r="TCI139" s="3"/>
      <c r="TCJ139" s="3"/>
      <c r="TCK139" s="3"/>
      <c r="TCL139" s="3"/>
      <c r="TCM139" s="3"/>
      <c r="TCN139" s="3"/>
      <c r="TCO139" s="3"/>
      <c r="TCP139" s="3"/>
      <c r="TCQ139" s="3"/>
      <c r="TCR139" s="3"/>
      <c r="TCS139" s="3"/>
      <c r="TCT139" s="3"/>
      <c r="TCU139" s="3"/>
      <c r="TCV139" s="3"/>
      <c r="TCW139" s="3"/>
      <c r="TCX139" s="3"/>
      <c r="TCY139" s="3"/>
      <c r="TCZ139" s="3"/>
      <c r="TDA139" s="3"/>
      <c r="TDB139" s="3"/>
      <c r="TDC139" s="3"/>
      <c r="TDD139" s="3"/>
      <c r="TDE139" s="3"/>
      <c r="TDF139" s="3"/>
      <c r="TDG139" s="3"/>
      <c r="TDH139" s="3"/>
      <c r="TDI139" s="3"/>
      <c r="TDJ139" s="3"/>
      <c r="TDK139" s="3"/>
      <c r="TDL139" s="3"/>
      <c r="TDM139" s="3"/>
      <c r="TDN139" s="3"/>
      <c r="TDO139" s="3"/>
      <c r="TDP139" s="3"/>
      <c r="TDQ139" s="3"/>
      <c r="TDR139" s="3"/>
      <c r="TDS139" s="3"/>
      <c r="TDT139" s="3"/>
      <c r="TDU139" s="3"/>
      <c r="TDV139" s="3"/>
      <c r="TDW139" s="3"/>
      <c r="TDX139" s="3"/>
      <c r="TDY139" s="3"/>
      <c r="TDZ139" s="3"/>
      <c r="TEA139" s="3"/>
      <c r="TEB139" s="3"/>
      <c r="TEC139" s="3"/>
      <c r="TED139" s="3"/>
      <c r="TEE139" s="3"/>
      <c r="TEF139" s="3"/>
      <c r="TEG139" s="3"/>
      <c r="TEH139" s="3"/>
      <c r="TEI139" s="3"/>
      <c r="TEJ139" s="3"/>
      <c r="TEK139" s="3"/>
      <c r="TEL139" s="3"/>
      <c r="TEM139" s="3"/>
      <c r="TEN139" s="3"/>
      <c r="TEO139" s="3"/>
      <c r="TEP139" s="3"/>
      <c r="TEQ139" s="3"/>
      <c r="TER139" s="3"/>
      <c r="TES139" s="3"/>
      <c r="TET139" s="3"/>
      <c r="TEU139" s="3"/>
      <c r="TEV139" s="3"/>
      <c r="TEW139" s="3"/>
      <c r="TEX139" s="3"/>
      <c r="TEY139" s="3"/>
      <c r="TEZ139" s="3"/>
      <c r="TFA139" s="3"/>
      <c r="TFB139" s="3"/>
      <c r="TFC139" s="3"/>
      <c r="TFD139" s="3"/>
      <c r="TFE139" s="3"/>
      <c r="TFF139" s="3"/>
      <c r="TFG139" s="3"/>
      <c r="TFH139" s="3"/>
      <c r="TFI139" s="3"/>
      <c r="TFJ139" s="3"/>
      <c r="TFK139" s="3"/>
      <c r="TFL139" s="3"/>
      <c r="TFM139" s="3"/>
      <c r="TFN139" s="3"/>
      <c r="TFO139" s="3"/>
      <c r="TFP139" s="3"/>
      <c r="TFQ139" s="3"/>
      <c r="TFR139" s="3"/>
      <c r="TFS139" s="3"/>
      <c r="TFT139" s="3"/>
      <c r="TFU139" s="3"/>
      <c r="TFV139" s="3"/>
      <c r="TFW139" s="3"/>
      <c r="TFX139" s="3"/>
      <c r="TFY139" s="3"/>
      <c r="TFZ139" s="3"/>
      <c r="TGA139" s="3"/>
      <c r="TGB139" s="3"/>
      <c r="TGC139" s="3"/>
      <c r="TGD139" s="3"/>
      <c r="TGE139" s="3"/>
      <c r="TGF139" s="3"/>
      <c r="TGG139" s="3"/>
      <c r="TGH139" s="3"/>
      <c r="TGI139" s="3"/>
      <c r="TGJ139" s="3"/>
      <c r="TGK139" s="3"/>
      <c r="TGL139" s="3"/>
      <c r="TGM139" s="3"/>
      <c r="TGN139" s="3"/>
      <c r="TGO139" s="3"/>
      <c r="TGP139" s="3"/>
      <c r="TGQ139" s="3"/>
      <c r="TGR139" s="3"/>
      <c r="TGS139" s="3"/>
      <c r="TGT139" s="3"/>
      <c r="TGU139" s="3"/>
      <c r="TGV139" s="3"/>
      <c r="TGW139" s="3"/>
      <c r="TGX139" s="3"/>
      <c r="TGY139" s="3"/>
      <c r="TGZ139" s="3"/>
      <c r="THA139" s="3"/>
      <c r="THB139" s="3"/>
      <c r="THC139" s="3"/>
      <c r="THD139" s="3"/>
      <c r="THE139" s="3"/>
      <c r="THF139" s="3"/>
      <c r="THG139" s="3"/>
      <c r="THH139" s="3"/>
      <c r="THI139" s="3"/>
      <c r="THJ139" s="3"/>
      <c r="THK139" s="3"/>
      <c r="THL139" s="3"/>
      <c r="THM139" s="3"/>
      <c r="THN139" s="3"/>
      <c r="THO139" s="3"/>
      <c r="THP139" s="3"/>
      <c r="THQ139" s="3"/>
      <c r="THR139" s="3"/>
      <c r="THS139" s="3"/>
      <c r="THT139" s="3"/>
      <c r="THU139" s="3"/>
      <c r="THV139" s="3"/>
      <c r="THW139" s="3"/>
      <c r="THX139" s="3"/>
      <c r="THY139" s="3"/>
      <c r="THZ139" s="3"/>
      <c r="TIA139" s="3"/>
      <c r="TIB139" s="3"/>
      <c r="TIC139" s="3"/>
      <c r="TID139" s="3"/>
      <c r="TIE139" s="3"/>
      <c r="TIF139" s="3"/>
      <c r="TIG139" s="3"/>
      <c r="TIH139" s="3"/>
      <c r="TII139" s="3"/>
      <c r="TIJ139" s="3"/>
      <c r="TIK139" s="3"/>
      <c r="TIL139" s="3"/>
      <c r="TIM139" s="3"/>
      <c r="TIN139" s="3"/>
      <c r="TIO139" s="3"/>
      <c r="TIP139" s="3"/>
      <c r="TIQ139" s="3"/>
      <c r="TIR139" s="3"/>
      <c r="TIS139" s="3"/>
      <c r="TIT139" s="3"/>
      <c r="TIU139" s="3"/>
      <c r="TIV139" s="3"/>
      <c r="TIW139" s="3"/>
      <c r="TIX139" s="3"/>
      <c r="TIY139" s="3"/>
      <c r="TIZ139" s="3"/>
      <c r="TJA139" s="3"/>
      <c r="TJB139" s="3"/>
      <c r="TJC139" s="3"/>
      <c r="TJD139" s="3"/>
      <c r="TJE139" s="3"/>
      <c r="TJF139" s="3"/>
      <c r="TJG139" s="3"/>
      <c r="TJH139" s="3"/>
      <c r="TJI139" s="3"/>
      <c r="TJJ139" s="3"/>
      <c r="TJK139" s="3"/>
      <c r="TJL139" s="3"/>
      <c r="TJM139" s="3"/>
      <c r="TJN139" s="3"/>
      <c r="TJO139" s="3"/>
      <c r="TJP139" s="3"/>
      <c r="TJQ139" s="3"/>
      <c r="TJR139" s="3"/>
      <c r="TJS139" s="3"/>
      <c r="TJT139" s="3"/>
      <c r="TJU139" s="3"/>
      <c r="TJV139" s="3"/>
      <c r="TJW139" s="3"/>
      <c r="TJX139" s="3"/>
      <c r="TJY139" s="3"/>
      <c r="TJZ139" s="3"/>
      <c r="TKA139" s="3"/>
      <c r="TKB139" s="3"/>
      <c r="TKC139" s="3"/>
      <c r="TKD139" s="3"/>
      <c r="TKE139" s="3"/>
      <c r="TKF139" s="3"/>
      <c r="TKG139" s="3"/>
      <c r="TKH139" s="3"/>
      <c r="TKI139" s="3"/>
      <c r="TKJ139" s="3"/>
      <c r="TKK139" s="3"/>
      <c r="TKL139" s="3"/>
      <c r="TKM139" s="3"/>
      <c r="TKN139" s="3"/>
      <c r="TKO139" s="3"/>
      <c r="TKP139" s="3"/>
      <c r="TKQ139" s="3"/>
      <c r="TKR139" s="3"/>
      <c r="TKS139" s="3"/>
      <c r="TKT139" s="3"/>
      <c r="TKU139" s="3"/>
      <c r="TKV139" s="3"/>
      <c r="TKW139" s="3"/>
      <c r="TKX139" s="3"/>
      <c r="TKY139" s="3"/>
      <c r="TKZ139" s="3"/>
      <c r="TLA139" s="3"/>
      <c r="TLB139" s="3"/>
      <c r="TLC139" s="3"/>
      <c r="TLD139" s="3"/>
      <c r="TLE139" s="3"/>
      <c r="TLF139" s="3"/>
      <c r="TLG139" s="3"/>
      <c r="TLH139" s="3"/>
      <c r="TLI139" s="3"/>
      <c r="TLJ139" s="3"/>
      <c r="TLK139" s="3"/>
      <c r="TLL139" s="3"/>
      <c r="TLM139" s="3"/>
      <c r="TLN139" s="3"/>
      <c r="TLO139" s="3"/>
      <c r="TLP139" s="3"/>
      <c r="TLQ139" s="3"/>
      <c r="TLR139" s="3"/>
      <c r="TLS139" s="3"/>
      <c r="TLT139" s="3"/>
      <c r="TLU139" s="3"/>
      <c r="TLV139" s="3"/>
      <c r="TLW139" s="3"/>
      <c r="TLX139" s="3"/>
      <c r="TLY139" s="3"/>
      <c r="TLZ139" s="3"/>
      <c r="TMA139" s="3"/>
      <c r="TMB139" s="3"/>
      <c r="TMC139" s="3"/>
      <c r="TMD139" s="3"/>
      <c r="TME139" s="3"/>
      <c r="TMF139" s="3"/>
      <c r="TMG139" s="3"/>
      <c r="TMH139" s="3"/>
      <c r="TMI139" s="3"/>
      <c r="TMJ139" s="3"/>
      <c r="TMK139" s="3"/>
      <c r="TML139" s="3"/>
      <c r="TMM139" s="3"/>
      <c r="TMN139" s="3"/>
      <c r="TMO139" s="3"/>
      <c r="TMP139" s="3"/>
      <c r="TMQ139" s="3"/>
      <c r="TMR139" s="3"/>
      <c r="TMS139" s="3"/>
      <c r="TMT139" s="3"/>
      <c r="TMU139" s="3"/>
      <c r="TMV139" s="3"/>
      <c r="TMW139" s="3"/>
      <c r="TMX139" s="3"/>
      <c r="TMY139" s="3"/>
      <c r="TMZ139" s="3"/>
      <c r="TNA139" s="3"/>
      <c r="TNB139" s="3"/>
      <c r="TNC139" s="3"/>
      <c r="TND139" s="3"/>
      <c r="TNE139" s="3"/>
      <c r="TNF139" s="3"/>
      <c r="TNG139" s="3"/>
      <c r="TNH139" s="3"/>
      <c r="TNI139" s="3"/>
      <c r="TNJ139" s="3"/>
      <c r="TNK139" s="3"/>
      <c r="TNL139" s="3"/>
      <c r="TNM139" s="3"/>
      <c r="TNN139" s="3"/>
      <c r="TNO139" s="3"/>
      <c r="TNP139" s="3"/>
      <c r="TNQ139" s="3"/>
      <c r="TNR139" s="3"/>
      <c r="TNS139" s="3"/>
      <c r="TNT139" s="3"/>
      <c r="TNU139" s="3"/>
      <c r="TNV139" s="3"/>
      <c r="TNW139" s="3"/>
      <c r="TNX139" s="3"/>
      <c r="TNY139" s="3"/>
      <c r="TNZ139" s="3"/>
      <c r="TOA139" s="3"/>
      <c r="TOB139" s="3"/>
      <c r="TOC139" s="3"/>
      <c r="TOD139" s="3"/>
      <c r="TOE139" s="3"/>
      <c r="TOF139" s="3"/>
      <c r="TOG139" s="3"/>
      <c r="TOH139" s="3"/>
      <c r="TOI139" s="3"/>
      <c r="TOJ139" s="3"/>
      <c r="TOK139" s="3"/>
      <c r="TOL139" s="3"/>
      <c r="TOM139" s="3"/>
      <c r="TON139" s="3"/>
      <c r="TOO139" s="3"/>
      <c r="TOP139" s="3"/>
      <c r="TOQ139" s="3"/>
      <c r="TOR139" s="3"/>
      <c r="TOS139" s="3"/>
      <c r="TOT139" s="3"/>
      <c r="TOU139" s="3"/>
      <c r="TOV139" s="3"/>
      <c r="TOW139" s="3"/>
      <c r="TOX139" s="3"/>
      <c r="TOY139" s="3"/>
      <c r="TOZ139" s="3"/>
      <c r="TPA139" s="3"/>
      <c r="TPB139" s="3"/>
      <c r="TPC139" s="3"/>
      <c r="TPD139" s="3"/>
      <c r="TPE139" s="3"/>
      <c r="TPF139" s="3"/>
      <c r="TPG139" s="3"/>
      <c r="TPH139" s="3"/>
      <c r="TPI139" s="3"/>
      <c r="TPJ139" s="3"/>
      <c r="TPK139" s="3"/>
      <c r="TPL139" s="3"/>
      <c r="TPM139" s="3"/>
      <c r="TPN139" s="3"/>
      <c r="TPO139" s="3"/>
      <c r="TPP139" s="3"/>
      <c r="TPQ139" s="3"/>
      <c r="TPR139" s="3"/>
      <c r="TPS139" s="3"/>
      <c r="TPT139" s="3"/>
      <c r="TPU139" s="3"/>
      <c r="TPV139" s="3"/>
      <c r="TPW139" s="3"/>
      <c r="TPX139" s="3"/>
      <c r="TPY139" s="3"/>
      <c r="TPZ139" s="3"/>
      <c r="TQA139" s="3"/>
      <c r="TQB139" s="3"/>
      <c r="TQC139" s="3"/>
      <c r="TQD139" s="3"/>
      <c r="TQE139" s="3"/>
      <c r="TQF139" s="3"/>
      <c r="TQG139" s="3"/>
      <c r="TQH139" s="3"/>
      <c r="TQI139" s="3"/>
      <c r="TQJ139" s="3"/>
      <c r="TQK139" s="3"/>
      <c r="TQL139" s="3"/>
      <c r="TQM139" s="3"/>
      <c r="TQN139" s="3"/>
      <c r="TQO139" s="3"/>
      <c r="TQP139" s="3"/>
      <c r="TQQ139" s="3"/>
      <c r="TQR139" s="3"/>
      <c r="TQS139" s="3"/>
      <c r="TQT139" s="3"/>
      <c r="TQU139" s="3"/>
      <c r="TQV139" s="3"/>
      <c r="TQW139" s="3"/>
      <c r="TQX139" s="3"/>
      <c r="TQY139" s="3"/>
      <c r="TQZ139" s="3"/>
      <c r="TRA139" s="3"/>
      <c r="TRB139" s="3"/>
      <c r="TRC139" s="3"/>
      <c r="TRD139" s="3"/>
      <c r="TRE139" s="3"/>
      <c r="TRF139" s="3"/>
      <c r="TRG139" s="3"/>
      <c r="TRH139" s="3"/>
      <c r="TRI139" s="3"/>
      <c r="TRJ139" s="3"/>
      <c r="TRK139" s="3"/>
      <c r="TRL139" s="3"/>
      <c r="TRM139" s="3"/>
      <c r="TRN139" s="3"/>
      <c r="TRO139" s="3"/>
      <c r="TRP139" s="3"/>
      <c r="TRQ139" s="3"/>
      <c r="TRR139" s="3"/>
      <c r="TRS139" s="3"/>
      <c r="TRT139" s="3"/>
      <c r="TRU139" s="3"/>
      <c r="TRV139" s="3"/>
      <c r="TRW139" s="3"/>
      <c r="TRX139" s="3"/>
      <c r="TRY139" s="3"/>
      <c r="TRZ139" s="3"/>
      <c r="TSA139" s="3"/>
      <c r="TSB139" s="3"/>
      <c r="TSC139" s="3"/>
      <c r="TSD139" s="3"/>
      <c r="TSE139" s="3"/>
      <c r="TSF139" s="3"/>
      <c r="TSG139" s="3"/>
      <c r="TSH139" s="3"/>
      <c r="TSI139" s="3"/>
      <c r="TSJ139" s="3"/>
      <c r="TSK139" s="3"/>
      <c r="TSL139" s="3"/>
      <c r="TSM139" s="3"/>
      <c r="TSN139" s="3"/>
      <c r="TSO139" s="3"/>
      <c r="TSP139" s="3"/>
      <c r="TSQ139" s="3"/>
      <c r="TSR139" s="3"/>
      <c r="TSS139" s="3"/>
      <c r="TST139" s="3"/>
      <c r="TSU139" s="3"/>
      <c r="TSV139" s="3"/>
      <c r="TSW139" s="3"/>
      <c r="TSX139" s="3"/>
      <c r="TSY139" s="3"/>
      <c r="TSZ139" s="3"/>
      <c r="TTA139" s="3"/>
      <c r="TTB139" s="3"/>
      <c r="TTC139" s="3"/>
      <c r="TTD139" s="3"/>
      <c r="TTE139" s="3"/>
      <c r="TTF139" s="3"/>
      <c r="TTG139" s="3"/>
      <c r="TTH139" s="3"/>
      <c r="TTI139" s="3"/>
      <c r="TTJ139" s="3"/>
      <c r="TTK139" s="3"/>
      <c r="TTL139" s="3"/>
      <c r="TTM139" s="3"/>
      <c r="TTN139" s="3"/>
      <c r="TTO139" s="3"/>
      <c r="TTP139" s="3"/>
      <c r="TTQ139" s="3"/>
      <c r="TTR139" s="3"/>
      <c r="TTS139" s="3"/>
      <c r="TTT139" s="3"/>
      <c r="TTU139" s="3"/>
      <c r="TTV139" s="3"/>
      <c r="TTW139" s="3"/>
      <c r="TTX139" s="3"/>
      <c r="TTY139" s="3"/>
      <c r="TTZ139" s="3"/>
      <c r="TUA139" s="3"/>
      <c r="TUB139" s="3"/>
      <c r="TUC139" s="3"/>
      <c r="TUD139" s="3"/>
      <c r="TUE139" s="3"/>
      <c r="TUF139" s="3"/>
      <c r="TUG139" s="3"/>
      <c r="TUH139" s="3"/>
      <c r="TUI139" s="3"/>
      <c r="TUJ139" s="3"/>
      <c r="TUK139" s="3"/>
      <c r="TUL139" s="3"/>
      <c r="TUM139" s="3"/>
      <c r="TUN139" s="3"/>
      <c r="TUO139" s="3"/>
      <c r="TUP139" s="3"/>
      <c r="TUQ139" s="3"/>
      <c r="TUR139" s="3"/>
      <c r="TUS139" s="3"/>
      <c r="TUT139" s="3"/>
      <c r="TUU139" s="3"/>
      <c r="TUV139" s="3"/>
      <c r="TUW139" s="3"/>
      <c r="TUX139" s="3"/>
      <c r="TUY139" s="3"/>
      <c r="TUZ139" s="3"/>
      <c r="TVA139" s="3"/>
      <c r="TVB139" s="3"/>
      <c r="TVC139" s="3"/>
      <c r="TVD139" s="3"/>
      <c r="TVE139" s="3"/>
      <c r="TVF139" s="3"/>
      <c r="TVG139" s="3"/>
      <c r="TVH139" s="3"/>
      <c r="TVI139" s="3"/>
      <c r="TVJ139" s="3"/>
      <c r="TVK139" s="3"/>
      <c r="TVL139" s="3"/>
      <c r="TVM139" s="3"/>
      <c r="TVN139" s="3"/>
      <c r="TVO139" s="3"/>
      <c r="TVP139" s="3"/>
      <c r="TVQ139" s="3"/>
      <c r="TVR139" s="3"/>
      <c r="TVS139" s="3"/>
      <c r="TVT139" s="3"/>
      <c r="TVU139" s="3"/>
      <c r="TVV139" s="3"/>
      <c r="TVW139" s="3"/>
      <c r="TVX139" s="3"/>
      <c r="TVY139" s="3"/>
      <c r="TVZ139" s="3"/>
      <c r="TWA139" s="3"/>
      <c r="TWB139" s="3"/>
      <c r="TWC139" s="3"/>
      <c r="TWD139" s="3"/>
      <c r="TWE139" s="3"/>
      <c r="TWF139" s="3"/>
      <c r="TWG139" s="3"/>
      <c r="TWH139" s="3"/>
      <c r="TWI139" s="3"/>
      <c r="TWJ139" s="3"/>
      <c r="TWK139" s="3"/>
      <c r="TWL139" s="3"/>
      <c r="TWM139" s="3"/>
      <c r="TWN139" s="3"/>
      <c r="TWO139" s="3"/>
      <c r="TWP139" s="3"/>
      <c r="TWQ139" s="3"/>
      <c r="TWR139" s="3"/>
      <c r="TWS139" s="3"/>
      <c r="TWT139" s="3"/>
      <c r="TWU139" s="3"/>
      <c r="TWV139" s="3"/>
      <c r="TWW139" s="3"/>
      <c r="TWX139" s="3"/>
      <c r="TWY139" s="3"/>
      <c r="TWZ139" s="3"/>
      <c r="TXA139" s="3"/>
      <c r="TXB139" s="3"/>
      <c r="TXC139" s="3"/>
      <c r="TXD139" s="3"/>
      <c r="TXE139" s="3"/>
      <c r="TXF139" s="3"/>
      <c r="TXG139" s="3"/>
      <c r="TXH139" s="3"/>
      <c r="TXI139" s="3"/>
      <c r="TXJ139" s="3"/>
      <c r="TXK139" s="3"/>
      <c r="TXL139" s="3"/>
      <c r="TXM139" s="3"/>
      <c r="TXN139" s="3"/>
      <c r="TXO139" s="3"/>
      <c r="TXP139" s="3"/>
      <c r="TXQ139" s="3"/>
      <c r="TXR139" s="3"/>
      <c r="TXS139" s="3"/>
      <c r="TXT139" s="3"/>
      <c r="TXU139" s="3"/>
      <c r="TXV139" s="3"/>
      <c r="TXW139" s="3"/>
      <c r="TXX139" s="3"/>
      <c r="TXY139" s="3"/>
      <c r="TXZ139" s="3"/>
      <c r="TYA139" s="3"/>
      <c r="TYB139" s="3"/>
      <c r="TYC139" s="3"/>
      <c r="TYD139" s="3"/>
      <c r="TYE139" s="3"/>
      <c r="TYF139" s="3"/>
      <c r="TYG139" s="3"/>
      <c r="TYH139" s="3"/>
      <c r="TYI139" s="3"/>
      <c r="TYJ139" s="3"/>
      <c r="TYK139" s="3"/>
      <c r="TYL139" s="3"/>
      <c r="TYM139" s="3"/>
      <c r="TYN139" s="3"/>
      <c r="TYO139" s="3"/>
      <c r="TYP139" s="3"/>
      <c r="TYQ139" s="3"/>
      <c r="TYR139" s="3"/>
      <c r="TYS139" s="3"/>
      <c r="TYT139" s="3"/>
      <c r="TYU139" s="3"/>
      <c r="TYV139" s="3"/>
      <c r="TYW139" s="3"/>
      <c r="TYX139" s="3"/>
      <c r="TYY139" s="3"/>
      <c r="TYZ139" s="3"/>
      <c r="TZA139" s="3"/>
      <c r="TZB139" s="3"/>
      <c r="TZC139" s="3"/>
      <c r="TZD139" s="3"/>
      <c r="TZE139" s="3"/>
      <c r="TZF139" s="3"/>
      <c r="TZG139" s="3"/>
      <c r="TZH139" s="3"/>
      <c r="TZI139" s="3"/>
      <c r="TZJ139" s="3"/>
      <c r="TZK139" s="3"/>
      <c r="TZL139" s="3"/>
      <c r="TZM139" s="3"/>
      <c r="TZN139" s="3"/>
      <c r="TZO139" s="3"/>
      <c r="TZP139" s="3"/>
      <c r="TZQ139" s="3"/>
      <c r="TZR139" s="3"/>
      <c r="TZS139" s="3"/>
      <c r="TZT139" s="3"/>
      <c r="TZU139" s="3"/>
      <c r="TZV139" s="3"/>
      <c r="TZW139" s="3"/>
      <c r="TZX139" s="3"/>
      <c r="TZY139" s="3"/>
      <c r="TZZ139" s="3"/>
      <c r="UAA139" s="3"/>
      <c r="UAB139" s="3"/>
      <c r="UAC139" s="3"/>
      <c r="UAD139" s="3"/>
      <c r="UAE139" s="3"/>
      <c r="UAF139" s="3"/>
      <c r="UAG139" s="3"/>
      <c r="UAH139" s="3"/>
      <c r="UAI139" s="3"/>
      <c r="UAJ139" s="3"/>
      <c r="UAK139" s="3"/>
      <c r="UAL139" s="3"/>
      <c r="UAM139" s="3"/>
      <c r="UAN139" s="3"/>
      <c r="UAO139" s="3"/>
      <c r="UAP139" s="3"/>
      <c r="UAQ139" s="3"/>
      <c r="UAR139" s="3"/>
      <c r="UAS139" s="3"/>
      <c r="UAT139" s="3"/>
      <c r="UAU139" s="3"/>
      <c r="UAV139" s="3"/>
      <c r="UAW139" s="3"/>
      <c r="UAX139" s="3"/>
      <c r="UAY139" s="3"/>
      <c r="UAZ139" s="3"/>
      <c r="UBA139" s="3"/>
      <c r="UBB139" s="3"/>
      <c r="UBC139" s="3"/>
      <c r="UBD139" s="3"/>
      <c r="UBE139" s="3"/>
      <c r="UBF139" s="3"/>
      <c r="UBG139" s="3"/>
      <c r="UBH139" s="3"/>
      <c r="UBI139" s="3"/>
      <c r="UBJ139" s="3"/>
      <c r="UBK139" s="3"/>
      <c r="UBL139" s="3"/>
      <c r="UBM139" s="3"/>
      <c r="UBN139" s="3"/>
      <c r="UBO139" s="3"/>
      <c r="UBP139" s="3"/>
      <c r="UBQ139" s="3"/>
      <c r="UBR139" s="3"/>
      <c r="UBS139" s="3"/>
      <c r="UBT139" s="3"/>
      <c r="UBU139" s="3"/>
      <c r="UBV139" s="3"/>
      <c r="UBW139" s="3"/>
      <c r="UBX139" s="3"/>
      <c r="UBY139" s="3"/>
      <c r="UBZ139" s="3"/>
      <c r="UCA139" s="3"/>
      <c r="UCB139" s="3"/>
      <c r="UCC139" s="3"/>
      <c r="UCD139" s="3"/>
      <c r="UCE139" s="3"/>
      <c r="UCF139" s="3"/>
      <c r="UCG139" s="3"/>
      <c r="UCH139" s="3"/>
      <c r="UCI139" s="3"/>
      <c r="UCJ139" s="3"/>
      <c r="UCK139" s="3"/>
      <c r="UCL139" s="3"/>
      <c r="UCM139" s="3"/>
      <c r="UCN139" s="3"/>
      <c r="UCO139" s="3"/>
      <c r="UCP139" s="3"/>
      <c r="UCQ139" s="3"/>
      <c r="UCR139" s="3"/>
      <c r="UCS139" s="3"/>
      <c r="UCT139" s="3"/>
      <c r="UCU139" s="3"/>
      <c r="UCV139" s="3"/>
      <c r="UCW139" s="3"/>
      <c r="UCX139" s="3"/>
      <c r="UCY139" s="3"/>
      <c r="UCZ139" s="3"/>
      <c r="UDA139" s="3"/>
      <c r="UDB139" s="3"/>
      <c r="UDC139" s="3"/>
      <c r="UDD139" s="3"/>
      <c r="UDE139" s="3"/>
      <c r="UDF139" s="3"/>
      <c r="UDG139" s="3"/>
      <c r="UDH139" s="3"/>
      <c r="UDI139" s="3"/>
      <c r="UDJ139" s="3"/>
      <c r="UDK139" s="3"/>
      <c r="UDL139" s="3"/>
      <c r="UDM139" s="3"/>
      <c r="UDN139" s="3"/>
      <c r="UDO139" s="3"/>
      <c r="UDP139" s="3"/>
      <c r="UDQ139" s="3"/>
      <c r="UDR139" s="3"/>
      <c r="UDS139" s="3"/>
      <c r="UDT139" s="3"/>
      <c r="UDU139" s="3"/>
      <c r="UDV139" s="3"/>
      <c r="UDW139" s="3"/>
      <c r="UDX139" s="3"/>
      <c r="UDY139" s="3"/>
      <c r="UDZ139" s="3"/>
      <c r="UEA139" s="3"/>
      <c r="UEB139" s="3"/>
      <c r="UEC139" s="3"/>
      <c r="UED139" s="3"/>
      <c r="UEE139" s="3"/>
      <c r="UEF139" s="3"/>
      <c r="UEG139" s="3"/>
      <c r="UEH139" s="3"/>
      <c r="UEI139" s="3"/>
      <c r="UEJ139" s="3"/>
      <c r="UEK139" s="3"/>
      <c r="UEL139" s="3"/>
      <c r="UEM139" s="3"/>
      <c r="UEN139" s="3"/>
      <c r="UEO139" s="3"/>
      <c r="UEP139" s="3"/>
      <c r="UEQ139" s="3"/>
      <c r="UER139" s="3"/>
      <c r="UES139" s="3"/>
      <c r="UET139" s="3"/>
      <c r="UEU139" s="3"/>
      <c r="UEV139" s="3"/>
      <c r="UEW139" s="3"/>
      <c r="UEX139" s="3"/>
      <c r="UEY139" s="3"/>
      <c r="UEZ139" s="3"/>
      <c r="UFA139" s="3"/>
      <c r="UFB139" s="3"/>
      <c r="UFC139" s="3"/>
      <c r="UFD139" s="3"/>
      <c r="UFE139" s="3"/>
      <c r="UFF139" s="3"/>
      <c r="UFG139" s="3"/>
      <c r="UFH139" s="3"/>
      <c r="UFI139" s="3"/>
      <c r="UFJ139" s="3"/>
      <c r="UFK139" s="3"/>
      <c r="UFL139" s="3"/>
      <c r="UFM139" s="3"/>
      <c r="UFN139" s="3"/>
      <c r="UFO139" s="3"/>
      <c r="UFP139" s="3"/>
      <c r="UFQ139" s="3"/>
      <c r="UFR139" s="3"/>
      <c r="UFS139" s="3"/>
      <c r="UFT139" s="3"/>
      <c r="UFU139" s="3"/>
      <c r="UFV139" s="3"/>
      <c r="UFW139" s="3"/>
      <c r="UFX139" s="3"/>
      <c r="UFY139" s="3"/>
      <c r="UFZ139" s="3"/>
      <c r="UGA139" s="3"/>
      <c r="UGB139" s="3"/>
      <c r="UGC139" s="3"/>
      <c r="UGD139" s="3"/>
      <c r="UGE139" s="3"/>
      <c r="UGF139" s="3"/>
      <c r="UGG139" s="3"/>
      <c r="UGH139" s="3"/>
      <c r="UGI139" s="3"/>
      <c r="UGJ139" s="3"/>
      <c r="UGK139" s="3"/>
      <c r="UGL139" s="3"/>
      <c r="UGM139" s="3"/>
      <c r="UGN139" s="3"/>
      <c r="UGO139" s="3"/>
      <c r="UGP139" s="3"/>
      <c r="UGQ139" s="3"/>
      <c r="UGR139" s="3"/>
      <c r="UGS139" s="3"/>
      <c r="UGT139" s="3"/>
      <c r="UGU139" s="3"/>
      <c r="UGV139" s="3"/>
      <c r="UGW139" s="3"/>
      <c r="UGX139" s="3"/>
      <c r="UGY139" s="3"/>
      <c r="UGZ139" s="3"/>
      <c r="UHA139" s="3"/>
      <c r="UHB139" s="3"/>
      <c r="UHC139" s="3"/>
      <c r="UHD139" s="3"/>
      <c r="UHE139" s="3"/>
      <c r="UHF139" s="3"/>
      <c r="UHG139" s="3"/>
      <c r="UHH139" s="3"/>
      <c r="UHI139" s="3"/>
      <c r="UHJ139" s="3"/>
      <c r="UHK139" s="3"/>
      <c r="UHL139" s="3"/>
      <c r="UHM139" s="3"/>
      <c r="UHN139" s="3"/>
      <c r="UHO139" s="3"/>
      <c r="UHP139" s="3"/>
      <c r="UHQ139" s="3"/>
      <c r="UHR139" s="3"/>
      <c r="UHS139" s="3"/>
      <c r="UHT139" s="3"/>
      <c r="UHU139" s="3"/>
      <c r="UHV139" s="3"/>
      <c r="UHW139" s="3"/>
      <c r="UHX139" s="3"/>
      <c r="UHY139" s="3"/>
      <c r="UHZ139" s="3"/>
      <c r="UIA139" s="3"/>
      <c r="UIB139" s="3"/>
      <c r="UIC139" s="3"/>
      <c r="UID139" s="3"/>
      <c r="UIE139" s="3"/>
      <c r="UIF139" s="3"/>
      <c r="UIG139" s="3"/>
      <c r="UIH139" s="3"/>
      <c r="UII139" s="3"/>
      <c r="UIJ139" s="3"/>
      <c r="UIK139" s="3"/>
      <c r="UIL139" s="3"/>
      <c r="UIM139" s="3"/>
      <c r="UIN139" s="3"/>
      <c r="UIO139" s="3"/>
      <c r="UIP139" s="3"/>
      <c r="UIQ139" s="3"/>
      <c r="UIR139" s="3"/>
      <c r="UIS139" s="3"/>
      <c r="UIT139" s="3"/>
      <c r="UIU139" s="3"/>
      <c r="UIV139" s="3"/>
      <c r="UIW139" s="3"/>
      <c r="UIX139" s="3"/>
      <c r="UIY139" s="3"/>
      <c r="UIZ139" s="3"/>
      <c r="UJA139" s="3"/>
      <c r="UJB139" s="3"/>
      <c r="UJC139" s="3"/>
      <c r="UJD139" s="3"/>
      <c r="UJE139" s="3"/>
      <c r="UJF139" s="3"/>
      <c r="UJG139" s="3"/>
      <c r="UJH139" s="3"/>
      <c r="UJI139" s="3"/>
      <c r="UJJ139" s="3"/>
      <c r="UJK139" s="3"/>
      <c r="UJL139" s="3"/>
      <c r="UJM139" s="3"/>
      <c r="UJN139" s="3"/>
      <c r="UJO139" s="3"/>
      <c r="UJP139" s="3"/>
      <c r="UJQ139" s="3"/>
      <c r="UJR139" s="3"/>
      <c r="UJS139" s="3"/>
      <c r="UJT139" s="3"/>
      <c r="UJU139" s="3"/>
      <c r="UJV139" s="3"/>
      <c r="UJW139" s="3"/>
      <c r="UJX139" s="3"/>
      <c r="UJY139" s="3"/>
      <c r="UJZ139" s="3"/>
      <c r="UKA139" s="3"/>
      <c r="UKB139" s="3"/>
      <c r="UKC139" s="3"/>
      <c r="UKD139" s="3"/>
      <c r="UKE139" s="3"/>
      <c r="UKF139" s="3"/>
      <c r="UKG139" s="3"/>
      <c r="UKH139" s="3"/>
      <c r="UKI139" s="3"/>
      <c r="UKJ139" s="3"/>
      <c r="UKK139" s="3"/>
      <c r="UKL139" s="3"/>
      <c r="UKM139" s="3"/>
      <c r="UKN139" s="3"/>
      <c r="UKO139" s="3"/>
      <c r="UKP139" s="3"/>
      <c r="UKQ139" s="3"/>
      <c r="UKR139" s="3"/>
      <c r="UKS139" s="3"/>
      <c r="UKT139" s="3"/>
      <c r="UKU139" s="3"/>
      <c r="UKV139" s="3"/>
      <c r="UKW139" s="3"/>
      <c r="UKX139" s="3"/>
      <c r="UKY139" s="3"/>
      <c r="UKZ139" s="3"/>
      <c r="ULA139" s="3"/>
      <c r="ULB139" s="3"/>
      <c r="ULC139" s="3"/>
      <c r="ULD139" s="3"/>
      <c r="ULE139" s="3"/>
      <c r="ULF139" s="3"/>
      <c r="ULG139" s="3"/>
      <c r="ULH139" s="3"/>
      <c r="ULI139" s="3"/>
      <c r="ULJ139" s="3"/>
      <c r="ULK139" s="3"/>
      <c r="ULL139" s="3"/>
      <c r="ULM139" s="3"/>
      <c r="ULN139" s="3"/>
      <c r="ULO139" s="3"/>
      <c r="ULP139" s="3"/>
      <c r="ULQ139" s="3"/>
      <c r="ULR139" s="3"/>
      <c r="ULS139" s="3"/>
      <c r="ULT139" s="3"/>
      <c r="ULU139" s="3"/>
      <c r="ULV139" s="3"/>
      <c r="ULW139" s="3"/>
      <c r="ULX139" s="3"/>
      <c r="ULY139" s="3"/>
      <c r="ULZ139" s="3"/>
      <c r="UMA139" s="3"/>
      <c r="UMB139" s="3"/>
      <c r="UMC139" s="3"/>
      <c r="UMD139" s="3"/>
      <c r="UME139" s="3"/>
      <c r="UMF139" s="3"/>
      <c r="UMG139" s="3"/>
      <c r="UMH139" s="3"/>
      <c r="UMI139" s="3"/>
      <c r="UMJ139" s="3"/>
      <c r="UMK139" s="3"/>
      <c r="UML139" s="3"/>
      <c r="UMM139" s="3"/>
      <c r="UMN139" s="3"/>
      <c r="UMO139" s="3"/>
      <c r="UMP139" s="3"/>
      <c r="UMQ139" s="3"/>
      <c r="UMR139" s="3"/>
      <c r="UMS139" s="3"/>
      <c r="UMT139" s="3"/>
      <c r="UMU139" s="3"/>
      <c r="UMV139" s="3"/>
      <c r="UMW139" s="3"/>
      <c r="UMX139" s="3"/>
      <c r="UMY139" s="3"/>
      <c r="UMZ139" s="3"/>
      <c r="UNA139" s="3"/>
      <c r="UNB139" s="3"/>
      <c r="UNC139" s="3"/>
      <c r="UND139" s="3"/>
      <c r="UNE139" s="3"/>
      <c r="UNF139" s="3"/>
      <c r="UNG139" s="3"/>
      <c r="UNH139" s="3"/>
      <c r="UNI139" s="3"/>
      <c r="UNJ139" s="3"/>
      <c r="UNK139" s="3"/>
      <c r="UNL139" s="3"/>
      <c r="UNM139" s="3"/>
      <c r="UNN139" s="3"/>
      <c r="UNO139" s="3"/>
      <c r="UNP139" s="3"/>
      <c r="UNQ139" s="3"/>
      <c r="UNR139" s="3"/>
      <c r="UNS139" s="3"/>
      <c r="UNT139" s="3"/>
      <c r="UNU139" s="3"/>
      <c r="UNV139" s="3"/>
      <c r="UNW139" s="3"/>
      <c r="UNX139" s="3"/>
      <c r="UNY139" s="3"/>
      <c r="UNZ139" s="3"/>
      <c r="UOA139" s="3"/>
      <c r="UOB139" s="3"/>
      <c r="UOC139" s="3"/>
      <c r="UOD139" s="3"/>
      <c r="UOE139" s="3"/>
      <c r="UOF139" s="3"/>
      <c r="UOG139" s="3"/>
      <c r="UOH139" s="3"/>
      <c r="UOI139" s="3"/>
      <c r="UOJ139" s="3"/>
      <c r="UOK139" s="3"/>
      <c r="UOL139" s="3"/>
      <c r="UOM139" s="3"/>
      <c r="UON139" s="3"/>
      <c r="UOO139" s="3"/>
      <c r="UOP139" s="3"/>
      <c r="UOQ139" s="3"/>
      <c r="UOR139" s="3"/>
      <c r="UOS139" s="3"/>
      <c r="UOT139" s="3"/>
      <c r="UOU139" s="3"/>
      <c r="UOV139" s="3"/>
      <c r="UOW139" s="3"/>
      <c r="UOX139" s="3"/>
      <c r="UOY139" s="3"/>
      <c r="UOZ139" s="3"/>
      <c r="UPA139" s="3"/>
      <c r="UPB139" s="3"/>
      <c r="UPC139" s="3"/>
      <c r="UPD139" s="3"/>
      <c r="UPE139" s="3"/>
      <c r="UPF139" s="3"/>
      <c r="UPG139" s="3"/>
      <c r="UPH139" s="3"/>
      <c r="UPI139" s="3"/>
      <c r="UPJ139" s="3"/>
      <c r="UPK139" s="3"/>
      <c r="UPL139" s="3"/>
      <c r="UPM139" s="3"/>
      <c r="UPN139" s="3"/>
      <c r="UPO139" s="3"/>
      <c r="UPP139" s="3"/>
      <c r="UPQ139" s="3"/>
      <c r="UPR139" s="3"/>
      <c r="UPS139" s="3"/>
      <c r="UPT139" s="3"/>
      <c r="UPU139" s="3"/>
      <c r="UPV139" s="3"/>
      <c r="UPW139" s="3"/>
      <c r="UPX139" s="3"/>
      <c r="UPY139" s="3"/>
      <c r="UPZ139" s="3"/>
      <c r="UQA139" s="3"/>
      <c r="UQB139" s="3"/>
      <c r="UQC139" s="3"/>
      <c r="UQD139" s="3"/>
      <c r="UQE139" s="3"/>
      <c r="UQF139" s="3"/>
      <c r="UQG139" s="3"/>
      <c r="UQH139" s="3"/>
      <c r="UQI139" s="3"/>
      <c r="UQJ139" s="3"/>
      <c r="UQK139" s="3"/>
      <c r="UQL139" s="3"/>
      <c r="UQM139" s="3"/>
      <c r="UQN139" s="3"/>
      <c r="UQO139" s="3"/>
      <c r="UQP139" s="3"/>
      <c r="UQQ139" s="3"/>
      <c r="UQR139" s="3"/>
      <c r="UQS139" s="3"/>
      <c r="UQT139" s="3"/>
      <c r="UQU139" s="3"/>
      <c r="UQV139" s="3"/>
      <c r="UQW139" s="3"/>
      <c r="UQX139" s="3"/>
      <c r="UQY139" s="3"/>
      <c r="UQZ139" s="3"/>
      <c r="URA139" s="3"/>
      <c r="URB139" s="3"/>
      <c r="URC139" s="3"/>
      <c r="URD139" s="3"/>
      <c r="URE139" s="3"/>
      <c r="URF139" s="3"/>
      <c r="URG139" s="3"/>
      <c r="URH139" s="3"/>
      <c r="URI139" s="3"/>
      <c r="URJ139" s="3"/>
      <c r="URK139" s="3"/>
      <c r="URL139" s="3"/>
      <c r="URM139" s="3"/>
      <c r="URN139" s="3"/>
      <c r="URO139" s="3"/>
      <c r="URP139" s="3"/>
      <c r="URQ139" s="3"/>
      <c r="URR139" s="3"/>
      <c r="URS139" s="3"/>
      <c r="URT139" s="3"/>
      <c r="URU139" s="3"/>
      <c r="URV139" s="3"/>
      <c r="URW139" s="3"/>
      <c r="URX139" s="3"/>
      <c r="URY139" s="3"/>
      <c r="URZ139" s="3"/>
      <c r="USA139" s="3"/>
      <c r="USB139" s="3"/>
      <c r="USC139" s="3"/>
      <c r="USD139" s="3"/>
      <c r="USE139" s="3"/>
      <c r="USF139" s="3"/>
      <c r="USG139" s="3"/>
      <c r="USH139" s="3"/>
      <c r="USI139" s="3"/>
      <c r="USJ139" s="3"/>
      <c r="USK139" s="3"/>
      <c r="USL139" s="3"/>
      <c r="USM139" s="3"/>
      <c r="USN139" s="3"/>
      <c r="USO139" s="3"/>
      <c r="USP139" s="3"/>
      <c r="USQ139" s="3"/>
      <c r="USR139" s="3"/>
      <c r="USS139" s="3"/>
      <c r="UST139" s="3"/>
      <c r="USU139" s="3"/>
      <c r="USV139" s="3"/>
      <c r="USW139" s="3"/>
      <c r="USX139" s="3"/>
      <c r="USY139" s="3"/>
      <c r="USZ139" s="3"/>
      <c r="UTA139" s="3"/>
      <c r="UTB139" s="3"/>
      <c r="UTC139" s="3"/>
      <c r="UTD139" s="3"/>
      <c r="UTE139" s="3"/>
      <c r="UTF139" s="3"/>
      <c r="UTG139" s="3"/>
      <c r="UTH139" s="3"/>
      <c r="UTI139" s="3"/>
      <c r="UTJ139" s="3"/>
      <c r="UTK139" s="3"/>
      <c r="UTL139" s="3"/>
      <c r="UTM139" s="3"/>
      <c r="UTN139" s="3"/>
      <c r="UTO139" s="3"/>
      <c r="UTP139" s="3"/>
      <c r="UTQ139" s="3"/>
      <c r="UTR139" s="3"/>
      <c r="UTS139" s="3"/>
      <c r="UTT139" s="3"/>
      <c r="UTU139" s="3"/>
      <c r="UTV139" s="3"/>
      <c r="UTW139" s="3"/>
      <c r="UTX139" s="3"/>
      <c r="UTY139" s="3"/>
      <c r="UTZ139" s="3"/>
      <c r="UUA139" s="3"/>
      <c r="UUB139" s="3"/>
      <c r="UUC139" s="3"/>
      <c r="UUD139" s="3"/>
      <c r="UUE139" s="3"/>
      <c r="UUF139" s="3"/>
      <c r="UUG139" s="3"/>
      <c r="UUH139" s="3"/>
      <c r="UUI139" s="3"/>
      <c r="UUJ139" s="3"/>
      <c r="UUK139" s="3"/>
      <c r="UUL139" s="3"/>
      <c r="UUM139" s="3"/>
      <c r="UUN139" s="3"/>
      <c r="UUO139" s="3"/>
      <c r="UUP139" s="3"/>
      <c r="UUQ139" s="3"/>
      <c r="UUR139" s="3"/>
      <c r="UUS139" s="3"/>
      <c r="UUT139" s="3"/>
      <c r="UUU139" s="3"/>
      <c r="UUV139" s="3"/>
      <c r="UUW139" s="3"/>
      <c r="UUX139" s="3"/>
      <c r="UUY139" s="3"/>
      <c r="UUZ139" s="3"/>
      <c r="UVA139" s="3"/>
      <c r="UVB139" s="3"/>
      <c r="UVC139" s="3"/>
      <c r="UVD139" s="3"/>
      <c r="UVE139" s="3"/>
      <c r="UVF139" s="3"/>
      <c r="UVG139" s="3"/>
      <c r="UVH139" s="3"/>
      <c r="UVI139" s="3"/>
      <c r="UVJ139" s="3"/>
      <c r="UVK139" s="3"/>
      <c r="UVL139" s="3"/>
      <c r="UVM139" s="3"/>
      <c r="UVN139" s="3"/>
      <c r="UVO139" s="3"/>
      <c r="UVP139" s="3"/>
      <c r="UVQ139" s="3"/>
      <c r="UVR139" s="3"/>
      <c r="UVS139" s="3"/>
      <c r="UVT139" s="3"/>
      <c r="UVU139" s="3"/>
      <c r="UVV139" s="3"/>
      <c r="UVW139" s="3"/>
      <c r="UVX139" s="3"/>
      <c r="UVY139" s="3"/>
      <c r="UVZ139" s="3"/>
      <c r="UWA139" s="3"/>
      <c r="UWB139" s="3"/>
      <c r="UWC139" s="3"/>
      <c r="UWD139" s="3"/>
      <c r="UWE139" s="3"/>
      <c r="UWF139" s="3"/>
      <c r="UWG139" s="3"/>
      <c r="UWH139" s="3"/>
      <c r="UWI139" s="3"/>
      <c r="UWJ139" s="3"/>
      <c r="UWK139" s="3"/>
      <c r="UWL139" s="3"/>
      <c r="UWM139" s="3"/>
      <c r="UWN139" s="3"/>
      <c r="UWO139" s="3"/>
      <c r="UWP139" s="3"/>
      <c r="UWQ139" s="3"/>
      <c r="UWR139" s="3"/>
      <c r="UWS139" s="3"/>
      <c r="UWT139" s="3"/>
      <c r="UWU139" s="3"/>
      <c r="UWV139" s="3"/>
      <c r="UWW139" s="3"/>
      <c r="UWX139" s="3"/>
      <c r="UWY139" s="3"/>
      <c r="UWZ139" s="3"/>
      <c r="UXA139" s="3"/>
      <c r="UXB139" s="3"/>
      <c r="UXC139" s="3"/>
      <c r="UXD139" s="3"/>
      <c r="UXE139" s="3"/>
      <c r="UXF139" s="3"/>
      <c r="UXG139" s="3"/>
      <c r="UXH139" s="3"/>
      <c r="UXI139" s="3"/>
      <c r="UXJ139" s="3"/>
      <c r="UXK139" s="3"/>
      <c r="UXL139" s="3"/>
      <c r="UXM139" s="3"/>
      <c r="UXN139" s="3"/>
      <c r="UXO139" s="3"/>
      <c r="UXP139" s="3"/>
      <c r="UXQ139" s="3"/>
      <c r="UXR139" s="3"/>
      <c r="UXS139" s="3"/>
      <c r="UXT139" s="3"/>
      <c r="UXU139" s="3"/>
      <c r="UXV139" s="3"/>
      <c r="UXW139" s="3"/>
      <c r="UXX139" s="3"/>
      <c r="UXY139" s="3"/>
      <c r="UXZ139" s="3"/>
      <c r="UYA139" s="3"/>
      <c r="UYB139" s="3"/>
      <c r="UYC139" s="3"/>
      <c r="UYD139" s="3"/>
      <c r="UYE139" s="3"/>
      <c r="UYF139" s="3"/>
      <c r="UYG139" s="3"/>
      <c r="UYH139" s="3"/>
      <c r="UYI139" s="3"/>
      <c r="UYJ139" s="3"/>
      <c r="UYK139" s="3"/>
      <c r="UYL139" s="3"/>
      <c r="UYM139" s="3"/>
      <c r="UYN139" s="3"/>
      <c r="UYO139" s="3"/>
      <c r="UYP139" s="3"/>
      <c r="UYQ139" s="3"/>
      <c r="UYR139" s="3"/>
      <c r="UYS139" s="3"/>
      <c r="UYT139" s="3"/>
      <c r="UYU139" s="3"/>
      <c r="UYV139" s="3"/>
      <c r="UYW139" s="3"/>
      <c r="UYX139" s="3"/>
      <c r="UYY139" s="3"/>
      <c r="UYZ139" s="3"/>
      <c r="UZA139" s="3"/>
      <c r="UZB139" s="3"/>
      <c r="UZC139" s="3"/>
      <c r="UZD139" s="3"/>
      <c r="UZE139" s="3"/>
      <c r="UZF139" s="3"/>
      <c r="UZG139" s="3"/>
      <c r="UZH139" s="3"/>
      <c r="UZI139" s="3"/>
      <c r="UZJ139" s="3"/>
      <c r="UZK139" s="3"/>
      <c r="UZL139" s="3"/>
      <c r="UZM139" s="3"/>
      <c r="UZN139" s="3"/>
      <c r="UZO139" s="3"/>
      <c r="UZP139" s="3"/>
      <c r="UZQ139" s="3"/>
      <c r="UZR139" s="3"/>
      <c r="UZS139" s="3"/>
      <c r="UZT139" s="3"/>
      <c r="UZU139" s="3"/>
      <c r="UZV139" s="3"/>
      <c r="UZW139" s="3"/>
      <c r="UZX139" s="3"/>
      <c r="UZY139" s="3"/>
      <c r="UZZ139" s="3"/>
      <c r="VAA139" s="3"/>
      <c r="VAB139" s="3"/>
      <c r="VAC139" s="3"/>
      <c r="VAD139" s="3"/>
      <c r="VAE139" s="3"/>
      <c r="VAF139" s="3"/>
      <c r="VAG139" s="3"/>
      <c r="VAH139" s="3"/>
      <c r="VAI139" s="3"/>
      <c r="VAJ139" s="3"/>
      <c r="VAK139" s="3"/>
      <c r="VAL139" s="3"/>
      <c r="VAM139" s="3"/>
      <c r="VAN139" s="3"/>
      <c r="VAO139" s="3"/>
      <c r="VAP139" s="3"/>
      <c r="VAQ139" s="3"/>
      <c r="VAR139" s="3"/>
      <c r="VAS139" s="3"/>
      <c r="VAT139" s="3"/>
      <c r="VAU139" s="3"/>
      <c r="VAV139" s="3"/>
      <c r="VAW139" s="3"/>
      <c r="VAX139" s="3"/>
      <c r="VAY139" s="3"/>
      <c r="VAZ139" s="3"/>
      <c r="VBA139" s="3"/>
      <c r="VBB139" s="3"/>
      <c r="VBC139" s="3"/>
      <c r="VBD139" s="3"/>
      <c r="VBE139" s="3"/>
      <c r="VBF139" s="3"/>
      <c r="VBG139" s="3"/>
      <c r="VBH139" s="3"/>
      <c r="VBI139" s="3"/>
      <c r="VBJ139" s="3"/>
      <c r="VBK139" s="3"/>
      <c r="VBL139" s="3"/>
      <c r="VBM139" s="3"/>
      <c r="VBN139" s="3"/>
      <c r="VBO139" s="3"/>
      <c r="VBP139" s="3"/>
      <c r="VBQ139" s="3"/>
      <c r="VBR139" s="3"/>
      <c r="VBS139" s="3"/>
      <c r="VBT139" s="3"/>
      <c r="VBU139" s="3"/>
      <c r="VBV139" s="3"/>
      <c r="VBW139" s="3"/>
      <c r="VBX139" s="3"/>
      <c r="VBY139" s="3"/>
      <c r="VBZ139" s="3"/>
      <c r="VCA139" s="3"/>
      <c r="VCB139" s="3"/>
      <c r="VCC139" s="3"/>
      <c r="VCD139" s="3"/>
      <c r="VCE139" s="3"/>
      <c r="VCF139" s="3"/>
      <c r="VCG139" s="3"/>
      <c r="VCH139" s="3"/>
      <c r="VCI139" s="3"/>
      <c r="VCJ139" s="3"/>
      <c r="VCK139" s="3"/>
      <c r="VCL139" s="3"/>
      <c r="VCM139" s="3"/>
      <c r="VCN139" s="3"/>
      <c r="VCO139" s="3"/>
      <c r="VCP139" s="3"/>
      <c r="VCQ139" s="3"/>
      <c r="VCR139" s="3"/>
      <c r="VCS139" s="3"/>
      <c r="VCT139" s="3"/>
      <c r="VCU139" s="3"/>
      <c r="VCV139" s="3"/>
      <c r="VCW139" s="3"/>
      <c r="VCX139" s="3"/>
      <c r="VCY139" s="3"/>
      <c r="VCZ139" s="3"/>
      <c r="VDA139" s="3"/>
      <c r="VDB139" s="3"/>
      <c r="VDC139" s="3"/>
      <c r="VDD139" s="3"/>
      <c r="VDE139" s="3"/>
      <c r="VDF139" s="3"/>
      <c r="VDG139" s="3"/>
      <c r="VDH139" s="3"/>
      <c r="VDI139" s="3"/>
      <c r="VDJ139" s="3"/>
      <c r="VDK139" s="3"/>
      <c r="VDL139" s="3"/>
      <c r="VDM139" s="3"/>
      <c r="VDN139" s="3"/>
      <c r="VDO139" s="3"/>
      <c r="VDP139" s="3"/>
      <c r="VDQ139" s="3"/>
      <c r="VDR139" s="3"/>
      <c r="VDS139" s="3"/>
      <c r="VDT139" s="3"/>
      <c r="VDU139" s="3"/>
      <c r="VDV139" s="3"/>
      <c r="VDW139" s="3"/>
      <c r="VDX139" s="3"/>
      <c r="VDY139" s="3"/>
      <c r="VDZ139" s="3"/>
      <c r="VEA139" s="3"/>
      <c r="VEB139" s="3"/>
      <c r="VEC139" s="3"/>
      <c r="VED139" s="3"/>
      <c r="VEE139" s="3"/>
      <c r="VEF139" s="3"/>
      <c r="VEG139" s="3"/>
      <c r="VEH139" s="3"/>
      <c r="VEI139" s="3"/>
      <c r="VEJ139" s="3"/>
      <c r="VEK139" s="3"/>
      <c r="VEL139" s="3"/>
      <c r="VEM139" s="3"/>
      <c r="VEN139" s="3"/>
      <c r="VEO139" s="3"/>
      <c r="VEP139" s="3"/>
      <c r="VEQ139" s="3"/>
      <c r="VER139" s="3"/>
      <c r="VES139" s="3"/>
      <c r="VET139" s="3"/>
      <c r="VEU139" s="3"/>
      <c r="VEV139" s="3"/>
      <c r="VEW139" s="3"/>
      <c r="VEX139" s="3"/>
      <c r="VEY139" s="3"/>
      <c r="VEZ139" s="3"/>
      <c r="VFA139" s="3"/>
      <c r="VFB139" s="3"/>
      <c r="VFC139" s="3"/>
      <c r="VFD139" s="3"/>
      <c r="VFE139" s="3"/>
      <c r="VFF139" s="3"/>
      <c r="VFG139" s="3"/>
      <c r="VFH139" s="3"/>
      <c r="VFI139" s="3"/>
      <c r="VFJ139" s="3"/>
      <c r="VFK139" s="3"/>
      <c r="VFL139" s="3"/>
      <c r="VFM139" s="3"/>
      <c r="VFN139" s="3"/>
      <c r="VFO139" s="3"/>
      <c r="VFP139" s="3"/>
      <c r="VFQ139" s="3"/>
      <c r="VFR139" s="3"/>
      <c r="VFS139" s="3"/>
      <c r="VFT139" s="3"/>
      <c r="VFU139" s="3"/>
      <c r="VFV139" s="3"/>
      <c r="VFW139" s="3"/>
      <c r="VFX139" s="3"/>
      <c r="VFY139" s="3"/>
      <c r="VFZ139" s="3"/>
      <c r="VGA139" s="3"/>
      <c r="VGB139" s="3"/>
      <c r="VGC139" s="3"/>
      <c r="VGD139" s="3"/>
      <c r="VGE139" s="3"/>
      <c r="VGF139" s="3"/>
      <c r="VGG139" s="3"/>
      <c r="VGH139" s="3"/>
      <c r="VGI139" s="3"/>
      <c r="VGJ139" s="3"/>
      <c r="VGK139" s="3"/>
      <c r="VGL139" s="3"/>
      <c r="VGM139" s="3"/>
      <c r="VGN139" s="3"/>
      <c r="VGO139" s="3"/>
      <c r="VGP139" s="3"/>
      <c r="VGQ139" s="3"/>
      <c r="VGR139" s="3"/>
      <c r="VGS139" s="3"/>
      <c r="VGT139" s="3"/>
      <c r="VGU139" s="3"/>
      <c r="VGV139" s="3"/>
      <c r="VGW139" s="3"/>
      <c r="VGX139" s="3"/>
      <c r="VGY139" s="3"/>
      <c r="VGZ139" s="3"/>
      <c r="VHA139" s="3"/>
      <c r="VHB139" s="3"/>
      <c r="VHC139" s="3"/>
      <c r="VHD139" s="3"/>
      <c r="VHE139" s="3"/>
      <c r="VHF139" s="3"/>
      <c r="VHG139" s="3"/>
      <c r="VHH139" s="3"/>
      <c r="VHI139" s="3"/>
      <c r="VHJ139" s="3"/>
      <c r="VHK139" s="3"/>
      <c r="VHL139" s="3"/>
      <c r="VHM139" s="3"/>
      <c r="VHN139" s="3"/>
      <c r="VHO139" s="3"/>
      <c r="VHP139" s="3"/>
      <c r="VHQ139" s="3"/>
      <c r="VHR139" s="3"/>
      <c r="VHS139" s="3"/>
      <c r="VHT139" s="3"/>
      <c r="VHU139" s="3"/>
      <c r="VHV139" s="3"/>
      <c r="VHW139" s="3"/>
      <c r="VHX139" s="3"/>
      <c r="VHY139" s="3"/>
      <c r="VHZ139" s="3"/>
      <c r="VIA139" s="3"/>
      <c r="VIB139" s="3"/>
      <c r="VIC139" s="3"/>
      <c r="VID139" s="3"/>
      <c r="VIE139" s="3"/>
      <c r="VIF139" s="3"/>
      <c r="VIG139" s="3"/>
      <c r="VIH139" s="3"/>
      <c r="VII139" s="3"/>
      <c r="VIJ139" s="3"/>
      <c r="VIK139" s="3"/>
      <c r="VIL139" s="3"/>
      <c r="VIM139" s="3"/>
      <c r="VIN139" s="3"/>
      <c r="VIO139" s="3"/>
      <c r="VIP139" s="3"/>
      <c r="VIQ139" s="3"/>
      <c r="VIR139"/>
      <c r="VIS139"/>
      <c r="VIT139"/>
      <c r="VIU139"/>
      <c r="VIV139"/>
      <c r="VIW139"/>
      <c r="VIX139"/>
      <c r="VIY139"/>
      <c r="VIZ139"/>
      <c r="VJA139"/>
      <c r="VJB139"/>
      <c r="VJC139"/>
      <c r="VJD139"/>
      <c r="VJE139"/>
      <c r="VJF139"/>
      <c r="VJG139"/>
      <c r="VJH139"/>
      <c r="VJI139"/>
      <c r="VJJ139"/>
      <c r="VJK139"/>
      <c r="VJL139"/>
      <c r="VJM139"/>
      <c r="VJN139"/>
      <c r="VJO139"/>
      <c r="VJP139"/>
      <c r="VJQ139"/>
      <c r="VJR139"/>
      <c r="VJS139"/>
      <c r="VJT139"/>
      <c r="VJU139"/>
      <c r="VJV139"/>
      <c r="VJW139"/>
      <c r="VJX139"/>
      <c r="VJY139"/>
      <c r="VJZ139"/>
      <c r="VKA139"/>
      <c r="VKB139"/>
      <c r="VKC139"/>
      <c r="VKD139"/>
      <c r="VKE139"/>
      <c r="VKF139"/>
      <c r="VKG139"/>
      <c r="VKH139"/>
      <c r="VKI139"/>
      <c r="VKJ139"/>
      <c r="VKK139"/>
      <c r="VKL139"/>
      <c r="VKM139"/>
      <c r="VKN139"/>
      <c r="VKO139"/>
      <c r="VKP139"/>
      <c r="VKQ139"/>
      <c r="VKR139"/>
      <c r="VKS139"/>
      <c r="VKT139"/>
      <c r="VKU139"/>
      <c r="VKV139"/>
      <c r="VKW139"/>
      <c r="VKX139"/>
      <c r="VKY139"/>
      <c r="VKZ139"/>
      <c r="VLA139"/>
      <c r="VLB139"/>
      <c r="VLC139"/>
      <c r="VLD139"/>
      <c r="VLE139"/>
      <c r="VLF139"/>
      <c r="VLG139"/>
      <c r="VLH139"/>
      <c r="VLI139"/>
      <c r="VLJ139"/>
      <c r="VLK139"/>
      <c r="VLL139"/>
      <c r="VLM139"/>
      <c r="VLN139"/>
      <c r="VLO139"/>
      <c r="VLP139"/>
      <c r="VLQ139"/>
      <c r="VLR139"/>
      <c r="VLS139"/>
      <c r="VLT139"/>
      <c r="VLU139"/>
      <c r="VLV139"/>
      <c r="VLW139"/>
      <c r="VLX139"/>
      <c r="VLY139"/>
      <c r="VLZ139"/>
      <c r="VMA139"/>
      <c r="VMB139"/>
      <c r="VMC139"/>
      <c r="VMD139"/>
      <c r="VME139"/>
      <c r="VMF139"/>
      <c r="VMG139"/>
      <c r="VMH139"/>
      <c r="VMI139"/>
      <c r="VMJ139"/>
      <c r="VMK139"/>
      <c r="VML139"/>
      <c r="VMM139"/>
      <c r="VMN139"/>
      <c r="VMO139"/>
      <c r="VMP139"/>
      <c r="VMQ139"/>
      <c r="VMR139"/>
      <c r="VMS139"/>
      <c r="VMT139"/>
      <c r="VMU139"/>
      <c r="VMV139"/>
      <c r="VMW139"/>
      <c r="VMX139"/>
      <c r="VMY139"/>
      <c r="VMZ139"/>
      <c r="VNA139"/>
      <c r="VNB139"/>
      <c r="VNC139"/>
      <c r="VND139"/>
      <c r="VNE139"/>
      <c r="VNF139"/>
      <c r="VNG139"/>
      <c r="VNH139"/>
      <c r="VNI139"/>
      <c r="VNJ139"/>
      <c r="VNK139"/>
      <c r="VNL139"/>
      <c r="VNM139"/>
      <c r="VNN139"/>
      <c r="VNO139"/>
      <c r="VNP139"/>
      <c r="VNQ139"/>
      <c r="VNR139"/>
      <c r="VNS139"/>
      <c r="VNT139"/>
      <c r="VNU139"/>
      <c r="VNV139"/>
      <c r="VNW139"/>
      <c r="VNX139"/>
      <c r="VNY139"/>
      <c r="VNZ139"/>
      <c r="VOA139"/>
      <c r="VOB139"/>
      <c r="VOC139"/>
      <c r="VOD139"/>
      <c r="VOE139"/>
      <c r="VOF139"/>
      <c r="VOG139"/>
      <c r="VOH139"/>
      <c r="VOI139"/>
      <c r="VOJ139"/>
      <c r="VOK139"/>
      <c r="VOL139"/>
      <c r="VOM139"/>
      <c r="VON139"/>
      <c r="VOO139"/>
      <c r="VOP139"/>
      <c r="VOQ139"/>
      <c r="VOR139"/>
      <c r="VOS139"/>
      <c r="VOT139"/>
      <c r="VOU139"/>
      <c r="VOV139"/>
      <c r="VOW139"/>
      <c r="VOX139"/>
      <c r="VOY139"/>
      <c r="VOZ139"/>
      <c r="VPA139"/>
      <c r="VPB139"/>
      <c r="VPC139"/>
      <c r="VPD139"/>
      <c r="VPE139"/>
      <c r="VPF139"/>
      <c r="VPG139"/>
      <c r="VPH139"/>
      <c r="VPI139"/>
      <c r="VPJ139"/>
      <c r="VPK139"/>
      <c r="VPL139"/>
      <c r="VPM139"/>
      <c r="VPN139"/>
      <c r="VPO139"/>
      <c r="VPP139"/>
      <c r="VPQ139"/>
      <c r="VPR139"/>
      <c r="VPS139"/>
      <c r="VPT139"/>
      <c r="VPU139"/>
      <c r="VPV139"/>
      <c r="VPW139"/>
      <c r="VPX139"/>
      <c r="VPY139"/>
      <c r="VPZ139"/>
      <c r="VQA139"/>
      <c r="VQB139"/>
      <c r="VQC139"/>
      <c r="VQD139"/>
      <c r="VQE139"/>
      <c r="VQF139"/>
      <c r="VQG139"/>
      <c r="VQH139"/>
      <c r="VQI139"/>
      <c r="VQJ139"/>
      <c r="VQK139"/>
      <c r="VQL139"/>
      <c r="VQM139"/>
      <c r="VQN139"/>
      <c r="VQO139"/>
      <c r="VQP139"/>
      <c r="VQQ139"/>
      <c r="VQR139"/>
      <c r="VQS139"/>
      <c r="VQT139"/>
      <c r="VQU139"/>
      <c r="VQV139"/>
      <c r="VQW139"/>
      <c r="VQX139"/>
      <c r="VQY139"/>
      <c r="VQZ139"/>
      <c r="VRA139"/>
      <c r="VRB139"/>
      <c r="VRC139"/>
      <c r="VRD139"/>
      <c r="VRE139"/>
      <c r="VRF139"/>
      <c r="VRG139"/>
      <c r="VRH139"/>
      <c r="VRI139"/>
      <c r="VRJ139"/>
      <c r="VRK139"/>
      <c r="VRL139"/>
      <c r="VRM139"/>
      <c r="VRN139"/>
      <c r="VRO139"/>
      <c r="VRP139"/>
      <c r="VRQ139"/>
      <c r="VRR139"/>
      <c r="VRS139"/>
      <c r="VRT139"/>
      <c r="VRU139"/>
      <c r="VRV139"/>
      <c r="VRW139"/>
      <c r="VRX139"/>
      <c r="VRY139"/>
      <c r="VRZ139"/>
      <c r="VSA139"/>
      <c r="VSB139"/>
      <c r="VSC139"/>
      <c r="VSD139"/>
      <c r="VSE139"/>
      <c r="VSF139"/>
      <c r="VSG139"/>
      <c r="VSH139"/>
      <c r="VSI139"/>
      <c r="VSJ139"/>
      <c r="VSK139"/>
      <c r="VSL139"/>
      <c r="VSM139"/>
      <c r="VSN139"/>
      <c r="VSO139"/>
      <c r="VSP139"/>
      <c r="VSQ139"/>
      <c r="VSR139"/>
      <c r="VSS139"/>
      <c r="VST139"/>
      <c r="VSU139"/>
      <c r="VSV139"/>
      <c r="VSW139"/>
      <c r="VSX139"/>
      <c r="VSY139"/>
      <c r="VSZ139"/>
      <c r="VTA139"/>
      <c r="VTB139"/>
      <c r="VTC139"/>
      <c r="VTD139"/>
      <c r="VTE139"/>
      <c r="VTF139"/>
      <c r="VTG139"/>
      <c r="VTH139"/>
      <c r="VTI139"/>
      <c r="VTJ139"/>
      <c r="VTK139"/>
      <c r="VTL139"/>
      <c r="VTM139"/>
      <c r="VTN139"/>
      <c r="VTO139"/>
      <c r="VTP139"/>
      <c r="VTQ139"/>
      <c r="VTR139"/>
      <c r="VTS139"/>
      <c r="VTT139"/>
      <c r="VTU139"/>
      <c r="VTV139"/>
      <c r="VTW139"/>
      <c r="VTX139"/>
      <c r="VTY139"/>
      <c r="VTZ139"/>
      <c r="VUA139"/>
      <c r="VUB139"/>
      <c r="VUC139"/>
      <c r="VUD139"/>
      <c r="VUE139"/>
      <c r="VUF139"/>
      <c r="VUG139"/>
      <c r="VUH139"/>
      <c r="VUI139"/>
      <c r="VUJ139"/>
      <c r="VUK139"/>
      <c r="VUL139"/>
      <c r="VUM139"/>
      <c r="VUN139"/>
      <c r="VUO139"/>
      <c r="VUP139"/>
      <c r="VUQ139"/>
      <c r="VUR139"/>
      <c r="VUS139"/>
      <c r="VUT139"/>
      <c r="VUU139"/>
      <c r="VUV139"/>
      <c r="VUW139"/>
      <c r="VUX139"/>
      <c r="VUY139"/>
      <c r="VUZ139"/>
      <c r="VVA139"/>
      <c r="VVB139"/>
      <c r="VVC139"/>
      <c r="VVD139"/>
      <c r="VVE139"/>
      <c r="VVF139"/>
      <c r="VVG139"/>
      <c r="VVH139"/>
      <c r="VVI139"/>
      <c r="VVJ139"/>
      <c r="VVK139"/>
      <c r="VVL139"/>
      <c r="VVM139"/>
      <c r="VVN139"/>
      <c r="VVO139"/>
      <c r="VVP139"/>
      <c r="VVQ139"/>
      <c r="VVR139"/>
      <c r="VVS139"/>
      <c r="VVT139"/>
      <c r="VVU139"/>
      <c r="VVV139"/>
      <c r="VVW139"/>
      <c r="VVX139"/>
      <c r="VVY139"/>
      <c r="VVZ139"/>
      <c r="VWA139"/>
      <c r="VWB139"/>
      <c r="VWC139"/>
      <c r="VWD139"/>
      <c r="VWE139"/>
      <c r="VWF139"/>
      <c r="VWG139"/>
      <c r="VWH139"/>
      <c r="VWI139"/>
      <c r="VWJ139"/>
      <c r="VWK139"/>
      <c r="VWL139"/>
      <c r="VWM139"/>
      <c r="VWN139"/>
      <c r="VWO139"/>
      <c r="VWP139"/>
      <c r="VWQ139"/>
      <c r="VWR139"/>
      <c r="VWS139"/>
      <c r="VWT139"/>
      <c r="VWU139"/>
      <c r="VWV139"/>
      <c r="VWW139"/>
      <c r="VWX139"/>
      <c r="VWY139"/>
      <c r="VWZ139"/>
      <c r="VXA139"/>
      <c r="VXB139"/>
      <c r="VXC139"/>
      <c r="VXD139"/>
      <c r="VXE139"/>
      <c r="VXF139"/>
      <c r="VXG139"/>
      <c r="VXH139"/>
      <c r="VXI139"/>
      <c r="VXJ139"/>
      <c r="VXK139"/>
      <c r="VXL139"/>
      <c r="VXM139"/>
      <c r="VXN139"/>
      <c r="VXO139"/>
      <c r="VXP139"/>
      <c r="VXQ139"/>
      <c r="VXR139"/>
      <c r="VXS139"/>
      <c r="VXT139"/>
    </row>
    <row r="140" spans="1:15516" s="1" customFormat="1" ht="14.25">
      <c r="B140" s="75"/>
      <c r="C140" s="248" t="s">
        <v>69</v>
      </c>
      <c r="D140" s="79"/>
      <c r="E140" s="75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126"/>
      <c r="AK140" s="181" t="s">
        <v>69</v>
      </c>
      <c r="AM140" s="127"/>
    </row>
    <row r="141" spans="1:15516" s="1" customFormat="1" ht="14.25">
      <c r="B141" s="75"/>
      <c r="C141" s="159" t="s">
        <v>142</v>
      </c>
      <c r="D141" s="74">
        <v>0.3</v>
      </c>
      <c r="E141" s="249" t="s">
        <v>13</v>
      </c>
      <c r="F141" s="92" t="e">
        <f t="shared" ref="F141:AI141" si="87">F134/F125*100</f>
        <v>#DIV/0!</v>
      </c>
      <c r="G141" s="92" t="e">
        <f t="shared" si="87"/>
        <v>#DIV/0!</v>
      </c>
      <c r="H141" s="92" t="e">
        <f t="shared" si="87"/>
        <v>#DIV/0!</v>
      </c>
      <c r="I141" s="92" t="e">
        <f t="shared" si="87"/>
        <v>#DIV/0!</v>
      </c>
      <c r="J141" s="92" t="e">
        <f t="shared" si="87"/>
        <v>#DIV/0!</v>
      </c>
      <c r="K141" s="92" t="e">
        <f t="shared" si="87"/>
        <v>#DIV/0!</v>
      </c>
      <c r="L141" s="92" t="e">
        <f t="shared" si="87"/>
        <v>#DIV/0!</v>
      </c>
      <c r="M141" s="92" t="e">
        <f t="shared" si="87"/>
        <v>#DIV/0!</v>
      </c>
      <c r="N141" s="92" t="e">
        <f t="shared" si="87"/>
        <v>#DIV/0!</v>
      </c>
      <c r="O141" s="92" t="e">
        <f t="shared" si="87"/>
        <v>#DIV/0!</v>
      </c>
      <c r="P141" s="92" t="e">
        <f t="shared" si="87"/>
        <v>#DIV/0!</v>
      </c>
      <c r="Q141" s="92" t="e">
        <f t="shared" si="87"/>
        <v>#DIV/0!</v>
      </c>
      <c r="R141" s="92" t="e">
        <f t="shared" si="87"/>
        <v>#DIV/0!</v>
      </c>
      <c r="S141" s="92" t="e">
        <f t="shared" si="87"/>
        <v>#DIV/0!</v>
      </c>
      <c r="T141" s="92" t="e">
        <f t="shared" si="87"/>
        <v>#DIV/0!</v>
      </c>
      <c r="U141" s="92" t="e">
        <f t="shared" si="87"/>
        <v>#DIV/0!</v>
      </c>
      <c r="V141" s="92" t="e">
        <f t="shared" si="87"/>
        <v>#DIV/0!</v>
      </c>
      <c r="W141" s="92" t="e">
        <f t="shared" si="87"/>
        <v>#DIV/0!</v>
      </c>
      <c r="X141" s="92" t="e">
        <f t="shared" si="87"/>
        <v>#DIV/0!</v>
      </c>
      <c r="Y141" s="92" t="e">
        <f t="shared" si="87"/>
        <v>#DIV/0!</v>
      </c>
      <c r="Z141" s="92" t="e">
        <f t="shared" si="87"/>
        <v>#DIV/0!</v>
      </c>
      <c r="AA141" s="92" t="e">
        <f t="shared" si="87"/>
        <v>#DIV/0!</v>
      </c>
      <c r="AB141" s="92" t="e">
        <f t="shared" si="87"/>
        <v>#DIV/0!</v>
      </c>
      <c r="AC141" s="92" t="e">
        <f t="shared" si="87"/>
        <v>#DIV/0!</v>
      </c>
      <c r="AD141" s="92" t="e">
        <f t="shared" si="87"/>
        <v>#DIV/0!</v>
      </c>
      <c r="AE141" s="92" t="e">
        <f t="shared" si="87"/>
        <v>#DIV/0!</v>
      </c>
      <c r="AF141" s="92" t="e">
        <f t="shared" si="87"/>
        <v>#DIV/0!</v>
      </c>
      <c r="AG141" s="92" t="e">
        <f t="shared" si="87"/>
        <v>#DIV/0!</v>
      </c>
      <c r="AH141" s="92" t="e">
        <f t="shared" si="87"/>
        <v>#DIV/0!</v>
      </c>
      <c r="AI141" s="92" t="e">
        <f t="shared" si="87"/>
        <v>#DIV/0!</v>
      </c>
      <c r="AJ141" s="126"/>
      <c r="AK141" s="128" t="e">
        <f>AK134/AK125*100</f>
        <v>#DIV/0!</v>
      </c>
      <c r="AM141" s="127"/>
    </row>
    <row r="142" spans="1:15516" s="1" customFormat="1" ht="14.25">
      <c r="B142" s="75"/>
      <c r="C142" s="159" t="s">
        <v>143</v>
      </c>
      <c r="D142" s="74">
        <v>0.3</v>
      </c>
      <c r="E142" s="249" t="s">
        <v>13</v>
      </c>
      <c r="F142" s="92" t="e">
        <f t="shared" ref="F142:AI142" si="88">F135/F126*100</f>
        <v>#DIV/0!</v>
      </c>
      <c r="G142" s="92" t="e">
        <f t="shared" si="88"/>
        <v>#DIV/0!</v>
      </c>
      <c r="H142" s="92" t="e">
        <f t="shared" si="88"/>
        <v>#DIV/0!</v>
      </c>
      <c r="I142" s="92" t="e">
        <f t="shared" si="88"/>
        <v>#DIV/0!</v>
      </c>
      <c r="J142" s="92" t="e">
        <f t="shared" si="88"/>
        <v>#DIV/0!</v>
      </c>
      <c r="K142" s="92" t="e">
        <f t="shared" si="88"/>
        <v>#DIV/0!</v>
      </c>
      <c r="L142" s="92" t="e">
        <f t="shared" si="88"/>
        <v>#DIV/0!</v>
      </c>
      <c r="M142" s="92" t="e">
        <f t="shared" si="88"/>
        <v>#DIV/0!</v>
      </c>
      <c r="N142" s="92" t="e">
        <f t="shared" si="88"/>
        <v>#DIV/0!</v>
      </c>
      <c r="O142" s="92" t="e">
        <f t="shared" si="88"/>
        <v>#DIV/0!</v>
      </c>
      <c r="P142" s="92" t="e">
        <f t="shared" si="88"/>
        <v>#DIV/0!</v>
      </c>
      <c r="Q142" s="92" t="e">
        <f t="shared" si="88"/>
        <v>#DIV/0!</v>
      </c>
      <c r="R142" s="92">
        <f t="shared" si="88"/>
        <v>56.98924731182796</v>
      </c>
      <c r="S142" s="92">
        <f t="shared" si="88"/>
        <v>0</v>
      </c>
      <c r="T142" s="92" t="e">
        <f t="shared" si="88"/>
        <v>#DIV/0!</v>
      </c>
      <c r="U142" s="92" t="e">
        <f t="shared" si="88"/>
        <v>#DIV/0!</v>
      </c>
      <c r="V142" s="92" t="e">
        <f t="shared" si="88"/>
        <v>#DIV/0!</v>
      </c>
      <c r="W142" s="92" t="e">
        <f t="shared" si="88"/>
        <v>#DIV/0!</v>
      </c>
      <c r="X142" s="92" t="e">
        <f t="shared" si="88"/>
        <v>#DIV/0!</v>
      </c>
      <c r="Y142" s="92">
        <f t="shared" si="88"/>
        <v>13.649289099526065</v>
      </c>
      <c r="Z142" s="92" t="e">
        <f t="shared" si="88"/>
        <v>#DIV/0!</v>
      </c>
      <c r="AA142" s="92" t="e">
        <f t="shared" si="88"/>
        <v>#DIV/0!</v>
      </c>
      <c r="AB142" s="92" t="e">
        <f t="shared" si="88"/>
        <v>#DIV/0!</v>
      </c>
      <c r="AC142" s="92" t="e">
        <f t="shared" si="88"/>
        <v>#DIV/0!</v>
      </c>
      <c r="AD142" s="92" t="e">
        <f t="shared" si="88"/>
        <v>#DIV/0!</v>
      </c>
      <c r="AE142" s="92">
        <f t="shared" si="88"/>
        <v>0.44493882091212456</v>
      </c>
      <c r="AF142" s="92" t="e">
        <f t="shared" si="88"/>
        <v>#DIV/0!</v>
      </c>
      <c r="AG142" s="92" t="e">
        <f t="shared" si="88"/>
        <v>#DIV/0!</v>
      </c>
      <c r="AH142" s="92" t="e">
        <f t="shared" si="88"/>
        <v>#DIV/0!</v>
      </c>
      <c r="AI142" s="92" t="e">
        <f t="shared" si="88"/>
        <v>#DIV/0!</v>
      </c>
      <c r="AJ142" s="126"/>
      <c r="AK142" s="128">
        <f>AK135/AK126*100</f>
        <v>18.846787479406917</v>
      </c>
      <c r="AM142" s="127"/>
    </row>
    <row r="143" spans="1:15516" s="1" customFormat="1" ht="14.25">
      <c r="B143" s="75"/>
      <c r="C143" s="248" t="s">
        <v>73</v>
      </c>
      <c r="D143" s="74"/>
      <c r="E143" s="75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126"/>
      <c r="AK143" s="181" t="s">
        <v>73</v>
      </c>
      <c r="AM143" s="127"/>
    </row>
    <row r="144" spans="1:15516" s="1" customFormat="1" ht="14.25">
      <c r="B144" s="75"/>
      <c r="C144" s="159" t="s">
        <v>142</v>
      </c>
      <c r="D144" s="74">
        <v>0.5</v>
      </c>
      <c r="E144" s="249" t="s">
        <v>13</v>
      </c>
      <c r="F144" s="92" t="e">
        <f t="shared" ref="F144:AI144" si="89">F137/F128*100</f>
        <v>#DIV/0!</v>
      </c>
      <c r="G144" s="92" t="e">
        <f t="shared" si="89"/>
        <v>#DIV/0!</v>
      </c>
      <c r="H144" s="92" t="e">
        <f t="shared" si="89"/>
        <v>#DIV/0!</v>
      </c>
      <c r="I144" s="92" t="e">
        <f t="shared" si="89"/>
        <v>#DIV/0!</v>
      </c>
      <c r="J144" s="92" t="e">
        <f t="shared" si="89"/>
        <v>#DIV/0!</v>
      </c>
      <c r="K144" s="92" t="e">
        <f t="shared" si="89"/>
        <v>#DIV/0!</v>
      </c>
      <c r="L144" s="92" t="e">
        <f t="shared" si="89"/>
        <v>#DIV/0!</v>
      </c>
      <c r="M144" s="92" t="e">
        <f t="shared" si="89"/>
        <v>#DIV/0!</v>
      </c>
      <c r="N144" s="92" t="e">
        <f t="shared" si="89"/>
        <v>#DIV/0!</v>
      </c>
      <c r="O144" s="92" t="e">
        <f t="shared" si="89"/>
        <v>#DIV/0!</v>
      </c>
      <c r="P144" s="92" t="e">
        <f t="shared" si="89"/>
        <v>#DIV/0!</v>
      </c>
      <c r="Q144" s="92" t="e">
        <f t="shared" si="89"/>
        <v>#DIV/0!</v>
      </c>
      <c r="R144" s="92" t="e">
        <f t="shared" si="89"/>
        <v>#DIV/0!</v>
      </c>
      <c r="S144" s="92" t="e">
        <f t="shared" si="89"/>
        <v>#DIV/0!</v>
      </c>
      <c r="T144" s="92" t="e">
        <f t="shared" si="89"/>
        <v>#DIV/0!</v>
      </c>
      <c r="U144" s="92" t="e">
        <f t="shared" si="89"/>
        <v>#DIV/0!</v>
      </c>
      <c r="V144" s="92" t="e">
        <f t="shared" si="89"/>
        <v>#DIV/0!</v>
      </c>
      <c r="W144" s="92" t="e">
        <f t="shared" si="89"/>
        <v>#DIV/0!</v>
      </c>
      <c r="X144" s="92" t="e">
        <f t="shared" si="89"/>
        <v>#DIV/0!</v>
      </c>
      <c r="Y144" s="92" t="e">
        <f t="shared" si="89"/>
        <v>#DIV/0!</v>
      </c>
      <c r="Z144" s="92" t="e">
        <f t="shared" si="89"/>
        <v>#DIV/0!</v>
      </c>
      <c r="AA144" s="92" t="e">
        <f t="shared" si="89"/>
        <v>#DIV/0!</v>
      </c>
      <c r="AB144" s="92" t="e">
        <f t="shared" si="89"/>
        <v>#DIV/0!</v>
      </c>
      <c r="AC144" s="92" t="e">
        <f t="shared" si="89"/>
        <v>#DIV/0!</v>
      </c>
      <c r="AD144" s="92" t="e">
        <f t="shared" si="89"/>
        <v>#DIV/0!</v>
      </c>
      <c r="AE144" s="92" t="e">
        <f t="shared" si="89"/>
        <v>#DIV/0!</v>
      </c>
      <c r="AF144" s="92" t="e">
        <f t="shared" si="89"/>
        <v>#DIV/0!</v>
      </c>
      <c r="AG144" s="92" t="e">
        <f t="shared" si="89"/>
        <v>#DIV/0!</v>
      </c>
      <c r="AH144" s="92" t="e">
        <f t="shared" si="89"/>
        <v>#DIV/0!</v>
      </c>
      <c r="AI144" s="92" t="e">
        <f t="shared" si="89"/>
        <v>#DIV/0!</v>
      </c>
      <c r="AJ144" s="126"/>
      <c r="AK144" s="128" t="e">
        <f>AK137/AK128*100</f>
        <v>#DIV/0!</v>
      </c>
      <c r="AM144" s="127"/>
    </row>
    <row r="145" spans="2:75" s="1" customFormat="1" ht="14.25">
      <c r="B145" s="75"/>
      <c r="C145" s="159" t="s">
        <v>143</v>
      </c>
      <c r="D145" s="74">
        <v>0.5</v>
      </c>
      <c r="E145" s="249" t="s">
        <v>13</v>
      </c>
      <c r="F145" s="92" t="e">
        <f t="shared" ref="F145:AI145" si="90">F138/F129*100</f>
        <v>#DIV/0!</v>
      </c>
      <c r="G145" s="92" t="e">
        <f t="shared" si="90"/>
        <v>#DIV/0!</v>
      </c>
      <c r="H145" s="92" t="e">
        <f t="shared" si="90"/>
        <v>#DIV/0!</v>
      </c>
      <c r="I145" s="92" t="e">
        <f t="shared" si="90"/>
        <v>#DIV/0!</v>
      </c>
      <c r="J145" s="92" t="e">
        <f t="shared" si="90"/>
        <v>#DIV/0!</v>
      </c>
      <c r="K145" s="92" t="e">
        <f t="shared" si="90"/>
        <v>#DIV/0!</v>
      </c>
      <c r="L145" s="92" t="e">
        <f t="shared" si="90"/>
        <v>#DIV/0!</v>
      </c>
      <c r="M145" s="92" t="e">
        <f t="shared" si="90"/>
        <v>#DIV/0!</v>
      </c>
      <c r="N145" s="92" t="e">
        <f t="shared" si="90"/>
        <v>#DIV/0!</v>
      </c>
      <c r="O145" s="92" t="e">
        <f t="shared" si="90"/>
        <v>#DIV/0!</v>
      </c>
      <c r="P145" s="92" t="e">
        <f t="shared" si="90"/>
        <v>#DIV/0!</v>
      </c>
      <c r="Q145" s="92" t="e">
        <f t="shared" si="90"/>
        <v>#DIV/0!</v>
      </c>
      <c r="R145" s="92">
        <f t="shared" si="90"/>
        <v>55.208333333333336</v>
      </c>
      <c r="S145" s="92">
        <f t="shared" si="90"/>
        <v>0</v>
      </c>
      <c r="T145" s="92" t="e">
        <f t="shared" si="90"/>
        <v>#DIV/0!</v>
      </c>
      <c r="U145" s="92" t="e">
        <f t="shared" si="90"/>
        <v>#DIV/0!</v>
      </c>
      <c r="V145" s="92" t="e">
        <f t="shared" si="90"/>
        <v>#DIV/0!</v>
      </c>
      <c r="W145" s="92" t="e">
        <f t="shared" si="90"/>
        <v>#DIV/0!</v>
      </c>
      <c r="X145" s="92" t="e">
        <f t="shared" si="90"/>
        <v>#DIV/0!</v>
      </c>
      <c r="Y145" s="92">
        <f t="shared" si="90"/>
        <v>8.7677725118483423</v>
      </c>
      <c r="Z145" s="92" t="e">
        <f t="shared" si="90"/>
        <v>#DIV/0!</v>
      </c>
      <c r="AA145" s="92" t="e">
        <f t="shared" si="90"/>
        <v>#DIV/0!</v>
      </c>
      <c r="AB145" s="92" t="e">
        <f t="shared" si="90"/>
        <v>#DIV/0!</v>
      </c>
      <c r="AC145" s="92" t="e">
        <f t="shared" si="90"/>
        <v>#DIV/0!</v>
      </c>
      <c r="AD145" s="92" t="e">
        <f t="shared" si="90"/>
        <v>#DIV/0!</v>
      </c>
      <c r="AE145" s="92">
        <f t="shared" si="90"/>
        <v>3.8005190952910639</v>
      </c>
      <c r="AF145" s="92" t="e">
        <f t="shared" si="90"/>
        <v>#DIV/0!</v>
      </c>
      <c r="AG145" s="92" t="e">
        <f t="shared" si="90"/>
        <v>#DIV/0!</v>
      </c>
      <c r="AH145" s="92" t="e">
        <f t="shared" si="90"/>
        <v>#DIV/0!</v>
      </c>
      <c r="AI145" s="92" t="e">
        <f t="shared" si="90"/>
        <v>#DIV/0!</v>
      </c>
      <c r="AJ145" s="126"/>
      <c r="AK145" s="128">
        <f>AK138/AK129*100</f>
        <v>17.144426139483802</v>
      </c>
      <c r="AM145" s="127"/>
    </row>
    <row r="146" spans="2:75" s="1" customFormat="1">
      <c r="B146" s="162">
        <v>8</v>
      </c>
      <c r="C146" s="40" t="s">
        <v>84</v>
      </c>
      <c r="D146" s="59"/>
      <c r="E146" s="59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112"/>
      <c r="AD146" s="60"/>
      <c r="AE146" s="60"/>
      <c r="AF146" s="60"/>
      <c r="AG146" s="60"/>
      <c r="AH146" s="112"/>
      <c r="AI146" s="112"/>
      <c r="AJ146" s="126"/>
      <c r="AK146" s="233" t="s">
        <v>85</v>
      </c>
      <c r="AM146" s="127"/>
    </row>
    <row r="147" spans="2:75">
      <c r="B147" s="163"/>
      <c r="C147" s="164" t="s">
        <v>86</v>
      </c>
      <c r="D147" s="79"/>
      <c r="E147" s="80" t="s">
        <v>10</v>
      </c>
      <c r="F147" s="92">
        <f t="shared" ref="F147:AI147" si="91">SUM(F148:F149)*10.86</f>
        <v>136293</v>
      </c>
      <c r="G147" s="92">
        <f t="shared" si="91"/>
        <v>88291.799999999988</v>
      </c>
      <c r="H147" s="92">
        <f t="shared" si="91"/>
        <v>85511.64</v>
      </c>
      <c r="I147" s="92">
        <f t="shared" si="91"/>
        <v>168416.88</v>
      </c>
      <c r="J147" s="92">
        <f t="shared" si="91"/>
        <v>68363.7</v>
      </c>
      <c r="K147" s="92">
        <f t="shared" si="91"/>
        <v>84838.319999999992</v>
      </c>
      <c r="L147" s="92">
        <f t="shared" si="91"/>
        <v>0</v>
      </c>
      <c r="M147" s="92">
        <f t="shared" si="91"/>
        <v>98945.459999999992</v>
      </c>
      <c r="N147" s="92">
        <f t="shared" si="91"/>
        <v>143352</v>
      </c>
      <c r="O147" s="92">
        <f t="shared" si="91"/>
        <v>80907</v>
      </c>
      <c r="P147" s="92">
        <f t="shared" si="91"/>
        <v>121903.5</v>
      </c>
      <c r="Q147" s="92">
        <f t="shared" si="91"/>
        <v>53214</v>
      </c>
      <c r="R147" s="92">
        <f t="shared" si="91"/>
        <v>29865</v>
      </c>
      <c r="S147" s="92">
        <f t="shared" si="91"/>
        <v>0</v>
      </c>
      <c r="T147" s="92">
        <f t="shared" si="91"/>
        <v>106428</v>
      </c>
      <c r="U147" s="92">
        <f t="shared" si="91"/>
        <v>245436</v>
      </c>
      <c r="V147" s="92">
        <f t="shared" si="91"/>
        <v>108697.73999999999</v>
      </c>
      <c r="W147" s="92">
        <f t="shared" si="91"/>
        <v>99912</v>
      </c>
      <c r="X147" s="92">
        <f t="shared" si="91"/>
        <v>110772</v>
      </c>
      <c r="Y147" s="92">
        <f t="shared" si="91"/>
        <v>64074</v>
      </c>
      <c r="Z147" s="92">
        <f t="shared" si="91"/>
        <v>0</v>
      </c>
      <c r="AA147" s="92">
        <f t="shared" si="91"/>
        <v>111705.95999999999</v>
      </c>
      <c r="AB147" s="92">
        <f t="shared" si="91"/>
        <v>157404.84</v>
      </c>
      <c r="AC147" s="92">
        <f t="shared" si="91"/>
        <v>146067</v>
      </c>
      <c r="AD147" s="92">
        <f t="shared" si="91"/>
        <v>101541</v>
      </c>
      <c r="AE147" s="92">
        <f t="shared" si="91"/>
        <v>90681</v>
      </c>
      <c r="AF147" s="92">
        <f t="shared" si="91"/>
        <v>100998</v>
      </c>
      <c r="AG147" s="92">
        <f t="shared" si="91"/>
        <v>0</v>
      </c>
      <c r="AH147" s="92">
        <f t="shared" si="91"/>
        <v>85794</v>
      </c>
      <c r="AI147" s="92">
        <f t="shared" si="91"/>
        <v>130396.01999999999</v>
      </c>
      <c r="AJ147" s="131"/>
      <c r="AK147" s="118">
        <f t="shared" ref="AK147:AK153" si="92">SUM(F147:AI147)</f>
        <v>2819809.86</v>
      </c>
    </row>
    <row r="148" spans="2:75">
      <c r="B148" s="163"/>
      <c r="C148" s="90" t="s">
        <v>70</v>
      </c>
      <c r="D148" s="79"/>
      <c r="E148" s="80" t="s">
        <v>71</v>
      </c>
      <c r="F148" s="64">
        <v>6250</v>
      </c>
      <c r="G148" s="64">
        <v>5250</v>
      </c>
      <c r="H148" s="64">
        <v>3225</v>
      </c>
      <c r="I148" s="64">
        <v>4400</v>
      </c>
      <c r="J148" s="64">
        <v>2452</v>
      </c>
      <c r="K148" s="64">
        <v>1200</v>
      </c>
      <c r="L148" s="64">
        <v>0</v>
      </c>
      <c r="M148" s="64">
        <v>5175</v>
      </c>
      <c r="N148" s="64">
        <v>7400</v>
      </c>
      <c r="O148" s="64">
        <v>3150</v>
      </c>
      <c r="P148" s="169">
        <v>6255</v>
      </c>
      <c r="Q148" s="64">
        <v>1150</v>
      </c>
      <c r="R148" s="64">
        <v>2550</v>
      </c>
      <c r="S148" s="64">
        <v>0</v>
      </c>
      <c r="T148" s="64">
        <v>3350</v>
      </c>
      <c r="U148" s="64">
        <v>2350</v>
      </c>
      <c r="V148" s="64">
        <v>5057</v>
      </c>
      <c r="W148" s="64">
        <v>4100</v>
      </c>
      <c r="X148" s="64">
        <v>4400</v>
      </c>
      <c r="Y148" s="64">
        <v>2800</v>
      </c>
      <c r="Z148" s="64">
        <v>0</v>
      </c>
      <c r="AA148" s="64">
        <v>3250</v>
      </c>
      <c r="AB148" s="64">
        <v>6106</v>
      </c>
      <c r="AC148" s="64">
        <v>3875</v>
      </c>
      <c r="AD148" s="64">
        <v>3950</v>
      </c>
      <c r="AE148" s="64">
        <v>4500</v>
      </c>
      <c r="AF148" s="64">
        <v>2500</v>
      </c>
      <c r="AG148" s="64">
        <v>0</v>
      </c>
      <c r="AH148" s="64">
        <v>4550</v>
      </c>
      <c r="AI148" s="64">
        <v>4800</v>
      </c>
      <c r="AJ148" s="131"/>
      <c r="AK148" s="125">
        <f t="shared" si="92"/>
        <v>104045</v>
      </c>
    </row>
    <row r="149" spans="2:75">
      <c r="B149" s="163"/>
      <c r="C149" s="90" t="s">
        <v>72</v>
      </c>
      <c r="D149" s="79"/>
      <c r="E149" s="80" t="s">
        <v>71</v>
      </c>
      <c r="F149" s="64">
        <v>6300</v>
      </c>
      <c r="G149" s="64">
        <v>2880</v>
      </c>
      <c r="H149" s="64">
        <v>4649</v>
      </c>
      <c r="I149" s="64">
        <v>11108</v>
      </c>
      <c r="J149" s="64">
        <v>3843</v>
      </c>
      <c r="K149" s="64">
        <v>6612</v>
      </c>
      <c r="L149" s="64">
        <v>0</v>
      </c>
      <c r="M149" s="64">
        <v>3936</v>
      </c>
      <c r="N149" s="64">
        <v>5800</v>
      </c>
      <c r="O149" s="64">
        <v>4300</v>
      </c>
      <c r="P149" s="169">
        <v>4970</v>
      </c>
      <c r="Q149" s="64">
        <v>3750</v>
      </c>
      <c r="R149" s="64">
        <v>200</v>
      </c>
      <c r="S149" s="64">
        <v>0</v>
      </c>
      <c r="T149" s="64">
        <v>6450</v>
      </c>
      <c r="U149" s="64">
        <v>20250</v>
      </c>
      <c r="V149" s="64">
        <v>4952</v>
      </c>
      <c r="W149" s="64">
        <v>5100</v>
      </c>
      <c r="X149" s="64">
        <v>5800</v>
      </c>
      <c r="Y149" s="64">
        <v>3100</v>
      </c>
      <c r="Z149" s="64">
        <v>0</v>
      </c>
      <c r="AA149" s="64">
        <v>7036</v>
      </c>
      <c r="AB149" s="64">
        <v>8388</v>
      </c>
      <c r="AC149" s="64">
        <v>9575</v>
      </c>
      <c r="AD149" s="64">
        <v>5400</v>
      </c>
      <c r="AE149" s="64">
        <v>3850</v>
      </c>
      <c r="AF149" s="64">
        <v>6800</v>
      </c>
      <c r="AG149" s="64">
        <v>0</v>
      </c>
      <c r="AH149" s="64">
        <v>3350</v>
      </c>
      <c r="AI149" s="64">
        <v>7207</v>
      </c>
      <c r="AJ149" s="131"/>
      <c r="AK149" s="125">
        <f t="shared" si="92"/>
        <v>155606</v>
      </c>
    </row>
    <row r="150" spans="2:75" s="1" customFormat="1">
      <c r="B150" s="162">
        <v>9</v>
      </c>
      <c r="C150" s="40" t="s">
        <v>87</v>
      </c>
      <c r="D150" s="59"/>
      <c r="E150" s="59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112"/>
      <c r="AD150" s="60"/>
      <c r="AE150" s="60"/>
      <c r="AF150" s="60"/>
      <c r="AG150" s="60"/>
      <c r="AH150" s="112"/>
      <c r="AI150" s="112"/>
      <c r="AJ150" s="126"/>
      <c r="AK150" s="233" t="s">
        <v>85</v>
      </c>
      <c r="AM150" s="127"/>
    </row>
    <row r="151" spans="2:75">
      <c r="B151" s="163"/>
      <c r="C151" s="164" t="s">
        <v>86</v>
      </c>
      <c r="D151" s="79"/>
      <c r="E151" s="80" t="s">
        <v>10</v>
      </c>
      <c r="F151" s="92">
        <f t="shared" ref="F151:AI151" si="93">SUM(F152:F153)*10.86</f>
        <v>0</v>
      </c>
      <c r="G151" s="92">
        <f t="shared" si="93"/>
        <v>0</v>
      </c>
      <c r="H151" s="92">
        <f t="shared" si="93"/>
        <v>0</v>
      </c>
      <c r="I151" s="92">
        <f t="shared" si="93"/>
        <v>0</v>
      </c>
      <c r="J151" s="92">
        <f t="shared" si="93"/>
        <v>0</v>
      </c>
      <c r="K151" s="92">
        <f t="shared" si="93"/>
        <v>52128</v>
      </c>
      <c r="L151" s="92">
        <f t="shared" si="93"/>
        <v>0</v>
      </c>
      <c r="M151" s="92">
        <f t="shared" si="93"/>
        <v>0</v>
      </c>
      <c r="N151" s="92">
        <f t="shared" si="93"/>
        <v>0</v>
      </c>
      <c r="O151" s="92">
        <f t="shared" si="93"/>
        <v>0</v>
      </c>
      <c r="P151" s="92">
        <f t="shared" si="93"/>
        <v>69504</v>
      </c>
      <c r="Q151" s="92">
        <f t="shared" si="93"/>
        <v>0</v>
      </c>
      <c r="R151" s="92">
        <f t="shared" si="93"/>
        <v>52128</v>
      </c>
      <c r="S151" s="92">
        <f t="shared" si="93"/>
        <v>0</v>
      </c>
      <c r="T151" s="92">
        <f t="shared" si="93"/>
        <v>0</v>
      </c>
      <c r="U151" s="92">
        <f t="shared" si="93"/>
        <v>32580</v>
      </c>
      <c r="V151" s="92">
        <f t="shared" si="93"/>
        <v>0</v>
      </c>
      <c r="W151" s="92">
        <f t="shared" si="93"/>
        <v>0</v>
      </c>
      <c r="X151" s="92">
        <f t="shared" si="93"/>
        <v>0</v>
      </c>
      <c r="Y151" s="92">
        <f t="shared" si="93"/>
        <v>104256</v>
      </c>
      <c r="Z151" s="92">
        <f t="shared" si="93"/>
        <v>0</v>
      </c>
      <c r="AA151" s="92">
        <f t="shared" si="93"/>
        <v>0</v>
      </c>
      <c r="AB151" s="92">
        <f t="shared" si="93"/>
        <v>0</v>
      </c>
      <c r="AC151" s="92">
        <f t="shared" si="93"/>
        <v>0</v>
      </c>
      <c r="AD151" s="92">
        <f t="shared" si="93"/>
        <v>0</v>
      </c>
      <c r="AE151" s="92">
        <f t="shared" si="93"/>
        <v>0</v>
      </c>
      <c r="AF151" s="92">
        <f t="shared" si="93"/>
        <v>0</v>
      </c>
      <c r="AG151" s="92">
        <f t="shared" si="93"/>
        <v>0</v>
      </c>
      <c r="AH151" s="92">
        <f t="shared" si="93"/>
        <v>69894.959999999992</v>
      </c>
      <c r="AI151" s="92">
        <f t="shared" si="93"/>
        <v>0</v>
      </c>
      <c r="AJ151" s="131"/>
      <c r="AK151" s="118">
        <f t="shared" si="92"/>
        <v>380490.95999999996</v>
      </c>
    </row>
    <row r="152" spans="2:75">
      <c r="B152" s="163"/>
      <c r="C152" s="90" t="s">
        <v>82</v>
      </c>
      <c r="D152" s="79"/>
      <c r="E152" s="80" t="s">
        <v>71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1800</v>
      </c>
      <c r="L152" s="64">
        <v>0</v>
      </c>
      <c r="M152" s="64">
        <v>0</v>
      </c>
      <c r="N152" s="64">
        <v>0</v>
      </c>
      <c r="O152" s="64">
        <v>0</v>
      </c>
      <c r="P152" s="64">
        <v>2400</v>
      </c>
      <c r="Q152" s="64">
        <v>0</v>
      </c>
      <c r="R152" s="64">
        <v>1800</v>
      </c>
      <c r="S152" s="64">
        <v>0</v>
      </c>
      <c r="T152" s="64">
        <v>0</v>
      </c>
      <c r="U152" s="64">
        <v>1000</v>
      </c>
      <c r="V152" s="64">
        <v>0</v>
      </c>
      <c r="W152" s="64">
        <v>0</v>
      </c>
      <c r="X152" s="64">
        <v>0</v>
      </c>
      <c r="Y152" s="64">
        <v>3600</v>
      </c>
      <c r="Z152" s="64">
        <v>0</v>
      </c>
      <c r="AA152" s="64">
        <v>0</v>
      </c>
      <c r="AB152" s="64">
        <v>0</v>
      </c>
      <c r="AC152" s="64">
        <v>0</v>
      </c>
      <c r="AD152" s="64">
        <v>0</v>
      </c>
      <c r="AE152" s="64">
        <v>0</v>
      </c>
      <c r="AF152" s="64">
        <v>0</v>
      </c>
      <c r="AG152" s="64">
        <v>0</v>
      </c>
      <c r="AH152" s="64">
        <v>3950</v>
      </c>
      <c r="AI152" s="64">
        <v>0</v>
      </c>
      <c r="AJ152" s="131"/>
      <c r="AK152" s="125">
        <f t="shared" si="92"/>
        <v>14550</v>
      </c>
    </row>
    <row r="153" spans="2:75">
      <c r="B153" s="163"/>
      <c r="C153" s="90" t="s">
        <v>83</v>
      </c>
      <c r="D153" s="79"/>
      <c r="E153" s="80" t="s">
        <v>71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3000</v>
      </c>
      <c r="L153" s="64">
        <v>0</v>
      </c>
      <c r="M153" s="64">
        <v>0</v>
      </c>
      <c r="N153" s="64">
        <v>0</v>
      </c>
      <c r="O153" s="64">
        <v>0</v>
      </c>
      <c r="P153" s="64">
        <v>4000</v>
      </c>
      <c r="Q153" s="64">
        <v>0</v>
      </c>
      <c r="R153" s="64">
        <v>3000</v>
      </c>
      <c r="S153" s="64">
        <v>0</v>
      </c>
      <c r="T153" s="64">
        <v>0</v>
      </c>
      <c r="U153" s="64">
        <v>2000</v>
      </c>
      <c r="V153" s="64">
        <v>0</v>
      </c>
      <c r="W153" s="64">
        <v>0</v>
      </c>
      <c r="X153" s="64">
        <v>0</v>
      </c>
      <c r="Y153" s="64">
        <v>6000</v>
      </c>
      <c r="Z153" s="64">
        <v>0</v>
      </c>
      <c r="AA153" s="64">
        <v>0</v>
      </c>
      <c r="AB153" s="64">
        <v>0</v>
      </c>
      <c r="AC153" s="64">
        <v>0</v>
      </c>
      <c r="AD153" s="64">
        <v>0</v>
      </c>
      <c r="AE153" s="64">
        <v>0</v>
      </c>
      <c r="AF153" s="64">
        <v>0</v>
      </c>
      <c r="AG153" s="64">
        <v>0</v>
      </c>
      <c r="AH153" s="64">
        <v>2486</v>
      </c>
      <c r="AI153" s="64">
        <v>0</v>
      </c>
      <c r="AJ153" s="131"/>
      <c r="AK153" s="125">
        <f t="shared" si="92"/>
        <v>20486</v>
      </c>
    </row>
    <row r="154" spans="2:75">
      <c r="B154" s="58">
        <v>10</v>
      </c>
      <c r="C154" s="232" t="s">
        <v>88</v>
      </c>
      <c r="D154" s="59"/>
      <c r="E154" s="89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133"/>
      <c r="AK154" s="140" t="s">
        <v>89</v>
      </c>
    </row>
    <row r="155" spans="2:75" s="1" customFormat="1">
      <c r="B155" s="65"/>
      <c r="C155" s="229" t="s">
        <v>90</v>
      </c>
      <c r="D155" s="79"/>
      <c r="E155" s="249" t="s">
        <v>91</v>
      </c>
      <c r="F155" s="165">
        <v>1446.2902999999999</v>
      </c>
      <c r="G155" s="165">
        <v>1474.0289</v>
      </c>
      <c r="H155" s="165">
        <v>1458.6323</v>
      </c>
      <c r="I155" s="170">
        <v>1417.6233999999999</v>
      </c>
      <c r="J155" s="170">
        <v>1383.0943</v>
      </c>
      <c r="K155" s="170">
        <v>1330.4884</v>
      </c>
      <c r="L155" s="170">
        <v>1316.7614000000001</v>
      </c>
      <c r="M155" s="170">
        <v>1395.5373999999999</v>
      </c>
      <c r="N155" s="170">
        <v>1369.9287999999999</v>
      </c>
      <c r="O155" s="170">
        <v>1399.6214</v>
      </c>
      <c r="P155" s="170">
        <v>1455.1098</v>
      </c>
      <c r="Q155" s="170">
        <v>1397.5476000000001</v>
      </c>
      <c r="R155" s="170">
        <v>1337.8891000000001</v>
      </c>
      <c r="S155" s="170">
        <v>1315.4512</v>
      </c>
      <c r="T155" s="170">
        <v>1297.0861</v>
      </c>
      <c r="U155" s="170">
        <v>1381.9974999999999</v>
      </c>
      <c r="V155" s="170">
        <v>1450.7973999999999</v>
      </c>
      <c r="W155" s="170">
        <v>1455.9782</v>
      </c>
      <c r="X155" s="170">
        <v>1424.8444</v>
      </c>
      <c r="Y155" s="170">
        <v>1378.6884</v>
      </c>
      <c r="Z155" s="175">
        <v>1246.4193</v>
      </c>
      <c r="AA155" s="170">
        <v>1444.8154</v>
      </c>
      <c r="AB155" s="175">
        <v>0</v>
      </c>
      <c r="AC155" s="170">
        <v>1578.7428</v>
      </c>
      <c r="AD155" s="170">
        <v>1428.9695999999999</v>
      </c>
      <c r="AE155" s="170">
        <v>1361.1618000000001</v>
      </c>
      <c r="AF155" s="170">
        <v>1379.6578999999999</v>
      </c>
      <c r="AG155" s="170">
        <v>1496.5641000000001</v>
      </c>
      <c r="AH155" s="170">
        <v>1523.992</v>
      </c>
      <c r="AI155" s="170">
        <v>1419.5812000000001</v>
      </c>
      <c r="AJ155" s="126"/>
      <c r="AK155" s="186">
        <f>SUM(F155:AI155)</f>
        <v>40767.3004</v>
      </c>
      <c r="AM155" s="127"/>
      <c r="AN155" s="275"/>
      <c r="AO155" s="275"/>
    </row>
    <row r="156" spans="2:75" s="5" customFormat="1">
      <c r="B156" s="80"/>
      <c r="C156" s="234" t="s">
        <v>92</v>
      </c>
      <c r="D156" s="166">
        <v>1269.566</v>
      </c>
      <c r="E156" s="235" t="s">
        <v>91</v>
      </c>
      <c r="F156" s="165">
        <v>1301.2245</v>
      </c>
      <c r="G156" s="165">
        <v>1279.9775</v>
      </c>
      <c r="H156" s="167">
        <v>1247.0236</v>
      </c>
      <c r="I156" s="171">
        <v>1217.2260000000001</v>
      </c>
      <c r="J156" s="172">
        <v>1165.1392000000001</v>
      </c>
      <c r="K156" s="173">
        <v>1153.2363</v>
      </c>
      <c r="L156" s="174">
        <v>1227.7782999999999</v>
      </c>
      <c r="M156" s="171">
        <v>1203.5603000000001</v>
      </c>
      <c r="N156" s="171">
        <v>1228.1239</v>
      </c>
      <c r="O156" s="170">
        <v>1279.6016999999999</v>
      </c>
      <c r="P156" s="175">
        <v>1228.8389999999999</v>
      </c>
      <c r="Q156" s="175">
        <v>1172.7717</v>
      </c>
      <c r="R156" s="175">
        <v>1151.7159999999999</v>
      </c>
      <c r="S156" s="175">
        <v>1136.6027999999999</v>
      </c>
      <c r="T156" s="175">
        <v>1214.8838000000001</v>
      </c>
      <c r="U156" s="170">
        <v>1280.2612999999999</v>
      </c>
      <c r="V156" s="170">
        <v>1299.9505999999999</v>
      </c>
      <c r="W156" s="170">
        <v>1282.1827000000001</v>
      </c>
      <c r="X156" s="171">
        <v>1244.9547</v>
      </c>
      <c r="Y156" s="171">
        <v>1123.4049</v>
      </c>
      <c r="Z156" s="170">
        <v>1325.7238</v>
      </c>
      <c r="AA156" s="175">
        <v>1253.1061999999999</v>
      </c>
      <c r="AB156" s="170">
        <v>1296.6271999999999</v>
      </c>
      <c r="AC156" s="170">
        <v>1275.6922</v>
      </c>
      <c r="AD156" s="175">
        <v>1197.5283999999999</v>
      </c>
      <c r="AE156" s="175">
        <v>1218.4494</v>
      </c>
      <c r="AF156" s="170">
        <v>1320.0226</v>
      </c>
      <c r="AG156" s="281">
        <v>1348.5431000000001</v>
      </c>
      <c r="AH156" s="175">
        <v>1260.0809999999999</v>
      </c>
      <c r="AI156" s="175">
        <v>1210.6741</v>
      </c>
      <c r="AJ156" s="131"/>
      <c r="AK156" s="187">
        <f>SUM(F156:AI156)</f>
        <v>37144.906799999997</v>
      </c>
      <c r="AM156" s="148">
        <f>AK156/AK22</f>
        <v>1238.16356</v>
      </c>
      <c r="AN156" s="278"/>
      <c r="AO156" s="278"/>
    </row>
    <row r="157" spans="2:75">
      <c r="B157" s="81"/>
      <c r="C157" s="252" t="s">
        <v>93</v>
      </c>
      <c r="D157" s="79"/>
      <c r="E157" s="81"/>
      <c r="F157" s="167"/>
      <c r="G157" s="167"/>
      <c r="H157" s="167"/>
      <c r="I157" s="64"/>
      <c r="J157" s="167"/>
      <c r="K157" s="174"/>
      <c r="L157" s="174"/>
      <c r="M157" s="64"/>
      <c r="N157" s="64"/>
      <c r="O157" s="64"/>
      <c r="P157" s="64"/>
      <c r="Q157" s="199"/>
      <c r="R157" s="199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92"/>
      <c r="AD157" s="92"/>
      <c r="AE157" s="92"/>
      <c r="AF157" s="92"/>
      <c r="AG157" s="92"/>
      <c r="AH157" s="92"/>
      <c r="AI157" s="92"/>
      <c r="AJ157" s="133"/>
      <c r="AK157" s="210" t="s">
        <v>93</v>
      </c>
      <c r="AN157" s="264"/>
      <c r="AO157" s="264"/>
    </row>
    <row r="158" spans="2:75">
      <c r="B158" s="81"/>
      <c r="C158" s="236" t="s">
        <v>94</v>
      </c>
      <c r="D158" s="74">
        <v>253.91319999999999</v>
      </c>
      <c r="E158" s="237" t="s">
        <v>91</v>
      </c>
      <c r="F158" s="167">
        <v>213.03348718937099</v>
      </c>
      <c r="G158" s="172">
        <v>206.88035850559299</v>
      </c>
      <c r="H158" s="167">
        <v>196.54706656022589</v>
      </c>
      <c r="I158" s="175">
        <v>180.65199928684498</v>
      </c>
      <c r="J158" s="167">
        <v>183.44289714923192</v>
      </c>
      <c r="K158" s="174">
        <v>176.29557250140678</v>
      </c>
      <c r="L158" s="174">
        <v>183.77309403549629</v>
      </c>
      <c r="M158" s="175">
        <v>188.54294323050524</v>
      </c>
      <c r="N158" s="175">
        <v>195.90431108921936</v>
      </c>
      <c r="O158" s="175">
        <v>198.11473046678529</v>
      </c>
      <c r="P158" s="175">
        <v>197.4598</v>
      </c>
      <c r="Q158" s="175">
        <v>194.5821</v>
      </c>
      <c r="R158" s="175">
        <v>195.33789936857579</v>
      </c>
      <c r="S158" s="175">
        <v>209.4066</v>
      </c>
      <c r="T158" s="175">
        <v>233.73743533642616</v>
      </c>
      <c r="U158" s="175">
        <v>234.76580409687165</v>
      </c>
      <c r="V158" s="175">
        <v>233.35159119886845</v>
      </c>
      <c r="W158" s="175">
        <v>236.73487131409669</v>
      </c>
      <c r="X158" s="175">
        <v>228.63471901312022</v>
      </c>
      <c r="Y158" s="175">
        <v>210.95363298851055</v>
      </c>
      <c r="Z158" s="175">
        <v>266.96046521273871</v>
      </c>
      <c r="AA158" s="175">
        <v>222.21199112884358</v>
      </c>
      <c r="AB158" s="175">
        <v>265.0363633223522</v>
      </c>
      <c r="AC158" s="175">
        <v>233.49302656641302</v>
      </c>
      <c r="AD158" s="175">
        <v>237.34111130519068</v>
      </c>
      <c r="AE158" s="175">
        <v>204.83530403567917</v>
      </c>
      <c r="AF158" s="175">
        <v>245.34401846067942</v>
      </c>
      <c r="AG158" s="175">
        <v>257.26171537846045</v>
      </c>
      <c r="AH158" s="175">
        <v>217.15087316367757</v>
      </c>
      <c r="AI158" s="175">
        <v>195.66243973936261</v>
      </c>
      <c r="AJ158" s="133"/>
      <c r="AK158" s="211">
        <f>SUM(F158:AI158)</f>
        <v>6443.4482216445476</v>
      </c>
      <c r="AN158" s="17"/>
      <c r="AO158" s="17"/>
      <c r="BW158" s="289"/>
    </row>
    <row r="159" spans="2:75">
      <c r="B159" s="81"/>
      <c r="C159" s="236" t="s">
        <v>95</v>
      </c>
      <c r="D159" s="74">
        <v>1015.6528</v>
      </c>
      <c r="E159" s="237" t="s">
        <v>91</v>
      </c>
      <c r="F159" s="167">
        <f t="shared" ref="F159:AI159" si="94">F160-F158</f>
        <v>1088.191012810629</v>
      </c>
      <c r="G159" s="167">
        <f t="shared" si="94"/>
        <v>1073.097141494407</v>
      </c>
      <c r="H159" s="167">
        <f t="shared" si="94"/>
        <v>1050.4765334397741</v>
      </c>
      <c r="I159" s="175">
        <f t="shared" si="94"/>
        <v>1036.5740007131551</v>
      </c>
      <c r="J159" s="167">
        <f t="shared" si="94"/>
        <v>981.69630285076812</v>
      </c>
      <c r="K159" s="174">
        <f t="shared" si="94"/>
        <v>976.94072749859322</v>
      </c>
      <c r="L159" s="174">
        <f t="shared" si="94"/>
        <v>1044.0052059645036</v>
      </c>
      <c r="M159" s="175">
        <f t="shared" si="94"/>
        <v>1015.0173567694949</v>
      </c>
      <c r="N159" s="175">
        <f t="shared" si="94"/>
        <v>1032.2195889107807</v>
      </c>
      <c r="O159" s="175">
        <f t="shared" si="94"/>
        <v>1081.4869695332147</v>
      </c>
      <c r="P159" s="175">
        <f t="shared" si="94"/>
        <v>1031.3791999999999</v>
      </c>
      <c r="Q159" s="175">
        <f t="shared" si="94"/>
        <v>978.18960000000004</v>
      </c>
      <c r="R159" s="175">
        <f t="shared" si="94"/>
        <v>956.3781006314241</v>
      </c>
      <c r="S159" s="175">
        <f t="shared" si="94"/>
        <v>927.19619999999986</v>
      </c>
      <c r="T159" s="175">
        <f t="shared" si="94"/>
        <v>981.14636466357388</v>
      </c>
      <c r="U159" s="175">
        <f t="shared" si="94"/>
        <v>1045.4954959031284</v>
      </c>
      <c r="V159" s="175">
        <f t="shared" si="94"/>
        <v>1066.5990088011315</v>
      </c>
      <c r="W159" s="175">
        <f t="shared" si="94"/>
        <v>1045.4478286859035</v>
      </c>
      <c r="X159" s="175">
        <f t="shared" si="94"/>
        <v>1016.3199809868797</v>
      </c>
      <c r="Y159" s="175">
        <f t="shared" si="94"/>
        <v>912.45126701148945</v>
      </c>
      <c r="Z159" s="175">
        <f t="shared" si="94"/>
        <v>1058.7633347872613</v>
      </c>
      <c r="AA159" s="175">
        <f t="shared" si="94"/>
        <v>1030.8942088711565</v>
      </c>
      <c r="AB159" s="175">
        <f t="shared" si="94"/>
        <v>1031.5908366776478</v>
      </c>
      <c r="AC159" s="175">
        <f t="shared" si="94"/>
        <v>1042.199173433587</v>
      </c>
      <c r="AD159" s="175">
        <f t="shared" si="94"/>
        <v>960.18728869480924</v>
      </c>
      <c r="AE159" s="175">
        <f t="shared" si="94"/>
        <v>1013.6140959643208</v>
      </c>
      <c r="AF159" s="175">
        <f t="shared" si="94"/>
        <v>1074.6785815393205</v>
      </c>
      <c r="AG159" s="175">
        <f t="shared" si="94"/>
        <v>1091.2813846215397</v>
      </c>
      <c r="AH159" s="175">
        <f t="shared" si="94"/>
        <v>1042.9301268363224</v>
      </c>
      <c r="AI159" s="175">
        <f t="shared" si="94"/>
        <v>1015.0116602606373</v>
      </c>
      <c r="AJ159" s="133"/>
      <c r="AK159" s="211">
        <f>SUM(F159:AI159)</f>
        <v>30701.458578355447</v>
      </c>
    </row>
    <row r="160" spans="2:75" s="8" customFormat="1">
      <c r="B160" s="188"/>
      <c r="C160" s="253" t="s">
        <v>96</v>
      </c>
      <c r="D160" s="189">
        <f>SUM(D158:D159)</f>
        <v>1269.566</v>
      </c>
      <c r="E160" s="254" t="s">
        <v>91</v>
      </c>
      <c r="F160" s="190">
        <f t="shared" ref="F160:AI160" si="95">F156</f>
        <v>1301.2245</v>
      </c>
      <c r="G160" s="190">
        <f t="shared" si="95"/>
        <v>1279.9775</v>
      </c>
      <c r="H160" s="190">
        <f t="shared" si="95"/>
        <v>1247.0236</v>
      </c>
      <c r="I160" s="205">
        <f t="shared" si="95"/>
        <v>1217.2260000000001</v>
      </c>
      <c r="J160" s="205">
        <f t="shared" si="95"/>
        <v>1165.1392000000001</v>
      </c>
      <c r="K160" s="205">
        <f t="shared" si="95"/>
        <v>1153.2363</v>
      </c>
      <c r="L160" s="205">
        <f t="shared" si="95"/>
        <v>1227.7782999999999</v>
      </c>
      <c r="M160" s="205">
        <f t="shared" si="95"/>
        <v>1203.5603000000001</v>
      </c>
      <c r="N160" s="205">
        <f t="shared" si="95"/>
        <v>1228.1239</v>
      </c>
      <c r="O160" s="205">
        <f t="shared" si="95"/>
        <v>1279.6016999999999</v>
      </c>
      <c r="P160" s="205">
        <f t="shared" si="95"/>
        <v>1228.8389999999999</v>
      </c>
      <c r="Q160" s="205">
        <f t="shared" si="95"/>
        <v>1172.7717</v>
      </c>
      <c r="R160" s="205">
        <f t="shared" si="95"/>
        <v>1151.7159999999999</v>
      </c>
      <c r="S160" s="205">
        <f t="shared" si="95"/>
        <v>1136.6027999999999</v>
      </c>
      <c r="T160" s="205">
        <f t="shared" si="95"/>
        <v>1214.8838000000001</v>
      </c>
      <c r="U160" s="205">
        <f t="shared" si="95"/>
        <v>1280.2612999999999</v>
      </c>
      <c r="V160" s="205">
        <f t="shared" si="95"/>
        <v>1299.9505999999999</v>
      </c>
      <c r="W160" s="205">
        <f t="shared" si="95"/>
        <v>1282.1827000000001</v>
      </c>
      <c r="X160" s="205">
        <f t="shared" si="95"/>
        <v>1244.9547</v>
      </c>
      <c r="Y160" s="205">
        <f t="shared" si="95"/>
        <v>1123.4049</v>
      </c>
      <c r="Z160" s="205">
        <f t="shared" si="95"/>
        <v>1325.7238</v>
      </c>
      <c r="AA160" s="205">
        <f t="shared" si="95"/>
        <v>1253.1061999999999</v>
      </c>
      <c r="AB160" s="205">
        <f t="shared" si="95"/>
        <v>1296.6271999999999</v>
      </c>
      <c r="AC160" s="205">
        <f t="shared" si="95"/>
        <v>1275.6922</v>
      </c>
      <c r="AD160" s="205">
        <f t="shared" si="95"/>
        <v>1197.5283999999999</v>
      </c>
      <c r="AE160" s="205">
        <f t="shared" si="95"/>
        <v>1218.4494</v>
      </c>
      <c r="AF160" s="205">
        <f t="shared" si="95"/>
        <v>1320.0226</v>
      </c>
      <c r="AG160" s="205">
        <f t="shared" si="95"/>
        <v>1348.5431000000001</v>
      </c>
      <c r="AH160" s="205">
        <f t="shared" si="95"/>
        <v>1260.0809999999999</v>
      </c>
      <c r="AI160" s="205">
        <f t="shared" si="95"/>
        <v>1210.6741</v>
      </c>
      <c r="AJ160" s="212"/>
      <c r="AK160" s="213">
        <f>SUM(AK158:AK159)</f>
        <v>37144.906799999997</v>
      </c>
      <c r="AM160" s="214"/>
      <c r="AN160" s="279"/>
      <c r="AO160" s="279"/>
      <c r="BW160" s="290"/>
    </row>
    <row r="161" spans="2:74" s="8" customFormat="1">
      <c r="B161" s="61">
        <v>11</v>
      </c>
      <c r="C161" s="255" t="s">
        <v>97</v>
      </c>
      <c r="D161" s="191"/>
      <c r="E161" s="191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212"/>
      <c r="AK161" s="215" t="s">
        <v>98</v>
      </c>
      <c r="AM161" s="214"/>
      <c r="AN161" s="279"/>
      <c r="AO161" s="279"/>
    </row>
    <row r="162" spans="2:74" s="8" customFormat="1">
      <c r="B162" s="61"/>
      <c r="C162" s="236" t="s">
        <v>99</v>
      </c>
      <c r="D162" s="67">
        <f>20000*24</f>
        <v>480000</v>
      </c>
      <c r="E162" s="237" t="s">
        <v>10</v>
      </c>
      <c r="F162" s="155">
        <v>327840</v>
      </c>
      <c r="G162" s="155">
        <v>312240</v>
      </c>
      <c r="H162" s="155">
        <v>313920</v>
      </c>
      <c r="I162" s="155">
        <v>304560</v>
      </c>
      <c r="J162" s="155">
        <v>296640</v>
      </c>
      <c r="K162" s="155">
        <v>305280</v>
      </c>
      <c r="L162" s="155">
        <v>317280</v>
      </c>
      <c r="M162" s="155">
        <v>301920</v>
      </c>
      <c r="N162" s="155">
        <v>317520</v>
      </c>
      <c r="O162" s="155">
        <v>333600</v>
      </c>
      <c r="P162" s="155">
        <v>303360</v>
      </c>
      <c r="Q162" s="155">
        <v>288480</v>
      </c>
      <c r="R162" s="155">
        <v>288960</v>
      </c>
      <c r="S162" s="155">
        <v>277440</v>
      </c>
      <c r="T162" s="155">
        <v>312480</v>
      </c>
      <c r="U162" s="155">
        <v>326160</v>
      </c>
      <c r="V162" s="155">
        <v>314880</v>
      </c>
      <c r="W162" s="155">
        <v>303360</v>
      </c>
      <c r="X162" s="155">
        <v>307200</v>
      </c>
      <c r="Y162" s="155">
        <v>275138</v>
      </c>
      <c r="Z162" s="155">
        <v>333360</v>
      </c>
      <c r="AA162" s="155">
        <v>299760</v>
      </c>
      <c r="AB162" s="155">
        <v>320400</v>
      </c>
      <c r="AC162" s="155">
        <v>298560</v>
      </c>
      <c r="AD162" s="155">
        <v>306240</v>
      </c>
      <c r="AE162" s="155">
        <v>294480</v>
      </c>
      <c r="AF162" s="155">
        <v>343920</v>
      </c>
      <c r="AG162" s="155">
        <v>334320</v>
      </c>
      <c r="AH162" s="155">
        <v>303600</v>
      </c>
      <c r="AI162" s="155">
        <v>305760</v>
      </c>
      <c r="AJ162" s="212"/>
      <c r="AK162" s="216">
        <f>SUM(F162:AI162)</f>
        <v>9268658</v>
      </c>
      <c r="AL162" s="217"/>
      <c r="AM162" s="214">
        <f>AK162/AK22</f>
        <v>308955.26666666666</v>
      </c>
    </row>
    <row r="163" spans="2:74" s="8" customFormat="1">
      <c r="B163" s="61"/>
      <c r="C163" s="256" t="s">
        <v>100</v>
      </c>
      <c r="D163" s="156"/>
      <c r="E163" s="61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212"/>
      <c r="AK163" s="218" t="s">
        <v>100</v>
      </c>
      <c r="AL163" s="217"/>
      <c r="AM163" s="214">
        <f>AM162/24</f>
        <v>12873.136111111111</v>
      </c>
    </row>
    <row r="164" spans="2:74">
      <c r="B164" s="81"/>
      <c r="C164" s="236" t="s">
        <v>23</v>
      </c>
      <c r="D164" s="67">
        <v>180000</v>
      </c>
      <c r="E164" s="237" t="s">
        <v>10</v>
      </c>
      <c r="F164" s="64">
        <v>137800</v>
      </c>
      <c r="G164" s="64">
        <v>152200</v>
      </c>
      <c r="H164" s="64">
        <v>152600</v>
      </c>
      <c r="I164" s="64">
        <v>142000</v>
      </c>
      <c r="J164" s="64">
        <v>150800</v>
      </c>
      <c r="K164" s="64">
        <v>148400</v>
      </c>
      <c r="L164" s="64">
        <v>141200</v>
      </c>
      <c r="M164" s="64">
        <v>143900</v>
      </c>
      <c r="N164" s="64">
        <v>147000</v>
      </c>
      <c r="O164" s="64">
        <v>154900</v>
      </c>
      <c r="P164" s="64">
        <v>152900</v>
      </c>
      <c r="Q164" s="64">
        <v>159200</v>
      </c>
      <c r="R164" s="64">
        <v>155400</v>
      </c>
      <c r="S164" s="64">
        <v>160200</v>
      </c>
      <c r="T164" s="64">
        <v>159000</v>
      </c>
      <c r="U164" s="64">
        <v>159700</v>
      </c>
      <c r="V164" s="64">
        <v>168200</v>
      </c>
      <c r="W164" s="64">
        <v>166400</v>
      </c>
      <c r="X164" s="64">
        <v>166100</v>
      </c>
      <c r="Y164" s="64">
        <v>141600</v>
      </c>
      <c r="Z164" s="64">
        <v>169800</v>
      </c>
      <c r="AA164" s="64">
        <v>149900</v>
      </c>
      <c r="AB164" s="64">
        <v>177500</v>
      </c>
      <c r="AC164" s="64">
        <v>154600</v>
      </c>
      <c r="AD164" s="64">
        <v>141700</v>
      </c>
      <c r="AE164" s="64">
        <v>131300</v>
      </c>
      <c r="AF164" s="64">
        <v>150000</v>
      </c>
      <c r="AG164" s="64">
        <v>151600</v>
      </c>
      <c r="AH164" s="64">
        <v>147600</v>
      </c>
      <c r="AI164" s="64">
        <v>137600</v>
      </c>
      <c r="AJ164" s="133"/>
      <c r="AK164" s="125">
        <f>SUM(F164:AI164)</f>
        <v>4571100</v>
      </c>
    </row>
    <row r="165" spans="2:74">
      <c r="B165" s="81"/>
      <c r="C165" s="236" t="s">
        <v>101</v>
      </c>
      <c r="D165" s="67">
        <v>122000</v>
      </c>
      <c r="E165" s="237" t="s">
        <v>10</v>
      </c>
      <c r="F165" s="64">
        <v>83600</v>
      </c>
      <c r="G165" s="64">
        <v>83900</v>
      </c>
      <c r="H165" s="64">
        <v>77600</v>
      </c>
      <c r="I165" s="64">
        <v>72100</v>
      </c>
      <c r="J165" s="64">
        <v>61400</v>
      </c>
      <c r="K165" s="64">
        <v>75100</v>
      </c>
      <c r="L165" s="64">
        <v>90900</v>
      </c>
      <c r="M165" s="64">
        <v>80900</v>
      </c>
      <c r="N165" s="64">
        <v>87700</v>
      </c>
      <c r="O165" s="64">
        <v>93700</v>
      </c>
      <c r="P165" s="64">
        <v>68000</v>
      </c>
      <c r="Q165" s="64">
        <v>71600</v>
      </c>
      <c r="R165" s="64">
        <v>76200</v>
      </c>
      <c r="S165" s="64">
        <v>74700</v>
      </c>
      <c r="T165" s="64">
        <v>86800</v>
      </c>
      <c r="U165" s="64">
        <v>81100</v>
      </c>
      <c r="V165" s="64">
        <v>86100</v>
      </c>
      <c r="W165" s="64">
        <v>80300</v>
      </c>
      <c r="X165" s="64">
        <v>73100</v>
      </c>
      <c r="Y165" s="64">
        <v>63500</v>
      </c>
      <c r="Z165" s="64">
        <v>85000</v>
      </c>
      <c r="AA165" s="64">
        <v>75600</v>
      </c>
      <c r="AB165" s="64">
        <v>82200</v>
      </c>
      <c r="AC165" s="64">
        <v>70600</v>
      </c>
      <c r="AD165" s="64">
        <v>84000</v>
      </c>
      <c r="AE165" s="64">
        <v>83700</v>
      </c>
      <c r="AF165" s="64">
        <v>83300</v>
      </c>
      <c r="AG165" s="64">
        <v>89400</v>
      </c>
      <c r="AH165" s="64">
        <v>94900</v>
      </c>
      <c r="AI165" s="64">
        <v>97200</v>
      </c>
      <c r="AJ165" s="133"/>
      <c r="AK165" s="125">
        <f>SUM(F165:AI165)</f>
        <v>2414200</v>
      </c>
    </row>
    <row r="166" spans="2:74">
      <c r="B166" s="81"/>
      <c r="C166" s="236" t="s">
        <v>102</v>
      </c>
      <c r="D166" s="67">
        <v>178000</v>
      </c>
      <c r="E166" s="237" t="s">
        <v>10</v>
      </c>
      <c r="F166" s="64">
        <f t="shared" ref="F166:AI166" si="96">F162-F164-F165</f>
        <v>106440</v>
      </c>
      <c r="G166" s="64">
        <f t="shared" si="96"/>
        <v>76140</v>
      </c>
      <c r="H166" s="64">
        <f t="shared" si="96"/>
        <v>83720</v>
      </c>
      <c r="I166" s="64">
        <f t="shared" si="96"/>
        <v>90460</v>
      </c>
      <c r="J166" s="64">
        <f t="shared" si="96"/>
        <v>84440</v>
      </c>
      <c r="K166" s="64">
        <f t="shared" si="96"/>
        <v>81780</v>
      </c>
      <c r="L166" s="64">
        <f t="shared" si="96"/>
        <v>85180</v>
      </c>
      <c r="M166" s="64">
        <f t="shared" si="96"/>
        <v>77120</v>
      </c>
      <c r="N166" s="64">
        <f t="shared" si="96"/>
        <v>82820</v>
      </c>
      <c r="O166" s="64">
        <f t="shared" si="96"/>
        <v>85000</v>
      </c>
      <c r="P166" s="64">
        <f t="shared" si="96"/>
        <v>82460</v>
      </c>
      <c r="Q166" s="64">
        <f t="shared" si="96"/>
        <v>57680</v>
      </c>
      <c r="R166" s="64">
        <f t="shared" si="96"/>
        <v>57360</v>
      </c>
      <c r="S166" s="64">
        <f t="shared" si="96"/>
        <v>42540</v>
      </c>
      <c r="T166" s="64">
        <f t="shared" si="96"/>
        <v>66680</v>
      </c>
      <c r="U166" s="64">
        <f t="shared" si="96"/>
        <v>85360</v>
      </c>
      <c r="V166" s="64">
        <f t="shared" si="96"/>
        <v>60580</v>
      </c>
      <c r="W166" s="64">
        <f t="shared" si="96"/>
        <v>56660</v>
      </c>
      <c r="X166" s="64">
        <f t="shared" si="96"/>
        <v>68000</v>
      </c>
      <c r="Y166" s="64">
        <f t="shared" si="96"/>
        <v>70038</v>
      </c>
      <c r="Z166" s="64">
        <f t="shared" si="96"/>
        <v>78560</v>
      </c>
      <c r="AA166" s="64">
        <f t="shared" si="96"/>
        <v>74260</v>
      </c>
      <c r="AB166" s="64">
        <f t="shared" si="96"/>
        <v>60700</v>
      </c>
      <c r="AC166" s="64">
        <f t="shared" si="96"/>
        <v>73360</v>
      </c>
      <c r="AD166" s="64">
        <f t="shared" si="96"/>
        <v>80540</v>
      </c>
      <c r="AE166" s="64">
        <f t="shared" si="96"/>
        <v>79480</v>
      </c>
      <c r="AF166" s="64">
        <f t="shared" si="96"/>
        <v>110620</v>
      </c>
      <c r="AG166" s="64">
        <f t="shared" si="96"/>
        <v>93320</v>
      </c>
      <c r="AH166" s="64">
        <f t="shared" si="96"/>
        <v>61100</v>
      </c>
      <c r="AI166" s="64">
        <f t="shared" si="96"/>
        <v>70960</v>
      </c>
      <c r="AJ166" s="133"/>
      <c r="AK166" s="125">
        <f>SUM(F166:AI166)</f>
        <v>2283358</v>
      </c>
    </row>
    <row r="167" spans="2:74" s="8" customFormat="1">
      <c r="B167" s="61"/>
      <c r="C167" s="252" t="s">
        <v>96</v>
      </c>
      <c r="D167" s="193">
        <f>SUM(D164:D166)</f>
        <v>480000</v>
      </c>
      <c r="E167" s="237" t="s">
        <v>10</v>
      </c>
      <c r="F167" s="155">
        <f t="shared" ref="F167:AI167" si="97">SUM(F164:F166)</f>
        <v>327840</v>
      </c>
      <c r="G167" s="155">
        <f t="shared" si="97"/>
        <v>312240</v>
      </c>
      <c r="H167" s="155">
        <f t="shared" si="97"/>
        <v>313920</v>
      </c>
      <c r="I167" s="155">
        <f t="shared" si="97"/>
        <v>304560</v>
      </c>
      <c r="J167" s="155">
        <f t="shared" si="97"/>
        <v>296640</v>
      </c>
      <c r="K167" s="155">
        <f t="shared" si="97"/>
        <v>305280</v>
      </c>
      <c r="L167" s="155">
        <f t="shared" si="97"/>
        <v>317280</v>
      </c>
      <c r="M167" s="155">
        <f t="shared" si="97"/>
        <v>301920</v>
      </c>
      <c r="N167" s="155">
        <f t="shared" si="97"/>
        <v>317520</v>
      </c>
      <c r="O167" s="155">
        <f t="shared" si="97"/>
        <v>333600</v>
      </c>
      <c r="P167" s="155">
        <f t="shared" si="97"/>
        <v>303360</v>
      </c>
      <c r="Q167" s="155">
        <f t="shared" si="97"/>
        <v>288480</v>
      </c>
      <c r="R167" s="155">
        <f t="shared" si="97"/>
        <v>288960</v>
      </c>
      <c r="S167" s="155">
        <f t="shared" si="97"/>
        <v>277440</v>
      </c>
      <c r="T167" s="155">
        <f t="shared" si="97"/>
        <v>312480</v>
      </c>
      <c r="U167" s="155">
        <f t="shared" si="97"/>
        <v>326160</v>
      </c>
      <c r="V167" s="155">
        <f t="shared" si="97"/>
        <v>314880</v>
      </c>
      <c r="W167" s="155">
        <f t="shared" si="97"/>
        <v>303360</v>
      </c>
      <c r="X167" s="155">
        <f t="shared" si="97"/>
        <v>307200</v>
      </c>
      <c r="Y167" s="155">
        <f t="shared" si="97"/>
        <v>275138</v>
      </c>
      <c r="Z167" s="155">
        <f t="shared" si="97"/>
        <v>333360</v>
      </c>
      <c r="AA167" s="155">
        <f t="shared" si="97"/>
        <v>299760</v>
      </c>
      <c r="AB167" s="155">
        <f t="shared" si="97"/>
        <v>320400</v>
      </c>
      <c r="AC167" s="155">
        <f t="shared" si="97"/>
        <v>298560</v>
      </c>
      <c r="AD167" s="155">
        <f t="shared" si="97"/>
        <v>306240</v>
      </c>
      <c r="AE167" s="155">
        <f t="shared" si="97"/>
        <v>294480</v>
      </c>
      <c r="AF167" s="155">
        <f t="shared" si="97"/>
        <v>343920</v>
      </c>
      <c r="AG167" s="155">
        <f t="shared" si="97"/>
        <v>334320</v>
      </c>
      <c r="AH167" s="155">
        <f t="shared" si="97"/>
        <v>303600</v>
      </c>
      <c r="AI167" s="155">
        <f t="shared" si="97"/>
        <v>305760</v>
      </c>
      <c r="AJ167" s="212"/>
      <c r="AK167" s="216">
        <f>SUM(AK164:AK166)</f>
        <v>9268658</v>
      </c>
      <c r="AM167" s="214"/>
    </row>
    <row r="168" spans="2:74">
      <c r="B168" s="58">
        <v>12</v>
      </c>
      <c r="C168" s="232" t="s">
        <v>103</v>
      </c>
      <c r="D168" s="89"/>
      <c r="E168" s="89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208"/>
      <c r="AD168" s="208"/>
      <c r="AE168" s="208"/>
      <c r="AF168" s="208"/>
      <c r="AG168" s="208"/>
      <c r="AH168" s="208"/>
      <c r="AI168" s="208"/>
      <c r="AJ168" s="133"/>
      <c r="AK168" s="215" t="s">
        <v>104</v>
      </c>
    </row>
    <row r="169" spans="2:74" s="9" customFormat="1" ht="16.5">
      <c r="B169" s="46"/>
      <c r="C169" s="257" t="s">
        <v>105</v>
      </c>
      <c r="D169" s="194">
        <v>800</v>
      </c>
      <c r="E169" s="258" t="s">
        <v>106</v>
      </c>
      <c r="F169" s="195">
        <v>749</v>
      </c>
      <c r="G169" s="195">
        <v>628</v>
      </c>
      <c r="H169" s="195">
        <v>578</v>
      </c>
      <c r="I169" s="209">
        <v>709</v>
      </c>
      <c r="J169" s="195">
        <v>721</v>
      </c>
      <c r="K169" s="195">
        <v>598</v>
      </c>
      <c r="L169" s="195">
        <v>635</v>
      </c>
      <c r="M169" s="195">
        <v>518</v>
      </c>
      <c r="N169" s="195">
        <v>622</v>
      </c>
      <c r="O169" s="195">
        <v>572</v>
      </c>
      <c r="P169" s="195">
        <v>683</v>
      </c>
      <c r="Q169" s="195">
        <v>623</v>
      </c>
      <c r="R169" s="195">
        <v>441</v>
      </c>
      <c r="S169" s="195">
        <v>591</v>
      </c>
      <c r="T169" s="195">
        <v>547</v>
      </c>
      <c r="U169" s="195">
        <v>716</v>
      </c>
      <c r="V169" s="195">
        <v>460</v>
      </c>
      <c r="W169" s="195">
        <v>596</v>
      </c>
      <c r="X169" s="195">
        <v>644</v>
      </c>
      <c r="Y169" s="195">
        <v>548</v>
      </c>
      <c r="Z169" s="195">
        <v>606</v>
      </c>
      <c r="AA169" s="195">
        <v>638</v>
      </c>
      <c r="AB169" s="195">
        <v>750</v>
      </c>
      <c r="AC169" s="195">
        <v>704</v>
      </c>
      <c r="AD169" s="206">
        <v>809</v>
      </c>
      <c r="AE169" s="206">
        <v>845</v>
      </c>
      <c r="AF169" s="206">
        <v>858</v>
      </c>
      <c r="AG169" s="195">
        <v>687</v>
      </c>
      <c r="AH169" s="206">
        <v>884</v>
      </c>
      <c r="AI169" s="195">
        <v>971</v>
      </c>
      <c r="AJ169" s="135"/>
      <c r="AK169" s="219">
        <f t="shared" ref="AK169:AK175" si="98">SUM(F169:AI169)</f>
        <v>19931</v>
      </c>
      <c r="AM169" s="137">
        <f>AK169/AK22</f>
        <v>664.36666666666667</v>
      </c>
    </row>
    <row r="170" spans="2:74" s="9" customFormat="1">
      <c r="B170" s="46"/>
      <c r="C170" s="259" t="s">
        <v>93</v>
      </c>
      <c r="D170" s="45"/>
      <c r="E170" s="46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206"/>
      <c r="AJ170" s="135"/>
      <c r="AK170" s="220" t="s">
        <v>93</v>
      </c>
      <c r="AM170" s="137"/>
    </row>
    <row r="171" spans="2:74" s="9" customFormat="1" ht="16.5">
      <c r="B171" s="46"/>
      <c r="C171" s="257" t="s">
        <v>107</v>
      </c>
      <c r="D171" s="196">
        <v>78.959999999999994</v>
      </c>
      <c r="E171" s="258" t="s">
        <v>106</v>
      </c>
      <c r="F171" s="195">
        <v>33</v>
      </c>
      <c r="G171" s="195">
        <v>63</v>
      </c>
      <c r="H171" s="195">
        <v>98</v>
      </c>
      <c r="I171" s="195">
        <v>48</v>
      </c>
      <c r="J171" s="195">
        <v>61</v>
      </c>
      <c r="K171" s="195">
        <v>53</v>
      </c>
      <c r="L171" s="195">
        <v>111</v>
      </c>
      <c r="M171" s="195">
        <v>62</v>
      </c>
      <c r="N171" s="195">
        <v>76</v>
      </c>
      <c r="O171" s="195">
        <v>48</v>
      </c>
      <c r="P171" s="195">
        <v>52</v>
      </c>
      <c r="Q171" s="195">
        <v>46</v>
      </c>
      <c r="R171" s="195">
        <v>45</v>
      </c>
      <c r="S171" s="195">
        <v>91</v>
      </c>
      <c r="T171" s="195">
        <v>66</v>
      </c>
      <c r="U171" s="195">
        <v>59</v>
      </c>
      <c r="V171" s="195">
        <v>44</v>
      </c>
      <c r="W171" s="195">
        <v>58</v>
      </c>
      <c r="X171" s="195">
        <v>43</v>
      </c>
      <c r="Y171" s="195">
        <v>164</v>
      </c>
      <c r="Z171" s="195">
        <v>64</v>
      </c>
      <c r="AA171" s="209">
        <v>43</v>
      </c>
      <c r="AB171" s="195">
        <v>85</v>
      </c>
      <c r="AC171" s="195">
        <v>53</v>
      </c>
      <c r="AD171" s="195">
        <v>109</v>
      </c>
      <c r="AE171" s="195">
        <v>114</v>
      </c>
      <c r="AF171" s="195">
        <v>92</v>
      </c>
      <c r="AG171" s="195">
        <v>43</v>
      </c>
      <c r="AH171" s="195">
        <v>38</v>
      </c>
      <c r="AI171" s="195">
        <v>42</v>
      </c>
      <c r="AJ171" s="135"/>
      <c r="AK171" s="221">
        <f t="shared" si="98"/>
        <v>2004</v>
      </c>
      <c r="AM171" s="137"/>
      <c r="BU171" s="287"/>
    </row>
    <row r="172" spans="2:74" s="9" customFormat="1" ht="16.5">
      <c r="B172" s="46"/>
      <c r="C172" s="257" t="s">
        <v>108</v>
      </c>
      <c r="D172" s="196">
        <v>118.4</v>
      </c>
      <c r="E172" s="258" t="s">
        <v>106</v>
      </c>
      <c r="F172" s="195">
        <v>124</v>
      </c>
      <c r="G172" s="195">
        <v>104</v>
      </c>
      <c r="H172" s="195">
        <v>101</v>
      </c>
      <c r="I172" s="195">
        <v>93</v>
      </c>
      <c r="J172" s="195">
        <v>92</v>
      </c>
      <c r="K172" s="195">
        <v>81</v>
      </c>
      <c r="L172" s="195">
        <v>76</v>
      </c>
      <c r="M172" s="195">
        <v>81</v>
      </c>
      <c r="N172" s="195">
        <v>113</v>
      </c>
      <c r="O172" s="195">
        <v>107</v>
      </c>
      <c r="P172" s="195">
        <v>114</v>
      </c>
      <c r="Q172" s="195">
        <v>107</v>
      </c>
      <c r="R172" s="195">
        <v>98</v>
      </c>
      <c r="S172" s="195">
        <v>72</v>
      </c>
      <c r="T172" s="195">
        <v>129</v>
      </c>
      <c r="U172" s="195">
        <v>130</v>
      </c>
      <c r="V172" s="195">
        <v>118</v>
      </c>
      <c r="W172" s="195">
        <v>111</v>
      </c>
      <c r="X172" s="195">
        <v>119</v>
      </c>
      <c r="Y172" s="195">
        <v>71</v>
      </c>
      <c r="Z172" s="195">
        <v>116</v>
      </c>
      <c r="AA172" s="195">
        <v>125</v>
      </c>
      <c r="AB172" s="195">
        <v>122</v>
      </c>
      <c r="AC172" s="195">
        <v>122</v>
      </c>
      <c r="AD172" s="195">
        <v>96</v>
      </c>
      <c r="AE172" s="195">
        <v>95</v>
      </c>
      <c r="AF172" s="195">
        <v>92</v>
      </c>
      <c r="AG172" s="195">
        <v>122</v>
      </c>
      <c r="AH172" s="195">
        <v>148</v>
      </c>
      <c r="AI172" s="209">
        <v>126</v>
      </c>
      <c r="AJ172" s="135"/>
      <c r="AK172" s="221">
        <f t="shared" si="98"/>
        <v>3205</v>
      </c>
      <c r="AM172" s="137"/>
      <c r="BU172" s="287"/>
    </row>
    <row r="173" spans="2:74" s="9" customFormat="1" ht="16.5">
      <c r="B173" s="46"/>
      <c r="C173" s="257" t="s">
        <v>109</v>
      </c>
      <c r="D173" s="194">
        <f>44.69%*D169</f>
        <v>357.52</v>
      </c>
      <c r="E173" s="258" t="s">
        <v>106</v>
      </c>
      <c r="F173" s="195">
        <v>306</v>
      </c>
      <c r="G173" s="195">
        <v>326</v>
      </c>
      <c r="H173" s="195">
        <v>341</v>
      </c>
      <c r="I173" s="195">
        <v>303</v>
      </c>
      <c r="J173" s="195">
        <v>313</v>
      </c>
      <c r="K173" s="195">
        <v>278</v>
      </c>
      <c r="L173" s="195">
        <v>255</v>
      </c>
      <c r="M173" s="195">
        <v>328</v>
      </c>
      <c r="N173" s="195">
        <v>279.7</v>
      </c>
      <c r="O173" s="195">
        <v>285.60000000000002</v>
      </c>
      <c r="P173" s="195">
        <v>280</v>
      </c>
      <c r="Q173" s="195">
        <v>238.1</v>
      </c>
      <c r="R173" s="195">
        <v>287.10000000000002</v>
      </c>
      <c r="S173" s="195">
        <v>214.4</v>
      </c>
      <c r="T173" s="195">
        <v>298.89999999999998</v>
      </c>
      <c r="U173" s="195">
        <v>237.6</v>
      </c>
      <c r="V173" s="195">
        <v>243.9</v>
      </c>
      <c r="W173" s="195">
        <v>281.39999999999998</v>
      </c>
      <c r="X173" s="195">
        <v>250.1</v>
      </c>
      <c r="Y173" s="195">
        <v>241.5</v>
      </c>
      <c r="Z173" s="195">
        <v>303.2</v>
      </c>
      <c r="AA173" s="195">
        <v>288.10000000000002</v>
      </c>
      <c r="AB173" s="195">
        <v>223.4</v>
      </c>
      <c r="AC173" s="195">
        <v>288.5</v>
      </c>
      <c r="AD173" s="195">
        <v>302.3</v>
      </c>
      <c r="AE173" s="195">
        <v>257.3</v>
      </c>
      <c r="AF173" s="195">
        <v>321.5</v>
      </c>
      <c r="AG173" s="195">
        <v>300.10000000000002</v>
      </c>
      <c r="AH173" s="195">
        <v>288.5</v>
      </c>
      <c r="AI173" s="195">
        <v>300.3</v>
      </c>
      <c r="AJ173" s="135"/>
      <c r="AK173" s="221">
        <f t="shared" si="98"/>
        <v>8461.5</v>
      </c>
      <c r="AM173" s="137"/>
      <c r="BV173" s="288"/>
    </row>
    <row r="174" spans="2:74" s="9" customFormat="1" ht="16.5">
      <c r="B174" s="46"/>
      <c r="C174" s="257" t="s">
        <v>102</v>
      </c>
      <c r="D174" s="194">
        <f>D169-SUM(D171:D173)</f>
        <v>245.12</v>
      </c>
      <c r="E174" s="258" t="s">
        <v>106</v>
      </c>
      <c r="F174" s="195">
        <f>F169-(SUM(F171:F173))</f>
        <v>286</v>
      </c>
      <c r="G174" s="195">
        <f t="shared" ref="G174:K174" si="99">G169-(SUM(G171:G173))</f>
        <v>135</v>
      </c>
      <c r="H174" s="195">
        <f t="shared" si="99"/>
        <v>38</v>
      </c>
      <c r="I174" s="195">
        <f t="shared" si="99"/>
        <v>265</v>
      </c>
      <c r="J174" s="195">
        <f t="shared" si="99"/>
        <v>255</v>
      </c>
      <c r="K174" s="195">
        <f t="shared" si="99"/>
        <v>186</v>
      </c>
      <c r="L174" s="195">
        <f t="shared" ref="L174:P174" si="100">L169-(SUM(L171:L173))</f>
        <v>193</v>
      </c>
      <c r="M174" s="195">
        <f t="shared" si="100"/>
        <v>47</v>
      </c>
      <c r="N174" s="195">
        <f t="shared" si="100"/>
        <v>153.30000000000001</v>
      </c>
      <c r="O174" s="195">
        <f t="shared" si="100"/>
        <v>131.39999999999998</v>
      </c>
      <c r="P174" s="195">
        <f t="shared" si="100"/>
        <v>237</v>
      </c>
      <c r="Q174" s="195">
        <f t="shared" ref="Q174:AI174" si="101">Q169-(SUM(Q171:Q173))</f>
        <v>231.89999999999998</v>
      </c>
      <c r="R174" s="195">
        <f t="shared" si="101"/>
        <v>10.899999999999977</v>
      </c>
      <c r="S174" s="195">
        <f t="shared" si="101"/>
        <v>213.60000000000002</v>
      </c>
      <c r="T174" s="195">
        <f t="shared" si="101"/>
        <v>53.100000000000023</v>
      </c>
      <c r="U174" s="195">
        <f t="shared" si="101"/>
        <v>289.39999999999998</v>
      </c>
      <c r="V174" s="195">
        <f t="shared" si="101"/>
        <v>54.100000000000023</v>
      </c>
      <c r="W174" s="195">
        <f t="shared" si="101"/>
        <v>145.60000000000002</v>
      </c>
      <c r="X174" s="195">
        <f t="shared" si="101"/>
        <v>231.89999999999998</v>
      </c>
      <c r="Y174" s="195">
        <f t="shared" si="101"/>
        <v>71.5</v>
      </c>
      <c r="Z174" s="195">
        <f t="shared" si="101"/>
        <v>122.80000000000001</v>
      </c>
      <c r="AA174" s="195">
        <f t="shared" si="101"/>
        <v>181.89999999999998</v>
      </c>
      <c r="AB174" s="195">
        <f t="shared" si="101"/>
        <v>319.60000000000002</v>
      </c>
      <c r="AC174" s="195">
        <f t="shared" si="101"/>
        <v>240.5</v>
      </c>
      <c r="AD174" s="195">
        <f t="shared" si="101"/>
        <v>301.7</v>
      </c>
      <c r="AE174" s="195">
        <f t="shared" si="101"/>
        <v>378.7</v>
      </c>
      <c r="AF174" s="195">
        <f t="shared" si="101"/>
        <v>352.5</v>
      </c>
      <c r="AG174" s="195">
        <f t="shared" si="101"/>
        <v>221.89999999999998</v>
      </c>
      <c r="AH174" s="195">
        <f t="shared" si="101"/>
        <v>409.5</v>
      </c>
      <c r="AI174" s="195">
        <f t="shared" si="101"/>
        <v>502.7</v>
      </c>
      <c r="AJ174" s="135"/>
      <c r="AK174" s="221">
        <f t="shared" si="98"/>
        <v>6260.4999999999991</v>
      </c>
      <c r="AL174" s="151"/>
      <c r="AM174" s="137"/>
    </row>
    <row r="175" spans="2:74" s="9" customFormat="1" ht="16.5">
      <c r="B175" s="46"/>
      <c r="C175" s="257" t="s">
        <v>110</v>
      </c>
      <c r="D175" s="194">
        <v>287.83999999999997</v>
      </c>
      <c r="E175" s="258" t="s">
        <v>106</v>
      </c>
      <c r="F175" s="195">
        <v>173</v>
      </c>
      <c r="G175" s="195">
        <v>156</v>
      </c>
      <c r="H175" s="195">
        <v>163</v>
      </c>
      <c r="I175" s="195">
        <v>178</v>
      </c>
      <c r="J175" s="195">
        <v>156</v>
      </c>
      <c r="K175" s="195">
        <v>212</v>
      </c>
      <c r="L175" s="195">
        <v>215</v>
      </c>
      <c r="M175" s="195">
        <v>153</v>
      </c>
      <c r="N175" s="195">
        <v>136</v>
      </c>
      <c r="O175" s="195">
        <v>140</v>
      </c>
      <c r="P175" s="195">
        <v>128</v>
      </c>
      <c r="Q175" s="195">
        <v>112</v>
      </c>
      <c r="R175" s="195">
        <v>92</v>
      </c>
      <c r="S175" s="195">
        <v>128</v>
      </c>
      <c r="T175" s="195">
        <v>113</v>
      </c>
      <c r="U175" s="195">
        <v>111</v>
      </c>
      <c r="V175" s="195">
        <v>93</v>
      </c>
      <c r="W175" s="195">
        <v>126</v>
      </c>
      <c r="X175" s="195">
        <v>140</v>
      </c>
      <c r="Y175" s="195">
        <v>116</v>
      </c>
      <c r="Z175" s="195">
        <v>137</v>
      </c>
      <c r="AA175" s="195">
        <v>85</v>
      </c>
      <c r="AB175" s="195">
        <v>116</v>
      </c>
      <c r="AC175" s="195">
        <v>121</v>
      </c>
      <c r="AD175" s="195">
        <v>161</v>
      </c>
      <c r="AE175" s="195">
        <v>122</v>
      </c>
      <c r="AF175" s="195">
        <v>161</v>
      </c>
      <c r="AG175" s="195">
        <v>183</v>
      </c>
      <c r="AH175" s="195">
        <v>142</v>
      </c>
      <c r="AI175" s="195">
        <v>170</v>
      </c>
      <c r="AJ175" s="135"/>
      <c r="AK175" s="221">
        <f t="shared" si="98"/>
        <v>4239</v>
      </c>
      <c r="AM175" s="137"/>
    </row>
    <row r="176" spans="2:74">
      <c r="B176" s="102">
        <v>13</v>
      </c>
      <c r="C176" s="232" t="s">
        <v>111</v>
      </c>
      <c r="D176" s="89"/>
      <c r="E176" s="89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133"/>
      <c r="AK176" s="222" t="s">
        <v>112</v>
      </c>
    </row>
    <row r="177" spans="2:39">
      <c r="B177" s="163"/>
      <c r="C177" s="260" t="s">
        <v>99</v>
      </c>
      <c r="D177" s="197"/>
      <c r="E177" s="198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133"/>
      <c r="AK177" s="210" t="s">
        <v>99</v>
      </c>
    </row>
    <row r="178" spans="2:39">
      <c r="B178" s="163"/>
      <c r="C178" s="234" t="s">
        <v>113</v>
      </c>
      <c r="D178" s="67">
        <v>26515.11</v>
      </c>
      <c r="E178" s="80" t="s">
        <v>114</v>
      </c>
      <c r="F178" s="64">
        <v>28100</v>
      </c>
      <c r="G178" s="199">
        <v>28000</v>
      </c>
      <c r="H178" s="262">
        <v>24800</v>
      </c>
      <c r="I178" s="207">
        <v>25000</v>
      </c>
      <c r="J178" s="64">
        <v>24600</v>
      </c>
      <c r="K178" s="207">
        <v>25300</v>
      </c>
      <c r="L178" s="64">
        <v>25200</v>
      </c>
      <c r="M178" s="207">
        <v>25800</v>
      </c>
      <c r="N178" s="64">
        <v>27600</v>
      </c>
      <c r="O178" s="64">
        <v>27500</v>
      </c>
      <c r="P178" s="64">
        <v>24800</v>
      </c>
      <c r="Q178" s="64">
        <v>26000</v>
      </c>
      <c r="R178" s="64">
        <v>25300</v>
      </c>
      <c r="S178" s="64">
        <v>24800</v>
      </c>
      <c r="T178" s="64">
        <v>28300</v>
      </c>
      <c r="U178" s="207">
        <v>28400</v>
      </c>
      <c r="V178" s="64">
        <v>27900</v>
      </c>
      <c r="W178" s="64">
        <v>27800</v>
      </c>
      <c r="X178" s="64">
        <v>27000</v>
      </c>
      <c r="Y178" s="207">
        <v>24600</v>
      </c>
      <c r="Z178" s="64">
        <v>26500</v>
      </c>
      <c r="AA178" s="64">
        <v>27000</v>
      </c>
      <c r="AB178" s="64">
        <v>27200</v>
      </c>
      <c r="AC178" s="64">
        <v>26200</v>
      </c>
      <c r="AD178" s="64">
        <v>27300</v>
      </c>
      <c r="AE178" s="64">
        <v>25800</v>
      </c>
      <c r="AF178" s="64">
        <v>26600</v>
      </c>
      <c r="AG178" s="64">
        <v>28200</v>
      </c>
      <c r="AH178" s="64">
        <v>27700</v>
      </c>
      <c r="AI178" s="64">
        <v>27400</v>
      </c>
      <c r="AJ178" s="133"/>
      <c r="AK178" s="118">
        <f t="shared" ref="AK178:AK185" si="102">SUM(F178:AI178)</f>
        <v>796700</v>
      </c>
      <c r="AM178" s="33">
        <f>AK178/AK22</f>
        <v>26556.666666666668</v>
      </c>
    </row>
    <row r="179" spans="2:39">
      <c r="B179" s="163"/>
      <c r="C179" s="260" t="s">
        <v>96</v>
      </c>
      <c r="D179" s="156"/>
      <c r="E179" s="261" t="s">
        <v>115</v>
      </c>
      <c r="F179" s="155">
        <f t="shared" ref="F179:AI179" si="103">SUM(F178:F178)</f>
        <v>28100</v>
      </c>
      <c r="G179" s="155">
        <f t="shared" si="103"/>
        <v>28000</v>
      </c>
      <c r="H179" s="155">
        <f t="shared" si="103"/>
        <v>24800</v>
      </c>
      <c r="I179" s="155">
        <f t="shared" si="103"/>
        <v>25000</v>
      </c>
      <c r="J179" s="155">
        <f t="shared" si="103"/>
        <v>24600</v>
      </c>
      <c r="K179" s="155">
        <f t="shared" si="103"/>
        <v>25300</v>
      </c>
      <c r="L179" s="155">
        <f t="shared" si="103"/>
        <v>25200</v>
      </c>
      <c r="M179" s="155">
        <f t="shared" si="103"/>
        <v>25800</v>
      </c>
      <c r="N179" s="155">
        <f t="shared" si="103"/>
        <v>27600</v>
      </c>
      <c r="O179" s="155">
        <f t="shared" si="103"/>
        <v>27500</v>
      </c>
      <c r="P179" s="155">
        <f t="shared" si="103"/>
        <v>24800</v>
      </c>
      <c r="Q179" s="155">
        <f t="shared" si="103"/>
        <v>26000</v>
      </c>
      <c r="R179" s="155">
        <f t="shared" si="103"/>
        <v>25300</v>
      </c>
      <c r="S179" s="155">
        <f t="shared" si="103"/>
        <v>24800</v>
      </c>
      <c r="T179" s="155">
        <f t="shared" si="103"/>
        <v>28300</v>
      </c>
      <c r="U179" s="155">
        <f t="shared" si="103"/>
        <v>28400</v>
      </c>
      <c r="V179" s="155">
        <f t="shared" si="103"/>
        <v>27900</v>
      </c>
      <c r="W179" s="155">
        <f t="shared" si="103"/>
        <v>27800</v>
      </c>
      <c r="X179" s="155">
        <f t="shared" si="103"/>
        <v>27000</v>
      </c>
      <c r="Y179" s="155">
        <f t="shared" si="103"/>
        <v>24600</v>
      </c>
      <c r="Z179" s="155">
        <f t="shared" si="103"/>
        <v>26500</v>
      </c>
      <c r="AA179" s="155">
        <f t="shared" si="103"/>
        <v>27000</v>
      </c>
      <c r="AB179" s="155">
        <f t="shared" si="103"/>
        <v>27200</v>
      </c>
      <c r="AC179" s="155">
        <f t="shared" si="103"/>
        <v>26200</v>
      </c>
      <c r="AD179" s="155">
        <f t="shared" si="103"/>
        <v>27300</v>
      </c>
      <c r="AE179" s="155">
        <f t="shared" si="103"/>
        <v>25800</v>
      </c>
      <c r="AF179" s="155">
        <f t="shared" si="103"/>
        <v>26600</v>
      </c>
      <c r="AG179" s="155">
        <f t="shared" si="103"/>
        <v>28200</v>
      </c>
      <c r="AH179" s="155">
        <f t="shared" si="103"/>
        <v>27700</v>
      </c>
      <c r="AI179" s="155">
        <f t="shared" si="103"/>
        <v>27400</v>
      </c>
      <c r="AJ179" s="131"/>
      <c r="AK179" s="216">
        <f t="shared" si="102"/>
        <v>796700</v>
      </c>
    </row>
    <row r="180" spans="2:39">
      <c r="B180" s="58">
        <v>14</v>
      </c>
      <c r="C180" s="88" t="s">
        <v>116</v>
      </c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K180" s="223" t="s">
        <v>117</v>
      </c>
    </row>
    <row r="181" spans="2:39">
      <c r="B181" s="81"/>
      <c r="C181" s="90" t="s">
        <v>118</v>
      </c>
      <c r="D181" s="79"/>
      <c r="E181" s="80" t="s">
        <v>10</v>
      </c>
      <c r="F181" s="169">
        <v>62840</v>
      </c>
      <c r="G181" s="169">
        <v>20440</v>
      </c>
      <c r="H181" s="169">
        <v>58060</v>
      </c>
      <c r="I181" s="169">
        <v>88880</v>
      </c>
      <c r="J181" s="169">
        <v>0</v>
      </c>
      <c r="K181" s="169">
        <v>217360</v>
      </c>
      <c r="L181" s="169">
        <v>0</v>
      </c>
      <c r="M181" s="169">
        <v>27910</v>
      </c>
      <c r="N181" s="169">
        <v>85930</v>
      </c>
      <c r="O181" s="169">
        <v>43290</v>
      </c>
      <c r="P181" s="169">
        <v>41860</v>
      </c>
      <c r="Q181" s="169">
        <v>64180</v>
      </c>
      <c r="R181" s="169">
        <v>42670</v>
      </c>
      <c r="S181" s="169">
        <v>0</v>
      </c>
      <c r="T181" s="169">
        <v>85100</v>
      </c>
      <c r="U181" s="169">
        <v>63410</v>
      </c>
      <c r="V181" s="169">
        <v>127470</v>
      </c>
      <c r="W181" s="169">
        <v>0</v>
      </c>
      <c r="X181" s="169">
        <v>41630</v>
      </c>
      <c r="Y181" s="169">
        <v>0</v>
      </c>
      <c r="Z181" s="169">
        <v>0</v>
      </c>
      <c r="AA181" s="169">
        <v>21280</v>
      </c>
      <c r="AB181" s="169">
        <v>0</v>
      </c>
      <c r="AC181" s="169">
        <v>0</v>
      </c>
      <c r="AD181" s="169">
        <v>42680</v>
      </c>
      <c r="AE181" s="169">
        <v>0</v>
      </c>
      <c r="AF181" s="169">
        <v>0</v>
      </c>
      <c r="AG181" s="169">
        <v>0</v>
      </c>
      <c r="AH181" s="64">
        <v>104760</v>
      </c>
      <c r="AI181" s="64">
        <v>86990</v>
      </c>
      <c r="AK181" s="118">
        <f t="shared" si="102"/>
        <v>1326740</v>
      </c>
    </row>
    <row r="182" spans="2:39">
      <c r="B182" s="81"/>
      <c r="C182" s="90" t="s">
        <v>34</v>
      </c>
      <c r="D182" s="79"/>
      <c r="E182" s="80" t="s">
        <v>10</v>
      </c>
      <c r="F182" s="169">
        <v>103580</v>
      </c>
      <c r="G182" s="169">
        <v>143440</v>
      </c>
      <c r="H182" s="169">
        <v>84220</v>
      </c>
      <c r="I182" s="169">
        <v>0</v>
      </c>
      <c r="J182" s="169">
        <v>0</v>
      </c>
      <c r="K182" s="169">
        <v>0</v>
      </c>
      <c r="L182" s="169">
        <v>0</v>
      </c>
      <c r="M182" s="169">
        <v>0</v>
      </c>
      <c r="N182" s="169">
        <v>0</v>
      </c>
      <c r="O182" s="169">
        <v>0</v>
      </c>
      <c r="P182" s="169">
        <v>0</v>
      </c>
      <c r="Q182" s="169">
        <v>0</v>
      </c>
      <c r="R182" s="169">
        <v>0</v>
      </c>
      <c r="S182" s="169">
        <v>0</v>
      </c>
      <c r="T182" s="169">
        <v>0</v>
      </c>
      <c r="U182" s="169">
        <v>0</v>
      </c>
      <c r="V182" s="169">
        <v>0</v>
      </c>
      <c r="W182" s="169">
        <v>0</v>
      </c>
      <c r="X182" s="169">
        <v>0</v>
      </c>
      <c r="Y182" s="169">
        <v>0</v>
      </c>
      <c r="Z182" s="169">
        <v>0</v>
      </c>
      <c r="AA182" s="169">
        <v>163780</v>
      </c>
      <c r="AB182" s="169">
        <v>163420</v>
      </c>
      <c r="AC182" s="169">
        <v>185860</v>
      </c>
      <c r="AD182" s="64">
        <v>41110</v>
      </c>
      <c r="AE182" s="169">
        <v>121990</v>
      </c>
      <c r="AF182" s="169">
        <v>0</v>
      </c>
      <c r="AG182" s="64">
        <v>164600</v>
      </c>
      <c r="AH182" s="64">
        <v>81450</v>
      </c>
      <c r="AI182" s="64">
        <v>145150</v>
      </c>
      <c r="AK182" s="118">
        <f t="shared" si="102"/>
        <v>1398600</v>
      </c>
    </row>
    <row r="183" spans="2:39">
      <c r="B183" s="81"/>
      <c r="C183" s="90" t="s">
        <v>36</v>
      </c>
      <c r="D183" s="79"/>
      <c r="E183" s="80" t="s">
        <v>10</v>
      </c>
      <c r="F183" s="169">
        <v>0</v>
      </c>
      <c r="G183" s="169">
        <v>0</v>
      </c>
      <c r="H183" s="169">
        <v>0</v>
      </c>
      <c r="I183" s="169">
        <v>0</v>
      </c>
      <c r="J183" s="169">
        <v>0</v>
      </c>
      <c r="K183" s="169">
        <v>0</v>
      </c>
      <c r="L183" s="169">
        <v>0</v>
      </c>
      <c r="M183" s="169">
        <v>0</v>
      </c>
      <c r="N183" s="169">
        <v>0</v>
      </c>
      <c r="O183" s="169">
        <v>0</v>
      </c>
      <c r="P183" s="169">
        <v>0</v>
      </c>
      <c r="Q183" s="169">
        <v>0</v>
      </c>
      <c r="R183" s="169">
        <v>0</v>
      </c>
      <c r="S183" s="169">
        <v>0</v>
      </c>
      <c r="T183" s="169">
        <v>0</v>
      </c>
      <c r="U183" s="169">
        <v>0</v>
      </c>
      <c r="V183" s="169">
        <v>0</v>
      </c>
      <c r="W183" s="169">
        <v>0</v>
      </c>
      <c r="X183" s="169">
        <v>0</v>
      </c>
      <c r="Y183" s="169">
        <v>0</v>
      </c>
      <c r="Z183" s="169">
        <v>0</v>
      </c>
      <c r="AA183" s="169">
        <v>0</v>
      </c>
      <c r="AB183" s="169">
        <v>0</v>
      </c>
      <c r="AC183" s="169">
        <v>0</v>
      </c>
      <c r="AD183" s="169">
        <v>0</v>
      </c>
      <c r="AE183" s="169">
        <v>0</v>
      </c>
      <c r="AF183" s="169">
        <v>0</v>
      </c>
      <c r="AG183" s="169">
        <v>0</v>
      </c>
      <c r="AH183" s="64">
        <v>0</v>
      </c>
      <c r="AI183" s="64">
        <v>0</v>
      </c>
      <c r="AK183" s="118">
        <f t="shared" si="102"/>
        <v>0</v>
      </c>
    </row>
    <row r="184" spans="2:39" hidden="1">
      <c r="B184" s="81"/>
      <c r="C184" s="90" t="s">
        <v>41</v>
      </c>
      <c r="D184" s="79"/>
      <c r="E184" s="80" t="s">
        <v>10</v>
      </c>
      <c r="F184" s="169"/>
      <c r="G184" s="169"/>
      <c r="H184" s="169"/>
      <c r="I184" s="169"/>
      <c r="J184" s="169"/>
      <c r="K184" s="169"/>
      <c r="L184" s="169">
        <v>0</v>
      </c>
      <c r="M184" s="169"/>
      <c r="N184" s="169"/>
      <c r="O184" s="169"/>
      <c r="P184" s="169"/>
      <c r="Q184" s="169"/>
      <c r="R184" s="169"/>
      <c r="S184" s="169">
        <v>0</v>
      </c>
      <c r="T184" s="169">
        <v>0</v>
      </c>
      <c r="U184" s="169">
        <v>0</v>
      </c>
      <c r="V184" s="169">
        <v>0</v>
      </c>
      <c r="W184" s="169"/>
      <c r="X184" s="169"/>
      <c r="Y184" s="169"/>
      <c r="Z184" s="169">
        <v>0</v>
      </c>
      <c r="AA184" s="169"/>
      <c r="AB184" s="169"/>
      <c r="AC184" s="169"/>
      <c r="AD184" s="169"/>
      <c r="AE184" s="169"/>
      <c r="AF184" s="64"/>
      <c r="AG184" s="169">
        <v>0</v>
      </c>
      <c r="AH184" s="64"/>
      <c r="AI184" s="64"/>
      <c r="AK184" s="118">
        <f t="shared" si="102"/>
        <v>0</v>
      </c>
    </row>
    <row r="185" spans="2:39">
      <c r="B185" s="81"/>
      <c r="C185" s="90" t="s">
        <v>52</v>
      </c>
      <c r="D185" s="79"/>
      <c r="E185" s="80" t="s">
        <v>10</v>
      </c>
      <c r="F185" s="169">
        <v>85090</v>
      </c>
      <c r="G185" s="169">
        <v>578390</v>
      </c>
      <c r="H185" s="169">
        <v>585450</v>
      </c>
      <c r="I185" s="169">
        <v>903750</v>
      </c>
      <c r="J185" s="169">
        <v>93000</v>
      </c>
      <c r="K185" s="169">
        <v>64540</v>
      </c>
      <c r="L185" s="169">
        <v>0</v>
      </c>
      <c r="M185" s="169">
        <v>318180</v>
      </c>
      <c r="N185" s="169">
        <v>74110</v>
      </c>
      <c r="O185" s="169">
        <v>0</v>
      </c>
      <c r="P185" s="169">
        <v>0</v>
      </c>
      <c r="Q185" s="169">
        <v>0</v>
      </c>
      <c r="R185" s="169">
        <v>43480</v>
      </c>
      <c r="S185" s="169">
        <v>0</v>
      </c>
      <c r="T185" s="169">
        <v>0</v>
      </c>
      <c r="U185" s="169">
        <v>0</v>
      </c>
      <c r="V185" s="169">
        <v>0</v>
      </c>
      <c r="W185" s="169">
        <v>345900</v>
      </c>
      <c r="X185" s="169">
        <v>392840</v>
      </c>
      <c r="Y185" s="169">
        <v>448780</v>
      </c>
      <c r="Z185" s="169">
        <v>0</v>
      </c>
      <c r="AA185" s="169">
        <v>148230</v>
      </c>
      <c r="AB185" s="169">
        <v>169200</v>
      </c>
      <c r="AC185" s="169">
        <v>233110</v>
      </c>
      <c r="AD185" s="169">
        <v>189590</v>
      </c>
      <c r="AE185" s="169">
        <v>190420</v>
      </c>
      <c r="AF185" s="64">
        <v>84930</v>
      </c>
      <c r="AG185" s="169">
        <v>0</v>
      </c>
      <c r="AH185" s="64">
        <v>367470</v>
      </c>
      <c r="AI185" s="64">
        <v>330500</v>
      </c>
      <c r="AK185" s="118">
        <f t="shared" si="102"/>
        <v>5646960</v>
      </c>
      <c r="AL185" s="214"/>
    </row>
    <row r="186" spans="2:39" s="8" customFormat="1">
      <c r="B186" s="188"/>
      <c r="C186" s="201" t="s">
        <v>96</v>
      </c>
      <c r="D186" s="202"/>
      <c r="E186" s="203" t="s">
        <v>10</v>
      </c>
      <c r="F186" s="204">
        <f t="shared" ref="F186:AI186" si="104">SUM(F181:F185)</f>
        <v>251510</v>
      </c>
      <c r="G186" s="204">
        <f t="shared" si="104"/>
        <v>742270</v>
      </c>
      <c r="H186" s="204">
        <f t="shared" si="104"/>
        <v>727730</v>
      </c>
      <c r="I186" s="204">
        <f t="shared" si="104"/>
        <v>992630</v>
      </c>
      <c r="J186" s="204">
        <f t="shared" si="104"/>
        <v>93000</v>
      </c>
      <c r="K186" s="204">
        <f t="shared" si="104"/>
        <v>281900</v>
      </c>
      <c r="L186" s="204">
        <f t="shared" si="104"/>
        <v>0</v>
      </c>
      <c r="M186" s="204">
        <f t="shared" si="104"/>
        <v>346090</v>
      </c>
      <c r="N186" s="204">
        <f t="shared" si="104"/>
        <v>160040</v>
      </c>
      <c r="O186" s="204">
        <f t="shared" si="104"/>
        <v>43290</v>
      </c>
      <c r="P186" s="204">
        <f t="shared" si="104"/>
        <v>41860</v>
      </c>
      <c r="Q186" s="204">
        <f t="shared" si="104"/>
        <v>64180</v>
      </c>
      <c r="R186" s="204">
        <f t="shared" si="104"/>
        <v>86150</v>
      </c>
      <c r="S186" s="204">
        <f t="shared" si="104"/>
        <v>0</v>
      </c>
      <c r="T186" s="204">
        <f t="shared" si="104"/>
        <v>85100</v>
      </c>
      <c r="U186" s="204">
        <f t="shared" si="104"/>
        <v>63410</v>
      </c>
      <c r="V186" s="204">
        <f t="shared" si="104"/>
        <v>127470</v>
      </c>
      <c r="W186" s="204">
        <f t="shared" si="104"/>
        <v>345900</v>
      </c>
      <c r="X186" s="204">
        <f t="shared" si="104"/>
        <v>434470</v>
      </c>
      <c r="Y186" s="204">
        <f t="shared" si="104"/>
        <v>448780</v>
      </c>
      <c r="Z186" s="204">
        <f t="shared" si="104"/>
        <v>0</v>
      </c>
      <c r="AA186" s="204">
        <f t="shared" si="104"/>
        <v>333290</v>
      </c>
      <c r="AB186" s="204">
        <f t="shared" si="104"/>
        <v>332620</v>
      </c>
      <c r="AC186" s="204">
        <f t="shared" si="104"/>
        <v>418970</v>
      </c>
      <c r="AD186" s="204">
        <f t="shared" si="104"/>
        <v>273380</v>
      </c>
      <c r="AE186" s="204">
        <f t="shared" si="104"/>
        <v>312410</v>
      </c>
      <c r="AF186" s="204">
        <f t="shared" si="104"/>
        <v>84930</v>
      </c>
      <c r="AG186" s="204">
        <f t="shared" si="104"/>
        <v>164600</v>
      </c>
      <c r="AH186" s="204">
        <f t="shared" si="104"/>
        <v>553680</v>
      </c>
      <c r="AI186" s="204">
        <f t="shared" si="104"/>
        <v>562640</v>
      </c>
      <c r="AK186" s="224">
        <f>SUM(AK181:AK185)</f>
        <v>8372300</v>
      </c>
      <c r="AL186" s="214"/>
      <c r="AM186" s="217"/>
    </row>
    <row r="187" spans="2:39">
      <c r="B187" s="58">
        <v>15</v>
      </c>
      <c r="C187" s="88" t="s">
        <v>119</v>
      </c>
      <c r="D187" s="200"/>
      <c r="E187" s="20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K187" s="225" t="s">
        <v>120</v>
      </c>
    </row>
    <row r="188" spans="2:39">
      <c r="B188" s="81"/>
      <c r="C188" s="90" t="s">
        <v>118</v>
      </c>
      <c r="D188" s="79"/>
      <c r="E188" s="80" t="s">
        <v>10</v>
      </c>
      <c r="F188" s="169">
        <v>0</v>
      </c>
      <c r="G188" s="169">
        <v>0</v>
      </c>
      <c r="H188" s="169">
        <v>0</v>
      </c>
      <c r="I188" s="169">
        <v>0</v>
      </c>
      <c r="J188" s="169">
        <v>0</v>
      </c>
      <c r="K188" s="169">
        <v>0</v>
      </c>
      <c r="L188" s="169">
        <v>0</v>
      </c>
      <c r="M188" s="169">
        <v>0</v>
      </c>
      <c r="N188" s="169">
        <v>0</v>
      </c>
      <c r="O188" s="169">
        <v>0</v>
      </c>
      <c r="P188" s="169">
        <v>0</v>
      </c>
      <c r="Q188" s="169">
        <v>0</v>
      </c>
      <c r="R188" s="169">
        <v>0</v>
      </c>
      <c r="S188" s="169">
        <v>0</v>
      </c>
      <c r="T188" s="169">
        <v>0</v>
      </c>
      <c r="U188" s="169">
        <v>0</v>
      </c>
      <c r="V188" s="169">
        <v>0</v>
      </c>
      <c r="W188" s="169">
        <v>0</v>
      </c>
      <c r="X188" s="169">
        <v>0</v>
      </c>
      <c r="Y188" s="169">
        <v>0</v>
      </c>
      <c r="Z188" s="169">
        <v>0</v>
      </c>
      <c r="AA188" s="169">
        <v>0</v>
      </c>
      <c r="AB188" s="169">
        <v>0</v>
      </c>
      <c r="AC188" s="169">
        <v>0</v>
      </c>
      <c r="AD188" s="169">
        <v>0</v>
      </c>
      <c r="AE188" s="169">
        <v>0</v>
      </c>
      <c r="AF188" s="169">
        <v>0</v>
      </c>
      <c r="AG188" s="169">
        <v>0</v>
      </c>
      <c r="AH188" s="64">
        <v>0</v>
      </c>
      <c r="AI188" s="64">
        <v>0</v>
      </c>
      <c r="AK188" s="118">
        <f>SUM(F188:AI188)</f>
        <v>0</v>
      </c>
    </row>
    <row r="189" spans="2:39">
      <c r="B189" s="81"/>
      <c r="C189" s="90" t="s">
        <v>34</v>
      </c>
      <c r="D189" s="79"/>
      <c r="E189" s="80" t="s">
        <v>10</v>
      </c>
      <c r="F189" s="169">
        <v>0</v>
      </c>
      <c r="G189" s="169">
        <v>0</v>
      </c>
      <c r="H189" s="169">
        <v>34590</v>
      </c>
      <c r="I189" s="169">
        <v>15410</v>
      </c>
      <c r="J189" s="169">
        <v>0</v>
      </c>
      <c r="K189" s="169">
        <v>0</v>
      </c>
      <c r="L189" s="169">
        <v>0</v>
      </c>
      <c r="M189" s="169">
        <v>0</v>
      </c>
      <c r="N189" s="169">
        <v>0</v>
      </c>
      <c r="O189" s="169">
        <v>0</v>
      </c>
      <c r="P189" s="169">
        <v>0</v>
      </c>
      <c r="Q189" s="169">
        <v>0</v>
      </c>
      <c r="R189" s="169">
        <v>0</v>
      </c>
      <c r="S189" s="169">
        <v>0</v>
      </c>
      <c r="T189" s="169">
        <v>0</v>
      </c>
      <c r="U189" s="169">
        <v>0</v>
      </c>
      <c r="V189" s="169">
        <v>0</v>
      </c>
      <c r="W189" s="169">
        <v>0</v>
      </c>
      <c r="X189" s="169">
        <v>0</v>
      </c>
      <c r="Y189" s="169">
        <v>0</v>
      </c>
      <c r="Z189" s="169">
        <v>0</v>
      </c>
      <c r="AA189" s="169">
        <v>0</v>
      </c>
      <c r="AB189" s="169">
        <v>0</v>
      </c>
      <c r="AC189" s="169">
        <v>0</v>
      </c>
      <c r="AD189" s="169">
        <v>0</v>
      </c>
      <c r="AE189" s="169">
        <v>0</v>
      </c>
      <c r="AF189" s="169">
        <v>0</v>
      </c>
      <c r="AG189" s="64">
        <v>51700</v>
      </c>
      <c r="AH189" s="64">
        <v>50320</v>
      </c>
      <c r="AI189" s="64">
        <v>0</v>
      </c>
      <c r="AK189" s="118">
        <f>SUM(F189:AI189)</f>
        <v>152020</v>
      </c>
    </row>
    <row r="190" spans="2:39">
      <c r="B190" s="81"/>
      <c r="C190" s="90" t="s">
        <v>36</v>
      </c>
      <c r="D190" s="79"/>
      <c r="E190" s="80" t="s">
        <v>10</v>
      </c>
      <c r="F190" s="169">
        <v>1345440</v>
      </c>
      <c r="G190" s="169">
        <v>1370970</v>
      </c>
      <c r="H190" s="169">
        <v>1113010</v>
      </c>
      <c r="I190" s="169">
        <v>1145410</v>
      </c>
      <c r="J190" s="169">
        <v>1701140</v>
      </c>
      <c r="K190" s="169">
        <v>979820</v>
      </c>
      <c r="L190" s="169">
        <v>0</v>
      </c>
      <c r="M190" s="169">
        <v>1731250</v>
      </c>
      <c r="N190" s="169">
        <v>1195450</v>
      </c>
      <c r="O190" s="169">
        <v>1349590</v>
      </c>
      <c r="P190" s="169">
        <v>1187200</v>
      </c>
      <c r="Q190" s="169">
        <v>819360</v>
      </c>
      <c r="R190" s="169">
        <v>443760</v>
      </c>
      <c r="S190" s="169">
        <v>0</v>
      </c>
      <c r="T190" s="169">
        <v>1223550</v>
      </c>
      <c r="U190" s="169">
        <v>796520</v>
      </c>
      <c r="V190" s="169">
        <v>950590</v>
      </c>
      <c r="W190" s="169">
        <v>1181570</v>
      </c>
      <c r="X190" s="169">
        <v>1896460</v>
      </c>
      <c r="Y190" s="169">
        <v>955420</v>
      </c>
      <c r="Z190" s="169">
        <v>0</v>
      </c>
      <c r="AA190" s="169">
        <v>1168720</v>
      </c>
      <c r="AB190" s="169">
        <v>834950</v>
      </c>
      <c r="AC190" s="64">
        <v>1304940</v>
      </c>
      <c r="AD190" s="169">
        <v>1348640</v>
      </c>
      <c r="AE190" s="64">
        <v>1248910</v>
      </c>
      <c r="AF190" s="64">
        <v>555110</v>
      </c>
      <c r="AG190" s="64">
        <v>56060</v>
      </c>
      <c r="AH190" s="64">
        <v>1183090</v>
      </c>
      <c r="AI190" s="64">
        <v>1364740</v>
      </c>
      <c r="AK190" s="118">
        <f>SUM(F190:AI190)</f>
        <v>30451670</v>
      </c>
    </row>
    <row r="191" spans="2:39" hidden="1">
      <c r="B191" s="81"/>
      <c r="C191" s="90" t="s">
        <v>45</v>
      </c>
      <c r="D191" s="79"/>
      <c r="E191" s="80" t="s">
        <v>10</v>
      </c>
      <c r="F191" s="169">
        <v>0</v>
      </c>
      <c r="G191" s="169">
        <v>0</v>
      </c>
      <c r="H191" s="169">
        <v>0</v>
      </c>
      <c r="I191" s="169">
        <v>0</v>
      </c>
      <c r="J191" s="169"/>
      <c r="K191" s="169"/>
      <c r="L191" s="169">
        <v>0</v>
      </c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>
        <v>0</v>
      </c>
      <c r="AA191" s="169"/>
      <c r="AB191" s="169"/>
      <c r="AC191" s="169"/>
      <c r="AD191" s="169"/>
      <c r="AE191" s="64"/>
      <c r="AF191" s="64"/>
      <c r="AG191" s="64"/>
      <c r="AH191" s="64"/>
      <c r="AI191" s="64"/>
      <c r="AK191" s="118">
        <f>SUM(F191:AI191)</f>
        <v>0</v>
      </c>
    </row>
    <row r="192" spans="2:39">
      <c r="B192" s="81"/>
      <c r="C192" s="90" t="s">
        <v>52</v>
      </c>
      <c r="D192" s="79"/>
      <c r="E192" s="80" t="s">
        <v>10</v>
      </c>
      <c r="F192" s="169">
        <v>0</v>
      </c>
      <c r="G192" s="169">
        <v>0</v>
      </c>
      <c r="H192" s="169">
        <v>0</v>
      </c>
      <c r="I192" s="169">
        <v>20050</v>
      </c>
      <c r="J192" s="169">
        <v>85100</v>
      </c>
      <c r="K192" s="169">
        <v>42780</v>
      </c>
      <c r="L192" s="169">
        <v>0</v>
      </c>
      <c r="M192" s="169">
        <v>166310</v>
      </c>
      <c r="N192" s="169">
        <v>146790</v>
      </c>
      <c r="O192" s="169">
        <v>145830</v>
      </c>
      <c r="P192" s="169">
        <v>251070</v>
      </c>
      <c r="Q192" s="169">
        <v>418690</v>
      </c>
      <c r="R192" s="169">
        <v>232320</v>
      </c>
      <c r="S192" s="169">
        <v>273460</v>
      </c>
      <c r="T192" s="169">
        <v>273390</v>
      </c>
      <c r="U192" s="169">
        <v>337930</v>
      </c>
      <c r="V192" s="169">
        <v>294950</v>
      </c>
      <c r="W192" s="169">
        <v>232400</v>
      </c>
      <c r="X192" s="169">
        <v>84670</v>
      </c>
      <c r="Y192" s="169">
        <v>0</v>
      </c>
      <c r="Z192" s="169">
        <v>0</v>
      </c>
      <c r="AA192" s="169">
        <v>0</v>
      </c>
      <c r="AB192" s="169">
        <v>0</v>
      </c>
      <c r="AC192" s="169">
        <v>0</v>
      </c>
      <c r="AD192" s="169">
        <v>0</v>
      </c>
      <c r="AE192" s="169">
        <v>0</v>
      </c>
      <c r="AF192" s="169">
        <v>0</v>
      </c>
      <c r="AG192" s="169">
        <v>0</v>
      </c>
      <c r="AH192" s="64">
        <v>0</v>
      </c>
      <c r="AI192" s="64">
        <v>0</v>
      </c>
      <c r="AK192" s="118">
        <f>SUM(F192:AI192)</f>
        <v>3005740</v>
      </c>
    </row>
    <row r="193" spans="2:39" s="8" customFormat="1" ht="15.75" thickBot="1">
      <c r="B193" s="188"/>
      <c r="C193" s="201" t="s">
        <v>96</v>
      </c>
      <c r="D193" s="202"/>
      <c r="E193" s="203" t="s">
        <v>10</v>
      </c>
      <c r="F193" s="204">
        <f t="shared" ref="F193:AI193" si="105">SUM(F188:F192)</f>
        <v>1345440</v>
      </c>
      <c r="G193" s="204">
        <f t="shared" si="105"/>
        <v>1370970</v>
      </c>
      <c r="H193" s="204">
        <f t="shared" si="105"/>
        <v>1147600</v>
      </c>
      <c r="I193" s="204">
        <f t="shared" si="105"/>
        <v>1180870</v>
      </c>
      <c r="J193" s="204">
        <f t="shared" si="105"/>
        <v>1786240</v>
      </c>
      <c r="K193" s="204">
        <f t="shared" si="105"/>
        <v>1022600</v>
      </c>
      <c r="L193" s="204">
        <f t="shared" si="105"/>
        <v>0</v>
      </c>
      <c r="M193" s="204">
        <f t="shared" si="105"/>
        <v>1897560</v>
      </c>
      <c r="N193" s="204">
        <f t="shared" si="105"/>
        <v>1342240</v>
      </c>
      <c r="O193" s="204">
        <f t="shared" si="105"/>
        <v>1495420</v>
      </c>
      <c r="P193" s="204">
        <f t="shared" si="105"/>
        <v>1438270</v>
      </c>
      <c r="Q193" s="204">
        <f t="shared" si="105"/>
        <v>1238050</v>
      </c>
      <c r="R193" s="204">
        <f t="shared" si="105"/>
        <v>676080</v>
      </c>
      <c r="S193" s="204">
        <f t="shared" si="105"/>
        <v>273460</v>
      </c>
      <c r="T193" s="204">
        <f t="shared" si="105"/>
        <v>1496940</v>
      </c>
      <c r="U193" s="204">
        <f t="shared" si="105"/>
        <v>1134450</v>
      </c>
      <c r="V193" s="204">
        <f t="shared" si="105"/>
        <v>1245540</v>
      </c>
      <c r="W193" s="204">
        <f t="shared" si="105"/>
        <v>1413970</v>
      </c>
      <c r="X193" s="204">
        <f t="shared" si="105"/>
        <v>1981130</v>
      </c>
      <c r="Y193" s="204">
        <f t="shared" si="105"/>
        <v>955420</v>
      </c>
      <c r="Z193" s="204">
        <f t="shared" si="105"/>
        <v>0</v>
      </c>
      <c r="AA193" s="204">
        <f t="shared" si="105"/>
        <v>1168720</v>
      </c>
      <c r="AB193" s="204">
        <f t="shared" si="105"/>
        <v>834950</v>
      </c>
      <c r="AC193" s="204">
        <f t="shared" si="105"/>
        <v>1304940</v>
      </c>
      <c r="AD193" s="204">
        <f t="shared" si="105"/>
        <v>1348640</v>
      </c>
      <c r="AE193" s="204">
        <f t="shared" si="105"/>
        <v>1248910</v>
      </c>
      <c r="AF193" s="204">
        <f t="shared" si="105"/>
        <v>555110</v>
      </c>
      <c r="AG193" s="204">
        <f t="shared" si="105"/>
        <v>107760</v>
      </c>
      <c r="AH193" s="204">
        <f t="shared" si="105"/>
        <v>1233410</v>
      </c>
      <c r="AI193" s="204">
        <f t="shared" si="105"/>
        <v>1364740</v>
      </c>
      <c r="AK193" s="226">
        <f>SUM(AK188:AK192)</f>
        <v>33609430</v>
      </c>
      <c r="AM193" s="217"/>
    </row>
    <row r="195" spans="2:39" hidden="1">
      <c r="AD195" s="3" t="s">
        <v>118</v>
      </c>
      <c r="AH195" s="33">
        <v>352210</v>
      </c>
      <c r="AI195" s="33"/>
    </row>
    <row r="196" spans="2:39" hidden="1">
      <c r="AD196" s="3" t="s">
        <v>39</v>
      </c>
      <c r="AH196" s="33">
        <v>100410</v>
      </c>
      <c r="AI196" s="33"/>
    </row>
    <row r="197" spans="2:39" hidden="1">
      <c r="AH197" s="33">
        <f>SUM(AH195:AH196)</f>
        <v>452620</v>
      </c>
      <c r="AI197" s="33"/>
    </row>
    <row r="198" spans="2:39" hidden="1"/>
    <row r="199" spans="2:39" hidden="1"/>
    <row r="200" spans="2:39" hidden="1"/>
    <row r="203" spans="2:39">
      <c r="T203" s="116"/>
    </row>
  </sheetData>
  <mergeCells count="7">
    <mergeCell ref="AK5:AK6"/>
    <mergeCell ref="B2:AI2"/>
    <mergeCell ref="F5:AI5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300" verticalDpi="300" r:id="rId1"/>
  <ignoredErrors>
    <ignoredError sqref="F14:H14 F18:H18 F59:I59 F53:I54 M59:N59 P47:S54 R57:S57 N53:O54 P10:S10 M14:S14 M18:S18 S59 P61:S61 Q88:Q92 L51:O52 L49:L50 T51:T54 T114:T118 R114:S118 O114:P118 T10:T11 T14:T15 T18 U10:U11 U57 U14:U15 U18 U114:U118 U59 U61 U51:U54 V47:V53 V54:V55 V57 V59 V61 V114:V118 V14:V18 AK18 W47:W53 W10:W11 W14:W15 W18 W114:W118 W88:W92 X51:Z54 Y10 X14:Z18 X88:Z92 Y114:Z118 AA10:AA11 AA47:AA55 AA14:AA15 AA18 AA57 AA59 AA61 AA114:AA118 AA88:AA92 AB51:AB54 AB10:AB11 AB14:AB15 AB18 AB59 AB61 AB114:AB118 AN51:AN55 AC47:AC55 AC10:AC11 AC114:AC119 AC14:AC15 AC18 AD49:AD52 AD59 AD114:AD118 AD89:AD92 AD10:AD11 AD14:AD15 AD18 AD61 AE59:AF59 AE49:AF52 AE88:AF92 AG88:AG92 AG47:AG55 AE114:AG118 AG57 AG59:AH59 AG61 AE61:AF61 AE14:AG18 AH47:AH54 AH114:AH118 AH88:AH92 AH18 AI10:AI11 AI114:AI118 AI88:AI92 AI50:AI55 AI47:AI49 R141:Y145 AD141:AI145 Z141:AC144 Z145:AC145 AK141:AK144 AI14:AI15 AI18 AI57 AI59 AI61" evalError="1"/>
    <ignoredError sqref="F62:I62 M62:O62 T42:U42 AN24 AN28 V42:V45 AN25:AN27 W42 W55:W58 W60:W62 X42:AC42 X60:Z62 AN35:AN36 AN31 AN29:AN30 AN32:AN34 AN22:AN23 AN40 AN38:AN39 AN41:AN45 AD62 AG42:AI42 AH62" formulaRange="1"/>
    <ignoredError sqref="P62:S62 T60:T62 U62:V62 W59 W54 X59:Z59 AA62:AB62 AN60 AN58 AN56 AE62:AG62 AI62" evalError="1" formulaRange="1"/>
    <ignoredError sqref="P59 P57 AK57:AK59 AK121 AC59:AC60 BV68" formula="1"/>
    <ignoredError sqref="O59 AC61" evalError="1" formula="1"/>
    <ignoredError sqref="T59 AN57 AN59 AN61:AN63 AC62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4:L16"/>
  <sheetViews>
    <sheetView showGridLines="0" workbookViewId="0">
      <selection activeCell="F18" sqref="F17:F18"/>
    </sheetView>
  </sheetViews>
  <sheetFormatPr defaultColWidth="9.140625" defaultRowHeight="14.25"/>
  <cols>
    <col min="1" max="4" width="9.140625" style="17"/>
    <col min="5" max="5" width="20.28515625" style="17" customWidth="1"/>
    <col min="6" max="12" width="15.42578125" style="17" customWidth="1"/>
    <col min="13" max="16384" width="9.140625" style="17"/>
  </cols>
  <sheetData>
    <row r="4" spans="5:12" ht="18.95" customHeight="1">
      <c r="E4" s="22" t="s">
        <v>121</v>
      </c>
      <c r="F4" s="23" t="s">
        <v>122</v>
      </c>
      <c r="G4" s="23" t="s">
        <v>123</v>
      </c>
      <c r="H4" s="23" t="s">
        <v>124</v>
      </c>
      <c r="I4" s="23" t="s">
        <v>125</v>
      </c>
      <c r="J4" s="23" t="s">
        <v>126</v>
      </c>
      <c r="K4" s="30" t="s">
        <v>127</v>
      </c>
      <c r="L4" s="30" t="s">
        <v>128</v>
      </c>
    </row>
    <row r="5" spans="5:12" ht="18.95" customHeight="1">
      <c r="E5" s="24" t="s">
        <v>118</v>
      </c>
      <c r="F5" s="25">
        <v>94.838870792020799</v>
      </c>
      <c r="G5" s="25">
        <v>95.168254420739999</v>
      </c>
      <c r="H5" s="25">
        <v>95.021893781343607</v>
      </c>
      <c r="I5" s="25">
        <v>94.834430354171005</v>
      </c>
      <c r="J5" s="25">
        <v>94.106000323543398</v>
      </c>
      <c r="K5" s="31">
        <v>94.527038478954296</v>
      </c>
      <c r="L5" s="31">
        <v>94.7019691049626</v>
      </c>
    </row>
    <row r="6" spans="5:12" ht="18.95" customHeight="1">
      <c r="E6" s="24" t="s">
        <v>34</v>
      </c>
      <c r="F6" s="25">
        <v>4.5645820355271898</v>
      </c>
      <c r="G6" s="25">
        <v>4.2344138157586801</v>
      </c>
      <c r="H6" s="25">
        <v>4.3758533595428402</v>
      </c>
      <c r="I6" s="25">
        <v>4.5666541536379297</v>
      </c>
      <c r="J6" s="25">
        <v>5.2617321607619996</v>
      </c>
      <c r="K6" s="31">
        <v>4.8620034555421503</v>
      </c>
      <c r="L6" s="31">
        <v>4.6995178453903703</v>
      </c>
    </row>
    <row r="7" spans="5:12" ht="18.95" customHeight="1">
      <c r="E7" s="24" t="s">
        <v>38</v>
      </c>
      <c r="F7" s="25">
        <v>83.665160055280197</v>
      </c>
      <c r="G7" s="25">
        <v>83.575453845237504</v>
      </c>
      <c r="H7" s="25">
        <v>83.565849279510502</v>
      </c>
      <c r="I7" s="25">
        <v>82.219585328118399</v>
      </c>
      <c r="J7" s="25">
        <v>82.194224855290997</v>
      </c>
      <c r="K7" s="31">
        <v>82.186394131302094</v>
      </c>
      <c r="L7" s="31">
        <v>82.322385187912502</v>
      </c>
    </row>
    <row r="8" spans="5:12" ht="18.95" customHeight="1">
      <c r="E8" s="24" t="s">
        <v>129</v>
      </c>
      <c r="F8" s="25">
        <v>60.7896528250511</v>
      </c>
      <c r="G8" s="25">
        <v>60.083837913367503</v>
      </c>
      <c r="H8" s="25">
        <v>60.105448154657303</v>
      </c>
      <c r="I8" s="25">
        <v>60.069686411149803</v>
      </c>
      <c r="J8" s="25">
        <v>60.033798056611701</v>
      </c>
      <c r="K8" s="31">
        <v>59.528301886792498</v>
      </c>
      <c r="L8" s="31">
        <v>59.3851132686084</v>
      </c>
    </row>
    <row r="9" spans="5:12" ht="18.95" customHeight="1">
      <c r="E9" s="26" t="s">
        <v>39</v>
      </c>
      <c r="F9" s="27">
        <v>55.545187119668697</v>
      </c>
      <c r="G9" s="27">
        <v>56.340708241394999</v>
      </c>
      <c r="H9" s="27">
        <v>56.33</v>
      </c>
      <c r="I9" s="27">
        <v>57.710728260731798</v>
      </c>
      <c r="J9" s="27">
        <v>57.771977088097202</v>
      </c>
      <c r="K9" s="32">
        <v>58.2853039819054</v>
      </c>
      <c r="L9" s="32">
        <v>58.292501543479098</v>
      </c>
    </row>
    <row r="10" spans="5:12">
      <c r="F10" s="28"/>
      <c r="G10" s="28"/>
      <c r="H10" s="28"/>
      <c r="I10" s="28"/>
      <c r="J10" s="28"/>
      <c r="K10" s="28"/>
      <c r="L10" s="28"/>
    </row>
    <row r="11" spans="5:12">
      <c r="F11" s="28"/>
      <c r="G11" s="28"/>
      <c r="H11" s="28"/>
      <c r="I11" s="28"/>
      <c r="J11" s="28"/>
      <c r="K11" s="28"/>
      <c r="L11" s="28"/>
    </row>
    <row r="12" spans="5:12">
      <c r="H12" s="29"/>
      <c r="I12" s="29"/>
      <c r="J12" s="29"/>
      <c r="K12" s="29"/>
      <c r="L12" s="29"/>
    </row>
    <row r="13" spans="5:12">
      <c r="H13" s="29"/>
      <c r="I13" s="29"/>
      <c r="J13" s="29"/>
      <c r="K13" s="29"/>
      <c r="L13" s="29"/>
    </row>
    <row r="14" spans="5:12">
      <c r="H14" s="29"/>
      <c r="I14" s="29"/>
      <c r="J14" s="29"/>
      <c r="K14" s="29"/>
      <c r="L14" s="29"/>
    </row>
    <row r="15" spans="5:12">
      <c r="H15" s="29"/>
      <c r="I15" s="29"/>
      <c r="J15" s="29"/>
      <c r="K15" s="29"/>
      <c r="L15" s="29"/>
    </row>
    <row r="16" spans="5:12">
      <c r="H16" s="29"/>
      <c r="I16" s="29"/>
      <c r="J16" s="29"/>
      <c r="K16" s="29"/>
      <c r="L16" s="29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XFD140"/>
  <sheetViews>
    <sheetView showGridLines="0" topLeftCell="A9" zoomScale="120" zoomScaleNormal="120" workbookViewId="0">
      <selection activeCell="F39" sqref="F39"/>
    </sheetView>
  </sheetViews>
  <sheetFormatPr defaultColWidth="9" defaultRowHeight="15"/>
  <cols>
    <col min="1" max="1" width="9.140625" style="3"/>
    <col min="2" max="2" width="15" style="3" customWidth="1"/>
    <col min="3" max="3" width="15.28515625" style="3"/>
    <col min="4" max="16055" width="9.140625" style="3"/>
    <col min="16056" max="16057" width="9" style="3"/>
    <col min="16058" max="16059" width="9.140625"/>
  </cols>
  <sheetData>
    <row r="7" spans="2:10">
      <c r="B7" s="309" t="s">
        <v>130</v>
      </c>
      <c r="C7" s="310"/>
      <c r="D7" s="311"/>
      <c r="E7" s="312" t="s">
        <v>131</v>
      </c>
      <c r="F7" s="312"/>
      <c r="G7" s="312" t="s">
        <v>132</v>
      </c>
      <c r="H7" s="312"/>
    </row>
    <row r="8" spans="2:10">
      <c r="B8" s="10" t="s">
        <v>133</v>
      </c>
      <c r="C8" s="10" t="s">
        <v>134</v>
      </c>
      <c r="D8" s="10" t="s">
        <v>13</v>
      </c>
      <c r="E8" s="10" t="s">
        <v>135</v>
      </c>
      <c r="F8" s="10" t="s">
        <v>136</v>
      </c>
      <c r="G8" s="10" t="s">
        <v>135</v>
      </c>
      <c r="H8" s="10" t="s">
        <v>136</v>
      </c>
    </row>
    <row r="9" spans="2:10">
      <c r="B9" s="11">
        <v>104</v>
      </c>
      <c r="C9" s="12">
        <v>539109</v>
      </c>
      <c r="D9" s="13">
        <f>C9/(SUM(C9:C12))*100</f>
        <v>29.805941185251527</v>
      </c>
      <c r="E9" s="307">
        <v>4.38</v>
      </c>
      <c r="F9" s="308">
        <v>2.23</v>
      </c>
      <c r="G9" s="13">
        <v>4.32</v>
      </c>
      <c r="H9" s="13">
        <v>2.02</v>
      </c>
      <c r="J9" s="19"/>
    </row>
    <row r="10" spans="2:10">
      <c r="B10" s="11">
        <v>105</v>
      </c>
      <c r="C10" s="12">
        <v>54004</v>
      </c>
      <c r="D10" s="13">
        <f>C10/(SUM(C9:C12))*100</f>
        <v>2.9857413765459744</v>
      </c>
      <c r="E10" s="307"/>
      <c r="F10" s="308"/>
      <c r="G10" s="13">
        <v>6.06</v>
      </c>
      <c r="H10" s="13">
        <v>1.73</v>
      </c>
      <c r="J10" s="19"/>
    </row>
    <row r="11" spans="2:10">
      <c r="B11" s="11">
        <v>106</v>
      </c>
      <c r="C11" s="12">
        <v>702012</v>
      </c>
      <c r="D11" s="13">
        <f>C11/(SUM(C9:C12))*100</f>
        <v>38.812426398633292</v>
      </c>
      <c r="E11" s="307"/>
      <c r="F11" s="308"/>
      <c r="G11" s="13">
        <v>4.5999999999999996</v>
      </c>
      <c r="H11" s="13">
        <v>2.17</v>
      </c>
      <c r="J11" s="19"/>
    </row>
    <row r="12" spans="2:10">
      <c r="B12" s="11">
        <v>107</v>
      </c>
      <c r="C12" s="12">
        <v>513605</v>
      </c>
      <c r="D12" s="13">
        <f>C12/(SUM(C9:C12))*100</f>
        <v>28.3958910395692</v>
      </c>
      <c r="E12" s="307"/>
      <c r="F12" s="308"/>
      <c r="G12" s="13">
        <v>3.94</v>
      </c>
      <c r="H12" s="13">
        <v>2.2000000000000002</v>
      </c>
      <c r="J12" s="19"/>
    </row>
    <row r="13" spans="2:10">
      <c r="B13" s="306" t="s">
        <v>137</v>
      </c>
      <c r="C13" s="306"/>
      <c r="D13" s="306"/>
      <c r="E13" s="14"/>
      <c r="F13" s="14"/>
      <c r="G13" s="15">
        <f>AVERAGE(G9:G12)</f>
        <v>4.7299999999999995</v>
      </c>
      <c r="H13" s="16">
        <f>AVERAGE(H9:H12)</f>
        <v>2.0300000000000002</v>
      </c>
      <c r="J13" s="19"/>
    </row>
    <row r="15" spans="2:10">
      <c r="B15" s="3" t="s">
        <v>138</v>
      </c>
    </row>
    <row r="16" spans="2:10">
      <c r="C16" s="17" t="s">
        <v>139</v>
      </c>
      <c r="D16" s="17" t="s">
        <v>135</v>
      </c>
      <c r="E16" s="17" t="s">
        <v>136</v>
      </c>
    </row>
    <row r="17" spans="1:16384">
      <c r="C17" s="18">
        <v>29.805941185251498</v>
      </c>
      <c r="D17" s="19">
        <f t="shared" ref="D17:D20" si="0">C17%*G9</f>
        <v>1.2876166592028648</v>
      </c>
      <c r="E17" s="19">
        <f t="shared" ref="E17:E20" si="1">C17%*H9</f>
        <v>0.60208001194208027</v>
      </c>
    </row>
    <row r="18" spans="1:16384">
      <c r="C18" s="18">
        <v>2.9857413765459699</v>
      </c>
      <c r="D18" s="19">
        <f t="shared" si="0"/>
        <v>0.18093592741868575</v>
      </c>
      <c r="E18" s="19">
        <f t="shared" si="1"/>
        <v>5.1653325814245275E-2</v>
      </c>
    </row>
    <row r="19" spans="1:16384">
      <c r="C19" s="18">
        <v>38.812426398633299</v>
      </c>
      <c r="D19" s="19">
        <f t="shared" si="0"/>
        <v>1.7853716143371317</v>
      </c>
      <c r="E19" s="19">
        <f t="shared" si="1"/>
        <v>0.84222965285034257</v>
      </c>
    </row>
    <row r="20" spans="1:16384">
      <c r="C20" s="18">
        <v>28.3958910395692</v>
      </c>
      <c r="D20" s="19">
        <f t="shared" si="0"/>
        <v>1.1187981069590265</v>
      </c>
      <c r="E20" s="19">
        <f t="shared" si="1"/>
        <v>0.62470960287052246</v>
      </c>
    </row>
    <row r="21" spans="1:16384" s="1" customFormat="1" ht="14.25">
      <c r="D21" s="20">
        <f>SUM(D17:D20)</f>
        <v>4.3727223079177087</v>
      </c>
      <c r="E21" s="20">
        <f>SUM(E17:E20)</f>
        <v>2.1206725934771908</v>
      </c>
    </row>
    <row r="22" spans="1:16384" s="1" customFormat="1" ht="14.25" hidden="1"/>
    <row r="23" spans="1:16384" s="2" customFormat="1" ht="14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  <c r="ALP23" s="21"/>
      <c r="ALQ23" s="21"/>
      <c r="ALR23" s="21"/>
      <c r="ALS23" s="21"/>
      <c r="ALT23" s="21"/>
      <c r="ALU23" s="21"/>
      <c r="ALV23" s="21"/>
      <c r="ALW23" s="21"/>
      <c r="ALX23" s="21"/>
      <c r="ALY23" s="21"/>
      <c r="ALZ23" s="21"/>
      <c r="AMA23" s="21"/>
      <c r="AMB23" s="21"/>
      <c r="AMC23" s="21"/>
      <c r="AMD23" s="21"/>
      <c r="AME23" s="21"/>
      <c r="AMF23" s="21"/>
      <c r="AMG23" s="21"/>
      <c r="AMH23" s="21"/>
      <c r="AMI23" s="21"/>
      <c r="AMJ23" s="21"/>
      <c r="AMK23" s="21"/>
      <c r="AML23" s="21"/>
      <c r="AMM23" s="21"/>
      <c r="AMN23" s="21"/>
      <c r="AMO23" s="21"/>
      <c r="AMP23" s="21"/>
      <c r="AMQ23" s="21"/>
      <c r="AMR23" s="21"/>
      <c r="AMS23" s="21"/>
      <c r="AMT23" s="21"/>
      <c r="AMU23" s="21"/>
      <c r="AMV23" s="21"/>
      <c r="AMW23" s="21"/>
      <c r="AMX23" s="21"/>
      <c r="AMY23" s="21"/>
      <c r="AMZ23" s="21"/>
      <c r="ANA23" s="21"/>
      <c r="ANB23" s="21"/>
      <c r="ANC23" s="21"/>
      <c r="AND23" s="21"/>
      <c r="ANE23" s="21"/>
      <c r="ANF23" s="21"/>
      <c r="ANG23" s="21"/>
      <c r="ANH23" s="21"/>
      <c r="ANI23" s="21"/>
      <c r="ANJ23" s="21"/>
      <c r="ANK23" s="21"/>
      <c r="ANL23" s="21"/>
      <c r="ANM23" s="21"/>
      <c r="ANN23" s="21"/>
      <c r="ANO23" s="21"/>
      <c r="ANP23" s="21"/>
      <c r="ANQ23" s="21"/>
      <c r="ANR23" s="21"/>
      <c r="ANS23" s="21"/>
      <c r="ANT23" s="21"/>
      <c r="ANU23" s="21"/>
      <c r="ANV23" s="21"/>
      <c r="ANW23" s="21"/>
      <c r="ANX23" s="21"/>
      <c r="ANY23" s="21"/>
      <c r="ANZ23" s="21"/>
      <c r="AOA23" s="21"/>
      <c r="AOB23" s="21"/>
      <c r="AOC23" s="21"/>
      <c r="AOD23" s="21"/>
      <c r="AOE23" s="21"/>
      <c r="AOF23" s="21"/>
      <c r="AOG23" s="21"/>
      <c r="AOH23" s="21"/>
      <c r="AOI23" s="21"/>
      <c r="AOJ23" s="21"/>
      <c r="AOK23" s="21"/>
      <c r="AOL23" s="21"/>
      <c r="AOM23" s="21"/>
      <c r="AON23" s="21"/>
      <c r="AOO23" s="21"/>
      <c r="AOP23" s="21"/>
      <c r="AOQ23" s="21"/>
      <c r="AOR23" s="21"/>
      <c r="AOS23" s="21"/>
      <c r="AOT23" s="21"/>
      <c r="AOU23" s="21"/>
      <c r="AOV23" s="21"/>
      <c r="AOW23" s="21"/>
      <c r="AOX23" s="21"/>
      <c r="AOY23" s="21"/>
      <c r="AOZ23" s="21"/>
      <c r="APA23" s="21"/>
      <c r="APB23" s="21"/>
      <c r="APC23" s="21"/>
      <c r="APD23" s="21"/>
      <c r="APE23" s="21"/>
      <c r="APF23" s="21"/>
      <c r="APG23" s="21"/>
      <c r="APH23" s="21"/>
      <c r="API23" s="21"/>
      <c r="APJ23" s="21"/>
      <c r="APK23" s="21"/>
      <c r="APL23" s="21"/>
      <c r="APM23" s="21"/>
      <c r="APN23" s="21"/>
      <c r="APO23" s="21"/>
      <c r="APP23" s="21"/>
      <c r="APQ23" s="21"/>
      <c r="APR23" s="21"/>
      <c r="APS23" s="21"/>
      <c r="APT23" s="21"/>
      <c r="APU23" s="21"/>
      <c r="APV23" s="21"/>
      <c r="APW23" s="21"/>
      <c r="APX23" s="21"/>
      <c r="APY23" s="21"/>
      <c r="APZ23" s="21"/>
      <c r="AQA23" s="21"/>
      <c r="AQB23" s="21"/>
      <c r="AQC23" s="21"/>
      <c r="AQD23" s="21"/>
      <c r="AQE23" s="21"/>
      <c r="AQF23" s="21"/>
      <c r="AQG23" s="21"/>
      <c r="AQH23" s="21"/>
      <c r="AQI23" s="21"/>
      <c r="AQJ23" s="21"/>
      <c r="AQK23" s="21"/>
      <c r="AQL23" s="21"/>
      <c r="AQM23" s="21"/>
      <c r="AQN23" s="21"/>
      <c r="AQO23" s="21"/>
      <c r="AQP23" s="21"/>
      <c r="AQQ23" s="21"/>
      <c r="AQR23" s="21"/>
      <c r="AQS23" s="21"/>
      <c r="AQT23" s="21"/>
      <c r="AQU23" s="21"/>
      <c r="AQV23" s="21"/>
      <c r="AQW23" s="21"/>
      <c r="AQX23" s="21"/>
      <c r="AQY23" s="21"/>
      <c r="AQZ23" s="21"/>
      <c r="ARA23" s="21"/>
      <c r="ARB23" s="21"/>
      <c r="ARC23" s="21"/>
      <c r="ARD23" s="21"/>
      <c r="ARE23" s="21"/>
      <c r="ARF23" s="21"/>
      <c r="ARG23" s="21"/>
      <c r="ARH23" s="21"/>
      <c r="ARI23" s="21"/>
      <c r="ARJ23" s="21"/>
      <c r="ARK23" s="21"/>
      <c r="ARL23" s="21"/>
      <c r="ARM23" s="21"/>
      <c r="ARN23" s="21"/>
      <c r="ARO23" s="21"/>
      <c r="ARP23" s="21"/>
      <c r="ARQ23" s="21"/>
      <c r="ARR23" s="21"/>
      <c r="ARS23" s="21"/>
      <c r="ART23" s="21"/>
      <c r="ARU23" s="21"/>
      <c r="ARV23" s="21"/>
      <c r="ARW23" s="21"/>
      <c r="ARX23" s="21"/>
      <c r="ARY23" s="21"/>
      <c r="ARZ23" s="21"/>
      <c r="ASA23" s="21"/>
      <c r="ASB23" s="21"/>
      <c r="ASC23" s="21"/>
      <c r="ASD23" s="21"/>
      <c r="ASE23" s="21"/>
      <c r="ASF23" s="21"/>
      <c r="ASG23" s="21"/>
      <c r="ASH23" s="21"/>
      <c r="ASI23" s="21"/>
      <c r="ASJ23" s="21"/>
      <c r="ASK23" s="21"/>
      <c r="ASL23" s="21"/>
      <c r="ASM23" s="21"/>
      <c r="ASN23" s="21"/>
      <c r="ASO23" s="21"/>
      <c r="ASP23" s="21"/>
      <c r="ASQ23" s="21"/>
      <c r="ASR23" s="21"/>
      <c r="ASS23" s="21"/>
      <c r="AST23" s="21"/>
      <c r="ASU23" s="21"/>
      <c r="ASV23" s="21"/>
      <c r="ASW23" s="21"/>
      <c r="ASX23" s="21"/>
      <c r="ASY23" s="21"/>
      <c r="ASZ23" s="21"/>
      <c r="ATA23" s="21"/>
      <c r="ATB23" s="21"/>
      <c r="ATC23" s="21"/>
      <c r="ATD23" s="21"/>
      <c r="ATE23" s="21"/>
      <c r="ATF23" s="21"/>
      <c r="ATG23" s="21"/>
      <c r="ATH23" s="21"/>
      <c r="ATI23" s="21"/>
      <c r="ATJ23" s="21"/>
      <c r="ATK23" s="21"/>
      <c r="ATL23" s="21"/>
      <c r="ATM23" s="21"/>
      <c r="ATN23" s="21"/>
      <c r="ATO23" s="21"/>
      <c r="ATP23" s="21"/>
      <c r="ATQ23" s="21"/>
      <c r="ATR23" s="21"/>
      <c r="ATS23" s="21"/>
      <c r="ATT23" s="21"/>
      <c r="ATU23" s="21"/>
      <c r="ATV23" s="21"/>
      <c r="ATW23" s="21"/>
      <c r="ATX23" s="21"/>
      <c r="ATY23" s="21"/>
      <c r="ATZ23" s="21"/>
      <c r="AUA23" s="21"/>
      <c r="AUB23" s="21"/>
      <c r="AUC23" s="21"/>
      <c r="AUD23" s="21"/>
      <c r="AUE23" s="21"/>
      <c r="AUF23" s="21"/>
      <c r="AUG23" s="21"/>
      <c r="AUH23" s="21"/>
      <c r="AUI23" s="21"/>
      <c r="AUJ23" s="21"/>
      <c r="AUK23" s="21"/>
      <c r="AUL23" s="21"/>
      <c r="AUM23" s="21"/>
      <c r="AUN23" s="21"/>
      <c r="AUO23" s="21"/>
      <c r="AUP23" s="21"/>
      <c r="AUQ23" s="21"/>
      <c r="AUR23" s="21"/>
      <c r="AUS23" s="21"/>
      <c r="AUT23" s="21"/>
      <c r="AUU23" s="21"/>
      <c r="AUV23" s="21"/>
      <c r="AUW23" s="21"/>
      <c r="AUX23" s="21"/>
      <c r="AUY23" s="21"/>
      <c r="AUZ23" s="21"/>
      <c r="AVA23" s="21"/>
      <c r="AVB23" s="21"/>
      <c r="AVC23" s="21"/>
      <c r="AVD23" s="21"/>
      <c r="AVE23" s="21"/>
      <c r="AVF23" s="21"/>
      <c r="AVG23" s="21"/>
      <c r="AVH23" s="21"/>
      <c r="AVI23" s="21"/>
      <c r="AVJ23" s="21"/>
      <c r="AVK23" s="21"/>
      <c r="AVL23" s="21"/>
      <c r="AVM23" s="21"/>
      <c r="AVN23" s="21"/>
      <c r="AVO23" s="21"/>
      <c r="AVP23" s="21"/>
      <c r="AVQ23" s="21"/>
      <c r="AVR23" s="21"/>
      <c r="AVS23" s="21"/>
      <c r="AVT23" s="21"/>
      <c r="AVU23" s="21"/>
      <c r="AVV23" s="21"/>
      <c r="AVW23" s="21"/>
      <c r="AVX23" s="21"/>
      <c r="AVY23" s="21"/>
      <c r="AVZ23" s="21"/>
      <c r="AWA23" s="21"/>
      <c r="AWB23" s="21"/>
      <c r="AWC23" s="21"/>
      <c r="AWD23" s="21"/>
      <c r="AWE23" s="21"/>
      <c r="AWF23" s="21"/>
      <c r="AWG23" s="21"/>
      <c r="AWH23" s="21"/>
      <c r="AWI23" s="21"/>
      <c r="AWJ23" s="21"/>
      <c r="AWK23" s="21"/>
      <c r="AWL23" s="21"/>
      <c r="AWM23" s="21"/>
      <c r="AWN23" s="21"/>
      <c r="AWO23" s="21"/>
      <c r="AWP23" s="21"/>
      <c r="AWQ23" s="21"/>
      <c r="AWR23" s="21"/>
      <c r="AWS23" s="21"/>
      <c r="AWT23" s="21"/>
      <c r="AWU23" s="21"/>
      <c r="AWV23" s="21"/>
      <c r="AWW23" s="21"/>
      <c r="AWX23" s="21"/>
      <c r="AWY23" s="21"/>
      <c r="AWZ23" s="21"/>
      <c r="AXA23" s="21"/>
      <c r="AXB23" s="21"/>
      <c r="AXC23" s="21"/>
      <c r="AXD23" s="21"/>
      <c r="AXE23" s="21"/>
      <c r="AXF23" s="21"/>
      <c r="AXG23" s="21"/>
      <c r="AXH23" s="21"/>
      <c r="AXI23" s="21"/>
      <c r="AXJ23" s="21"/>
      <c r="AXK23" s="21"/>
      <c r="AXL23" s="21"/>
      <c r="AXM23" s="21"/>
      <c r="AXN23" s="21"/>
      <c r="AXO23" s="21"/>
      <c r="AXP23" s="21"/>
      <c r="AXQ23" s="21"/>
      <c r="AXR23" s="21"/>
      <c r="AXS23" s="21"/>
      <c r="AXT23" s="21"/>
      <c r="AXU23" s="21"/>
      <c r="AXV23" s="21"/>
      <c r="AXW23" s="21"/>
      <c r="AXX23" s="21"/>
      <c r="AXY23" s="21"/>
      <c r="AXZ23" s="21"/>
      <c r="AYA23" s="21"/>
      <c r="AYB23" s="21"/>
      <c r="AYC23" s="21"/>
      <c r="AYD23" s="21"/>
      <c r="AYE23" s="21"/>
      <c r="AYF23" s="21"/>
      <c r="AYG23" s="21"/>
      <c r="AYH23" s="21"/>
      <c r="AYI23" s="21"/>
      <c r="AYJ23" s="21"/>
      <c r="AYK23" s="21"/>
      <c r="AYL23" s="21"/>
      <c r="AYM23" s="21"/>
      <c r="AYN23" s="21"/>
      <c r="AYO23" s="21"/>
      <c r="AYP23" s="21"/>
      <c r="AYQ23" s="21"/>
      <c r="AYR23" s="21"/>
      <c r="AYS23" s="21"/>
      <c r="AYT23" s="21"/>
      <c r="AYU23" s="21"/>
      <c r="AYV23" s="21"/>
      <c r="AYW23" s="21"/>
      <c r="AYX23" s="21"/>
      <c r="AYY23" s="21"/>
      <c r="AYZ23" s="21"/>
      <c r="AZA23" s="21"/>
      <c r="AZB23" s="21"/>
      <c r="AZC23" s="21"/>
      <c r="AZD23" s="21"/>
      <c r="AZE23" s="21"/>
      <c r="AZF23" s="21"/>
      <c r="AZG23" s="21"/>
      <c r="AZH23" s="21"/>
      <c r="AZI23" s="21"/>
      <c r="AZJ23" s="21"/>
      <c r="AZK23" s="21"/>
      <c r="AZL23" s="21"/>
      <c r="AZM23" s="21"/>
      <c r="AZN23" s="21"/>
      <c r="AZO23" s="21"/>
      <c r="AZP23" s="21"/>
      <c r="AZQ23" s="21"/>
      <c r="AZR23" s="21"/>
      <c r="AZS23" s="21"/>
      <c r="AZT23" s="21"/>
      <c r="AZU23" s="21"/>
      <c r="AZV23" s="21"/>
      <c r="AZW23" s="21"/>
      <c r="AZX23" s="21"/>
      <c r="AZY23" s="21"/>
      <c r="AZZ23" s="21"/>
      <c r="BAA23" s="21"/>
      <c r="BAB23" s="21"/>
      <c r="BAC23" s="21"/>
      <c r="BAD23" s="21"/>
      <c r="BAE23" s="21"/>
      <c r="BAF23" s="21"/>
      <c r="BAG23" s="21"/>
      <c r="BAH23" s="21"/>
      <c r="BAI23" s="21"/>
      <c r="BAJ23" s="21"/>
      <c r="BAK23" s="21"/>
      <c r="BAL23" s="21"/>
      <c r="BAM23" s="21"/>
      <c r="BAN23" s="21"/>
      <c r="BAO23" s="21"/>
      <c r="BAP23" s="21"/>
      <c r="BAQ23" s="21"/>
      <c r="BAR23" s="21"/>
      <c r="BAS23" s="21"/>
      <c r="BAT23" s="21"/>
      <c r="BAU23" s="21"/>
      <c r="BAV23" s="21"/>
      <c r="BAW23" s="21"/>
      <c r="BAX23" s="21"/>
      <c r="BAY23" s="21"/>
      <c r="BAZ23" s="21"/>
      <c r="BBA23" s="21"/>
      <c r="BBB23" s="21"/>
      <c r="BBC23" s="21"/>
      <c r="BBD23" s="21"/>
      <c r="BBE23" s="21"/>
      <c r="BBF23" s="21"/>
      <c r="BBG23" s="21"/>
      <c r="BBH23" s="21"/>
      <c r="BBI23" s="21"/>
      <c r="BBJ23" s="21"/>
      <c r="BBK23" s="21"/>
      <c r="BBL23" s="21"/>
      <c r="BBM23" s="21"/>
      <c r="BBN23" s="21"/>
      <c r="BBO23" s="21"/>
      <c r="BBP23" s="21"/>
      <c r="BBQ23" s="21"/>
      <c r="BBR23" s="21"/>
      <c r="BBS23" s="21"/>
      <c r="BBT23" s="21"/>
      <c r="BBU23" s="21"/>
      <c r="BBV23" s="21"/>
      <c r="BBW23" s="21"/>
      <c r="BBX23" s="21"/>
      <c r="BBY23" s="21"/>
      <c r="BBZ23" s="21"/>
      <c r="BCA23" s="21"/>
      <c r="BCB23" s="21"/>
      <c r="BCC23" s="21"/>
      <c r="BCD23" s="21"/>
      <c r="BCE23" s="21"/>
      <c r="BCF23" s="21"/>
      <c r="BCG23" s="21"/>
      <c r="BCH23" s="21"/>
      <c r="BCI23" s="21"/>
      <c r="BCJ23" s="21"/>
      <c r="BCK23" s="21"/>
      <c r="BCL23" s="21"/>
      <c r="BCM23" s="21"/>
      <c r="BCN23" s="21"/>
      <c r="BCO23" s="21"/>
      <c r="BCP23" s="21"/>
      <c r="BCQ23" s="21"/>
      <c r="BCR23" s="21"/>
      <c r="BCS23" s="21"/>
      <c r="BCT23" s="21"/>
      <c r="BCU23" s="21"/>
      <c r="BCV23" s="21"/>
      <c r="BCW23" s="21"/>
      <c r="BCX23" s="21"/>
      <c r="BCY23" s="21"/>
      <c r="BCZ23" s="21"/>
      <c r="BDA23" s="21"/>
      <c r="BDB23" s="21"/>
      <c r="BDC23" s="21"/>
      <c r="BDD23" s="21"/>
      <c r="BDE23" s="21"/>
      <c r="BDF23" s="21"/>
      <c r="BDG23" s="21"/>
      <c r="BDH23" s="21"/>
      <c r="BDI23" s="21"/>
      <c r="BDJ23" s="21"/>
      <c r="BDK23" s="21"/>
      <c r="BDL23" s="21"/>
      <c r="BDM23" s="21"/>
      <c r="BDN23" s="21"/>
      <c r="BDO23" s="21"/>
      <c r="BDP23" s="21"/>
      <c r="BDQ23" s="21"/>
      <c r="BDR23" s="21"/>
      <c r="BDS23" s="21"/>
      <c r="BDT23" s="21"/>
      <c r="BDU23" s="21"/>
      <c r="BDV23" s="21"/>
      <c r="BDW23" s="21"/>
      <c r="BDX23" s="21"/>
      <c r="BDY23" s="21"/>
      <c r="BDZ23" s="21"/>
      <c r="BEA23" s="21"/>
      <c r="BEB23" s="21"/>
      <c r="BEC23" s="21"/>
      <c r="BED23" s="21"/>
      <c r="BEE23" s="21"/>
      <c r="BEF23" s="21"/>
      <c r="BEG23" s="21"/>
      <c r="BEH23" s="21"/>
      <c r="BEI23" s="21"/>
      <c r="BEJ23" s="21"/>
      <c r="BEK23" s="21"/>
      <c r="BEL23" s="21"/>
      <c r="BEM23" s="21"/>
      <c r="BEN23" s="21"/>
      <c r="BEO23" s="21"/>
      <c r="BEP23" s="21"/>
      <c r="BEQ23" s="21"/>
      <c r="BER23" s="21"/>
      <c r="BES23" s="21"/>
      <c r="BET23" s="21"/>
      <c r="BEU23" s="21"/>
      <c r="BEV23" s="21"/>
      <c r="BEW23" s="21"/>
      <c r="BEX23" s="21"/>
      <c r="BEY23" s="21"/>
      <c r="BEZ23" s="21"/>
      <c r="BFA23" s="21"/>
      <c r="BFB23" s="21"/>
      <c r="BFC23" s="21"/>
      <c r="BFD23" s="21"/>
      <c r="BFE23" s="21"/>
      <c r="BFF23" s="21"/>
      <c r="BFG23" s="21"/>
      <c r="BFH23" s="21"/>
      <c r="BFI23" s="21"/>
      <c r="BFJ23" s="21"/>
      <c r="BFK23" s="21"/>
      <c r="BFL23" s="21"/>
      <c r="BFM23" s="21"/>
      <c r="BFN23" s="21"/>
      <c r="BFO23" s="21"/>
      <c r="BFP23" s="21"/>
      <c r="BFQ23" s="21"/>
      <c r="BFR23" s="21"/>
      <c r="BFS23" s="21"/>
      <c r="BFT23" s="21"/>
      <c r="BFU23" s="21"/>
      <c r="BFV23" s="21"/>
      <c r="BFW23" s="21"/>
      <c r="BFX23" s="21"/>
      <c r="BFY23" s="21"/>
      <c r="BFZ23" s="21"/>
      <c r="BGA23" s="21"/>
      <c r="BGB23" s="21"/>
      <c r="BGC23" s="21"/>
      <c r="BGD23" s="21"/>
      <c r="BGE23" s="21"/>
      <c r="BGF23" s="21"/>
      <c r="BGG23" s="21"/>
      <c r="BGH23" s="21"/>
      <c r="BGI23" s="21"/>
      <c r="BGJ23" s="21"/>
      <c r="BGK23" s="21"/>
      <c r="BGL23" s="21"/>
      <c r="BGM23" s="21"/>
      <c r="BGN23" s="21"/>
      <c r="BGO23" s="21"/>
      <c r="BGP23" s="21"/>
      <c r="BGQ23" s="21"/>
      <c r="BGR23" s="21"/>
      <c r="BGS23" s="21"/>
      <c r="BGT23" s="21"/>
      <c r="BGU23" s="21"/>
      <c r="BGV23" s="21"/>
      <c r="BGW23" s="21"/>
      <c r="BGX23" s="21"/>
      <c r="BGY23" s="21"/>
      <c r="BGZ23" s="21"/>
      <c r="BHA23" s="21"/>
      <c r="BHB23" s="21"/>
      <c r="BHC23" s="21"/>
      <c r="BHD23" s="21"/>
      <c r="BHE23" s="21"/>
      <c r="BHF23" s="21"/>
      <c r="BHG23" s="21"/>
      <c r="BHH23" s="21"/>
      <c r="BHI23" s="21"/>
      <c r="BHJ23" s="21"/>
      <c r="BHK23" s="21"/>
      <c r="BHL23" s="21"/>
      <c r="BHM23" s="21"/>
      <c r="BHN23" s="21"/>
      <c r="BHO23" s="21"/>
      <c r="BHP23" s="21"/>
      <c r="BHQ23" s="21"/>
      <c r="BHR23" s="21"/>
      <c r="BHS23" s="21"/>
      <c r="BHT23" s="21"/>
      <c r="BHU23" s="21"/>
      <c r="BHV23" s="21"/>
      <c r="BHW23" s="21"/>
      <c r="BHX23" s="21"/>
      <c r="BHY23" s="21"/>
      <c r="BHZ23" s="21"/>
      <c r="BIA23" s="21"/>
      <c r="BIB23" s="21"/>
      <c r="BIC23" s="21"/>
      <c r="BID23" s="21"/>
      <c r="BIE23" s="21"/>
      <c r="BIF23" s="21"/>
      <c r="BIG23" s="21"/>
      <c r="BIH23" s="21"/>
      <c r="BII23" s="21"/>
      <c r="BIJ23" s="21"/>
      <c r="BIK23" s="21"/>
      <c r="BIL23" s="21"/>
      <c r="BIM23" s="21"/>
      <c r="BIN23" s="21"/>
      <c r="BIO23" s="21"/>
      <c r="BIP23" s="21"/>
      <c r="BIQ23" s="21"/>
      <c r="BIR23" s="21"/>
      <c r="BIS23" s="21"/>
      <c r="BIT23" s="21"/>
      <c r="BIU23" s="21"/>
      <c r="BIV23" s="21"/>
      <c r="BIW23" s="21"/>
      <c r="BIX23" s="21"/>
      <c r="BIY23" s="21"/>
      <c r="BIZ23" s="21"/>
      <c r="BJA23" s="21"/>
      <c r="BJB23" s="21"/>
      <c r="BJC23" s="21"/>
      <c r="BJD23" s="21"/>
      <c r="BJE23" s="21"/>
      <c r="BJF23" s="21"/>
      <c r="BJG23" s="21"/>
      <c r="BJH23" s="21"/>
      <c r="BJI23" s="21"/>
      <c r="BJJ23" s="21"/>
      <c r="BJK23" s="21"/>
      <c r="BJL23" s="21"/>
      <c r="BJM23" s="21"/>
      <c r="BJN23" s="21"/>
      <c r="BJO23" s="21"/>
      <c r="BJP23" s="21"/>
      <c r="BJQ23" s="21"/>
      <c r="BJR23" s="21"/>
      <c r="BJS23" s="21"/>
      <c r="BJT23" s="21"/>
      <c r="BJU23" s="21"/>
      <c r="BJV23" s="21"/>
      <c r="BJW23" s="21"/>
      <c r="BJX23" s="21"/>
      <c r="BJY23" s="21"/>
      <c r="BJZ23" s="21"/>
      <c r="BKA23" s="21"/>
      <c r="BKB23" s="21"/>
      <c r="BKC23" s="21"/>
      <c r="BKD23" s="21"/>
      <c r="BKE23" s="21"/>
      <c r="BKF23" s="21"/>
      <c r="BKG23" s="21"/>
      <c r="BKH23" s="21"/>
      <c r="BKI23" s="21"/>
      <c r="BKJ23" s="21"/>
      <c r="BKK23" s="21"/>
      <c r="BKL23" s="21"/>
      <c r="BKM23" s="21"/>
      <c r="BKN23" s="21"/>
      <c r="BKO23" s="21"/>
      <c r="BKP23" s="21"/>
      <c r="BKQ23" s="21"/>
      <c r="BKR23" s="21"/>
      <c r="BKS23" s="21"/>
      <c r="BKT23" s="21"/>
      <c r="BKU23" s="21"/>
      <c r="BKV23" s="21"/>
      <c r="BKW23" s="21"/>
      <c r="BKX23" s="21"/>
      <c r="BKY23" s="21"/>
      <c r="BKZ23" s="21"/>
      <c r="BLA23" s="21"/>
      <c r="BLB23" s="21"/>
      <c r="BLC23" s="21"/>
      <c r="BLD23" s="21"/>
      <c r="BLE23" s="21"/>
      <c r="BLF23" s="21"/>
      <c r="BLG23" s="21"/>
      <c r="BLH23" s="21"/>
      <c r="BLI23" s="21"/>
      <c r="BLJ23" s="21"/>
      <c r="BLK23" s="21"/>
      <c r="BLL23" s="21"/>
      <c r="BLM23" s="21"/>
      <c r="BLN23" s="21"/>
      <c r="BLO23" s="21"/>
      <c r="BLP23" s="21"/>
      <c r="BLQ23" s="21"/>
      <c r="BLR23" s="21"/>
      <c r="BLS23" s="21"/>
      <c r="BLT23" s="21"/>
      <c r="BLU23" s="21"/>
      <c r="BLV23" s="21"/>
      <c r="BLW23" s="21"/>
      <c r="BLX23" s="21"/>
      <c r="BLY23" s="21"/>
      <c r="BLZ23" s="21"/>
      <c r="BMA23" s="21"/>
      <c r="BMB23" s="21"/>
      <c r="BMC23" s="21"/>
      <c r="BMD23" s="21"/>
      <c r="BME23" s="21"/>
      <c r="BMF23" s="21"/>
      <c r="BMG23" s="21"/>
      <c r="BMH23" s="21"/>
      <c r="BMI23" s="21"/>
      <c r="BMJ23" s="21"/>
      <c r="BMK23" s="21"/>
      <c r="BML23" s="21"/>
      <c r="BMM23" s="21"/>
      <c r="BMN23" s="21"/>
      <c r="BMO23" s="21"/>
      <c r="BMP23" s="21"/>
      <c r="BMQ23" s="21"/>
      <c r="BMR23" s="21"/>
      <c r="BMS23" s="21"/>
      <c r="BMT23" s="21"/>
      <c r="BMU23" s="21"/>
      <c r="BMV23" s="21"/>
      <c r="BMW23" s="21"/>
      <c r="BMX23" s="21"/>
      <c r="BMY23" s="21"/>
      <c r="BMZ23" s="21"/>
      <c r="BNA23" s="21"/>
      <c r="BNB23" s="21"/>
      <c r="BNC23" s="21"/>
      <c r="BND23" s="21"/>
      <c r="BNE23" s="21"/>
      <c r="BNF23" s="21"/>
      <c r="BNG23" s="21"/>
      <c r="BNH23" s="21"/>
      <c r="BNI23" s="21"/>
      <c r="BNJ23" s="21"/>
      <c r="BNK23" s="21"/>
      <c r="BNL23" s="21"/>
      <c r="BNM23" s="21"/>
      <c r="BNN23" s="21"/>
      <c r="BNO23" s="21"/>
      <c r="BNP23" s="21"/>
      <c r="BNQ23" s="21"/>
      <c r="BNR23" s="21"/>
      <c r="BNS23" s="21"/>
      <c r="BNT23" s="21"/>
      <c r="BNU23" s="21"/>
      <c r="BNV23" s="21"/>
      <c r="BNW23" s="21"/>
      <c r="BNX23" s="21"/>
      <c r="BNY23" s="21"/>
      <c r="BNZ23" s="21"/>
      <c r="BOA23" s="21"/>
      <c r="BOB23" s="21"/>
      <c r="BOC23" s="21"/>
      <c r="BOD23" s="21"/>
      <c r="BOE23" s="21"/>
      <c r="BOF23" s="21"/>
      <c r="BOG23" s="21"/>
      <c r="BOH23" s="21"/>
      <c r="BOI23" s="21"/>
      <c r="BOJ23" s="21"/>
      <c r="BOK23" s="21"/>
      <c r="BOL23" s="21"/>
      <c r="BOM23" s="21"/>
      <c r="BON23" s="21"/>
      <c r="BOO23" s="21"/>
      <c r="BOP23" s="21"/>
      <c r="BOQ23" s="21"/>
      <c r="BOR23" s="21"/>
      <c r="BOS23" s="21"/>
      <c r="BOT23" s="21"/>
      <c r="BOU23" s="21"/>
      <c r="BOV23" s="21"/>
      <c r="BOW23" s="21"/>
      <c r="BOX23" s="21"/>
      <c r="BOY23" s="21"/>
      <c r="BOZ23" s="21"/>
      <c r="BPA23" s="21"/>
      <c r="BPB23" s="21"/>
      <c r="BPC23" s="21"/>
      <c r="BPD23" s="21"/>
      <c r="BPE23" s="21"/>
      <c r="BPF23" s="21"/>
      <c r="BPG23" s="21"/>
      <c r="BPH23" s="21"/>
      <c r="BPI23" s="21"/>
      <c r="BPJ23" s="21"/>
      <c r="BPK23" s="21"/>
      <c r="BPL23" s="21"/>
      <c r="BPM23" s="21"/>
      <c r="BPN23" s="21"/>
      <c r="BPO23" s="21"/>
      <c r="BPP23" s="21"/>
      <c r="BPQ23" s="21"/>
      <c r="BPR23" s="21"/>
      <c r="BPS23" s="21"/>
      <c r="BPT23" s="21"/>
      <c r="BPU23" s="21"/>
      <c r="BPV23" s="21"/>
      <c r="BPW23" s="21"/>
      <c r="BPX23" s="21"/>
      <c r="BPY23" s="21"/>
      <c r="BPZ23" s="21"/>
      <c r="BQA23" s="21"/>
      <c r="BQB23" s="21"/>
      <c r="BQC23" s="21"/>
      <c r="BQD23" s="21"/>
      <c r="BQE23" s="21"/>
      <c r="BQF23" s="21"/>
      <c r="BQG23" s="21"/>
      <c r="BQH23" s="21"/>
      <c r="BQI23" s="21"/>
      <c r="BQJ23" s="21"/>
      <c r="BQK23" s="21"/>
      <c r="BQL23" s="21"/>
      <c r="BQM23" s="21"/>
      <c r="BQN23" s="21"/>
      <c r="BQO23" s="21"/>
      <c r="BQP23" s="21"/>
      <c r="BQQ23" s="21"/>
      <c r="BQR23" s="21"/>
      <c r="BQS23" s="21"/>
      <c r="BQT23" s="21"/>
      <c r="BQU23" s="21"/>
      <c r="BQV23" s="21"/>
      <c r="BQW23" s="21"/>
      <c r="BQX23" s="21"/>
      <c r="BQY23" s="21"/>
      <c r="BQZ23" s="21"/>
      <c r="BRA23" s="21"/>
      <c r="BRB23" s="21"/>
      <c r="BRC23" s="21"/>
      <c r="BRD23" s="21"/>
      <c r="BRE23" s="21"/>
      <c r="BRF23" s="21"/>
      <c r="BRG23" s="21"/>
      <c r="BRH23" s="21"/>
      <c r="BRI23" s="21"/>
      <c r="BRJ23" s="21"/>
      <c r="BRK23" s="21"/>
      <c r="BRL23" s="21"/>
      <c r="BRM23" s="21"/>
      <c r="BRN23" s="21"/>
      <c r="BRO23" s="21"/>
      <c r="BRP23" s="21"/>
      <c r="BRQ23" s="21"/>
      <c r="BRR23" s="21"/>
      <c r="BRS23" s="21"/>
      <c r="BRT23" s="21"/>
      <c r="BRU23" s="21"/>
      <c r="BRV23" s="21"/>
      <c r="BRW23" s="21"/>
      <c r="BRX23" s="21"/>
      <c r="BRY23" s="21"/>
      <c r="BRZ23" s="21"/>
      <c r="BSA23" s="21"/>
      <c r="BSB23" s="21"/>
      <c r="BSC23" s="21"/>
      <c r="BSD23" s="21"/>
      <c r="BSE23" s="21"/>
      <c r="BSF23" s="21"/>
      <c r="BSG23" s="21"/>
      <c r="BSH23" s="21"/>
      <c r="BSI23" s="21"/>
      <c r="BSJ23" s="21"/>
      <c r="BSK23" s="21"/>
      <c r="BSL23" s="21"/>
      <c r="BSM23" s="21"/>
      <c r="BSN23" s="21"/>
      <c r="BSO23" s="21"/>
      <c r="BSP23" s="21"/>
      <c r="BSQ23" s="21"/>
      <c r="BSR23" s="21"/>
      <c r="BSS23" s="21"/>
      <c r="BST23" s="21"/>
      <c r="BSU23" s="21"/>
      <c r="BSV23" s="21"/>
      <c r="BSW23" s="21"/>
      <c r="BSX23" s="21"/>
      <c r="BSY23" s="21"/>
      <c r="BSZ23" s="21"/>
      <c r="BTA23" s="21"/>
      <c r="BTB23" s="21"/>
      <c r="BTC23" s="21"/>
      <c r="BTD23" s="21"/>
      <c r="BTE23" s="21"/>
      <c r="BTF23" s="21"/>
      <c r="BTG23" s="21"/>
      <c r="BTH23" s="21"/>
      <c r="BTI23" s="21"/>
      <c r="BTJ23" s="21"/>
      <c r="BTK23" s="21"/>
      <c r="BTL23" s="21"/>
      <c r="BTM23" s="21"/>
      <c r="BTN23" s="21"/>
      <c r="BTO23" s="21"/>
      <c r="BTP23" s="21"/>
      <c r="BTQ23" s="21"/>
      <c r="BTR23" s="21"/>
      <c r="BTS23" s="21"/>
      <c r="BTT23" s="21"/>
      <c r="BTU23" s="21"/>
      <c r="BTV23" s="21"/>
      <c r="BTW23" s="21"/>
      <c r="BTX23" s="21"/>
      <c r="BTY23" s="21"/>
      <c r="BTZ23" s="21"/>
      <c r="BUA23" s="21"/>
      <c r="BUB23" s="21"/>
      <c r="BUC23" s="21"/>
      <c r="BUD23" s="21"/>
      <c r="BUE23" s="21"/>
      <c r="BUF23" s="21"/>
      <c r="BUG23" s="21"/>
      <c r="BUH23" s="21"/>
      <c r="BUI23" s="21"/>
      <c r="BUJ23" s="21"/>
      <c r="BUK23" s="21"/>
      <c r="BUL23" s="21"/>
      <c r="BUM23" s="21"/>
      <c r="BUN23" s="21"/>
      <c r="BUO23" s="21"/>
      <c r="BUP23" s="21"/>
      <c r="BUQ23" s="21"/>
      <c r="BUR23" s="21"/>
      <c r="BUS23" s="21"/>
      <c r="BUT23" s="21"/>
      <c r="BUU23" s="21"/>
      <c r="BUV23" s="21"/>
      <c r="BUW23" s="21"/>
      <c r="BUX23" s="21"/>
      <c r="BUY23" s="21"/>
      <c r="BUZ23" s="21"/>
      <c r="BVA23" s="21"/>
      <c r="BVB23" s="21"/>
      <c r="BVC23" s="21"/>
      <c r="BVD23" s="21"/>
      <c r="BVE23" s="21"/>
      <c r="BVF23" s="21"/>
      <c r="BVG23" s="21"/>
      <c r="BVH23" s="21"/>
      <c r="BVI23" s="21"/>
      <c r="BVJ23" s="21"/>
      <c r="BVK23" s="21"/>
      <c r="BVL23" s="21"/>
      <c r="BVM23" s="21"/>
      <c r="BVN23" s="21"/>
      <c r="BVO23" s="21"/>
      <c r="BVP23" s="21"/>
      <c r="BVQ23" s="21"/>
      <c r="BVR23" s="21"/>
      <c r="BVS23" s="21"/>
      <c r="BVT23" s="21"/>
      <c r="BVU23" s="21"/>
      <c r="BVV23" s="21"/>
      <c r="BVW23" s="21"/>
      <c r="BVX23" s="21"/>
      <c r="BVY23" s="21"/>
      <c r="BVZ23" s="21"/>
      <c r="BWA23" s="21"/>
      <c r="BWB23" s="21"/>
      <c r="BWC23" s="21"/>
      <c r="BWD23" s="21"/>
      <c r="BWE23" s="21"/>
      <c r="BWF23" s="21"/>
      <c r="BWG23" s="21"/>
      <c r="BWH23" s="21"/>
      <c r="BWI23" s="21"/>
      <c r="BWJ23" s="21"/>
      <c r="BWK23" s="21"/>
      <c r="BWL23" s="21"/>
      <c r="BWM23" s="21"/>
      <c r="BWN23" s="21"/>
      <c r="BWO23" s="21"/>
      <c r="BWP23" s="21"/>
      <c r="BWQ23" s="21"/>
      <c r="BWR23" s="21"/>
      <c r="BWS23" s="21"/>
      <c r="BWT23" s="21"/>
      <c r="BWU23" s="21"/>
      <c r="BWV23" s="21"/>
      <c r="BWW23" s="21"/>
      <c r="BWX23" s="21"/>
      <c r="BWY23" s="21"/>
      <c r="BWZ23" s="21"/>
      <c r="BXA23" s="21"/>
      <c r="BXB23" s="21"/>
      <c r="BXC23" s="21"/>
      <c r="BXD23" s="21"/>
      <c r="BXE23" s="21"/>
      <c r="BXF23" s="21"/>
      <c r="BXG23" s="21"/>
      <c r="BXH23" s="21"/>
      <c r="BXI23" s="21"/>
      <c r="BXJ23" s="21"/>
      <c r="BXK23" s="21"/>
      <c r="BXL23" s="21"/>
      <c r="BXM23" s="21"/>
      <c r="BXN23" s="21"/>
      <c r="BXO23" s="21"/>
      <c r="BXP23" s="21"/>
      <c r="BXQ23" s="21"/>
      <c r="BXR23" s="21"/>
      <c r="BXS23" s="21"/>
      <c r="BXT23" s="21"/>
      <c r="BXU23" s="21"/>
      <c r="BXV23" s="21"/>
      <c r="BXW23" s="21"/>
      <c r="BXX23" s="21"/>
      <c r="BXY23" s="21"/>
      <c r="BXZ23" s="21"/>
      <c r="BYA23" s="21"/>
      <c r="BYB23" s="21"/>
      <c r="BYC23" s="21"/>
      <c r="BYD23" s="21"/>
      <c r="BYE23" s="21"/>
      <c r="BYF23" s="21"/>
      <c r="BYG23" s="21"/>
      <c r="BYH23" s="21"/>
      <c r="BYI23" s="21"/>
      <c r="BYJ23" s="21"/>
      <c r="BYK23" s="21"/>
      <c r="BYL23" s="21"/>
      <c r="BYM23" s="21"/>
      <c r="BYN23" s="21"/>
      <c r="BYO23" s="21"/>
      <c r="BYP23" s="21"/>
      <c r="BYQ23" s="21"/>
      <c r="BYR23" s="21"/>
      <c r="BYS23" s="21"/>
      <c r="BYT23" s="21"/>
      <c r="BYU23" s="21"/>
      <c r="BYV23" s="21"/>
      <c r="BYW23" s="21"/>
      <c r="BYX23" s="21"/>
      <c r="BYY23" s="21"/>
      <c r="BYZ23" s="21"/>
      <c r="BZA23" s="21"/>
      <c r="BZB23" s="21"/>
      <c r="BZC23" s="21"/>
      <c r="BZD23" s="21"/>
      <c r="BZE23" s="21"/>
      <c r="BZF23" s="21"/>
      <c r="BZG23" s="21"/>
      <c r="BZH23" s="21"/>
      <c r="BZI23" s="21"/>
      <c r="BZJ23" s="21"/>
      <c r="BZK23" s="21"/>
      <c r="BZL23" s="21"/>
      <c r="BZM23" s="21"/>
      <c r="BZN23" s="21"/>
      <c r="BZO23" s="21"/>
      <c r="BZP23" s="21"/>
      <c r="BZQ23" s="21"/>
      <c r="BZR23" s="21"/>
      <c r="BZS23" s="21"/>
      <c r="BZT23" s="21"/>
      <c r="BZU23" s="21"/>
      <c r="BZV23" s="21"/>
      <c r="BZW23" s="21"/>
      <c r="BZX23" s="21"/>
      <c r="BZY23" s="21"/>
      <c r="BZZ23" s="21"/>
      <c r="CAA23" s="21"/>
      <c r="CAB23" s="21"/>
      <c r="CAC23" s="21"/>
      <c r="CAD23" s="21"/>
      <c r="CAE23" s="21"/>
      <c r="CAF23" s="21"/>
      <c r="CAG23" s="21"/>
      <c r="CAH23" s="21"/>
      <c r="CAI23" s="21"/>
      <c r="CAJ23" s="21"/>
      <c r="CAK23" s="21"/>
      <c r="CAL23" s="21"/>
      <c r="CAM23" s="21"/>
      <c r="CAN23" s="21"/>
      <c r="CAO23" s="21"/>
      <c r="CAP23" s="21"/>
      <c r="CAQ23" s="21"/>
      <c r="CAR23" s="21"/>
      <c r="CAS23" s="21"/>
      <c r="CAT23" s="21"/>
      <c r="CAU23" s="21"/>
      <c r="CAV23" s="21"/>
      <c r="CAW23" s="21"/>
      <c r="CAX23" s="21"/>
      <c r="CAY23" s="21"/>
      <c r="CAZ23" s="21"/>
      <c r="CBA23" s="21"/>
      <c r="CBB23" s="21"/>
      <c r="CBC23" s="21"/>
      <c r="CBD23" s="21"/>
      <c r="CBE23" s="21"/>
      <c r="CBF23" s="21"/>
      <c r="CBG23" s="21"/>
      <c r="CBH23" s="21"/>
      <c r="CBI23" s="21"/>
      <c r="CBJ23" s="21"/>
      <c r="CBK23" s="21"/>
      <c r="CBL23" s="21"/>
      <c r="CBM23" s="21"/>
      <c r="CBN23" s="21"/>
      <c r="CBO23" s="21"/>
      <c r="CBP23" s="21"/>
      <c r="CBQ23" s="21"/>
      <c r="CBR23" s="21"/>
      <c r="CBS23" s="21"/>
      <c r="CBT23" s="21"/>
      <c r="CBU23" s="21"/>
      <c r="CBV23" s="21"/>
      <c r="CBW23" s="21"/>
      <c r="CBX23" s="21"/>
      <c r="CBY23" s="21"/>
      <c r="CBZ23" s="21"/>
      <c r="CCA23" s="21"/>
      <c r="CCB23" s="21"/>
      <c r="CCC23" s="21"/>
      <c r="CCD23" s="21"/>
      <c r="CCE23" s="21"/>
      <c r="CCF23" s="21"/>
      <c r="CCG23" s="21"/>
      <c r="CCH23" s="21"/>
      <c r="CCI23" s="21"/>
      <c r="CCJ23" s="21"/>
      <c r="CCK23" s="21"/>
      <c r="CCL23" s="21"/>
      <c r="CCM23" s="21"/>
      <c r="CCN23" s="21"/>
      <c r="CCO23" s="21"/>
      <c r="CCP23" s="21"/>
      <c r="CCQ23" s="21"/>
      <c r="CCR23" s="21"/>
      <c r="CCS23" s="21"/>
      <c r="CCT23" s="21"/>
      <c r="CCU23" s="21"/>
      <c r="CCV23" s="21"/>
      <c r="CCW23" s="21"/>
      <c r="CCX23" s="21"/>
      <c r="CCY23" s="21"/>
      <c r="CCZ23" s="21"/>
      <c r="CDA23" s="21"/>
      <c r="CDB23" s="21"/>
      <c r="CDC23" s="21"/>
      <c r="CDD23" s="21"/>
      <c r="CDE23" s="21"/>
      <c r="CDF23" s="21"/>
      <c r="CDG23" s="21"/>
      <c r="CDH23" s="21"/>
      <c r="CDI23" s="21"/>
      <c r="CDJ23" s="21"/>
      <c r="CDK23" s="21"/>
      <c r="CDL23" s="21"/>
      <c r="CDM23" s="21"/>
      <c r="CDN23" s="21"/>
      <c r="CDO23" s="21"/>
      <c r="CDP23" s="21"/>
      <c r="CDQ23" s="21"/>
      <c r="CDR23" s="21"/>
      <c r="CDS23" s="21"/>
      <c r="CDT23" s="21"/>
      <c r="CDU23" s="21"/>
      <c r="CDV23" s="21"/>
      <c r="CDW23" s="21"/>
      <c r="CDX23" s="21"/>
      <c r="CDY23" s="21"/>
      <c r="CDZ23" s="21"/>
      <c r="CEA23" s="21"/>
      <c r="CEB23" s="21"/>
      <c r="CEC23" s="21"/>
      <c r="CED23" s="21"/>
      <c r="CEE23" s="21"/>
      <c r="CEF23" s="21"/>
      <c r="CEG23" s="21"/>
      <c r="CEH23" s="21"/>
      <c r="CEI23" s="21"/>
      <c r="CEJ23" s="21"/>
      <c r="CEK23" s="21"/>
      <c r="CEL23" s="21"/>
      <c r="CEM23" s="21"/>
      <c r="CEN23" s="21"/>
      <c r="CEO23" s="21"/>
      <c r="CEP23" s="21"/>
      <c r="CEQ23" s="21"/>
      <c r="CER23" s="21"/>
      <c r="CES23" s="21"/>
      <c r="CET23" s="21"/>
      <c r="CEU23" s="21"/>
      <c r="CEV23" s="21"/>
      <c r="CEW23" s="21"/>
      <c r="CEX23" s="21"/>
      <c r="CEY23" s="21"/>
      <c r="CEZ23" s="21"/>
      <c r="CFA23" s="21"/>
      <c r="CFB23" s="21"/>
      <c r="CFC23" s="21"/>
      <c r="CFD23" s="21"/>
      <c r="CFE23" s="21"/>
      <c r="CFF23" s="21"/>
      <c r="CFG23" s="21"/>
      <c r="CFH23" s="21"/>
      <c r="CFI23" s="21"/>
      <c r="CFJ23" s="21"/>
      <c r="CFK23" s="21"/>
      <c r="CFL23" s="21"/>
      <c r="CFM23" s="21"/>
      <c r="CFN23" s="21"/>
      <c r="CFO23" s="21"/>
      <c r="CFP23" s="21"/>
      <c r="CFQ23" s="21"/>
      <c r="CFR23" s="21"/>
      <c r="CFS23" s="21"/>
      <c r="CFT23" s="21"/>
      <c r="CFU23" s="21"/>
      <c r="CFV23" s="21"/>
      <c r="CFW23" s="21"/>
      <c r="CFX23" s="21"/>
      <c r="CFY23" s="21"/>
      <c r="CFZ23" s="21"/>
      <c r="CGA23" s="21"/>
      <c r="CGB23" s="21"/>
      <c r="CGC23" s="21"/>
      <c r="CGD23" s="21"/>
      <c r="CGE23" s="21"/>
      <c r="CGF23" s="21"/>
      <c r="CGG23" s="21"/>
      <c r="CGH23" s="21"/>
      <c r="CGI23" s="21"/>
      <c r="CGJ23" s="21"/>
      <c r="CGK23" s="21"/>
      <c r="CGL23" s="21"/>
      <c r="CGM23" s="21"/>
      <c r="CGN23" s="21"/>
      <c r="CGO23" s="21"/>
      <c r="CGP23" s="21"/>
      <c r="CGQ23" s="21"/>
      <c r="CGR23" s="21"/>
      <c r="CGS23" s="21"/>
      <c r="CGT23" s="21"/>
      <c r="CGU23" s="21"/>
      <c r="CGV23" s="21"/>
      <c r="CGW23" s="21"/>
      <c r="CGX23" s="21"/>
      <c r="CGY23" s="21"/>
      <c r="CGZ23" s="21"/>
      <c r="CHA23" s="21"/>
      <c r="CHB23" s="21"/>
      <c r="CHC23" s="21"/>
      <c r="CHD23" s="21"/>
      <c r="CHE23" s="21"/>
      <c r="CHF23" s="21"/>
      <c r="CHG23" s="21"/>
      <c r="CHH23" s="21"/>
      <c r="CHI23" s="21"/>
      <c r="CHJ23" s="21"/>
      <c r="CHK23" s="21"/>
      <c r="CHL23" s="21"/>
      <c r="CHM23" s="21"/>
      <c r="CHN23" s="21"/>
      <c r="CHO23" s="21"/>
      <c r="CHP23" s="21"/>
      <c r="CHQ23" s="21"/>
      <c r="CHR23" s="21"/>
      <c r="CHS23" s="21"/>
      <c r="CHT23" s="21"/>
      <c r="CHU23" s="21"/>
      <c r="CHV23" s="21"/>
      <c r="CHW23" s="21"/>
      <c r="CHX23" s="21"/>
      <c r="CHY23" s="21"/>
      <c r="CHZ23" s="21"/>
      <c r="CIA23" s="21"/>
      <c r="CIB23" s="21"/>
      <c r="CIC23" s="21"/>
      <c r="CID23" s="21"/>
      <c r="CIE23" s="21"/>
      <c r="CIF23" s="21"/>
      <c r="CIG23" s="21"/>
      <c r="CIH23" s="21"/>
      <c r="CII23" s="21"/>
      <c r="CIJ23" s="21"/>
      <c r="CIK23" s="21"/>
      <c r="CIL23" s="21"/>
      <c r="CIM23" s="21"/>
      <c r="CIN23" s="21"/>
      <c r="CIO23" s="21"/>
      <c r="CIP23" s="21"/>
      <c r="CIQ23" s="21"/>
      <c r="CIR23" s="21"/>
      <c r="CIS23" s="21"/>
      <c r="CIT23" s="21"/>
      <c r="CIU23" s="21"/>
      <c r="CIV23" s="21"/>
      <c r="CIW23" s="21"/>
      <c r="CIX23" s="21"/>
      <c r="CIY23" s="21"/>
      <c r="CIZ23" s="21"/>
      <c r="CJA23" s="21"/>
      <c r="CJB23" s="21"/>
      <c r="CJC23" s="21"/>
      <c r="CJD23" s="21"/>
      <c r="CJE23" s="21"/>
      <c r="CJF23" s="21"/>
      <c r="CJG23" s="21"/>
      <c r="CJH23" s="21"/>
      <c r="CJI23" s="21"/>
      <c r="CJJ23" s="21"/>
      <c r="CJK23" s="21"/>
      <c r="CJL23" s="21"/>
      <c r="CJM23" s="21"/>
      <c r="CJN23" s="21"/>
      <c r="CJO23" s="21"/>
      <c r="CJP23" s="21"/>
      <c r="CJQ23" s="21"/>
      <c r="CJR23" s="21"/>
      <c r="CJS23" s="21"/>
      <c r="CJT23" s="21"/>
      <c r="CJU23" s="21"/>
      <c r="CJV23" s="21"/>
      <c r="CJW23" s="21"/>
      <c r="CJX23" s="21"/>
      <c r="CJY23" s="21"/>
      <c r="CJZ23" s="21"/>
      <c r="CKA23" s="21"/>
      <c r="CKB23" s="21"/>
      <c r="CKC23" s="21"/>
      <c r="CKD23" s="21"/>
      <c r="CKE23" s="21"/>
      <c r="CKF23" s="21"/>
      <c r="CKG23" s="21"/>
      <c r="CKH23" s="21"/>
      <c r="CKI23" s="21"/>
      <c r="CKJ23" s="21"/>
      <c r="CKK23" s="21"/>
      <c r="CKL23" s="21"/>
      <c r="CKM23" s="21"/>
      <c r="CKN23" s="21"/>
      <c r="CKO23" s="21"/>
      <c r="CKP23" s="21"/>
      <c r="CKQ23" s="21"/>
      <c r="CKR23" s="21"/>
      <c r="CKS23" s="21"/>
      <c r="CKT23" s="21"/>
      <c r="CKU23" s="21"/>
      <c r="CKV23" s="21"/>
      <c r="CKW23" s="21"/>
      <c r="CKX23" s="21"/>
      <c r="CKY23" s="21"/>
      <c r="CKZ23" s="21"/>
      <c r="CLA23" s="21"/>
      <c r="CLB23" s="21"/>
      <c r="CLC23" s="21"/>
      <c r="CLD23" s="21"/>
      <c r="CLE23" s="21"/>
      <c r="CLF23" s="21"/>
      <c r="CLG23" s="21"/>
      <c r="CLH23" s="21"/>
      <c r="CLI23" s="21"/>
      <c r="CLJ23" s="21"/>
      <c r="CLK23" s="21"/>
      <c r="CLL23" s="21"/>
      <c r="CLM23" s="21"/>
      <c r="CLN23" s="21"/>
      <c r="CLO23" s="21"/>
      <c r="CLP23" s="21"/>
      <c r="CLQ23" s="21"/>
      <c r="CLR23" s="21"/>
      <c r="CLS23" s="21"/>
      <c r="CLT23" s="21"/>
      <c r="CLU23" s="21"/>
      <c r="CLV23" s="21"/>
      <c r="CLW23" s="21"/>
      <c r="CLX23" s="21"/>
      <c r="CLY23" s="21"/>
      <c r="CLZ23" s="21"/>
      <c r="CMA23" s="21"/>
      <c r="CMB23" s="21"/>
      <c r="CMC23" s="21"/>
      <c r="CMD23" s="21"/>
      <c r="CME23" s="21"/>
      <c r="CMF23" s="21"/>
      <c r="CMG23" s="21"/>
      <c r="CMH23" s="21"/>
      <c r="CMI23" s="21"/>
      <c r="CMJ23" s="21"/>
      <c r="CMK23" s="21"/>
      <c r="CML23" s="21"/>
      <c r="CMM23" s="21"/>
      <c r="CMN23" s="21"/>
      <c r="CMO23" s="21"/>
      <c r="CMP23" s="21"/>
      <c r="CMQ23" s="21"/>
      <c r="CMR23" s="21"/>
      <c r="CMS23" s="21"/>
      <c r="CMT23" s="21"/>
      <c r="CMU23" s="21"/>
      <c r="CMV23" s="21"/>
      <c r="CMW23" s="21"/>
      <c r="CMX23" s="21"/>
      <c r="CMY23" s="21"/>
      <c r="CMZ23" s="21"/>
      <c r="CNA23" s="21"/>
      <c r="CNB23" s="21"/>
      <c r="CNC23" s="21"/>
      <c r="CND23" s="21"/>
      <c r="CNE23" s="21"/>
      <c r="CNF23" s="21"/>
      <c r="CNG23" s="21"/>
      <c r="CNH23" s="21"/>
      <c r="CNI23" s="21"/>
      <c r="CNJ23" s="21"/>
      <c r="CNK23" s="21"/>
      <c r="CNL23" s="21"/>
      <c r="CNM23" s="21"/>
      <c r="CNN23" s="21"/>
      <c r="CNO23" s="21"/>
      <c r="CNP23" s="21"/>
      <c r="CNQ23" s="21"/>
      <c r="CNR23" s="21"/>
      <c r="CNS23" s="21"/>
      <c r="CNT23" s="21"/>
      <c r="CNU23" s="21"/>
      <c r="CNV23" s="21"/>
      <c r="CNW23" s="21"/>
      <c r="CNX23" s="21"/>
      <c r="CNY23" s="21"/>
      <c r="CNZ23" s="21"/>
      <c r="COA23" s="21"/>
      <c r="COB23" s="21"/>
      <c r="COC23" s="21"/>
      <c r="COD23" s="21"/>
      <c r="COE23" s="21"/>
      <c r="COF23" s="21"/>
      <c r="COG23" s="21"/>
      <c r="COH23" s="21"/>
      <c r="COI23" s="21"/>
      <c r="COJ23" s="21"/>
      <c r="COK23" s="21"/>
      <c r="COL23" s="21"/>
      <c r="COM23" s="21"/>
      <c r="CON23" s="21"/>
      <c r="COO23" s="21"/>
      <c r="COP23" s="21"/>
      <c r="COQ23" s="21"/>
      <c r="COR23" s="21"/>
      <c r="COS23" s="21"/>
      <c r="COT23" s="21"/>
      <c r="COU23" s="21"/>
      <c r="COV23" s="21"/>
      <c r="COW23" s="21"/>
      <c r="COX23" s="21"/>
      <c r="COY23" s="21"/>
      <c r="COZ23" s="21"/>
      <c r="CPA23" s="21"/>
      <c r="CPB23" s="21"/>
      <c r="CPC23" s="21"/>
      <c r="CPD23" s="21"/>
      <c r="CPE23" s="21"/>
      <c r="CPF23" s="21"/>
      <c r="CPG23" s="21"/>
      <c r="CPH23" s="21"/>
      <c r="CPI23" s="21"/>
      <c r="CPJ23" s="21"/>
      <c r="CPK23" s="21"/>
      <c r="CPL23" s="21"/>
      <c r="CPM23" s="21"/>
      <c r="CPN23" s="21"/>
      <c r="CPO23" s="21"/>
      <c r="CPP23" s="21"/>
      <c r="CPQ23" s="21"/>
      <c r="CPR23" s="21"/>
      <c r="CPS23" s="21"/>
      <c r="CPT23" s="21"/>
      <c r="CPU23" s="21"/>
      <c r="CPV23" s="21"/>
      <c r="CPW23" s="21"/>
      <c r="CPX23" s="21"/>
      <c r="CPY23" s="21"/>
      <c r="CPZ23" s="21"/>
      <c r="CQA23" s="21"/>
      <c r="CQB23" s="21"/>
      <c r="CQC23" s="21"/>
      <c r="CQD23" s="21"/>
      <c r="CQE23" s="21"/>
      <c r="CQF23" s="21"/>
      <c r="CQG23" s="21"/>
      <c r="CQH23" s="21"/>
      <c r="CQI23" s="21"/>
      <c r="CQJ23" s="21"/>
      <c r="CQK23" s="21"/>
      <c r="CQL23" s="21"/>
      <c r="CQM23" s="21"/>
      <c r="CQN23" s="21"/>
      <c r="CQO23" s="21"/>
      <c r="CQP23" s="21"/>
      <c r="CQQ23" s="21"/>
      <c r="CQR23" s="21"/>
      <c r="CQS23" s="21"/>
      <c r="CQT23" s="21"/>
      <c r="CQU23" s="21"/>
      <c r="CQV23" s="21"/>
      <c r="CQW23" s="21"/>
      <c r="CQX23" s="21"/>
      <c r="CQY23" s="21"/>
      <c r="CQZ23" s="21"/>
      <c r="CRA23" s="21"/>
      <c r="CRB23" s="21"/>
      <c r="CRC23" s="21"/>
      <c r="CRD23" s="21"/>
      <c r="CRE23" s="21"/>
      <c r="CRF23" s="21"/>
      <c r="CRG23" s="21"/>
      <c r="CRH23" s="21"/>
      <c r="CRI23" s="21"/>
      <c r="CRJ23" s="21"/>
      <c r="CRK23" s="21"/>
      <c r="CRL23" s="21"/>
      <c r="CRM23" s="21"/>
      <c r="CRN23" s="21"/>
      <c r="CRO23" s="21"/>
      <c r="CRP23" s="21"/>
      <c r="CRQ23" s="21"/>
      <c r="CRR23" s="21"/>
      <c r="CRS23" s="21"/>
      <c r="CRT23" s="21"/>
      <c r="CRU23" s="21"/>
      <c r="CRV23" s="21"/>
      <c r="CRW23" s="21"/>
      <c r="CRX23" s="21"/>
      <c r="CRY23" s="21"/>
      <c r="CRZ23" s="21"/>
      <c r="CSA23" s="21"/>
      <c r="CSB23" s="21"/>
      <c r="CSC23" s="21"/>
      <c r="CSD23" s="21"/>
      <c r="CSE23" s="21"/>
      <c r="CSF23" s="21"/>
      <c r="CSG23" s="21"/>
      <c r="CSH23" s="21"/>
      <c r="CSI23" s="21"/>
      <c r="CSJ23" s="21"/>
      <c r="CSK23" s="21"/>
      <c r="CSL23" s="21"/>
      <c r="CSM23" s="21"/>
      <c r="CSN23" s="21"/>
      <c r="CSO23" s="21"/>
      <c r="CSP23" s="21"/>
      <c r="CSQ23" s="21"/>
      <c r="CSR23" s="21"/>
      <c r="CSS23" s="21"/>
      <c r="CST23" s="21"/>
      <c r="CSU23" s="21"/>
      <c r="CSV23" s="21"/>
      <c r="CSW23" s="21"/>
      <c r="CSX23" s="21"/>
      <c r="CSY23" s="21"/>
      <c r="CSZ23" s="21"/>
      <c r="CTA23" s="21"/>
      <c r="CTB23" s="21"/>
      <c r="CTC23" s="21"/>
      <c r="CTD23" s="21"/>
      <c r="CTE23" s="21"/>
      <c r="CTF23" s="21"/>
      <c r="CTG23" s="21"/>
      <c r="CTH23" s="21"/>
      <c r="CTI23" s="21"/>
      <c r="CTJ23" s="21"/>
      <c r="CTK23" s="21"/>
      <c r="CTL23" s="21"/>
      <c r="CTM23" s="21"/>
      <c r="CTN23" s="21"/>
      <c r="CTO23" s="21"/>
      <c r="CTP23" s="21"/>
      <c r="CTQ23" s="21"/>
      <c r="CTR23" s="21"/>
      <c r="CTS23" s="21"/>
      <c r="CTT23" s="21"/>
      <c r="CTU23" s="21"/>
      <c r="CTV23" s="21"/>
      <c r="CTW23" s="21"/>
      <c r="CTX23" s="21"/>
      <c r="CTY23" s="21"/>
      <c r="CTZ23" s="21"/>
      <c r="CUA23" s="21"/>
      <c r="CUB23" s="21"/>
      <c r="CUC23" s="21"/>
      <c r="CUD23" s="21"/>
      <c r="CUE23" s="21"/>
      <c r="CUF23" s="21"/>
      <c r="CUG23" s="21"/>
      <c r="CUH23" s="21"/>
      <c r="CUI23" s="21"/>
      <c r="CUJ23" s="21"/>
      <c r="CUK23" s="21"/>
      <c r="CUL23" s="21"/>
      <c r="CUM23" s="21"/>
      <c r="CUN23" s="21"/>
      <c r="CUO23" s="21"/>
      <c r="CUP23" s="21"/>
      <c r="CUQ23" s="21"/>
      <c r="CUR23" s="21"/>
      <c r="CUS23" s="21"/>
      <c r="CUT23" s="21"/>
      <c r="CUU23" s="21"/>
      <c r="CUV23" s="21"/>
      <c r="CUW23" s="21"/>
      <c r="CUX23" s="21"/>
      <c r="CUY23" s="21"/>
      <c r="CUZ23" s="21"/>
      <c r="CVA23" s="21"/>
      <c r="CVB23" s="21"/>
      <c r="CVC23" s="21"/>
      <c r="CVD23" s="21"/>
      <c r="CVE23" s="21"/>
      <c r="CVF23" s="21"/>
      <c r="CVG23" s="21"/>
      <c r="CVH23" s="21"/>
      <c r="CVI23" s="21"/>
      <c r="CVJ23" s="21"/>
      <c r="CVK23" s="21"/>
      <c r="CVL23" s="21"/>
      <c r="CVM23" s="21"/>
      <c r="CVN23" s="21"/>
      <c r="CVO23" s="21"/>
      <c r="CVP23" s="21"/>
      <c r="CVQ23" s="21"/>
      <c r="CVR23" s="21"/>
      <c r="CVS23" s="21"/>
      <c r="CVT23" s="21"/>
      <c r="CVU23" s="21"/>
      <c r="CVV23" s="21"/>
      <c r="CVW23" s="21"/>
      <c r="CVX23" s="21"/>
      <c r="CVY23" s="21"/>
      <c r="CVZ23" s="21"/>
      <c r="CWA23" s="21"/>
      <c r="CWB23" s="21"/>
      <c r="CWC23" s="21"/>
      <c r="CWD23" s="21"/>
      <c r="CWE23" s="21"/>
      <c r="CWF23" s="21"/>
      <c r="CWG23" s="21"/>
      <c r="CWH23" s="21"/>
      <c r="CWI23" s="21"/>
      <c r="CWJ23" s="21"/>
      <c r="CWK23" s="21"/>
      <c r="CWL23" s="21"/>
      <c r="CWM23" s="21"/>
      <c r="CWN23" s="21"/>
      <c r="CWO23" s="21"/>
      <c r="CWP23" s="21"/>
      <c r="CWQ23" s="21"/>
      <c r="CWR23" s="21"/>
      <c r="CWS23" s="21"/>
      <c r="CWT23" s="21"/>
      <c r="CWU23" s="21"/>
      <c r="CWV23" s="21"/>
      <c r="CWW23" s="21"/>
      <c r="CWX23" s="21"/>
      <c r="CWY23" s="21"/>
      <c r="CWZ23" s="21"/>
      <c r="CXA23" s="21"/>
      <c r="CXB23" s="21"/>
      <c r="CXC23" s="21"/>
      <c r="CXD23" s="21"/>
      <c r="CXE23" s="21"/>
      <c r="CXF23" s="21"/>
      <c r="CXG23" s="21"/>
      <c r="CXH23" s="21"/>
      <c r="CXI23" s="21"/>
      <c r="CXJ23" s="21"/>
      <c r="CXK23" s="21"/>
      <c r="CXL23" s="21"/>
      <c r="CXM23" s="21"/>
      <c r="CXN23" s="21"/>
      <c r="CXO23" s="21"/>
      <c r="CXP23" s="21"/>
      <c r="CXQ23" s="21"/>
      <c r="CXR23" s="21"/>
      <c r="CXS23" s="21"/>
      <c r="CXT23" s="21"/>
      <c r="CXU23" s="21"/>
      <c r="CXV23" s="21"/>
      <c r="CXW23" s="21"/>
      <c r="CXX23" s="21"/>
      <c r="CXY23" s="21"/>
      <c r="CXZ23" s="21"/>
      <c r="CYA23" s="21"/>
      <c r="CYB23" s="21"/>
      <c r="CYC23" s="21"/>
      <c r="CYD23" s="21"/>
      <c r="CYE23" s="21"/>
      <c r="CYF23" s="21"/>
      <c r="CYG23" s="21"/>
      <c r="CYH23" s="21"/>
      <c r="CYI23" s="21"/>
      <c r="CYJ23" s="21"/>
      <c r="CYK23" s="21"/>
      <c r="CYL23" s="21"/>
      <c r="CYM23" s="21"/>
      <c r="CYN23" s="21"/>
      <c r="CYO23" s="21"/>
      <c r="CYP23" s="21"/>
      <c r="CYQ23" s="21"/>
      <c r="CYR23" s="21"/>
      <c r="CYS23" s="21"/>
      <c r="CYT23" s="21"/>
      <c r="CYU23" s="21"/>
      <c r="CYV23" s="21"/>
      <c r="CYW23" s="21"/>
      <c r="CYX23" s="21"/>
      <c r="CYY23" s="21"/>
      <c r="CYZ23" s="21"/>
      <c r="CZA23" s="21"/>
      <c r="CZB23" s="21"/>
      <c r="CZC23" s="21"/>
      <c r="CZD23" s="21"/>
      <c r="CZE23" s="21"/>
      <c r="CZF23" s="21"/>
      <c r="CZG23" s="21"/>
      <c r="CZH23" s="21"/>
      <c r="CZI23" s="21"/>
      <c r="CZJ23" s="21"/>
      <c r="CZK23" s="21"/>
      <c r="CZL23" s="21"/>
      <c r="CZM23" s="21"/>
      <c r="CZN23" s="21"/>
      <c r="CZO23" s="21"/>
      <c r="CZP23" s="21"/>
      <c r="CZQ23" s="21"/>
      <c r="CZR23" s="21"/>
      <c r="CZS23" s="21"/>
      <c r="CZT23" s="21"/>
      <c r="CZU23" s="21"/>
      <c r="CZV23" s="21"/>
      <c r="CZW23" s="21"/>
      <c r="CZX23" s="21"/>
      <c r="CZY23" s="21"/>
      <c r="CZZ23" s="21"/>
      <c r="DAA23" s="21"/>
      <c r="DAB23" s="21"/>
      <c r="DAC23" s="21"/>
      <c r="DAD23" s="21"/>
      <c r="DAE23" s="21"/>
      <c r="DAF23" s="21"/>
      <c r="DAG23" s="21"/>
      <c r="DAH23" s="21"/>
      <c r="DAI23" s="21"/>
      <c r="DAJ23" s="21"/>
      <c r="DAK23" s="21"/>
      <c r="DAL23" s="21"/>
      <c r="DAM23" s="21"/>
      <c r="DAN23" s="21"/>
      <c r="DAO23" s="21"/>
      <c r="DAP23" s="21"/>
      <c r="DAQ23" s="21"/>
      <c r="DAR23" s="21"/>
      <c r="DAS23" s="21"/>
      <c r="DAT23" s="21"/>
      <c r="DAU23" s="21"/>
      <c r="DAV23" s="21"/>
      <c r="DAW23" s="21"/>
      <c r="DAX23" s="21"/>
      <c r="DAY23" s="21"/>
      <c r="DAZ23" s="21"/>
      <c r="DBA23" s="21"/>
      <c r="DBB23" s="21"/>
      <c r="DBC23" s="21"/>
      <c r="DBD23" s="21"/>
      <c r="DBE23" s="21"/>
      <c r="DBF23" s="21"/>
      <c r="DBG23" s="21"/>
      <c r="DBH23" s="21"/>
      <c r="DBI23" s="21"/>
      <c r="DBJ23" s="21"/>
      <c r="DBK23" s="21"/>
      <c r="DBL23" s="21"/>
      <c r="DBM23" s="21"/>
      <c r="DBN23" s="21"/>
      <c r="DBO23" s="21"/>
      <c r="DBP23" s="21"/>
      <c r="DBQ23" s="21"/>
      <c r="DBR23" s="21"/>
      <c r="DBS23" s="21"/>
      <c r="DBT23" s="21"/>
      <c r="DBU23" s="21"/>
      <c r="DBV23" s="21"/>
      <c r="DBW23" s="21"/>
      <c r="DBX23" s="21"/>
      <c r="DBY23" s="21"/>
      <c r="DBZ23" s="21"/>
      <c r="DCA23" s="21"/>
      <c r="DCB23" s="21"/>
      <c r="DCC23" s="21"/>
      <c r="DCD23" s="21"/>
      <c r="DCE23" s="21"/>
      <c r="DCF23" s="21"/>
      <c r="DCG23" s="21"/>
      <c r="DCH23" s="21"/>
      <c r="DCI23" s="21"/>
      <c r="DCJ23" s="21"/>
      <c r="DCK23" s="21"/>
      <c r="DCL23" s="21"/>
      <c r="DCM23" s="21"/>
      <c r="DCN23" s="21"/>
      <c r="DCO23" s="21"/>
      <c r="DCP23" s="21"/>
      <c r="DCQ23" s="21"/>
      <c r="DCR23" s="21"/>
      <c r="DCS23" s="21"/>
      <c r="DCT23" s="21"/>
      <c r="DCU23" s="21"/>
      <c r="DCV23" s="21"/>
      <c r="DCW23" s="21"/>
      <c r="DCX23" s="21"/>
      <c r="DCY23" s="21"/>
      <c r="DCZ23" s="21"/>
      <c r="DDA23" s="21"/>
      <c r="DDB23" s="21"/>
      <c r="DDC23" s="21"/>
      <c r="DDD23" s="21"/>
      <c r="DDE23" s="21"/>
      <c r="DDF23" s="21"/>
      <c r="DDG23" s="21"/>
      <c r="DDH23" s="21"/>
      <c r="DDI23" s="21"/>
      <c r="DDJ23" s="21"/>
      <c r="DDK23" s="21"/>
      <c r="DDL23" s="21"/>
      <c r="DDM23" s="21"/>
      <c r="DDN23" s="21"/>
      <c r="DDO23" s="21"/>
      <c r="DDP23" s="21"/>
      <c r="DDQ23" s="21"/>
      <c r="DDR23" s="21"/>
      <c r="DDS23" s="21"/>
      <c r="DDT23" s="21"/>
      <c r="DDU23" s="21"/>
      <c r="DDV23" s="21"/>
      <c r="DDW23" s="21"/>
      <c r="DDX23" s="21"/>
      <c r="DDY23" s="21"/>
      <c r="DDZ23" s="21"/>
      <c r="DEA23" s="21"/>
      <c r="DEB23" s="21"/>
      <c r="DEC23" s="21"/>
      <c r="DED23" s="21"/>
      <c r="DEE23" s="21"/>
      <c r="DEF23" s="21"/>
      <c r="DEG23" s="21"/>
      <c r="DEH23" s="21"/>
      <c r="DEI23" s="21"/>
      <c r="DEJ23" s="21"/>
      <c r="DEK23" s="21"/>
      <c r="DEL23" s="21"/>
      <c r="DEM23" s="21"/>
      <c r="DEN23" s="21"/>
      <c r="DEO23" s="21"/>
      <c r="DEP23" s="21"/>
      <c r="DEQ23" s="21"/>
      <c r="DER23" s="21"/>
      <c r="DES23" s="21"/>
      <c r="DET23" s="21"/>
      <c r="DEU23" s="21"/>
      <c r="DEV23" s="21"/>
      <c r="DEW23" s="21"/>
      <c r="DEX23" s="21"/>
      <c r="DEY23" s="21"/>
      <c r="DEZ23" s="21"/>
      <c r="DFA23" s="21"/>
      <c r="DFB23" s="21"/>
      <c r="DFC23" s="21"/>
      <c r="DFD23" s="21"/>
      <c r="DFE23" s="21"/>
      <c r="DFF23" s="21"/>
      <c r="DFG23" s="21"/>
      <c r="DFH23" s="21"/>
      <c r="DFI23" s="21"/>
      <c r="DFJ23" s="21"/>
      <c r="DFK23" s="21"/>
      <c r="DFL23" s="21"/>
      <c r="DFM23" s="21"/>
      <c r="DFN23" s="21"/>
      <c r="DFO23" s="21"/>
      <c r="DFP23" s="21"/>
      <c r="DFQ23" s="21"/>
      <c r="DFR23" s="21"/>
      <c r="DFS23" s="21"/>
      <c r="DFT23" s="21"/>
      <c r="DFU23" s="21"/>
      <c r="DFV23" s="21"/>
      <c r="DFW23" s="21"/>
      <c r="DFX23" s="21"/>
      <c r="DFY23" s="21"/>
      <c r="DFZ23" s="21"/>
      <c r="DGA23" s="21"/>
      <c r="DGB23" s="21"/>
      <c r="DGC23" s="21"/>
      <c r="DGD23" s="21"/>
      <c r="DGE23" s="21"/>
      <c r="DGF23" s="21"/>
      <c r="DGG23" s="21"/>
      <c r="DGH23" s="21"/>
      <c r="DGI23" s="21"/>
      <c r="DGJ23" s="21"/>
      <c r="DGK23" s="21"/>
      <c r="DGL23" s="21"/>
      <c r="DGM23" s="21"/>
      <c r="DGN23" s="21"/>
      <c r="DGO23" s="21"/>
      <c r="DGP23" s="21"/>
      <c r="DGQ23" s="21"/>
      <c r="DGR23" s="21"/>
      <c r="DGS23" s="21"/>
      <c r="DGT23" s="21"/>
      <c r="DGU23" s="21"/>
      <c r="DGV23" s="21"/>
      <c r="DGW23" s="21"/>
      <c r="DGX23" s="21"/>
      <c r="DGY23" s="21"/>
      <c r="DGZ23" s="21"/>
      <c r="DHA23" s="21"/>
      <c r="DHB23" s="21"/>
      <c r="DHC23" s="21"/>
      <c r="DHD23" s="21"/>
      <c r="DHE23" s="21"/>
      <c r="DHF23" s="21"/>
      <c r="DHG23" s="21"/>
      <c r="DHH23" s="21"/>
      <c r="DHI23" s="21"/>
      <c r="DHJ23" s="21"/>
      <c r="DHK23" s="21"/>
      <c r="DHL23" s="21"/>
      <c r="DHM23" s="21"/>
      <c r="DHN23" s="21"/>
      <c r="DHO23" s="21"/>
      <c r="DHP23" s="21"/>
      <c r="DHQ23" s="21"/>
      <c r="DHR23" s="21"/>
      <c r="DHS23" s="21"/>
      <c r="DHT23" s="21"/>
      <c r="DHU23" s="21"/>
      <c r="DHV23" s="21"/>
      <c r="DHW23" s="21"/>
      <c r="DHX23" s="21"/>
      <c r="DHY23" s="21"/>
      <c r="DHZ23" s="21"/>
      <c r="DIA23" s="21"/>
      <c r="DIB23" s="21"/>
      <c r="DIC23" s="21"/>
      <c r="DID23" s="21"/>
      <c r="DIE23" s="21"/>
      <c r="DIF23" s="21"/>
      <c r="DIG23" s="21"/>
      <c r="DIH23" s="21"/>
      <c r="DII23" s="21"/>
      <c r="DIJ23" s="21"/>
      <c r="DIK23" s="21"/>
      <c r="DIL23" s="21"/>
      <c r="DIM23" s="21"/>
      <c r="DIN23" s="21"/>
      <c r="DIO23" s="21"/>
      <c r="DIP23" s="21"/>
      <c r="DIQ23" s="21"/>
      <c r="DIR23" s="21"/>
      <c r="DIS23" s="21"/>
      <c r="DIT23" s="21"/>
      <c r="DIU23" s="21"/>
      <c r="DIV23" s="21"/>
      <c r="DIW23" s="21"/>
      <c r="DIX23" s="21"/>
      <c r="DIY23" s="21"/>
      <c r="DIZ23" s="21"/>
      <c r="DJA23" s="21"/>
      <c r="DJB23" s="21"/>
      <c r="DJC23" s="21"/>
      <c r="DJD23" s="21"/>
      <c r="DJE23" s="21"/>
      <c r="DJF23" s="21"/>
      <c r="DJG23" s="21"/>
      <c r="DJH23" s="21"/>
      <c r="DJI23" s="21"/>
      <c r="DJJ23" s="21"/>
      <c r="DJK23" s="21"/>
      <c r="DJL23" s="21"/>
      <c r="DJM23" s="21"/>
      <c r="DJN23" s="21"/>
      <c r="DJO23" s="21"/>
      <c r="DJP23" s="21"/>
      <c r="DJQ23" s="21"/>
      <c r="DJR23" s="21"/>
      <c r="DJS23" s="21"/>
      <c r="DJT23" s="21"/>
      <c r="DJU23" s="21"/>
      <c r="DJV23" s="21"/>
      <c r="DJW23" s="21"/>
      <c r="DJX23" s="21"/>
      <c r="DJY23" s="21"/>
      <c r="DJZ23" s="21"/>
      <c r="DKA23" s="21"/>
      <c r="DKB23" s="21"/>
      <c r="DKC23" s="21"/>
      <c r="DKD23" s="21"/>
      <c r="DKE23" s="21"/>
      <c r="DKF23" s="21"/>
      <c r="DKG23" s="21"/>
      <c r="DKH23" s="21"/>
      <c r="DKI23" s="21"/>
      <c r="DKJ23" s="21"/>
      <c r="DKK23" s="21"/>
      <c r="DKL23" s="21"/>
      <c r="DKM23" s="21"/>
      <c r="DKN23" s="21"/>
      <c r="DKO23" s="21"/>
      <c r="DKP23" s="21"/>
      <c r="DKQ23" s="21"/>
      <c r="DKR23" s="21"/>
      <c r="DKS23" s="21"/>
      <c r="DKT23" s="21"/>
      <c r="DKU23" s="21"/>
      <c r="DKV23" s="21"/>
      <c r="DKW23" s="21"/>
      <c r="DKX23" s="21"/>
      <c r="DKY23" s="21"/>
      <c r="DKZ23" s="21"/>
      <c r="DLA23" s="21"/>
      <c r="DLB23" s="21"/>
      <c r="DLC23" s="21"/>
      <c r="DLD23" s="21"/>
      <c r="DLE23" s="21"/>
      <c r="DLF23" s="21"/>
      <c r="DLG23" s="21"/>
      <c r="DLH23" s="21"/>
      <c r="DLI23" s="21"/>
      <c r="DLJ23" s="21"/>
      <c r="DLK23" s="21"/>
      <c r="DLL23" s="21"/>
      <c r="DLM23" s="21"/>
      <c r="DLN23" s="21"/>
      <c r="DLO23" s="21"/>
      <c r="DLP23" s="21"/>
      <c r="DLQ23" s="21"/>
      <c r="DLR23" s="21"/>
      <c r="DLS23" s="21"/>
      <c r="DLT23" s="21"/>
      <c r="DLU23" s="21"/>
      <c r="DLV23" s="21"/>
      <c r="DLW23" s="21"/>
      <c r="DLX23" s="21"/>
      <c r="DLY23" s="21"/>
      <c r="DLZ23" s="21"/>
      <c r="DMA23" s="21"/>
      <c r="DMB23" s="21"/>
      <c r="DMC23" s="21"/>
      <c r="DMD23" s="21"/>
      <c r="DME23" s="21"/>
      <c r="DMF23" s="21"/>
      <c r="DMG23" s="21"/>
      <c r="DMH23" s="21"/>
      <c r="DMI23" s="21"/>
      <c r="DMJ23" s="21"/>
      <c r="DMK23" s="21"/>
      <c r="DML23" s="21"/>
      <c r="DMM23" s="21"/>
      <c r="DMN23" s="21"/>
      <c r="DMO23" s="21"/>
      <c r="DMP23" s="21"/>
      <c r="DMQ23" s="21"/>
      <c r="DMR23" s="21"/>
      <c r="DMS23" s="21"/>
      <c r="DMT23" s="21"/>
      <c r="DMU23" s="21"/>
      <c r="DMV23" s="21"/>
      <c r="DMW23" s="21"/>
      <c r="DMX23" s="21"/>
      <c r="DMY23" s="21"/>
      <c r="DMZ23" s="21"/>
      <c r="DNA23" s="21"/>
      <c r="DNB23" s="21"/>
      <c r="DNC23" s="21"/>
      <c r="DND23" s="21"/>
      <c r="DNE23" s="21"/>
      <c r="DNF23" s="21"/>
      <c r="DNG23" s="21"/>
      <c r="DNH23" s="21"/>
      <c r="DNI23" s="21"/>
      <c r="DNJ23" s="21"/>
      <c r="DNK23" s="21"/>
      <c r="DNL23" s="21"/>
      <c r="DNM23" s="21"/>
      <c r="DNN23" s="21"/>
      <c r="DNO23" s="21"/>
      <c r="DNP23" s="21"/>
      <c r="DNQ23" s="21"/>
      <c r="DNR23" s="21"/>
      <c r="DNS23" s="21"/>
      <c r="DNT23" s="21"/>
      <c r="DNU23" s="21"/>
      <c r="DNV23" s="21"/>
      <c r="DNW23" s="21"/>
      <c r="DNX23" s="21"/>
      <c r="DNY23" s="21"/>
      <c r="DNZ23" s="21"/>
      <c r="DOA23" s="21"/>
      <c r="DOB23" s="21"/>
      <c r="DOC23" s="21"/>
      <c r="DOD23" s="21"/>
      <c r="DOE23" s="21"/>
      <c r="DOF23" s="21"/>
      <c r="DOG23" s="21"/>
      <c r="DOH23" s="21"/>
      <c r="DOI23" s="21"/>
      <c r="DOJ23" s="21"/>
      <c r="DOK23" s="21"/>
      <c r="DOL23" s="21"/>
      <c r="DOM23" s="21"/>
      <c r="DON23" s="21"/>
      <c r="DOO23" s="21"/>
      <c r="DOP23" s="21"/>
      <c r="DOQ23" s="21"/>
      <c r="DOR23" s="21"/>
      <c r="DOS23" s="21"/>
      <c r="DOT23" s="21"/>
      <c r="DOU23" s="21"/>
      <c r="DOV23" s="21"/>
      <c r="DOW23" s="21"/>
      <c r="DOX23" s="21"/>
      <c r="DOY23" s="21"/>
      <c r="DOZ23" s="21"/>
      <c r="DPA23" s="21"/>
      <c r="DPB23" s="21"/>
      <c r="DPC23" s="21"/>
      <c r="DPD23" s="21"/>
      <c r="DPE23" s="21"/>
      <c r="DPF23" s="21"/>
      <c r="DPG23" s="21"/>
      <c r="DPH23" s="21"/>
      <c r="DPI23" s="21"/>
      <c r="DPJ23" s="21"/>
      <c r="DPK23" s="21"/>
      <c r="DPL23" s="21"/>
      <c r="DPM23" s="21"/>
      <c r="DPN23" s="21"/>
      <c r="DPO23" s="21"/>
      <c r="DPP23" s="21"/>
      <c r="DPQ23" s="21"/>
      <c r="DPR23" s="21"/>
      <c r="DPS23" s="21"/>
      <c r="DPT23" s="21"/>
      <c r="DPU23" s="21"/>
      <c r="DPV23" s="21"/>
      <c r="DPW23" s="21"/>
      <c r="DPX23" s="21"/>
      <c r="DPY23" s="21"/>
      <c r="DPZ23" s="21"/>
      <c r="DQA23" s="21"/>
      <c r="DQB23" s="21"/>
      <c r="DQC23" s="21"/>
      <c r="DQD23" s="21"/>
      <c r="DQE23" s="21"/>
      <c r="DQF23" s="21"/>
      <c r="DQG23" s="21"/>
      <c r="DQH23" s="21"/>
      <c r="DQI23" s="21"/>
      <c r="DQJ23" s="21"/>
      <c r="DQK23" s="21"/>
      <c r="DQL23" s="21"/>
      <c r="DQM23" s="21"/>
      <c r="DQN23" s="21"/>
      <c r="DQO23" s="21"/>
      <c r="DQP23" s="21"/>
      <c r="DQQ23" s="21"/>
      <c r="DQR23" s="21"/>
      <c r="DQS23" s="21"/>
      <c r="DQT23" s="21"/>
      <c r="DQU23" s="21"/>
      <c r="DQV23" s="21"/>
      <c r="DQW23" s="21"/>
      <c r="DQX23" s="21"/>
      <c r="DQY23" s="21"/>
      <c r="DQZ23" s="21"/>
      <c r="DRA23" s="21"/>
      <c r="DRB23" s="21"/>
      <c r="DRC23" s="21"/>
      <c r="DRD23" s="21"/>
      <c r="DRE23" s="21"/>
      <c r="DRF23" s="21"/>
      <c r="DRG23" s="21"/>
      <c r="DRH23" s="21"/>
      <c r="DRI23" s="21"/>
      <c r="DRJ23" s="21"/>
      <c r="DRK23" s="21"/>
      <c r="DRL23" s="21"/>
      <c r="DRM23" s="21"/>
      <c r="DRN23" s="21"/>
      <c r="DRO23" s="21"/>
      <c r="DRP23" s="21"/>
      <c r="DRQ23" s="21"/>
      <c r="DRR23" s="21"/>
      <c r="DRS23" s="21"/>
      <c r="DRT23" s="21"/>
      <c r="DRU23" s="21"/>
      <c r="DRV23" s="21"/>
      <c r="DRW23" s="21"/>
      <c r="DRX23" s="21"/>
      <c r="DRY23" s="21"/>
      <c r="DRZ23" s="21"/>
      <c r="DSA23" s="21"/>
      <c r="DSB23" s="21"/>
      <c r="DSC23" s="21"/>
      <c r="DSD23" s="21"/>
      <c r="DSE23" s="21"/>
      <c r="DSF23" s="21"/>
      <c r="DSG23" s="21"/>
      <c r="DSH23" s="21"/>
      <c r="DSI23" s="21"/>
      <c r="DSJ23" s="21"/>
      <c r="DSK23" s="21"/>
      <c r="DSL23" s="21"/>
      <c r="DSM23" s="21"/>
      <c r="DSN23" s="21"/>
      <c r="DSO23" s="21"/>
      <c r="DSP23" s="21"/>
      <c r="DSQ23" s="21"/>
      <c r="DSR23" s="21"/>
      <c r="DSS23" s="21"/>
      <c r="DST23" s="21"/>
      <c r="DSU23" s="21"/>
      <c r="DSV23" s="21"/>
      <c r="DSW23" s="21"/>
      <c r="DSX23" s="21"/>
      <c r="DSY23" s="21"/>
      <c r="DSZ23" s="21"/>
      <c r="DTA23" s="21"/>
      <c r="DTB23" s="21"/>
      <c r="DTC23" s="21"/>
      <c r="DTD23" s="21"/>
      <c r="DTE23" s="21"/>
      <c r="DTF23" s="21"/>
      <c r="DTG23" s="21"/>
      <c r="DTH23" s="21"/>
      <c r="DTI23" s="21"/>
      <c r="DTJ23" s="21"/>
      <c r="DTK23" s="21"/>
      <c r="DTL23" s="21"/>
      <c r="DTM23" s="21"/>
      <c r="DTN23" s="21"/>
      <c r="DTO23" s="21"/>
      <c r="DTP23" s="21"/>
      <c r="DTQ23" s="21"/>
      <c r="DTR23" s="21"/>
      <c r="DTS23" s="21"/>
      <c r="DTT23" s="21"/>
      <c r="DTU23" s="21"/>
      <c r="DTV23" s="21"/>
      <c r="DTW23" s="21"/>
      <c r="DTX23" s="21"/>
      <c r="DTY23" s="21"/>
      <c r="DTZ23" s="21"/>
      <c r="DUA23" s="21"/>
      <c r="DUB23" s="21"/>
      <c r="DUC23" s="21"/>
      <c r="DUD23" s="21"/>
      <c r="DUE23" s="21"/>
      <c r="DUF23" s="21"/>
      <c r="DUG23" s="21"/>
      <c r="DUH23" s="21"/>
      <c r="DUI23" s="21"/>
      <c r="DUJ23" s="21"/>
      <c r="DUK23" s="21"/>
      <c r="DUL23" s="21"/>
      <c r="DUM23" s="21"/>
      <c r="DUN23" s="21"/>
      <c r="DUO23" s="21"/>
      <c r="DUP23" s="21"/>
      <c r="DUQ23" s="21"/>
      <c r="DUR23" s="21"/>
      <c r="DUS23" s="21"/>
      <c r="DUT23" s="21"/>
      <c r="DUU23" s="21"/>
      <c r="DUV23" s="21"/>
      <c r="DUW23" s="21"/>
      <c r="DUX23" s="21"/>
      <c r="DUY23" s="21"/>
      <c r="DUZ23" s="21"/>
      <c r="DVA23" s="21"/>
      <c r="DVB23" s="21"/>
      <c r="DVC23" s="21"/>
      <c r="DVD23" s="21"/>
      <c r="DVE23" s="21"/>
      <c r="DVF23" s="21"/>
      <c r="DVG23" s="21"/>
      <c r="DVH23" s="21"/>
      <c r="DVI23" s="21"/>
      <c r="DVJ23" s="21"/>
      <c r="DVK23" s="21"/>
      <c r="DVL23" s="21"/>
      <c r="DVM23" s="21"/>
      <c r="DVN23" s="21"/>
      <c r="DVO23" s="21"/>
      <c r="DVP23" s="21"/>
      <c r="DVQ23" s="21"/>
      <c r="DVR23" s="21"/>
      <c r="DVS23" s="21"/>
      <c r="DVT23" s="21"/>
      <c r="DVU23" s="21"/>
      <c r="DVV23" s="21"/>
      <c r="DVW23" s="21"/>
      <c r="DVX23" s="21"/>
      <c r="DVY23" s="21"/>
      <c r="DVZ23" s="21"/>
      <c r="DWA23" s="21"/>
      <c r="DWB23" s="21"/>
      <c r="DWC23" s="21"/>
      <c r="DWD23" s="21"/>
      <c r="DWE23" s="21"/>
      <c r="DWF23" s="21"/>
      <c r="DWG23" s="21"/>
      <c r="DWH23" s="21"/>
      <c r="DWI23" s="21"/>
      <c r="DWJ23" s="21"/>
      <c r="DWK23" s="21"/>
      <c r="DWL23" s="21"/>
      <c r="DWM23" s="21"/>
      <c r="DWN23" s="21"/>
      <c r="DWO23" s="21"/>
      <c r="DWP23" s="21"/>
      <c r="DWQ23" s="21"/>
      <c r="DWR23" s="21"/>
      <c r="DWS23" s="21"/>
      <c r="DWT23" s="21"/>
      <c r="DWU23" s="21"/>
      <c r="DWV23" s="21"/>
      <c r="DWW23" s="21"/>
      <c r="DWX23" s="21"/>
      <c r="DWY23" s="21"/>
      <c r="DWZ23" s="21"/>
      <c r="DXA23" s="21"/>
      <c r="DXB23" s="21"/>
      <c r="DXC23" s="21"/>
      <c r="DXD23" s="21"/>
      <c r="DXE23" s="21"/>
      <c r="DXF23" s="21"/>
      <c r="DXG23" s="21"/>
      <c r="DXH23" s="21"/>
      <c r="DXI23" s="21"/>
      <c r="DXJ23" s="21"/>
      <c r="DXK23" s="21"/>
      <c r="DXL23" s="21"/>
      <c r="DXM23" s="21"/>
      <c r="DXN23" s="21"/>
      <c r="DXO23" s="21"/>
      <c r="DXP23" s="21"/>
      <c r="DXQ23" s="21"/>
      <c r="DXR23" s="21"/>
      <c r="DXS23" s="21"/>
      <c r="DXT23" s="21"/>
      <c r="DXU23" s="21"/>
      <c r="DXV23" s="21"/>
      <c r="DXW23" s="21"/>
      <c r="DXX23" s="21"/>
      <c r="DXY23" s="21"/>
      <c r="DXZ23" s="21"/>
      <c r="DYA23" s="21"/>
      <c r="DYB23" s="21"/>
      <c r="DYC23" s="21"/>
      <c r="DYD23" s="21"/>
      <c r="DYE23" s="21"/>
      <c r="DYF23" s="21"/>
      <c r="DYG23" s="21"/>
      <c r="DYH23" s="21"/>
      <c r="DYI23" s="21"/>
      <c r="DYJ23" s="21"/>
      <c r="DYK23" s="21"/>
      <c r="DYL23" s="21"/>
      <c r="DYM23" s="21"/>
      <c r="DYN23" s="21"/>
      <c r="DYO23" s="21"/>
      <c r="DYP23" s="21"/>
      <c r="DYQ23" s="21"/>
      <c r="DYR23" s="21"/>
      <c r="DYS23" s="21"/>
      <c r="DYT23" s="21"/>
      <c r="DYU23" s="21"/>
      <c r="DYV23" s="21"/>
      <c r="DYW23" s="21"/>
      <c r="DYX23" s="21"/>
      <c r="DYY23" s="21"/>
      <c r="DYZ23" s="21"/>
      <c r="DZA23" s="21"/>
      <c r="DZB23" s="21"/>
      <c r="DZC23" s="21"/>
      <c r="DZD23" s="21"/>
      <c r="DZE23" s="21"/>
      <c r="DZF23" s="21"/>
      <c r="DZG23" s="21"/>
      <c r="DZH23" s="21"/>
      <c r="DZI23" s="21"/>
      <c r="DZJ23" s="21"/>
      <c r="DZK23" s="21"/>
      <c r="DZL23" s="21"/>
      <c r="DZM23" s="21"/>
      <c r="DZN23" s="21"/>
      <c r="DZO23" s="21"/>
      <c r="DZP23" s="21"/>
      <c r="DZQ23" s="21"/>
      <c r="DZR23" s="21"/>
      <c r="DZS23" s="21"/>
      <c r="DZT23" s="21"/>
      <c r="DZU23" s="21"/>
      <c r="DZV23" s="21"/>
      <c r="DZW23" s="21"/>
      <c r="DZX23" s="21"/>
      <c r="DZY23" s="21"/>
      <c r="DZZ23" s="21"/>
      <c r="EAA23" s="21"/>
      <c r="EAB23" s="21"/>
      <c r="EAC23" s="21"/>
      <c r="EAD23" s="21"/>
      <c r="EAE23" s="21"/>
      <c r="EAF23" s="21"/>
      <c r="EAG23" s="21"/>
      <c r="EAH23" s="21"/>
      <c r="EAI23" s="21"/>
      <c r="EAJ23" s="21"/>
      <c r="EAK23" s="21"/>
      <c r="EAL23" s="21"/>
      <c r="EAM23" s="21"/>
      <c r="EAN23" s="21"/>
      <c r="EAO23" s="21"/>
      <c r="EAP23" s="21"/>
      <c r="EAQ23" s="21"/>
      <c r="EAR23" s="21"/>
      <c r="EAS23" s="21"/>
      <c r="EAT23" s="21"/>
      <c r="EAU23" s="21"/>
      <c r="EAV23" s="21"/>
      <c r="EAW23" s="21"/>
      <c r="EAX23" s="21"/>
      <c r="EAY23" s="21"/>
      <c r="EAZ23" s="21"/>
      <c r="EBA23" s="21"/>
      <c r="EBB23" s="21"/>
      <c r="EBC23" s="21"/>
      <c r="EBD23" s="21"/>
      <c r="EBE23" s="21"/>
      <c r="EBF23" s="21"/>
      <c r="EBG23" s="21"/>
      <c r="EBH23" s="21"/>
      <c r="EBI23" s="21"/>
      <c r="EBJ23" s="21"/>
      <c r="EBK23" s="21"/>
      <c r="EBL23" s="21"/>
      <c r="EBM23" s="21"/>
      <c r="EBN23" s="21"/>
      <c r="EBO23" s="21"/>
      <c r="EBP23" s="21"/>
      <c r="EBQ23" s="21"/>
      <c r="EBR23" s="21"/>
      <c r="EBS23" s="21"/>
      <c r="EBT23" s="21"/>
      <c r="EBU23" s="21"/>
      <c r="EBV23" s="21"/>
      <c r="EBW23" s="21"/>
      <c r="EBX23" s="21"/>
      <c r="EBY23" s="21"/>
      <c r="EBZ23" s="21"/>
      <c r="ECA23" s="21"/>
      <c r="ECB23" s="21"/>
      <c r="ECC23" s="21"/>
      <c r="ECD23" s="21"/>
      <c r="ECE23" s="21"/>
      <c r="ECF23" s="21"/>
      <c r="ECG23" s="21"/>
      <c r="ECH23" s="21"/>
      <c r="ECI23" s="21"/>
      <c r="ECJ23" s="21"/>
      <c r="ECK23" s="21"/>
      <c r="ECL23" s="21"/>
      <c r="ECM23" s="21"/>
      <c r="ECN23" s="21"/>
      <c r="ECO23" s="21"/>
      <c r="ECP23" s="21"/>
      <c r="ECQ23" s="21"/>
      <c r="ECR23" s="21"/>
      <c r="ECS23" s="21"/>
      <c r="ECT23" s="21"/>
      <c r="ECU23" s="21"/>
      <c r="ECV23" s="21"/>
      <c r="ECW23" s="21"/>
      <c r="ECX23" s="21"/>
      <c r="ECY23" s="21"/>
      <c r="ECZ23" s="21"/>
      <c r="EDA23" s="21"/>
      <c r="EDB23" s="21"/>
      <c r="EDC23" s="21"/>
      <c r="EDD23" s="21"/>
      <c r="EDE23" s="21"/>
      <c r="EDF23" s="21"/>
      <c r="EDG23" s="21"/>
      <c r="EDH23" s="21"/>
      <c r="EDI23" s="21"/>
      <c r="EDJ23" s="21"/>
      <c r="EDK23" s="21"/>
      <c r="EDL23" s="21"/>
      <c r="EDM23" s="21"/>
      <c r="EDN23" s="21"/>
      <c r="EDO23" s="21"/>
      <c r="EDP23" s="21"/>
      <c r="EDQ23" s="21"/>
      <c r="EDR23" s="21"/>
      <c r="EDS23" s="21"/>
      <c r="EDT23" s="21"/>
      <c r="EDU23" s="21"/>
      <c r="EDV23" s="21"/>
      <c r="EDW23" s="21"/>
      <c r="EDX23" s="21"/>
      <c r="EDY23" s="21"/>
      <c r="EDZ23" s="21"/>
      <c r="EEA23" s="21"/>
      <c r="EEB23" s="21"/>
      <c r="EEC23" s="21"/>
      <c r="EED23" s="21"/>
      <c r="EEE23" s="21"/>
      <c r="EEF23" s="21"/>
      <c r="EEG23" s="21"/>
      <c r="EEH23" s="21"/>
      <c r="EEI23" s="21"/>
      <c r="EEJ23" s="21"/>
      <c r="EEK23" s="21"/>
      <c r="EEL23" s="21"/>
      <c r="EEM23" s="21"/>
      <c r="EEN23" s="21"/>
      <c r="EEO23" s="21"/>
      <c r="EEP23" s="21"/>
      <c r="EEQ23" s="21"/>
      <c r="EER23" s="21"/>
      <c r="EES23" s="21"/>
      <c r="EET23" s="21"/>
      <c r="EEU23" s="21"/>
      <c r="EEV23" s="21"/>
      <c r="EEW23" s="21"/>
      <c r="EEX23" s="21"/>
      <c r="EEY23" s="21"/>
      <c r="EEZ23" s="21"/>
      <c r="EFA23" s="21"/>
      <c r="EFB23" s="21"/>
      <c r="EFC23" s="21"/>
      <c r="EFD23" s="21"/>
      <c r="EFE23" s="21"/>
      <c r="EFF23" s="21"/>
      <c r="EFG23" s="21"/>
      <c r="EFH23" s="21"/>
      <c r="EFI23" s="21"/>
      <c r="EFJ23" s="21"/>
      <c r="EFK23" s="21"/>
      <c r="EFL23" s="21"/>
      <c r="EFM23" s="21"/>
      <c r="EFN23" s="21"/>
      <c r="EFO23" s="21"/>
      <c r="EFP23" s="21"/>
      <c r="EFQ23" s="21"/>
      <c r="EFR23" s="21"/>
      <c r="EFS23" s="21"/>
      <c r="EFT23" s="21"/>
      <c r="EFU23" s="21"/>
      <c r="EFV23" s="21"/>
      <c r="EFW23" s="21"/>
      <c r="EFX23" s="21"/>
      <c r="EFY23" s="21"/>
      <c r="EFZ23" s="21"/>
      <c r="EGA23" s="21"/>
      <c r="EGB23" s="21"/>
      <c r="EGC23" s="21"/>
      <c r="EGD23" s="21"/>
      <c r="EGE23" s="21"/>
      <c r="EGF23" s="21"/>
      <c r="EGG23" s="21"/>
      <c r="EGH23" s="21"/>
      <c r="EGI23" s="21"/>
      <c r="EGJ23" s="21"/>
      <c r="EGK23" s="21"/>
      <c r="EGL23" s="21"/>
      <c r="EGM23" s="21"/>
      <c r="EGN23" s="21"/>
      <c r="EGO23" s="21"/>
      <c r="EGP23" s="21"/>
      <c r="EGQ23" s="21"/>
      <c r="EGR23" s="21"/>
      <c r="EGS23" s="21"/>
      <c r="EGT23" s="21"/>
      <c r="EGU23" s="21"/>
      <c r="EGV23" s="21"/>
      <c r="EGW23" s="21"/>
      <c r="EGX23" s="21"/>
      <c r="EGY23" s="21"/>
      <c r="EGZ23" s="21"/>
      <c r="EHA23" s="21"/>
      <c r="EHB23" s="21"/>
      <c r="EHC23" s="21"/>
      <c r="EHD23" s="21"/>
      <c r="EHE23" s="21"/>
      <c r="EHF23" s="21"/>
      <c r="EHG23" s="21"/>
      <c r="EHH23" s="21"/>
      <c r="EHI23" s="21"/>
      <c r="EHJ23" s="21"/>
      <c r="EHK23" s="21"/>
      <c r="EHL23" s="21"/>
      <c r="EHM23" s="21"/>
      <c r="EHN23" s="21"/>
      <c r="EHO23" s="21"/>
      <c r="EHP23" s="21"/>
      <c r="EHQ23" s="21"/>
      <c r="EHR23" s="21"/>
      <c r="EHS23" s="21"/>
      <c r="EHT23" s="21"/>
      <c r="EHU23" s="21"/>
      <c r="EHV23" s="21"/>
      <c r="EHW23" s="21"/>
      <c r="EHX23" s="21"/>
      <c r="EHY23" s="21"/>
      <c r="EHZ23" s="21"/>
      <c r="EIA23" s="21"/>
      <c r="EIB23" s="21"/>
      <c r="EIC23" s="21"/>
      <c r="EID23" s="21"/>
      <c r="EIE23" s="21"/>
      <c r="EIF23" s="21"/>
      <c r="EIG23" s="21"/>
      <c r="EIH23" s="21"/>
      <c r="EII23" s="21"/>
      <c r="EIJ23" s="21"/>
      <c r="EIK23" s="21"/>
      <c r="EIL23" s="21"/>
      <c r="EIM23" s="21"/>
      <c r="EIN23" s="21"/>
      <c r="EIO23" s="21"/>
      <c r="EIP23" s="21"/>
      <c r="EIQ23" s="21"/>
      <c r="EIR23" s="21"/>
      <c r="EIS23" s="21"/>
      <c r="EIT23" s="21"/>
      <c r="EIU23" s="21"/>
      <c r="EIV23" s="21"/>
      <c r="EIW23" s="21"/>
      <c r="EIX23" s="21"/>
      <c r="EIY23" s="21"/>
      <c r="EIZ23" s="21"/>
      <c r="EJA23" s="21"/>
      <c r="EJB23" s="21"/>
      <c r="EJC23" s="21"/>
      <c r="EJD23" s="21"/>
      <c r="EJE23" s="21"/>
      <c r="EJF23" s="21"/>
      <c r="EJG23" s="21"/>
      <c r="EJH23" s="21"/>
      <c r="EJI23" s="21"/>
      <c r="EJJ23" s="21"/>
      <c r="EJK23" s="21"/>
      <c r="EJL23" s="21"/>
      <c r="EJM23" s="21"/>
      <c r="EJN23" s="21"/>
      <c r="EJO23" s="21"/>
      <c r="EJP23" s="21"/>
      <c r="EJQ23" s="21"/>
      <c r="EJR23" s="21"/>
      <c r="EJS23" s="21"/>
      <c r="EJT23" s="21"/>
      <c r="EJU23" s="21"/>
      <c r="EJV23" s="21"/>
      <c r="EJW23" s="21"/>
      <c r="EJX23" s="21"/>
      <c r="EJY23" s="21"/>
      <c r="EJZ23" s="21"/>
      <c r="EKA23" s="21"/>
      <c r="EKB23" s="21"/>
      <c r="EKC23" s="21"/>
      <c r="EKD23" s="21"/>
      <c r="EKE23" s="21"/>
      <c r="EKF23" s="21"/>
      <c r="EKG23" s="21"/>
      <c r="EKH23" s="21"/>
      <c r="EKI23" s="21"/>
      <c r="EKJ23" s="21"/>
      <c r="EKK23" s="21"/>
      <c r="EKL23" s="21"/>
      <c r="EKM23" s="21"/>
      <c r="EKN23" s="21"/>
      <c r="EKO23" s="21"/>
      <c r="EKP23" s="21"/>
      <c r="EKQ23" s="21"/>
      <c r="EKR23" s="21"/>
      <c r="EKS23" s="21"/>
      <c r="EKT23" s="21"/>
      <c r="EKU23" s="21"/>
      <c r="EKV23" s="21"/>
      <c r="EKW23" s="21"/>
      <c r="EKX23" s="21"/>
      <c r="EKY23" s="21"/>
      <c r="EKZ23" s="21"/>
      <c r="ELA23" s="21"/>
      <c r="ELB23" s="21"/>
      <c r="ELC23" s="21"/>
      <c r="ELD23" s="21"/>
      <c r="ELE23" s="21"/>
      <c r="ELF23" s="21"/>
      <c r="ELG23" s="21"/>
      <c r="ELH23" s="21"/>
      <c r="ELI23" s="21"/>
      <c r="ELJ23" s="21"/>
      <c r="ELK23" s="21"/>
      <c r="ELL23" s="21"/>
      <c r="ELM23" s="21"/>
      <c r="ELN23" s="21"/>
      <c r="ELO23" s="21"/>
      <c r="ELP23" s="21"/>
      <c r="ELQ23" s="21"/>
      <c r="ELR23" s="21"/>
      <c r="ELS23" s="21"/>
      <c r="ELT23" s="21"/>
      <c r="ELU23" s="21"/>
      <c r="ELV23" s="21"/>
      <c r="ELW23" s="21"/>
      <c r="ELX23" s="21"/>
      <c r="ELY23" s="21"/>
      <c r="ELZ23" s="21"/>
      <c r="EMA23" s="21"/>
      <c r="EMB23" s="21"/>
      <c r="EMC23" s="21"/>
      <c r="EMD23" s="21"/>
      <c r="EME23" s="21"/>
      <c r="EMF23" s="21"/>
      <c r="EMG23" s="21"/>
      <c r="EMH23" s="21"/>
      <c r="EMI23" s="21"/>
      <c r="EMJ23" s="21"/>
      <c r="EMK23" s="21"/>
      <c r="EML23" s="21"/>
      <c r="EMM23" s="21"/>
      <c r="EMN23" s="21"/>
      <c r="EMO23" s="21"/>
      <c r="EMP23" s="21"/>
      <c r="EMQ23" s="21"/>
      <c r="EMR23" s="21"/>
      <c r="EMS23" s="21"/>
      <c r="EMT23" s="21"/>
      <c r="EMU23" s="21"/>
      <c r="EMV23" s="21"/>
      <c r="EMW23" s="21"/>
      <c r="EMX23" s="21"/>
      <c r="EMY23" s="21"/>
      <c r="EMZ23" s="21"/>
      <c r="ENA23" s="21"/>
      <c r="ENB23" s="21"/>
      <c r="ENC23" s="21"/>
      <c r="END23" s="21"/>
      <c r="ENE23" s="21"/>
      <c r="ENF23" s="21"/>
      <c r="ENG23" s="21"/>
      <c r="ENH23" s="21"/>
      <c r="ENI23" s="21"/>
      <c r="ENJ23" s="21"/>
      <c r="ENK23" s="21"/>
      <c r="ENL23" s="21"/>
      <c r="ENM23" s="21"/>
      <c r="ENN23" s="21"/>
      <c r="ENO23" s="21"/>
      <c r="ENP23" s="21"/>
      <c r="ENQ23" s="21"/>
      <c r="ENR23" s="21"/>
      <c r="ENS23" s="21"/>
      <c r="ENT23" s="21"/>
      <c r="ENU23" s="21"/>
      <c r="ENV23" s="21"/>
      <c r="ENW23" s="21"/>
      <c r="ENX23" s="21"/>
      <c r="ENY23" s="21"/>
      <c r="ENZ23" s="21"/>
      <c r="EOA23" s="21"/>
      <c r="EOB23" s="21"/>
      <c r="EOC23" s="21"/>
      <c r="EOD23" s="21"/>
      <c r="EOE23" s="21"/>
      <c r="EOF23" s="21"/>
      <c r="EOG23" s="21"/>
      <c r="EOH23" s="21"/>
      <c r="EOI23" s="21"/>
      <c r="EOJ23" s="21"/>
      <c r="EOK23" s="21"/>
      <c r="EOL23" s="21"/>
      <c r="EOM23" s="21"/>
      <c r="EON23" s="21"/>
      <c r="EOO23" s="21"/>
      <c r="EOP23" s="21"/>
      <c r="EOQ23" s="21"/>
      <c r="EOR23" s="21"/>
      <c r="EOS23" s="21"/>
      <c r="EOT23" s="21"/>
      <c r="EOU23" s="21"/>
      <c r="EOV23" s="21"/>
      <c r="EOW23" s="21"/>
      <c r="EOX23" s="21"/>
      <c r="EOY23" s="21"/>
      <c r="EOZ23" s="21"/>
      <c r="EPA23" s="21"/>
      <c r="EPB23" s="21"/>
      <c r="EPC23" s="21"/>
      <c r="EPD23" s="21"/>
      <c r="EPE23" s="21"/>
      <c r="EPF23" s="21"/>
      <c r="EPG23" s="21"/>
      <c r="EPH23" s="21"/>
      <c r="EPI23" s="21"/>
      <c r="EPJ23" s="21"/>
      <c r="EPK23" s="21"/>
      <c r="EPL23" s="21"/>
      <c r="EPM23" s="21"/>
      <c r="EPN23" s="21"/>
      <c r="EPO23" s="21"/>
      <c r="EPP23" s="21"/>
      <c r="EPQ23" s="21"/>
      <c r="EPR23" s="21"/>
      <c r="EPS23" s="21"/>
      <c r="EPT23" s="21"/>
      <c r="EPU23" s="21"/>
      <c r="EPV23" s="21"/>
      <c r="EPW23" s="21"/>
      <c r="EPX23" s="21"/>
      <c r="EPY23" s="21"/>
      <c r="EPZ23" s="21"/>
      <c r="EQA23" s="21"/>
      <c r="EQB23" s="21"/>
      <c r="EQC23" s="21"/>
      <c r="EQD23" s="21"/>
      <c r="EQE23" s="21"/>
      <c r="EQF23" s="21"/>
      <c r="EQG23" s="21"/>
      <c r="EQH23" s="21"/>
      <c r="EQI23" s="21"/>
      <c r="EQJ23" s="21"/>
      <c r="EQK23" s="21"/>
      <c r="EQL23" s="21"/>
      <c r="EQM23" s="21"/>
      <c r="EQN23" s="21"/>
      <c r="EQO23" s="21"/>
      <c r="EQP23" s="21"/>
      <c r="EQQ23" s="21"/>
      <c r="EQR23" s="21"/>
      <c r="EQS23" s="21"/>
      <c r="EQT23" s="21"/>
      <c r="EQU23" s="21"/>
      <c r="EQV23" s="21"/>
      <c r="EQW23" s="21"/>
      <c r="EQX23" s="21"/>
      <c r="EQY23" s="21"/>
      <c r="EQZ23" s="21"/>
      <c r="ERA23" s="21"/>
      <c r="ERB23" s="21"/>
      <c r="ERC23" s="21"/>
      <c r="ERD23" s="21"/>
      <c r="ERE23" s="21"/>
      <c r="ERF23" s="21"/>
      <c r="ERG23" s="21"/>
      <c r="ERH23" s="21"/>
      <c r="ERI23" s="21"/>
      <c r="ERJ23" s="21"/>
      <c r="ERK23" s="21"/>
      <c r="ERL23" s="21"/>
      <c r="ERM23" s="21"/>
      <c r="ERN23" s="21"/>
      <c r="ERO23" s="21"/>
      <c r="ERP23" s="21"/>
      <c r="ERQ23" s="21"/>
      <c r="ERR23" s="21"/>
      <c r="ERS23" s="21"/>
      <c r="ERT23" s="21"/>
      <c r="ERU23" s="21"/>
      <c r="ERV23" s="21"/>
      <c r="ERW23" s="21"/>
      <c r="ERX23" s="21"/>
      <c r="ERY23" s="21"/>
      <c r="ERZ23" s="21"/>
      <c r="ESA23" s="21"/>
      <c r="ESB23" s="21"/>
      <c r="ESC23" s="21"/>
      <c r="ESD23" s="21"/>
      <c r="ESE23" s="21"/>
      <c r="ESF23" s="21"/>
      <c r="ESG23" s="21"/>
      <c r="ESH23" s="21"/>
      <c r="ESI23" s="21"/>
      <c r="ESJ23" s="21"/>
      <c r="ESK23" s="21"/>
      <c r="ESL23" s="21"/>
      <c r="ESM23" s="21"/>
      <c r="ESN23" s="21"/>
      <c r="ESO23" s="21"/>
      <c r="ESP23" s="21"/>
      <c r="ESQ23" s="21"/>
      <c r="ESR23" s="21"/>
      <c r="ESS23" s="21"/>
      <c r="EST23" s="21"/>
      <c r="ESU23" s="21"/>
      <c r="ESV23" s="21"/>
      <c r="ESW23" s="21"/>
      <c r="ESX23" s="21"/>
      <c r="ESY23" s="21"/>
      <c r="ESZ23" s="21"/>
      <c r="ETA23" s="21"/>
      <c r="ETB23" s="21"/>
      <c r="ETC23" s="21"/>
      <c r="ETD23" s="21"/>
      <c r="ETE23" s="21"/>
      <c r="ETF23" s="21"/>
      <c r="ETG23" s="21"/>
      <c r="ETH23" s="21"/>
      <c r="ETI23" s="21"/>
      <c r="ETJ23" s="21"/>
      <c r="ETK23" s="21"/>
      <c r="ETL23" s="21"/>
      <c r="ETM23" s="21"/>
      <c r="ETN23" s="21"/>
      <c r="ETO23" s="21"/>
      <c r="ETP23" s="21"/>
      <c r="ETQ23" s="21"/>
      <c r="ETR23" s="21"/>
      <c r="ETS23" s="21"/>
      <c r="ETT23" s="21"/>
      <c r="ETU23" s="21"/>
      <c r="ETV23" s="21"/>
      <c r="ETW23" s="21"/>
      <c r="ETX23" s="21"/>
      <c r="ETY23" s="21"/>
      <c r="ETZ23" s="21"/>
      <c r="EUA23" s="21"/>
      <c r="EUB23" s="21"/>
      <c r="EUC23" s="21"/>
      <c r="EUD23" s="21"/>
      <c r="EUE23" s="21"/>
      <c r="EUF23" s="21"/>
      <c r="EUG23" s="21"/>
      <c r="EUH23" s="21"/>
      <c r="EUI23" s="21"/>
      <c r="EUJ23" s="21"/>
      <c r="EUK23" s="21"/>
      <c r="EUL23" s="21"/>
      <c r="EUM23" s="21"/>
      <c r="EUN23" s="21"/>
      <c r="EUO23" s="21"/>
      <c r="EUP23" s="21"/>
      <c r="EUQ23" s="21"/>
      <c r="EUR23" s="21"/>
      <c r="EUS23" s="21"/>
      <c r="EUT23" s="21"/>
      <c r="EUU23" s="21"/>
      <c r="EUV23" s="21"/>
      <c r="EUW23" s="21"/>
      <c r="EUX23" s="21"/>
      <c r="EUY23" s="21"/>
      <c r="EUZ23" s="21"/>
      <c r="EVA23" s="21"/>
      <c r="EVB23" s="21"/>
      <c r="EVC23" s="21"/>
      <c r="EVD23" s="21"/>
      <c r="EVE23" s="21"/>
      <c r="EVF23" s="21"/>
      <c r="EVG23" s="21"/>
      <c r="EVH23" s="21"/>
      <c r="EVI23" s="21"/>
      <c r="EVJ23" s="21"/>
      <c r="EVK23" s="21"/>
      <c r="EVL23" s="21"/>
      <c r="EVM23" s="21"/>
      <c r="EVN23" s="21"/>
      <c r="EVO23" s="21"/>
      <c r="EVP23" s="21"/>
      <c r="EVQ23" s="21"/>
      <c r="EVR23" s="21"/>
      <c r="EVS23" s="21"/>
      <c r="EVT23" s="21"/>
      <c r="EVU23" s="21"/>
      <c r="EVV23" s="21"/>
      <c r="EVW23" s="21"/>
      <c r="EVX23" s="21"/>
      <c r="EVY23" s="21"/>
      <c r="EVZ23" s="21"/>
      <c r="EWA23" s="21"/>
      <c r="EWB23" s="21"/>
      <c r="EWC23" s="21"/>
      <c r="EWD23" s="21"/>
      <c r="EWE23" s="21"/>
      <c r="EWF23" s="21"/>
      <c r="EWG23" s="21"/>
      <c r="EWH23" s="21"/>
      <c r="EWI23" s="21"/>
      <c r="EWJ23" s="21"/>
      <c r="EWK23" s="21"/>
      <c r="EWL23" s="21"/>
      <c r="EWM23" s="21"/>
      <c r="EWN23" s="21"/>
      <c r="EWO23" s="21"/>
      <c r="EWP23" s="21"/>
      <c r="EWQ23" s="21"/>
      <c r="EWR23" s="21"/>
      <c r="EWS23" s="21"/>
      <c r="EWT23" s="21"/>
      <c r="EWU23" s="21"/>
      <c r="EWV23" s="21"/>
      <c r="EWW23" s="21"/>
      <c r="EWX23" s="21"/>
      <c r="EWY23" s="21"/>
      <c r="EWZ23" s="21"/>
      <c r="EXA23" s="21"/>
      <c r="EXB23" s="21"/>
      <c r="EXC23" s="21"/>
      <c r="EXD23" s="21"/>
      <c r="EXE23" s="21"/>
      <c r="EXF23" s="21"/>
      <c r="EXG23" s="21"/>
      <c r="EXH23" s="21"/>
      <c r="EXI23" s="21"/>
      <c r="EXJ23" s="21"/>
      <c r="EXK23" s="21"/>
      <c r="EXL23" s="21"/>
      <c r="EXM23" s="21"/>
      <c r="EXN23" s="21"/>
      <c r="EXO23" s="21"/>
      <c r="EXP23" s="21"/>
      <c r="EXQ23" s="21"/>
      <c r="EXR23" s="21"/>
      <c r="EXS23" s="21"/>
      <c r="EXT23" s="21"/>
      <c r="EXU23" s="21"/>
      <c r="EXV23" s="21"/>
      <c r="EXW23" s="21"/>
      <c r="EXX23" s="21"/>
      <c r="EXY23" s="21"/>
      <c r="EXZ23" s="21"/>
      <c r="EYA23" s="21"/>
      <c r="EYB23" s="21"/>
      <c r="EYC23" s="21"/>
      <c r="EYD23" s="21"/>
      <c r="EYE23" s="21"/>
      <c r="EYF23" s="21"/>
      <c r="EYG23" s="21"/>
      <c r="EYH23" s="21"/>
      <c r="EYI23" s="21"/>
      <c r="EYJ23" s="21"/>
      <c r="EYK23" s="21"/>
      <c r="EYL23" s="21"/>
      <c r="EYM23" s="21"/>
      <c r="EYN23" s="21"/>
      <c r="EYO23" s="21"/>
      <c r="EYP23" s="21"/>
      <c r="EYQ23" s="21"/>
      <c r="EYR23" s="21"/>
      <c r="EYS23" s="21"/>
      <c r="EYT23" s="21"/>
      <c r="EYU23" s="21"/>
      <c r="EYV23" s="21"/>
      <c r="EYW23" s="21"/>
      <c r="EYX23" s="21"/>
      <c r="EYY23" s="21"/>
      <c r="EYZ23" s="21"/>
      <c r="EZA23" s="21"/>
      <c r="EZB23" s="21"/>
      <c r="EZC23" s="21"/>
      <c r="EZD23" s="21"/>
      <c r="EZE23" s="21"/>
      <c r="EZF23" s="21"/>
      <c r="EZG23" s="21"/>
      <c r="EZH23" s="21"/>
      <c r="EZI23" s="21"/>
      <c r="EZJ23" s="21"/>
      <c r="EZK23" s="21"/>
      <c r="EZL23" s="21"/>
      <c r="EZM23" s="21"/>
      <c r="EZN23" s="21"/>
      <c r="EZO23" s="21"/>
      <c r="EZP23" s="21"/>
      <c r="EZQ23" s="21"/>
      <c r="EZR23" s="21"/>
      <c r="EZS23" s="21"/>
      <c r="EZT23" s="21"/>
      <c r="EZU23" s="21"/>
      <c r="EZV23" s="21"/>
      <c r="EZW23" s="21"/>
      <c r="EZX23" s="21"/>
      <c r="EZY23" s="21"/>
      <c r="EZZ23" s="21"/>
      <c r="FAA23" s="21"/>
      <c r="FAB23" s="21"/>
      <c r="FAC23" s="21"/>
      <c r="FAD23" s="21"/>
      <c r="FAE23" s="21"/>
      <c r="FAF23" s="21"/>
      <c r="FAG23" s="21"/>
      <c r="FAH23" s="21"/>
      <c r="FAI23" s="21"/>
      <c r="FAJ23" s="21"/>
      <c r="FAK23" s="21"/>
      <c r="FAL23" s="21"/>
      <c r="FAM23" s="21"/>
      <c r="FAN23" s="21"/>
      <c r="FAO23" s="21"/>
      <c r="FAP23" s="21"/>
      <c r="FAQ23" s="21"/>
      <c r="FAR23" s="21"/>
      <c r="FAS23" s="21"/>
      <c r="FAT23" s="21"/>
      <c r="FAU23" s="21"/>
      <c r="FAV23" s="21"/>
      <c r="FAW23" s="21"/>
      <c r="FAX23" s="21"/>
      <c r="FAY23" s="21"/>
      <c r="FAZ23" s="21"/>
      <c r="FBA23" s="21"/>
      <c r="FBB23" s="21"/>
      <c r="FBC23" s="21"/>
      <c r="FBD23" s="21"/>
      <c r="FBE23" s="21"/>
      <c r="FBF23" s="21"/>
      <c r="FBG23" s="21"/>
      <c r="FBH23" s="21"/>
      <c r="FBI23" s="21"/>
      <c r="FBJ23" s="21"/>
      <c r="FBK23" s="21"/>
      <c r="FBL23" s="21"/>
      <c r="FBM23" s="21"/>
      <c r="FBN23" s="21"/>
      <c r="FBO23" s="21"/>
      <c r="FBP23" s="21"/>
      <c r="FBQ23" s="21"/>
      <c r="FBR23" s="21"/>
      <c r="FBS23" s="21"/>
      <c r="FBT23" s="21"/>
      <c r="FBU23" s="21"/>
      <c r="FBV23" s="21"/>
      <c r="FBW23" s="21"/>
      <c r="FBX23" s="21"/>
      <c r="FBY23" s="21"/>
      <c r="FBZ23" s="21"/>
      <c r="FCA23" s="21"/>
      <c r="FCB23" s="21"/>
      <c r="FCC23" s="21"/>
      <c r="FCD23" s="21"/>
      <c r="FCE23" s="21"/>
      <c r="FCF23" s="21"/>
      <c r="FCG23" s="21"/>
      <c r="FCH23" s="21"/>
      <c r="FCI23" s="21"/>
      <c r="FCJ23" s="21"/>
      <c r="FCK23" s="21"/>
      <c r="FCL23" s="21"/>
      <c r="FCM23" s="21"/>
      <c r="FCN23" s="21"/>
      <c r="FCO23" s="21"/>
      <c r="FCP23" s="21"/>
      <c r="FCQ23" s="21"/>
      <c r="FCR23" s="21"/>
      <c r="FCS23" s="21"/>
      <c r="FCT23" s="21"/>
      <c r="FCU23" s="21"/>
      <c r="FCV23" s="21"/>
      <c r="FCW23" s="21"/>
      <c r="FCX23" s="21"/>
      <c r="FCY23" s="21"/>
      <c r="FCZ23" s="21"/>
      <c r="FDA23" s="21"/>
      <c r="FDB23" s="21"/>
      <c r="FDC23" s="21"/>
      <c r="FDD23" s="21"/>
      <c r="FDE23" s="21"/>
      <c r="FDF23" s="21"/>
      <c r="FDG23" s="21"/>
      <c r="FDH23" s="21"/>
      <c r="FDI23" s="21"/>
      <c r="FDJ23" s="21"/>
      <c r="FDK23" s="21"/>
      <c r="FDL23" s="21"/>
      <c r="FDM23" s="21"/>
      <c r="FDN23" s="21"/>
      <c r="FDO23" s="21"/>
      <c r="FDP23" s="21"/>
      <c r="FDQ23" s="21"/>
      <c r="FDR23" s="21"/>
      <c r="FDS23" s="21"/>
      <c r="FDT23" s="21"/>
      <c r="FDU23" s="21"/>
      <c r="FDV23" s="21"/>
      <c r="FDW23" s="21"/>
      <c r="FDX23" s="21"/>
      <c r="FDY23" s="21"/>
      <c r="FDZ23" s="21"/>
      <c r="FEA23" s="21"/>
      <c r="FEB23" s="21"/>
      <c r="FEC23" s="21"/>
      <c r="FED23" s="21"/>
      <c r="FEE23" s="21"/>
      <c r="FEF23" s="21"/>
      <c r="FEG23" s="21"/>
      <c r="FEH23" s="21"/>
      <c r="FEI23" s="21"/>
      <c r="FEJ23" s="21"/>
      <c r="FEK23" s="21"/>
      <c r="FEL23" s="21"/>
      <c r="FEM23" s="21"/>
      <c r="FEN23" s="21"/>
      <c r="FEO23" s="21"/>
      <c r="FEP23" s="21"/>
      <c r="FEQ23" s="21"/>
      <c r="FER23" s="21"/>
      <c r="FES23" s="21"/>
      <c r="FET23" s="21"/>
      <c r="FEU23" s="21"/>
      <c r="FEV23" s="21"/>
      <c r="FEW23" s="21"/>
      <c r="FEX23" s="21"/>
      <c r="FEY23" s="21"/>
      <c r="FEZ23" s="21"/>
      <c r="FFA23" s="21"/>
      <c r="FFB23" s="21"/>
      <c r="FFC23" s="21"/>
      <c r="FFD23" s="21"/>
      <c r="FFE23" s="21"/>
      <c r="FFF23" s="21"/>
      <c r="FFG23" s="21"/>
      <c r="FFH23" s="21"/>
      <c r="FFI23" s="21"/>
      <c r="FFJ23" s="21"/>
      <c r="FFK23" s="21"/>
      <c r="FFL23" s="21"/>
      <c r="FFM23" s="21"/>
      <c r="FFN23" s="21"/>
      <c r="FFO23" s="21"/>
      <c r="FFP23" s="21"/>
      <c r="FFQ23" s="21"/>
      <c r="FFR23" s="21"/>
      <c r="FFS23" s="21"/>
      <c r="FFT23" s="21"/>
      <c r="FFU23" s="21"/>
      <c r="FFV23" s="21"/>
      <c r="FFW23" s="21"/>
      <c r="FFX23" s="21"/>
      <c r="FFY23" s="21"/>
      <c r="FFZ23" s="21"/>
      <c r="FGA23" s="21"/>
      <c r="FGB23" s="21"/>
      <c r="FGC23" s="21"/>
      <c r="FGD23" s="21"/>
      <c r="FGE23" s="21"/>
      <c r="FGF23" s="21"/>
      <c r="FGG23" s="21"/>
      <c r="FGH23" s="21"/>
      <c r="FGI23" s="21"/>
      <c r="FGJ23" s="21"/>
      <c r="FGK23" s="21"/>
      <c r="FGL23" s="21"/>
      <c r="FGM23" s="21"/>
      <c r="FGN23" s="21"/>
      <c r="FGO23" s="21"/>
      <c r="FGP23" s="21"/>
      <c r="FGQ23" s="21"/>
      <c r="FGR23" s="21"/>
      <c r="FGS23" s="21"/>
      <c r="FGT23" s="21"/>
      <c r="FGU23" s="21"/>
      <c r="FGV23" s="21"/>
      <c r="FGW23" s="21"/>
      <c r="FGX23" s="21"/>
      <c r="FGY23" s="21"/>
      <c r="FGZ23" s="21"/>
      <c r="FHA23" s="21"/>
      <c r="FHB23" s="21"/>
      <c r="FHC23" s="21"/>
      <c r="FHD23" s="21"/>
      <c r="FHE23" s="21"/>
      <c r="FHF23" s="21"/>
      <c r="FHG23" s="21"/>
      <c r="FHH23" s="21"/>
      <c r="FHI23" s="21"/>
      <c r="FHJ23" s="21"/>
      <c r="FHK23" s="21"/>
      <c r="FHL23" s="21"/>
      <c r="FHM23" s="21"/>
      <c r="FHN23" s="21"/>
      <c r="FHO23" s="21"/>
      <c r="FHP23" s="21"/>
      <c r="FHQ23" s="21"/>
      <c r="FHR23" s="21"/>
      <c r="FHS23" s="21"/>
      <c r="FHT23" s="21"/>
      <c r="FHU23" s="21"/>
      <c r="FHV23" s="21"/>
      <c r="FHW23" s="21"/>
      <c r="FHX23" s="21"/>
      <c r="FHY23" s="21"/>
      <c r="FHZ23" s="21"/>
      <c r="FIA23" s="21"/>
      <c r="FIB23" s="21"/>
      <c r="FIC23" s="21"/>
      <c r="FID23" s="21"/>
      <c r="FIE23" s="21"/>
      <c r="FIF23" s="21"/>
      <c r="FIG23" s="21"/>
      <c r="FIH23" s="21"/>
      <c r="FII23" s="21"/>
      <c r="FIJ23" s="21"/>
      <c r="FIK23" s="21"/>
      <c r="FIL23" s="21"/>
      <c r="FIM23" s="21"/>
      <c r="FIN23" s="21"/>
      <c r="FIO23" s="21"/>
      <c r="FIP23" s="21"/>
      <c r="FIQ23" s="21"/>
      <c r="FIR23" s="21"/>
      <c r="FIS23" s="21"/>
      <c r="FIT23" s="21"/>
      <c r="FIU23" s="21"/>
      <c r="FIV23" s="21"/>
      <c r="FIW23" s="21"/>
      <c r="FIX23" s="21"/>
      <c r="FIY23" s="21"/>
      <c r="FIZ23" s="21"/>
      <c r="FJA23" s="21"/>
      <c r="FJB23" s="21"/>
      <c r="FJC23" s="21"/>
      <c r="FJD23" s="21"/>
      <c r="FJE23" s="21"/>
      <c r="FJF23" s="21"/>
      <c r="FJG23" s="21"/>
      <c r="FJH23" s="21"/>
      <c r="FJI23" s="21"/>
      <c r="FJJ23" s="21"/>
      <c r="FJK23" s="21"/>
      <c r="FJL23" s="21"/>
      <c r="FJM23" s="21"/>
      <c r="FJN23" s="21"/>
      <c r="FJO23" s="21"/>
      <c r="FJP23" s="21"/>
      <c r="FJQ23" s="21"/>
      <c r="FJR23" s="21"/>
      <c r="FJS23" s="21"/>
      <c r="FJT23" s="21"/>
      <c r="FJU23" s="21"/>
      <c r="FJV23" s="21"/>
      <c r="FJW23" s="21"/>
      <c r="FJX23" s="21"/>
      <c r="FJY23" s="21"/>
      <c r="FJZ23" s="21"/>
      <c r="FKA23" s="21"/>
      <c r="FKB23" s="21"/>
      <c r="FKC23" s="21"/>
      <c r="FKD23" s="21"/>
      <c r="FKE23" s="21"/>
      <c r="FKF23" s="21"/>
      <c r="FKG23" s="21"/>
      <c r="FKH23" s="21"/>
      <c r="FKI23" s="21"/>
      <c r="FKJ23" s="21"/>
      <c r="FKK23" s="21"/>
      <c r="FKL23" s="21"/>
      <c r="FKM23" s="21"/>
      <c r="FKN23" s="21"/>
      <c r="FKO23" s="21"/>
      <c r="FKP23" s="21"/>
      <c r="FKQ23" s="21"/>
      <c r="FKR23" s="21"/>
      <c r="FKS23" s="21"/>
      <c r="FKT23" s="21"/>
      <c r="FKU23" s="21"/>
      <c r="FKV23" s="21"/>
      <c r="FKW23" s="21"/>
      <c r="FKX23" s="21"/>
      <c r="FKY23" s="21"/>
      <c r="FKZ23" s="21"/>
      <c r="FLA23" s="21"/>
      <c r="FLB23" s="21"/>
      <c r="FLC23" s="21"/>
      <c r="FLD23" s="21"/>
      <c r="FLE23" s="21"/>
      <c r="FLF23" s="21"/>
      <c r="FLG23" s="21"/>
      <c r="FLH23" s="21"/>
      <c r="FLI23" s="21"/>
      <c r="FLJ23" s="21"/>
      <c r="FLK23" s="21"/>
      <c r="FLL23" s="21"/>
      <c r="FLM23" s="21"/>
      <c r="FLN23" s="21"/>
      <c r="FLO23" s="21"/>
      <c r="FLP23" s="21"/>
      <c r="FLQ23" s="21"/>
      <c r="FLR23" s="21"/>
      <c r="FLS23" s="21"/>
      <c r="FLT23" s="21"/>
      <c r="FLU23" s="21"/>
      <c r="FLV23" s="21"/>
      <c r="FLW23" s="21"/>
      <c r="FLX23" s="21"/>
      <c r="FLY23" s="21"/>
      <c r="FLZ23" s="21"/>
      <c r="FMA23" s="21"/>
      <c r="FMB23" s="21"/>
      <c r="FMC23" s="21"/>
      <c r="FMD23" s="21"/>
      <c r="FME23" s="21"/>
      <c r="FMF23" s="21"/>
      <c r="FMG23" s="21"/>
      <c r="FMH23" s="21"/>
      <c r="FMI23" s="21"/>
      <c r="FMJ23" s="21"/>
      <c r="FMK23" s="21"/>
      <c r="FML23" s="21"/>
      <c r="FMM23" s="21"/>
      <c r="FMN23" s="21"/>
      <c r="FMO23" s="21"/>
      <c r="FMP23" s="21"/>
      <c r="FMQ23" s="21"/>
      <c r="FMR23" s="21"/>
      <c r="FMS23" s="21"/>
      <c r="FMT23" s="21"/>
      <c r="FMU23" s="21"/>
      <c r="FMV23" s="21"/>
      <c r="FMW23" s="21"/>
      <c r="FMX23" s="21"/>
      <c r="FMY23" s="21"/>
      <c r="FMZ23" s="21"/>
      <c r="FNA23" s="21"/>
      <c r="FNB23" s="21"/>
      <c r="FNC23" s="21"/>
      <c r="FND23" s="21"/>
      <c r="FNE23" s="21"/>
      <c r="FNF23" s="21"/>
      <c r="FNG23" s="21"/>
      <c r="FNH23" s="21"/>
      <c r="FNI23" s="21"/>
      <c r="FNJ23" s="21"/>
      <c r="FNK23" s="21"/>
      <c r="FNL23" s="21"/>
      <c r="FNM23" s="21"/>
      <c r="FNN23" s="21"/>
      <c r="FNO23" s="21"/>
      <c r="FNP23" s="21"/>
      <c r="FNQ23" s="21"/>
      <c r="FNR23" s="21"/>
      <c r="FNS23" s="21"/>
      <c r="FNT23" s="21"/>
      <c r="FNU23" s="21"/>
      <c r="FNV23" s="21"/>
      <c r="FNW23" s="21"/>
      <c r="FNX23" s="21"/>
      <c r="FNY23" s="21"/>
      <c r="FNZ23" s="21"/>
      <c r="FOA23" s="21"/>
      <c r="FOB23" s="21"/>
      <c r="FOC23" s="21"/>
      <c r="FOD23" s="21"/>
      <c r="FOE23" s="21"/>
      <c r="FOF23" s="21"/>
      <c r="FOG23" s="21"/>
      <c r="FOH23" s="21"/>
      <c r="FOI23" s="21"/>
      <c r="FOJ23" s="21"/>
      <c r="FOK23" s="21"/>
      <c r="FOL23" s="21"/>
      <c r="FOM23" s="21"/>
      <c r="FON23" s="21"/>
      <c r="FOO23" s="21"/>
      <c r="FOP23" s="21"/>
      <c r="FOQ23" s="21"/>
      <c r="FOR23" s="21"/>
      <c r="FOS23" s="21"/>
      <c r="FOT23" s="21"/>
      <c r="FOU23" s="21"/>
      <c r="FOV23" s="21"/>
      <c r="FOW23" s="21"/>
      <c r="FOX23" s="21"/>
      <c r="FOY23" s="21"/>
      <c r="FOZ23" s="21"/>
      <c r="FPA23" s="21"/>
      <c r="FPB23" s="21"/>
      <c r="FPC23" s="21"/>
      <c r="FPD23" s="21"/>
      <c r="FPE23" s="21"/>
      <c r="FPF23" s="21"/>
      <c r="FPG23" s="21"/>
      <c r="FPH23" s="21"/>
      <c r="FPI23" s="21"/>
      <c r="FPJ23" s="21"/>
      <c r="FPK23" s="21"/>
      <c r="FPL23" s="21"/>
      <c r="FPM23" s="21"/>
      <c r="FPN23" s="21"/>
      <c r="FPO23" s="21"/>
      <c r="FPP23" s="21"/>
      <c r="FPQ23" s="21"/>
      <c r="FPR23" s="21"/>
      <c r="FPS23" s="21"/>
      <c r="FPT23" s="21"/>
      <c r="FPU23" s="21"/>
      <c r="FPV23" s="21"/>
      <c r="FPW23" s="21"/>
      <c r="FPX23" s="21"/>
      <c r="FPY23" s="21"/>
      <c r="FPZ23" s="21"/>
      <c r="FQA23" s="21"/>
      <c r="FQB23" s="21"/>
      <c r="FQC23" s="21"/>
      <c r="FQD23" s="21"/>
      <c r="FQE23" s="21"/>
      <c r="FQF23" s="21"/>
      <c r="FQG23" s="21"/>
      <c r="FQH23" s="21"/>
      <c r="FQI23" s="21"/>
      <c r="FQJ23" s="21"/>
      <c r="FQK23" s="21"/>
      <c r="FQL23" s="21"/>
      <c r="FQM23" s="21"/>
      <c r="FQN23" s="21"/>
      <c r="FQO23" s="21"/>
      <c r="FQP23" s="21"/>
      <c r="FQQ23" s="21"/>
      <c r="FQR23" s="21"/>
      <c r="FQS23" s="21"/>
      <c r="FQT23" s="21"/>
      <c r="FQU23" s="21"/>
      <c r="FQV23" s="21"/>
      <c r="FQW23" s="21"/>
      <c r="FQX23" s="21"/>
      <c r="FQY23" s="21"/>
      <c r="FQZ23" s="21"/>
      <c r="FRA23" s="21"/>
      <c r="FRB23" s="21"/>
      <c r="FRC23" s="21"/>
      <c r="FRD23" s="21"/>
      <c r="FRE23" s="21"/>
      <c r="FRF23" s="21"/>
      <c r="FRG23" s="21"/>
      <c r="FRH23" s="21"/>
      <c r="FRI23" s="21"/>
      <c r="FRJ23" s="21"/>
      <c r="FRK23" s="21"/>
      <c r="FRL23" s="21"/>
      <c r="FRM23" s="21"/>
      <c r="FRN23" s="21"/>
      <c r="FRO23" s="21"/>
      <c r="FRP23" s="21"/>
      <c r="FRQ23" s="21"/>
      <c r="FRR23" s="21"/>
      <c r="FRS23" s="21"/>
      <c r="FRT23" s="21"/>
      <c r="FRU23" s="21"/>
      <c r="FRV23" s="21"/>
      <c r="FRW23" s="21"/>
      <c r="FRX23" s="21"/>
      <c r="FRY23" s="21"/>
      <c r="FRZ23" s="21"/>
      <c r="FSA23" s="21"/>
      <c r="FSB23" s="21"/>
      <c r="FSC23" s="21"/>
      <c r="FSD23" s="21"/>
      <c r="FSE23" s="21"/>
      <c r="FSF23" s="21"/>
      <c r="FSG23" s="21"/>
      <c r="FSH23" s="21"/>
      <c r="FSI23" s="21"/>
      <c r="FSJ23" s="21"/>
      <c r="FSK23" s="21"/>
      <c r="FSL23" s="21"/>
      <c r="FSM23" s="21"/>
      <c r="FSN23" s="21"/>
      <c r="FSO23" s="21"/>
      <c r="FSP23" s="21"/>
      <c r="FSQ23" s="21"/>
      <c r="FSR23" s="21"/>
      <c r="FSS23" s="21"/>
      <c r="FST23" s="21"/>
      <c r="FSU23" s="21"/>
      <c r="FSV23" s="21"/>
      <c r="FSW23" s="21"/>
      <c r="FSX23" s="21"/>
      <c r="FSY23" s="21"/>
      <c r="FSZ23" s="21"/>
      <c r="FTA23" s="21"/>
      <c r="FTB23" s="21"/>
      <c r="FTC23" s="21"/>
      <c r="FTD23" s="21"/>
      <c r="FTE23" s="21"/>
      <c r="FTF23" s="21"/>
      <c r="FTG23" s="21"/>
      <c r="FTH23" s="21"/>
      <c r="FTI23" s="21"/>
      <c r="FTJ23" s="21"/>
      <c r="FTK23" s="21"/>
      <c r="FTL23" s="21"/>
      <c r="FTM23" s="21"/>
      <c r="FTN23" s="21"/>
      <c r="FTO23" s="21"/>
      <c r="FTP23" s="21"/>
      <c r="FTQ23" s="21"/>
      <c r="FTR23" s="21"/>
      <c r="FTS23" s="21"/>
      <c r="FTT23" s="21"/>
      <c r="FTU23" s="21"/>
      <c r="FTV23" s="21"/>
      <c r="FTW23" s="21"/>
      <c r="FTX23" s="21"/>
      <c r="FTY23" s="21"/>
      <c r="FTZ23" s="21"/>
      <c r="FUA23" s="21"/>
      <c r="FUB23" s="21"/>
      <c r="FUC23" s="21"/>
      <c r="FUD23" s="21"/>
      <c r="FUE23" s="21"/>
      <c r="FUF23" s="21"/>
      <c r="FUG23" s="21"/>
      <c r="FUH23" s="21"/>
      <c r="FUI23" s="21"/>
      <c r="FUJ23" s="21"/>
      <c r="FUK23" s="21"/>
      <c r="FUL23" s="21"/>
      <c r="FUM23" s="21"/>
      <c r="FUN23" s="21"/>
      <c r="FUO23" s="21"/>
      <c r="FUP23" s="21"/>
      <c r="FUQ23" s="21"/>
      <c r="FUR23" s="21"/>
      <c r="FUS23" s="21"/>
      <c r="FUT23" s="21"/>
      <c r="FUU23" s="21"/>
      <c r="FUV23" s="21"/>
      <c r="FUW23" s="21"/>
      <c r="FUX23" s="21"/>
      <c r="FUY23" s="21"/>
      <c r="FUZ23" s="21"/>
      <c r="FVA23" s="21"/>
      <c r="FVB23" s="21"/>
      <c r="FVC23" s="21"/>
      <c r="FVD23" s="21"/>
      <c r="FVE23" s="21"/>
      <c r="FVF23" s="21"/>
      <c r="FVG23" s="21"/>
      <c r="FVH23" s="21"/>
      <c r="FVI23" s="21"/>
      <c r="FVJ23" s="21"/>
      <c r="FVK23" s="21"/>
      <c r="FVL23" s="21"/>
      <c r="FVM23" s="21"/>
      <c r="FVN23" s="21"/>
      <c r="FVO23" s="21"/>
      <c r="FVP23" s="21"/>
      <c r="FVQ23" s="21"/>
      <c r="FVR23" s="21"/>
      <c r="FVS23" s="21"/>
      <c r="FVT23" s="21"/>
      <c r="FVU23" s="21"/>
      <c r="FVV23" s="21"/>
      <c r="FVW23" s="21"/>
      <c r="FVX23" s="21"/>
      <c r="FVY23" s="21"/>
      <c r="FVZ23" s="21"/>
      <c r="FWA23" s="21"/>
      <c r="FWB23" s="21"/>
      <c r="FWC23" s="21"/>
      <c r="FWD23" s="21"/>
      <c r="FWE23" s="21"/>
      <c r="FWF23" s="21"/>
      <c r="FWG23" s="21"/>
      <c r="FWH23" s="21"/>
      <c r="FWI23" s="21"/>
      <c r="FWJ23" s="21"/>
      <c r="FWK23" s="21"/>
      <c r="FWL23" s="21"/>
      <c r="FWM23" s="21"/>
      <c r="FWN23" s="21"/>
      <c r="FWO23" s="21"/>
      <c r="FWP23" s="21"/>
      <c r="FWQ23" s="21"/>
      <c r="FWR23" s="21"/>
      <c r="FWS23" s="21"/>
      <c r="FWT23" s="21"/>
      <c r="FWU23" s="21"/>
      <c r="FWV23" s="21"/>
      <c r="FWW23" s="21"/>
      <c r="FWX23" s="21"/>
      <c r="FWY23" s="21"/>
      <c r="FWZ23" s="21"/>
      <c r="FXA23" s="21"/>
      <c r="FXB23" s="21"/>
      <c r="FXC23" s="21"/>
      <c r="FXD23" s="21"/>
      <c r="FXE23" s="21"/>
      <c r="FXF23" s="21"/>
      <c r="FXG23" s="21"/>
      <c r="FXH23" s="21"/>
      <c r="FXI23" s="21"/>
      <c r="FXJ23" s="21"/>
      <c r="FXK23" s="21"/>
      <c r="FXL23" s="21"/>
      <c r="FXM23" s="21"/>
      <c r="FXN23" s="21"/>
      <c r="FXO23" s="21"/>
      <c r="FXP23" s="21"/>
      <c r="FXQ23" s="21"/>
      <c r="FXR23" s="21"/>
      <c r="FXS23" s="21"/>
      <c r="FXT23" s="21"/>
      <c r="FXU23" s="21"/>
      <c r="FXV23" s="21"/>
      <c r="FXW23" s="21"/>
      <c r="FXX23" s="21"/>
      <c r="FXY23" s="21"/>
      <c r="FXZ23" s="21"/>
      <c r="FYA23" s="21"/>
      <c r="FYB23" s="21"/>
      <c r="FYC23" s="21"/>
      <c r="FYD23" s="21"/>
      <c r="FYE23" s="21"/>
      <c r="FYF23" s="21"/>
      <c r="FYG23" s="21"/>
      <c r="FYH23" s="21"/>
      <c r="FYI23" s="21"/>
      <c r="FYJ23" s="21"/>
      <c r="FYK23" s="21"/>
      <c r="FYL23" s="21"/>
      <c r="FYM23" s="21"/>
      <c r="FYN23" s="21"/>
      <c r="FYO23" s="21"/>
      <c r="FYP23" s="21"/>
      <c r="FYQ23" s="21"/>
      <c r="FYR23" s="21"/>
      <c r="FYS23" s="21"/>
      <c r="FYT23" s="21"/>
      <c r="FYU23" s="21"/>
      <c r="FYV23" s="21"/>
      <c r="FYW23" s="21"/>
      <c r="FYX23" s="21"/>
      <c r="FYY23" s="21"/>
      <c r="FYZ23" s="21"/>
      <c r="FZA23" s="21"/>
      <c r="FZB23" s="21"/>
      <c r="FZC23" s="21"/>
      <c r="FZD23" s="21"/>
      <c r="FZE23" s="21"/>
      <c r="FZF23" s="21"/>
      <c r="FZG23" s="21"/>
      <c r="FZH23" s="21"/>
      <c r="FZI23" s="21"/>
      <c r="FZJ23" s="21"/>
      <c r="FZK23" s="21"/>
      <c r="FZL23" s="21"/>
      <c r="FZM23" s="21"/>
      <c r="FZN23" s="21"/>
      <c r="FZO23" s="21"/>
      <c r="FZP23" s="21"/>
      <c r="FZQ23" s="21"/>
      <c r="FZR23" s="21"/>
      <c r="FZS23" s="21"/>
      <c r="FZT23" s="21"/>
      <c r="FZU23" s="21"/>
      <c r="FZV23" s="21"/>
      <c r="FZW23" s="21"/>
      <c r="FZX23" s="21"/>
      <c r="FZY23" s="21"/>
      <c r="FZZ23" s="21"/>
      <c r="GAA23" s="21"/>
      <c r="GAB23" s="21"/>
      <c r="GAC23" s="21"/>
      <c r="GAD23" s="21"/>
      <c r="GAE23" s="21"/>
      <c r="GAF23" s="21"/>
      <c r="GAG23" s="21"/>
      <c r="GAH23" s="21"/>
      <c r="GAI23" s="21"/>
      <c r="GAJ23" s="21"/>
      <c r="GAK23" s="21"/>
      <c r="GAL23" s="21"/>
      <c r="GAM23" s="21"/>
      <c r="GAN23" s="21"/>
      <c r="GAO23" s="21"/>
      <c r="GAP23" s="21"/>
      <c r="GAQ23" s="21"/>
      <c r="GAR23" s="21"/>
      <c r="GAS23" s="21"/>
      <c r="GAT23" s="21"/>
      <c r="GAU23" s="21"/>
      <c r="GAV23" s="21"/>
      <c r="GAW23" s="21"/>
      <c r="GAX23" s="21"/>
      <c r="GAY23" s="21"/>
      <c r="GAZ23" s="21"/>
      <c r="GBA23" s="21"/>
      <c r="GBB23" s="21"/>
      <c r="GBC23" s="21"/>
      <c r="GBD23" s="21"/>
      <c r="GBE23" s="21"/>
      <c r="GBF23" s="21"/>
      <c r="GBG23" s="21"/>
      <c r="GBH23" s="21"/>
      <c r="GBI23" s="21"/>
      <c r="GBJ23" s="21"/>
      <c r="GBK23" s="21"/>
      <c r="GBL23" s="21"/>
      <c r="GBM23" s="21"/>
      <c r="GBN23" s="21"/>
      <c r="GBO23" s="21"/>
      <c r="GBP23" s="21"/>
      <c r="GBQ23" s="21"/>
      <c r="GBR23" s="21"/>
      <c r="GBS23" s="21"/>
      <c r="GBT23" s="21"/>
      <c r="GBU23" s="21"/>
      <c r="GBV23" s="21"/>
      <c r="GBW23" s="21"/>
      <c r="GBX23" s="21"/>
      <c r="GBY23" s="21"/>
      <c r="GBZ23" s="21"/>
      <c r="GCA23" s="21"/>
      <c r="GCB23" s="21"/>
      <c r="GCC23" s="21"/>
      <c r="GCD23" s="21"/>
      <c r="GCE23" s="21"/>
      <c r="GCF23" s="21"/>
      <c r="GCG23" s="21"/>
      <c r="GCH23" s="21"/>
      <c r="GCI23" s="21"/>
      <c r="GCJ23" s="21"/>
      <c r="GCK23" s="21"/>
      <c r="GCL23" s="21"/>
      <c r="GCM23" s="21"/>
      <c r="GCN23" s="21"/>
      <c r="GCO23" s="21"/>
      <c r="GCP23" s="21"/>
      <c r="GCQ23" s="21"/>
      <c r="GCR23" s="21"/>
      <c r="GCS23" s="21"/>
      <c r="GCT23" s="21"/>
      <c r="GCU23" s="21"/>
      <c r="GCV23" s="21"/>
      <c r="GCW23" s="21"/>
      <c r="GCX23" s="21"/>
      <c r="GCY23" s="21"/>
      <c r="GCZ23" s="21"/>
      <c r="GDA23" s="21"/>
      <c r="GDB23" s="21"/>
      <c r="GDC23" s="21"/>
      <c r="GDD23" s="21"/>
      <c r="GDE23" s="21"/>
      <c r="GDF23" s="21"/>
      <c r="GDG23" s="21"/>
      <c r="GDH23" s="21"/>
      <c r="GDI23" s="21"/>
      <c r="GDJ23" s="21"/>
      <c r="GDK23" s="21"/>
      <c r="GDL23" s="21"/>
      <c r="GDM23" s="21"/>
      <c r="GDN23" s="21"/>
      <c r="GDO23" s="21"/>
      <c r="GDP23" s="21"/>
      <c r="GDQ23" s="21"/>
      <c r="GDR23" s="21"/>
      <c r="GDS23" s="21"/>
      <c r="GDT23" s="21"/>
      <c r="GDU23" s="21"/>
      <c r="GDV23" s="21"/>
      <c r="GDW23" s="21"/>
      <c r="GDX23" s="21"/>
      <c r="GDY23" s="21"/>
      <c r="GDZ23" s="21"/>
      <c r="GEA23" s="21"/>
      <c r="GEB23" s="21"/>
      <c r="GEC23" s="21"/>
      <c r="GED23" s="21"/>
      <c r="GEE23" s="21"/>
      <c r="GEF23" s="21"/>
      <c r="GEG23" s="21"/>
      <c r="GEH23" s="21"/>
      <c r="GEI23" s="21"/>
      <c r="GEJ23" s="21"/>
      <c r="GEK23" s="21"/>
      <c r="GEL23" s="21"/>
      <c r="GEM23" s="21"/>
      <c r="GEN23" s="21"/>
      <c r="GEO23" s="21"/>
      <c r="GEP23" s="21"/>
      <c r="GEQ23" s="21"/>
      <c r="GER23" s="21"/>
      <c r="GES23" s="21"/>
      <c r="GET23" s="21"/>
      <c r="GEU23" s="21"/>
      <c r="GEV23" s="21"/>
      <c r="GEW23" s="21"/>
      <c r="GEX23" s="21"/>
      <c r="GEY23" s="21"/>
      <c r="GEZ23" s="21"/>
      <c r="GFA23" s="21"/>
      <c r="GFB23" s="21"/>
      <c r="GFC23" s="21"/>
      <c r="GFD23" s="21"/>
      <c r="GFE23" s="21"/>
      <c r="GFF23" s="21"/>
      <c r="GFG23" s="21"/>
      <c r="GFH23" s="21"/>
      <c r="GFI23" s="21"/>
      <c r="GFJ23" s="21"/>
      <c r="GFK23" s="21"/>
      <c r="GFL23" s="21"/>
      <c r="GFM23" s="21"/>
      <c r="GFN23" s="21"/>
      <c r="GFO23" s="21"/>
      <c r="GFP23" s="21"/>
      <c r="GFQ23" s="21"/>
      <c r="GFR23" s="21"/>
      <c r="GFS23" s="21"/>
      <c r="GFT23" s="21"/>
      <c r="GFU23" s="21"/>
      <c r="GFV23" s="21"/>
      <c r="GFW23" s="21"/>
      <c r="GFX23" s="21"/>
      <c r="GFY23" s="21"/>
      <c r="GFZ23" s="21"/>
      <c r="GGA23" s="21"/>
      <c r="GGB23" s="21"/>
      <c r="GGC23" s="21"/>
      <c r="GGD23" s="21"/>
      <c r="GGE23" s="21"/>
      <c r="GGF23" s="21"/>
      <c r="GGG23" s="21"/>
      <c r="GGH23" s="21"/>
      <c r="GGI23" s="21"/>
      <c r="GGJ23" s="21"/>
      <c r="GGK23" s="21"/>
      <c r="GGL23" s="21"/>
      <c r="GGM23" s="21"/>
      <c r="GGN23" s="21"/>
      <c r="GGO23" s="21"/>
      <c r="GGP23" s="21"/>
      <c r="GGQ23" s="21"/>
      <c r="GGR23" s="21"/>
      <c r="GGS23" s="21"/>
      <c r="GGT23" s="21"/>
      <c r="GGU23" s="21"/>
      <c r="GGV23" s="21"/>
      <c r="GGW23" s="21"/>
      <c r="GGX23" s="21"/>
      <c r="GGY23" s="21"/>
      <c r="GGZ23" s="21"/>
      <c r="GHA23" s="21"/>
      <c r="GHB23" s="21"/>
      <c r="GHC23" s="21"/>
      <c r="GHD23" s="21"/>
      <c r="GHE23" s="21"/>
      <c r="GHF23" s="21"/>
      <c r="GHG23" s="21"/>
      <c r="GHH23" s="21"/>
      <c r="GHI23" s="21"/>
      <c r="GHJ23" s="21"/>
      <c r="GHK23" s="21"/>
      <c r="GHL23" s="21"/>
      <c r="GHM23" s="21"/>
      <c r="GHN23" s="21"/>
      <c r="GHO23" s="21"/>
      <c r="GHP23" s="21"/>
      <c r="GHQ23" s="21"/>
      <c r="GHR23" s="21"/>
      <c r="GHS23" s="21"/>
      <c r="GHT23" s="21"/>
      <c r="GHU23" s="21"/>
      <c r="GHV23" s="21"/>
      <c r="GHW23" s="21"/>
      <c r="GHX23" s="21"/>
      <c r="GHY23" s="21"/>
      <c r="GHZ23" s="21"/>
      <c r="GIA23" s="21"/>
      <c r="GIB23" s="21"/>
      <c r="GIC23" s="21"/>
      <c r="GID23" s="21"/>
      <c r="GIE23" s="21"/>
      <c r="GIF23" s="21"/>
      <c r="GIG23" s="21"/>
      <c r="GIH23" s="21"/>
      <c r="GII23" s="21"/>
      <c r="GIJ23" s="21"/>
      <c r="GIK23" s="21"/>
      <c r="GIL23" s="21"/>
      <c r="GIM23" s="21"/>
      <c r="GIN23" s="21"/>
      <c r="GIO23" s="21"/>
      <c r="GIP23" s="21"/>
      <c r="GIQ23" s="21"/>
      <c r="GIR23" s="21"/>
      <c r="GIS23" s="21"/>
      <c r="GIT23" s="21"/>
      <c r="GIU23" s="21"/>
      <c r="GIV23" s="21"/>
      <c r="GIW23" s="21"/>
      <c r="GIX23" s="21"/>
      <c r="GIY23" s="21"/>
      <c r="GIZ23" s="21"/>
      <c r="GJA23" s="21"/>
      <c r="GJB23" s="21"/>
      <c r="GJC23" s="21"/>
      <c r="GJD23" s="21"/>
      <c r="GJE23" s="21"/>
      <c r="GJF23" s="21"/>
      <c r="GJG23" s="21"/>
      <c r="GJH23" s="21"/>
      <c r="GJI23" s="21"/>
      <c r="GJJ23" s="21"/>
      <c r="GJK23" s="21"/>
      <c r="GJL23" s="21"/>
      <c r="GJM23" s="21"/>
      <c r="GJN23" s="21"/>
      <c r="GJO23" s="21"/>
      <c r="GJP23" s="21"/>
      <c r="GJQ23" s="21"/>
      <c r="GJR23" s="21"/>
      <c r="GJS23" s="21"/>
      <c r="GJT23" s="21"/>
      <c r="GJU23" s="21"/>
      <c r="GJV23" s="21"/>
      <c r="GJW23" s="21"/>
      <c r="GJX23" s="21"/>
      <c r="GJY23" s="21"/>
      <c r="GJZ23" s="21"/>
      <c r="GKA23" s="21"/>
      <c r="GKB23" s="21"/>
      <c r="GKC23" s="21"/>
      <c r="GKD23" s="21"/>
      <c r="GKE23" s="21"/>
      <c r="GKF23" s="21"/>
      <c r="GKG23" s="21"/>
      <c r="GKH23" s="21"/>
      <c r="GKI23" s="21"/>
      <c r="GKJ23" s="21"/>
      <c r="GKK23" s="21"/>
      <c r="GKL23" s="21"/>
      <c r="GKM23" s="21"/>
      <c r="GKN23" s="21"/>
      <c r="GKO23" s="21"/>
      <c r="GKP23" s="21"/>
      <c r="GKQ23" s="21"/>
      <c r="GKR23" s="21"/>
      <c r="GKS23" s="21"/>
      <c r="GKT23" s="21"/>
      <c r="GKU23" s="21"/>
      <c r="GKV23" s="21"/>
      <c r="GKW23" s="21"/>
      <c r="GKX23" s="21"/>
      <c r="GKY23" s="21"/>
      <c r="GKZ23" s="21"/>
      <c r="GLA23" s="21"/>
      <c r="GLB23" s="21"/>
      <c r="GLC23" s="21"/>
      <c r="GLD23" s="21"/>
      <c r="GLE23" s="21"/>
      <c r="GLF23" s="21"/>
      <c r="GLG23" s="21"/>
      <c r="GLH23" s="21"/>
      <c r="GLI23" s="21"/>
      <c r="GLJ23" s="21"/>
      <c r="GLK23" s="21"/>
      <c r="GLL23" s="21"/>
      <c r="GLM23" s="21"/>
      <c r="GLN23" s="21"/>
      <c r="GLO23" s="21"/>
      <c r="GLP23" s="21"/>
      <c r="GLQ23" s="21"/>
      <c r="GLR23" s="21"/>
      <c r="GLS23" s="21"/>
      <c r="GLT23" s="21"/>
      <c r="GLU23" s="21"/>
      <c r="GLV23" s="21"/>
      <c r="GLW23" s="21"/>
      <c r="GLX23" s="21"/>
      <c r="GLY23" s="21"/>
      <c r="GLZ23" s="21"/>
      <c r="GMA23" s="21"/>
      <c r="GMB23" s="21"/>
      <c r="GMC23" s="21"/>
      <c r="GMD23" s="21"/>
      <c r="GME23" s="21"/>
      <c r="GMF23" s="21"/>
      <c r="GMG23" s="21"/>
      <c r="GMH23" s="21"/>
      <c r="GMI23" s="21"/>
      <c r="GMJ23" s="21"/>
      <c r="GMK23" s="21"/>
      <c r="GML23" s="21"/>
      <c r="GMM23" s="21"/>
      <c r="GMN23" s="21"/>
      <c r="GMO23" s="21"/>
      <c r="GMP23" s="21"/>
      <c r="GMQ23" s="21"/>
      <c r="GMR23" s="21"/>
      <c r="GMS23" s="21"/>
      <c r="GMT23" s="21"/>
      <c r="GMU23" s="21"/>
      <c r="GMV23" s="21"/>
      <c r="GMW23" s="21"/>
      <c r="GMX23" s="21"/>
      <c r="GMY23" s="21"/>
      <c r="GMZ23" s="21"/>
      <c r="GNA23" s="21"/>
      <c r="GNB23" s="21"/>
      <c r="GNC23" s="21"/>
      <c r="GND23" s="21"/>
      <c r="GNE23" s="21"/>
      <c r="GNF23" s="21"/>
      <c r="GNG23" s="21"/>
      <c r="GNH23" s="21"/>
      <c r="GNI23" s="21"/>
      <c r="GNJ23" s="21"/>
      <c r="GNK23" s="21"/>
      <c r="GNL23" s="21"/>
      <c r="GNM23" s="21"/>
      <c r="GNN23" s="21"/>
      <c r="GNO23" s="21"/>
      <c r="GNP23" s="21"/>
      <c r="GNQ23" s="21"/>
      <c r="GNR23" s="21"/>
      <c r="GNS23" s="21"/>
      <c r="GNT23" s="21"/>
      <c r="GNU23" s="21"/>
      <c r="GNV23" s="21"/>
      <c r="GNW23" s="21"/>
      <c r="GNX23" s="21"/>
      <c r="GNY23" s="21"/>
      <c r="GNZ23" s="21"/>
      <c r="GOA23" s="21"/>
      <c r="GOB23" s="21"/>
      <c r="GOC23" s="21"/>
      <c r="GOD23" s="21"/>
      <c r="GOE23" s="21"/>
      <c r="GOF23" s="21"/>
      <c r="GOG23" s="21"/>
      <c r="GOH23" s="21"/>
      <c r="GOI23" s="21"/>
      <c r="GOJ23" s="21"/>
      <c r="GOK23" s="21"/>
      <c r="GOL23" s="21"/>
      <c r="GOM23" s="21"/>
      <c r="GON23" s="21"/>
      <c r="GOO23" s="21"/>
      <c r="GOP23" s="21"/>
      <c r="GOQ23" s="21"/>
      <c r="GOR23" s="21"/>
      <c r="GOS23" s="21"/>
      <c r="GOT23" s="21"/>
      <c r="GOU23" s="21"/>
      <c r="GOV23" s="21"/>
      <c r="GOW23" s="21"/>
      <c r="GOX23" s="21"/>
      <c r="GOY23" s="21"/>
      <c r="GOZ23" s="21"/>
      <c r="GPA23" s="21"/>
      <c r="GPB23" s="21"/>
      <c r="GPC23" s="21"/>
      <c r="GPD23" s="21"/>
      <c r="GPE23" s="21"/>
      <c r="GPF23" s="21"/>
      <c r="GPG23" s="21"/>
      <c r="GPH23" s="21"/>
      <c r="GPI23" s="21"/>
      <c r="GPJ23" s="21"/>
      <c r="GPK23" s="21"/>
      <c r="GPL23" s="21"/>
      <c r="GPM23" s="21"/>
      <c r="GPN23" s="21"/>
      <c r="GPO23" s="21"/>
      <c r="GPP23" s="21"/>
      <c r="GPQ23" s="21"/>
      <c r="GPR23" s="21"/>
      <c r="GPS23" s="21"/>
      <c r="GPT23" s="21"/>
      <c r="GPU23" s="21"/>
      <c r="GPV23" s="21"/>
      <c r="GPW23" s="21"/>
      <c r="GPX23" s="21"/>
      <c r="GPY23" s="21"/>
      <c r="GPZ23" s="21"/>
      <c r="GQA23" s="21"/>
      <c r="GQB23" s="21"/>
      <c r="GQC23" s="21"/>
      <c r="GQD23" s="21"/>
      <c r="GQE23" s="21"/>
      <c r="GQF23" s="21"/>
      <c r="GQG23" s="21"/>
      <c r="GQH23" s="21"/>
      <c r="GQI23" s="21"/>
      <c r="GQJ23" s="21"/>
      <c r="GQK23" s="21"/>
      <c r="GQL23" s="21"/>
      <c r="GQM23" s="21"/>
      <c r="GQN23" s="21"/>
      <c r="GQO23" s="21"/>
      <c r="GQP23" s="21"/>
      <c r="GQQ23" s="21"/>
      <c r="GQR23" s="21"/>
      <c r="GQS23" s="21"/>
      <c r="GQT23" s="21"/>
      <c r="GQU23" s="21"/>
      <c r="GQV23" s="21"/>
      <c r="GQW23" s="21"/>
      <c r="GQX23" s="21"/>
      <c r="GQY23" s="21"/>
      <c r="GQZ23" s="21"/>
      <c r="GRA23" s="21"/>
      <c r="GRB23" s="21"/>
      <c r="GRC23" s="21"/>
      <c r="GRD23" s="21"/>
      <c r="GRE23" s="21"/>
      <c r="GRF23" s="21"/>
      <c r="GRG23" s="21"/>
      <c r="GRH23" s="21"/>
      <c r="GRI23" s="21"/>
      <c r="GRJ23" s="21"/>
      <c r="GRK23" s="21"/>
      <c r="GRL23" s="21"/>
      <c r="GRM23" s="21"/>
      <c r="GRN23" s="21"/>
      <c r="GRO23" s="21"/>
      <c r="GRP23" s="21"/>
      <c r="GRQ23" s="21"/>
      <c r="GRR23" s="21"/>
      <c r="GRS23" s="21"/>
      <c r="GRT23" s="21"/>
      <c r="GRU23" s="21"/>
      <c r="GRV23" s="21"/>
      <c r="GRW23" s="21"/>
      <c r="GRX23" s="21"/>
      <c r="GRY23" s="21"/>
      <c r="GRZ23" s="21"/>
      <c r="GSA23" s="21"/>
      <c r="GSB23" s="21"/>
      <c r="GSC23" s="21"/>
      <c r="GSD23" s="21"/>
      <c r="GSE23" s="21"/>
      <c r="GSF23" s="21"/>
      <c r="GSG23" s="21"/>
      <c r="GSH23" s="21"/>
      <c r="GSI23" s="21"/>
      <c r="GSJ23" s="21"/>
      <c r="GSK23" s="21"/>
      <c r="GSL23" s="21"/>
      <c r="GSM23" s="21"/>
      <c r="GSN23" s="21"/>
      <c r="GSO23" s="21"/>
      <c r="GSP23" s="21"/>
      <c r="GSQ23" s="21"/>
      <c r="GSR23" s="21"/>
      <c r="GSS23" s="21"/>
      <c r="GST23" s="21"/>
      <c r="GSU23" s="21"/>
      <c r="GSV23" s="21"/>
      <c r="GSW23" s="21"/>
      <c r="GSX23" s="21"/>
      <c r="GSY23" s="21"/>
      <c r="GSZ23" s="21"/>
      <c r="GTA23" s="21"/>
      <c r="GTB23" s="21"/>
      <c r="GTC23" s="21"/>
      <c r="GTD23" s="21"/>
      <c r="GTE23" s="21"/>
      <c r="GTF23" s="21"/>
      <c r="GTG23" s="21"/>
      <c r="GTH23" s="21"/>
      <c r="GTI23" s="21"/>
      <c r="GTJ23" s="21"/>
      <c r="GTK23" s="21"/>
      <c r="GTL23" s="21"/>
      <c r="GTM23" s="21"/>
      <c r="GTN23" s="21"/>
      <c r="GTO23" s="21"/>
      <c r="GTP23" s="21"/>
      <c r="GTQ23" s="21"/>
      <c r="GTR23" s="21"/>
      <c r="GTS23" s="21"/>
      <c r="GTT23" s="21"/>
      <c r="GTU23" s="21"/>
      <c r="GTV23" s="21"/>
      <c r="GTW23" s="21"/>
      <c r="GTX23" s="21"/>
      <c r="GTY23" s="21"/>
      <c r="GTZ23" s="21"/>
      <c r="GUA23" s="21"/>
      <c r="GUB23" s="21"/>
      <c r="GUC23" s="21"/>
      <c r="GUD23" s="21"/>
      <c r="GUE23" s="21"/>
      <c r="GUF23" s="21"/>
      <c r="GUG23" s="21"/>
      <c r="GUH23" s="21"/>
      <c r="GUI23" s="21"/>
      <c r="GUJ23" s="21"/>
      <c r="GUK23" s="21"/>
      <c r="GUL23" s="21"/>
      <c r="GUM23" s="21"/>
      <c r="GUN23" s="21"/>
      <c r="GUO23" s="21"/>
      <c r="GUP23" s="21"/>
      <c r="GUQ23" s="21"/>
      <c r="GUR23" s="21"/>
      <c r="GUS23" s="21"/>
      <c r="GUT23" s="21"/>
      <c r="GUU23" s="21"/>
      <c r="GUV23" s="21"/>
      <c r="GUW23" s="21"/>
      <c r="GUX23" s="21"/>
      <c r="GUY23" s="21"/>
      <c r="GUZ23" s="21"/>
      <c r="GVA23" s="21"/>
      <c r="GVB23" s="21"/>
      <c r="GVC23" s="21"/>
      <c r="GVD23" s="21"/>
      <c r="GVE23" s="21"/>
      <c r="GVF23" s="21"/>
      <c r="GVG23" s="21"/>
      <c r="GVH23" s="21"/>
      <c r="GVI23" s="21"/>
      <c r="GVJ23" s="21"/>
      <c r="GVK23" s="21"/>
      <c r="GVL23" s="21"/>
      <c r="GVM23" s="21"/>
      <c r="GVN23" s="21"/>
      <c r="GVO23" s="21"/>
      <c r="GVP23" s="21"/>
      <c r="GVQ23" s="21"/>
      <c r="GVR23" s="21"/>
      <c r="GVS23" s="21"/>
      <c r="GVT23" s="21"/>
      <c r="GVU23" s="21"/>
      <c r="GVV23" s="21"/>
      <c r="GVW23" s="21"/>
      <c r="GVX23" s="21"/>
      <c r="GVY23" s="21"/>
      <c r="GVZ23" s="21"/>
      <c r="GWA23" s="21"/>
      <c r="GWB23" s="21"/>
      <c r="GWC23" s="21"/>
      <c r="GWD23" s="21"/>
      <c r="GWE23" s="21"/>
      <c r="GWF23" s="21"/>
      <c r="GWG23" s="21"/>
      <c r="GWH23" s="21"/>
      <c r="GWI23" s="21"/>
      <c r="GWJ23" s="21"/>
      <c r="GWK23" s="21"/>
      <c r="GWL23" s="21"/>
      <c r="GWM23" s="21"/>
      <c r="GWN23" s="21"/>
      <c r="GWO23" s="21"/>
      <c r="GWP23" s="21"/>
      <c r="GWQ23" s="21"/>
      <c r="GWR23" s="21"/>
      <c r="GWS23" s="21"/>
      <c r="GWT23" s="21"/>
      <c r="GWU23" s="21"/>
      <c r="GWV23" s="21"/>
      <c r="GWW23" s="21"/>
      <c r="GWX23" s="21"/>
      <c r="GWY23" s="21"/>
      <c r="GWZ23" s="21"/>
      <c r="GXA23" s="21"/>
      <c r="GXB23" s="21"/>
      <c r="GXC23" s="21"/>
      <c r="GXD23" s="21"/>
      <c r="GXE23" s="21"/>
      <c r="GXF23" s="21"/>
      <c r="GXG23" s="21"/>
      <c r="GXH23" s="21"/>
      <c r="GXI23" s="21"/>
      <c r="GXJ23" s="21"/>
      <c r="GXK23" s="21"/>
      <c r="GXL23" s="21"/>
      <c r="GXM23" s="21"/>
      <c r="GXN23" s="21"/>
      <c r="GXO23" s="21"/>
      <c r="GXP23" s="21"/>
      <c r="GXQ23" s="21"/>
      <c r="GXR23" s="21"/>
      <c r="GXS23" s="21"/>
      <c r="GXT23" s="21"/>
      <c r="GXU23" s="21"/>
      <c r="GXV23" s="21"/>
      <c r="GXW23" s="21"/>
      <c r="GXX23" s="21"/>
      <c r="GXY23" s="21"/>
      <c r="GXZ23" s="21"/>
      <c r="GYA23" s="21"/>
      <c r="GYB23" s="21"/>
      <c r="GYC23" s="21"/>
      <c r="GYD23" s="21"/>
      <c r="GYE23" s="21"/>
      <c r="GYF23" s="21"/>
      <c r="GYG23" s="21"/>
      <c r="GYH23" s="21"/>
      <c r="GYI23" s="21"/>
      <c r="GYJ23" s="21"/>
      <c r="GYK23" s="21"/>
      <c r="GYL23" s="21"/>
      <c r="GYM23" s="21"/>
      <c r="GYN23" s="21"/>
      <c r="GYO23" s="21"/>
      <c r="GYP23" s="21"/>
      <c r="GYQ23" s="21"/>
      <c r="GYR23" s="21"/>
      <c r="GYS23" s="21"/>
      <c r="GYT23" s="21"/>
      <c r="GYU23" s="21"/>
      <c r="GYV23" s="21"/>
      <c r="GYW23" s="21"/>
      <c r="GYX23" s="21"/>
      <c r="GYY23" s="21"/>
      <c r="GYZ23" s="21"/>
      <c r="GZA23" s="21"/>
      <c r="GZB23" s="21"/>
      <c r="GZC23" s="21"/>
      <c r="GZD23" s="21"/>
      <c r="GZE23" s="21"/>
      <c r="GZF23" s="21"/>
      <c r="GZG23" s="21"/>
      <c r="GZH23" s="21"/>
      <c r="GZI23" s="21"/>
      <c r="GZJ23" s="21"/>
      <c r="GZK23" s="21"/>
      <c r="GZL23" s="21"/>
      <c r="GZM23" s="21"/>
      <c r="GZN23" s="21"/>
      <c r="GZO23" s="21"/>
      <c r="GZP23" s="21"/>
      <c r="GZQ23" s="21"/>
      <c r="GZR23" s="21"/>
      <c r="GZS23" s="21"/>
      <c r="GZT23" s="21"/>
      <c r="GZU23" s="21"/>
      <c r="GZV23" s="21"/>
      <c r="GZW23" s="21"/>
      <c r="GZX23" s="21"/>
      <c r="GZY23" s="21"/>
      <c r="GZZ23" s="21"/>
      <c r="HAA23" s="21"/>
      <c r="HAB23" s="21"/>
      <c r="HAC23" s="21"/>
      <c r="HAD23" s="21"/>
      <c r="HAE23" s="21"/>
      <c r="HAF23" s="21"/>
      <c r="HAG23" s="21"/>
      <c r="HAH23" s="21"/>
      <c r="HAI23" s="21"/>
      <c r="HAJ23" s="21"/>
      <c r="HAK23" s="21"/>
      <c r="HAL23" s="21"/>
      <c r="HAM23" s="21"/>
      <c r="HAN23" s="21"/>
      <c r="HAO23" s="21"/>
      <c r="HAP23" s="21"/>
      <c r="HAQ23" s="21"/>
      <c r="HAR23" s="21"/>
      <c r="HAS23" s="21"/>
      <c r="HAT23" s="21"/>
      <c r="HAU23" s="21"/>
      <c r="HAV23" s="21"/>
      <c r="HAW23" s="21"/>
      <c r="HAX23" s="21"/>
      <c r="HAY23" s="21"/>
      <c r="HAZ23" s="21"/>
      <c r="HBA23" s="21"/>
      <c r="HBB23" s="21"/>
      <c r="HBC23" s="21"/>
      <c r="HBD23" s="21"/>
      <c r="HBE23" s="21"/>
      <c r="HBF23" s="21"/>
      <c r="HBG23" s="21"/>
      <c r="HBH23" s="21"/>
      <c r="HBI23" s="21"/>
      <c r="HBJ23" s="21"/>
      <c r="HBK23" s="21"/>
      <c r="HBL23" s="21"/>
      <c r="HBM23" s="21"/>
      <c r="HBN23" s="21"/>
      <c r="HBO23" s="21"/>
      <c r="HBP23" s="21"/>
      <c r="HBQ23" s="21"/>
      <c r="HBR23" s="21"/>
      <c r="HBS23" s="21"/>
      <c r="HBT23" s="21"/>
      <c r="HBU23" s="21"/>
      <c r="HBV23" s="21"/>
      <c r="HBW23" s="21"/>
      <c r="HBX23" s="21"/>
      <c r="HBY23" s="21"/>
      <c r="HBZ23" s="21"/>
      <c r="HCA23" s="21"/>
      <c r="HCB23" s="21"/>
      <c r="HCC23" s="21"/>
      <c r="HCD23" s="21"/>
      <c r="HCE23" s="21"/>
      <c r="HCF23" s="21"/>
      <c r="HCG23" s="21"/>
      <c r="HCH23" s="21"/>
      <c r="HCI23" s="21"/>
      <c r="HCJ23" s="21"/>
      <c r="HCK23" s="21"/>
      <c r="HCL23" s="21"/>
      <c r="HCM23" s="21"/>
      <c r="HCN23" s="21"/>
      <c r="HCO23" s="21"/>
      <c r="HCP23" s="21"/>
      <c r="HCQ23" s="21"/>
      <c r="HCR23" s="21"/>
      <c r="HCS23" s="21"/>
      <c r="HCT23" s="21"/>
      <c r="HCU23" s="21"/>
      <c r="HCV23" s="21"/>
      <c r="HCW23" s="21"/>
      <c r="HCX23" s="21"/>
      <c r="HCY23" s="21"/>
      <c r="HCZ23" s="21"/>
      <c r="HDA23" s="21"/>
      <c r="HDB23" s="21"/>
      <c r="HDC23" s="21"/>
      <c r="HDD23" s="21"/>
      <c r="HDE23" s="21"/>
      <c r="HDF23" s="21"/>
      <c r="HDG23" s="21"/>
      <c r="HDH23" s="21"/>
      <c r="HDI23" s="21"/>
      <c r="HDJ23" s="21"/>
      <c r="HDK23" s="21"/>
      <c r="HDL23" s="21"/>
      <c r="HDM23" s="21"/>
      <c r="HDN23" s="21"/>
      <c r="HDO23" s="21"/>
      <c r="HDP23" s="21"/>
      <c r="HDQ23" s="21"/>
      <c r="HDR23" s="21"/>
      <c r="HDS23" s="21"/>
      <c r="HDT23" s="21"/>
      <c r="HDU23" s="21"/>
      <c r="HDV23" s="21"/>
      <c r="HDW23" s="21"/>
      <c r="HDX23" s="21"/>
      <c r="HDY23" s="21"/>
      <c r="HDZ23" s="21"/>
      <c r="HEA23" s="21"/>
      <c r="HEB23" s="21"/>
      <c r="HEC23" s="21"/>
      <c r="HED23" s="21"/>
      <c r="HEE23" s="21"/>
      <c r="HEF23" s="21"/>
      <c r="HEG23" s="21"/>
      <c r="HEH23" s="21"/>
      <c r="HEI23" s="21"/>
      <c r="HEJ23" s="21"/>
      <c r="HEK23" s="21"/>
      <c r="HEL23" s="21"/>
      <c r="HEM23" s="21"/>
      <c r="HEN23" s="21"/>
      <c r="HEO23" s="21"/>
      <c r="HEP23" s="21"/>
      <c r="HEQ23" s="21"/>
      <c r="HER23" s="21"/>
      <c r="HES23" s="21"/>
      <c r="HET23" s="21"/>
      <c r="HEU23" s="21"/>
      <c r="HEV23" s="21"/>
      <c r="HEW23" s="21"/>
      <c r="HEX23" s="21"/>
      <c r="HEY23" s="21"/>
      <c r="HEZ23" s="21"/>
      <c r="HFA23" s="21"/>
      <c r="HFB23" s="21"/>
      <c r="HFC23" s="21"/>
      <c r="HFD23" s="21"/>
      <c r="HFE23" s="21"/>
      <c r="HFF23" s="21"/>
      <c r="HFG23" s="21"/>
      <c r="HFH23" s="21"/>
      <c r="HFI23" s="21"/>
      <c r="HFJ23" s="21"/>
      <c r="HFK23" s="21"/>
      <c r="HFL23" s="21"/>
      <c r="HFM23" s="21"/>
      <c r="HFN23" s="21"/>
      <c r="HFO23" s="21"/>
      <c r="HFP23" s="21"/>
      <c r="HFQ23" s="21"/>
      <c r="HFR23" s="21"/>
      <c r="HFS23" s="21"/>
      <c r="HFT23" s="21"/>
      <c r="HFU23" s="21"/>
      <c r="HFV23" s="21"/>
      <c r="HFW23" s="21"/>
      <c r="HFX23" s="21"/>
      <c r="HFY23" s="21"/>
      <c r="HFZ23" s="21"/>
      <c r="HGA23" s="21"/>
      <c r="HGB23" s="21"/>
      <c r="HGC23" s="21"/>
      <c r="HGD23" s="21"/>
      <c r="HGE23" s="21"/>
      <c r="HGF23" s="21"/>
      <c r="HGG23" s="21"/>
      <c r="HGH23" s="21"/>
      <c r="HGI23" s="21"/>
      <c r="HGJ23" s="21"/>
      <c r="HGK23" s="21"/>
      <c r="HGL23" s="21"/>
      <c r="HGM23" s="21"/>
      <c r="HGN23" s="21"/>
      <c r="HGO23" s="21"/>
      <c r="HGP23" s="21"/>
      <c r="HGQ23" s="21"/>
      <c r="HGR23" s="21"/>
      <c r="HGS23" s="21"/>
      <c r="HGT23" s="21"/>
      <c r="HGU23" s="21"/>
      <c r="HGV23" s="21"/>
      <c r="HGW23" s="21"/>
      <c r="HGX23" s="21"/>
      <c r="HGY23" s="21"/>
      <c r="HGZ23" s="21"/>
      <c r="HHA23" s="21"/>
      <c r="HHB23" s="21"/>
      <c r="HHC23" s="21"/>
      <c r="HHD23" s="21"/>
      <c r="HHE23" s="21"/>
      <c r="HHF23" s="21"/>
      <c r="HHG23" s="21"/>
      <c r="HHH23" s="21"/>
      <c r="HHI23" s="21"/>
      <c r="HHJ23" s="21"/>
      <c r="HHK23" s="21"/>
      <c r="HHL23" s="21"/>
      <c r="HHM23" s="21"/>
      <c r="HHN23" s="21"/>
      <c r="HHO23" s="21"/>
      <c r="HHP23" s="21"/>
      <c r="HHQ23" s="21"/>
      <c r="HHR23" s="21"/>
      <c r="HHS23" s="21"/>
      <c r="HHT23" s="21"/>
      <c r="HHU23" s="21"/>
      <c r="HHV23" s="21"/>
      <c r="HHW23" s="21"/>
      <c r="HHX23" s="21"/>
      <c r="HHY23" s="21"/>
      <c r="HHZ23" s="21"/>
      <c r="HIA23" s="21"/>
      <c r="HIB23" s="21"/>
      <c r="HIC23" s="21"/>
      <c r="HID23" s="21"/>
      <c r="HIE23" s="21"/>
      <c r="HIF23" s="21"/>
      <c r="HIG23" s="21"/>
      <c r="HIH23" s="21"/>
      <c r="HII23" s="21"/>
      <c r="HIJ23" s="21"/>
      <c r="HIK23" s="21"/>
      <c r="HIL23" s="21"/>
      <c r="HIM23" s="21"/>
      <c r="HIN23" s="21"/>
      <c r="HIO23" s="21"/>
      <c r="HIP23" s="21"/>
      <c r="HIQ23" s="21"/>
      <c r="HIR23" s="21"/>
      <c r="HIS23" s="21"/>
      <c r="HIT23" s="21"/>
      <c r="HIU23" s="21"/>
      <c r="HIV23" s="21"/>
      <c r="HIW23" s="21"/>
      <c r="HIX23" s="21"/>
      <c r="HIY23" s="21"/>
      <c r="HIZ23" s="21"/>
      <c r="HJA23" s="21"/>
      <c r="HJB23" s="21"/>
      <c r="HJC23" s="21"/>
      <c r="HJD23" s="21"/>
      <c r="HJE23" s="21"/>
      <c r="HJF23" s="21"/>
      <c r="HJG23" s="21"/>
      <c r="HJH23" s="21"/>
      <c r="HJI23" s="21"/>
      <c r="HJJ23" s="21"/>
      <c r="HJK23" s="21"/>
      <c r="HJL23" s="21"/>
      <c r="HJM23" s="21"/>
      <c r="HJN23" s="21"/>
      <c r="HJO23" s="21"/>
      <c r="HJP23" s="21"/>
      <c r="HJQ23" s="21"/>
      <c r="HJR23" s="21"/>
      <c r="HJS23" s="21"/>
      <c r="HJT23" s="21"/>
      <c r="HJU23" s="21"/>
      <c r="HJV23" s="21"/>
      <c r="HJW23" s="21"/>
      <c r="HJX23" s="21"/>
      <c r="HJY23" s="21"/>
      <c r="HJZ23" s="21"/>
      <c r="HKA23" s="21"/>
      <c r="HKB23" s="21"/>
      <c r="HKC23" s="21"/>
      <c r="HKD23" s="21"/>
      <c r="HKE23" s="21"/>
      <c r="HKF23" s="21"/>
      <c r="HKG23" s="21"/>
      <c r="HKH23" s="21"/>
      <c r="HKI23" s="21"/>
      <c r="HKJ23" s="21"/>
      <c r="HKK23" s="21"/>
      <c r="HKL23" s="21"/>
      <c r="HKM23" s="21"/>
      <c r="HKN23" s="21"/>
      <c r="HKO23" s="21"/>
      <c r="HKP23" s="21"/>
      <c r="HKQ23" s="21"/>
      <c r="HKR23" s="21"/>
      <c r="HKS23" s="21"/>
      <c r="HKT23" s="21"/>
      <c r="HKU23" s="21"/>
      <c r="HKV23" s="21"/>
      <c r="HKW23" s="21"/>
      <c r="HKX23" s="21"/>
      <c r="HKY23" s="21"/>
      <c r="HKZ23" s="21"/>
      <c r="HLA23" s="21"/>
      <c r="HLB23" s="21"/>
      <c r="HLC23" s="21"/>
      <c r="HLD23" s="21"/>
      <c r="HLE23" s="21"/>
      <c r="HLF23" s="21"/>
      <c r="HLG23" s="21"/>
      <c r="HLH23" s="21"/>
      <c r="HLI23" s="21"/>
      <c r="HLJ23" s="21"/>
      <c r="HLK23" s="21"/>
      <c r="HLL23" s="21"/>
      <c r="HLM23" s="21"/>
      <c r="HLN23" s="21"/>
      <c r="HLO23" s="21"/>
      <c r="HLP23" s="21"/>
      <c r="HLQ23" s="21"/>
      <c r="HLR23" s="21"/>
      <c r="HLS23" s="21"/>
      <c r="HLT23" s="21"/>
      <c r="HLU23" s="21"/>
      <c r="HLV23" s="21"/>
      <c r="HLW23" s="21"/>
      <c r="HLX23" s="21"/>
      <c r="HLY23" s="21"/>
      <c r="HLZ23" s="21"/>
      <c r="HMA23" s="21"/>
      <c r="HMB23" s="21"/>
      <c r="HMC23" s="21"/>
      <c r="HMD23" s="21"/>
      <c r="HME23" s="21"/>
      <c r="HMF23" s="21"/>
      <c r="HMG23" s="21"/>
      <c r="HMH23" s="21"/>
      <c r="HMI23" s="21"/>
      <c r="HMJ23" s="21"/>
      <c r="HMK23" s="21"/>
      <c r="HML23" s="21"/>
      <c r="HMM23" s="21"/>
      <c r="HMN23" s="21"/>
      <c r="HMO23" s="21"/>
      <c r="HMP23" s="21"/>
      <c r="HMQ23" s="21"/>
      <c r="HMR23" s="21"/>
      <c r="HMS23" s="21"/>
      <c r="HMT23" s="21"/>
      <c r="HMU23" s="21"/>
      <c r="HMV23" s="21"/>
      <c r="HMW23" s="21"/>
      <c r="HMX23" s="21"/>
      <c r="HMY23" s="21"/>
      <c r="HMZ23" s="21"/>
      <c r="HNA23" s="21"/>
      <c r="HNB23" s="21"/>
      <c r="HNC23" s="21"/>
      <c r="HND23" s="21"/>
      <c r="HNE23" s="21"/>
      <c r="HNF23" s="21"/>
      <c r="HNG23" s="21"/>
      <c r="HNH23" s="21"/>
      <c r="HNI23" s="21"/>
      <c r="HNJ23" s="21"/>
      <c r="HNK23" s="21"/>
      <c r="HNL23" s="21"/>
      <c r="HNM23" s="21"/>
      <c r="HNN23" s="21"/>
      <c r="HNO23" s="21"/>
      <c r="HNP23" s="21"/>
      <c r="HNQ23" s="21"/>
      <c r="HNR23" s="21"/>
      <c r="HNS23" s="21"/>
      <c r="HNT23" s="21"/>
      <c r="HNU23" s="21"/>
      <c r="HNV23" s="21"/>
      <c r="HNW23" s="21"/>
      <c r="HNX23" s="21"/>
      <c r="HNY23" s="21"/>
      <c r="HNZ23" s="21"/>
      <c r="HOA23" s="21"/>
      <c r="HOB23" s="21"/>
      <c r="HOC23" s="21"/>
      <c r="HOD23" s="21"/>
      <c r="HOE23" s="21"/>
      <c r="HOF23" s="21"/>
      <c r="HOG23" s="21"/>
      <c r="HOH23" s="21"/>
      <c r="HOI23" s="21"/>
      <c r="HOJ23" s="21"/>
      <c r="HOK23" s="21"/>
      <c r="HOL23" s="21"/>
      <c r="HOM23" s="21"/>
      <c r="HON23" s="21"/>
      <c r="HOO23" s="21"/>
      <c r="HOP23" s="21"/>
      <c r="HOQ23" s="21"/>
      <c r="HOR23" s="21"/>
      <c r="HOS23" s="21"/>
      <c r="HOT23" s="21"/>
      <c r="HOU23" s="21"/>
      <c r="HOV23" s="21"/>
      <c r="HOW23" s="21"/>
      <c r="HOX23" s="21"/>
      <c r="HOY23" s="21"/>
      <c r="HOZ23" s="21"/>
      <c r="HPA23" s="21"/>
      <c r="HPB23" s="21"/>
      <c r="HPC23" s="21"/>
      <c r="HPD23" s="21"/>
      <c r="HPE23" s="21"/>
      <c r="HPF23" s="21"/>
      <c r="HPG23" s="21"/>
      <c r="HPH23" s="21"/>
      <c r="HPI23" s="21"/>
      <c r="HPJ23" s="21"/>
      <c r="HPK23" s="21"/>
      <c r="HPL23" s="21"/>
      <c r="HPM23" s="21"/>
      <c r="HPN23" s="21"/>
      <c r="HPO23" s="21"/>
      <c r="HPP23" s="21"/>
      <c r="HPQ23" s="21"/>
      <c r="HPR23" s="21"/>
      <c r="HPS23" s="21"/>
      <c r="HPT23" s="21"/>
      <c r="HPU23" s="21"/>
      <c r="HPV23" s="21"/>
      <c r="HPW23" s="21"/>
      <c r="HPX23" s="21"/>
      <c r="HPY23" s="21"/>
      <c r="HPZ23" s="21"/>
      <c r="HQA23" s="21"/>
      <c r="HQB23" s="21"/>
      <c r="HQC23" s="21"/>
      <c r="HQD23" s="21"/>
      <c r="HQE23" s="21"/>
      <c r="HQF23" s="21"/>
      <c r="HQG23" s="21"/>
      <c r="HQH23" s="21"/>
      <c r="HQI23" s="21"/>
      <c r="HQJ23" s="21"/>
      <c r="HQK23" s="21"/>
      <c r="HQL23" s="21"/>
      <c r="HQM23" s="21"/>
      <c r="HQN23" s="21"/>
      <c r="HQO23" s="21"/>
      <c r="HQP23" s="21"/>
      <c r="HQQ23" s="21"/>
      <c r="HQR23" s="21"/>
      <c r="HQS23" s="21"/>
      <c r="HQT23" s="21"/>
      <c r="HQU23" s="21"/>
      <c r="HQV23" s="21"/>
      <c r="HQW23" s="21"/>
      <c r="HQX23" s="21"/>
      <c r="HQY23" s="21"/>
      <c r="HQZ23" s="21"/>
      <c r="HRA23" s="21"/>
      <c r="HRB23" s="21"/>
      <c r="HRC23" s="21"/>
      <c r="HRD23" s="21"/>
      <c r="HRE23" s="21"/>
      <c r="HRF23" s="21"/>
      <c r="HRG23" s="21"/>
      <c r="HRH23" s="21"/>
      <c r="HRI23" s="21"/>
      <c r="HRJ23" s="21"/>
      <c r="HRK23" s="21"/>
      <c r="HRL23" s="21"/>
      <c r="HRM23" s="21"/>
      <c r="HRN23" s="21"/>
      <c r="HRO23" s="21"/>
      <c r="HRP23" s="21"/>
      <c r="HRQ23" s="21"/>
      <c r="HRR23" s="21"/>
      <c r="HRS23" s="21"/>
      <c r="HRT23" s="21"/>
      <c r="HRU23" s="21"/>
      <c r="HRV23" s="21"/>
      <c r="HRW23" s="21"/>
      <c r="HRX23" s="21"/>
      <c r="HRY23" s="21"/>
      <c r="HRZ23" s="21"/>
      <c r="HSA23" s="21"/>
      <c r="HSB23" s="21"/>
      <c r="HSC23" s="21"/>
      <c r="HSD23" s="21"/>
      <c r="HSE23" s="21"/>
      <c r="HSF23" s="21"/>
      <c r="HSG23" s="21"/>
      <c r="HSH23" s="21"/>
      <c r="HSI23" s="21"/>
      <c r="HSJ23" s="21"/>
      <c r="HSK23" s="21"/>
      <c r="HSL23" s="21"/>
      <c r="HSM23" s="21"/>
      <c r="HSN23" s="21"/>
      <c r="HSO23" s="21"/>
      <c r="HSP23" s="21"/>
      <c r="HSQ23" s="21"/>
      <c r="HSR23" s="21"/>
      <c r="HSS23" s="21"/>
      <c r="HST23" s="21"/>
      <c r="HSU23" s="21"/>
      <c r="HSV23" s="21"/>
      <c r="HSW23" s="21"/>
      <c r="HSX23" s="21"/>
      <c r="HSY23" s="21"/>
      <c r="HSZ23" s="21"/>
      <c r="HTA23" s="21"/>
      <c r="HTB23" s="21"/>
      <c r="HTC23" s="21"/>
      <c r="HTD23" s="21"/>
      <c r="HTE23" s="21"/>
      <c r="HTF23" s="21"/>
      <c r="HTG23" s="21"/>
      <c r="HTH23" s="21"/>
      <c r="HTI23" s="21"/>
      <c r="HTJ23" s="21"/>
      <c r="HTK23" s="21"/>
      <c r="HTL23" s="21"/>
      <c r="HTM23" s="21"/>
      <c r="HTN23" s="21"/>
      <c r="HTO23" s="21"/>
      <c r="HTP23" s="21"/>
      <c r="HTQ23" s="21"/>
      <c r="HTR23" s="21"/>
      <c r="HTS23" s="21"/>
      <c r="HTT23" s="21"/>
      <c r="HTU23" s="21"/>
      <c r="HTV23" s="21"/>
      <c r="HTW23" s="21"/>
      <c r="HTX23" s="21"/>
      <c r="HTY23" s="21"/>
      <c r="HTZ23" s="21"/>
      <c r="HUA23" s="21"/>
      <c r="HUB23" s="21"/>
      <c r="HUC23" s="21"/>
      <c r="HUD23" s="21"/>
      <c r="HUE23" s="21"/>
      <c r="HUF23" s="21"/>
      <c r="HUG23" s="21"/>
      <c r="HUH23" s="21"/>
      <c r="HUI23" s="21"/>
      <c r="HUJ23" s="21"/>
      <c r="HUK23" s="21"/>
      <c r="HUL23" s="21"/>
      <c r="HUM23" s="21"/>
      <c r="HUN23" s="21"/>
      <c r="HUO23" s="21"/>
      <c r="HUP23" s="21"/>
      <c r="HUQ23" s="21"/>
      <c r="HUR23" s="21"/>
      <c r="HUS23" s="21"/>
      <c r="HUT23" s="21"/>
      <c r="HUU23" s="21"/>
      <c r="HUV23" s="21"/>
      <c r="HUW23" s="21"/>
      <c r="HUX23" s="21"/>
      <c r="HUY23" s="21"/>
      <c r="HUZ23" s="21"/>
      <c r="HVA23" s="21"/>
      <c r="HVB23" s="21"/>
      <c r="HVC23" s="21"/>
      <c r="HVD23" s="21"/>
      <c r="HVE23" s="21"/>
      <c r="HVF23" s="21"/>
      <c r="HVG23" s="21"/>
      <c r="HVH23" s="21"/>
      <c r="HVI23" s="21"/>
      <c r="HVJ23" s="21"/>
      <c r="HVK23" s="21"/>
      <c r="HVL23" s="21"/>
      <c r="HVM23" s="21"/>
      <c r="HVN23" s="21"/>
      <c r="HVO23" s="21"/>
      <c r="HVP23" s="21"/>
      <c r="HVQ23" s="21"/>
      <c r="HVR23" s="21"/>
      <c r="HVS23" s="21"/>
      <c r="HVT23" s="21"/>
      <c r="HVU23" s="21"/>
      <c r="HVV23" s="21"/>
      <c r="HVW23" s="21"/>
      <c r="HVX23" s="21"/>
      <c r="HVY23" s="21"/>
      <c r="HVZ23" s="21"/>
      <c r="HWA23" s="21"/>
      <c r="HWB23" s="21"/>
      <c r="HWC23" s="21"/>
      <c r="HWD23" s="21"/>
      <c r="HWE23" s="21"/>
      <c r="HWF23" s="21"/>
      <c r="HWG23" s="21"/>
      <c r="HWH23" s="21"/>
      <c r="HWI23" s="21"/>
      <c r="HWJ23" s="21"/>
      <c r="HWK23" s="21"/>
      <c r="HWL23" s="21"/>
      <c r="HWM23" s="21"/>
      <c r="HWN23" s="21"/>
      <c r="HWO23" s="21"/>
      <c r="HWP23" s="21"/>
      <c r="HWQ23" s="21"/>
      <c r="HWR23" s="21"/>
      <c r="HWS23" s="21"/>
      <c r="HWT23" s="21"/>
      <c r="HWU23" s="21"/>
      <c r="HWV23" s="21"/>
      <c r="HWW23" s="21"/>
      <c r="HWX23" s="21"/>
      <c r="HWY23" s="21"/>
      <c r="HWZ23" s="21"/>
      <c r="HXA23" s="21"/>
      <c r="HXB23" s="21"/>
      <c r="HXC23" s="21"/>
      <c r="HXD23" s="21"/>
      <c r="HXE23" s="21"/>
      <c r="HXF23" s="21"/>
      <c r="HXG23" s="21"/>
      <c r="HXH23" s="21"/>
      <c r="HXI23" s="21"/>
      <c r="HXJ23" s="21"/>
      <c r="HXK23" s="21"/>
      <c r="HXL23" s="21"/>
      <c r="HXM23" s="21"/>
      <c r="HXN23" s="21"/>
      <c r="HXO23" s="21"/>
      <c r="HXP23" s="21"/>
      <c r="HXQ23" s="21"/>
      <c r="HXR23" s="21"/>
      <c r="HXS23" s="21"/>
      <c r="HXT23" s="21"/>
      <c r="HXU23" s="21"/>
      <c r="HXV23" s="21"/>
      <c r="HXW23" s="21"/>
      <c r="HXX23" s="21"/>
      <c r="HXY23" s="21"/>
      <c r="HXZ23" s="21"/>
      <c r="HYA23" s="21"/>
      <c r="HYB23" s="21"/>
      <c r="HYC23" s="21"/>
      <c r="HYD23" s="21"/>
      <c r="HYE23" s="21"/>
      <c r="HYF23" s="21"/>
      <c r="HYG23" s="21"/>
      <c r="HYH23" s="21"/>
      <c r="HYI23" s="21"/>
      <c r="HYJ23" s="21"/>
      <c r="HYK23" s="21"/>
      <c r="HYL23" s="21"/>
      <c r="HYM23" s="21"/>
      <c r="HYN23" s="21"/>
      <c r="HYO23" s="21"/>
      <c r="HYP23" s="21"/>
      <c r="HYQ23" s="21"/>
      <c r="HYR23" s="21"/>
      <c r="HYS23" s="21"/>
      <c r="HYT23" s="21"/>
      <c r="HYU23" s="21"/>
      <c r="HYV23" s="21"/>
      <c r="HYW23" s="21"/>
      <c r="HYX23" s="21"/>
      <c r="HYY23" s="21"/>
      <c r="HYZ23" s="21"/>
      <c r="HZA23" s="21"/>
      <c r="HZB23" s="21"/>
      <c r="HZC23" s="21"/>
      <c r="HZD23" s="21"/>
      <c r="HZE23" s="21"/>
      <c r="HZF23" s="21"/>
      <c r="HZG23" s="21"/>
      <c r="HZH23" s="21"/>
      <c r="HZI23" s="21"/>
      <c r="HZJ23" s="21"/>
      <c r="HZK23" s="21"/>
      <c r="HZL23" s="21"/>
      <c r="HZM23" s="21"/>
      <c r="HZN23" s="21"/>
      <c r="HZO23" s="21"/>
      <c r="HZP23" s="21"/>
      <c r="HZQ23" s="21"/>
      <c r="HZR23" s="21"/>
      <c r="HZS23" s="21"/>
      <c r="HZT23" s="21"/>
      <c r="HZU23" s="21"/>
      <c r="HZV23" s="21"/>
      <c r="HZW23" s="21"/>
      <c r="HZX23" s="21"/>
      <c r="HZY23" s="21"/>
      <c r="HZZ23" s="21"/>
      <c r="IAA23" s="21"/>
      <c r="IAB23" s="21"/>
      <c r="IAC23" s="21"/>
      <c r="IAD23" s="21"/>
      <c r="IAE23" s="21"/>
      <c r="IAF23" s="21"/>
      <c r="IAG23" s="21"/>
      <c r="IAH23" s="21"/>
      <c r="IAI23" s="21"/>
      <c r="IAJ23" s="21"/>
      <c r="IAK23" s="21"/>
      <c r="IAL23" s="21"/>
      <c r="IAM23" s="21"/>
      <c r="IAN23" s="21"/>
      <c r="IAO23" s="21"/>
      <c r="IAP23" s="21"/>
      <c r="IAQ23" s="21"/>
      <c r="IAR23" s="21"/>
      <c r="IAS23" s="21"/>
      <c r="IAT23" s="21"/>
      <c r="IAU23" s="21"/>
      <c r="IAV23" s="21"/>
      <c r="IAW23" s="21"/>
      <c r="IAX23" s="21"/>
      <c r="IAY23" s="21"/>
      <c r="IAZ23" s="21"/>
      <c r="IBA23" s="21"/>
      <c r="IBB23" s="21"/>
      <c r="IBC23" s="21"/>
      <c r="IBD23" s="21"/>
      <c r="IBE23" s="21"/>
      <c r="IBF23" s="21"/>
      <c r="IBG23" s="21"/>
      <c r="IBH23" s="21"/>
      <c r="IBI23" s="21"/>
      <c r="IBJ23" s="21"/>
      <c r="IBK23" s="21"/>
      <c r="IBL23" s="21"/>
      <c r="IBM23" s="21"/>
      <c r="IBN23" s="21"/>
      <c r="IBO23" s="21"/>
      <c r="IBP23" s="21"/>
      <c r="IBQ23" s="21"/>
      <c r="IBR23" s="21"/>
      <c r="IBS23" s="21"/>
      <c r="IBT23" s="21"/>
      <c r="IBU23" s="21"/>
      <c r="IBV23" s="21"/>
      <c r="IBW23" s="21"/>
      <c r="IBX23" s="21"/>
      <c r="IBY23" s="21"/>
      <c r="IBZ23" s="21"/>
      <c r="ICA23" s="21"/>
      <c r="ICB23" s="21"/>
      <c r="ICC23" s="21"/>
      <c r="ICD23" s="21"/>
      <c r="ICE23" s="21"/>
      <c r="ICF23" s="21"/>
      <c r="ICG23" s="21"/>
      <c r="ICH23" s="21"/>
      <c r="ICI23" s="21"/>
      <c r="ICJ23" s="21"/>
      <c r="ICK23" s="21"/>
      <c r="ICL23" s="21"/>
      <c r="ICM23" s="21"/>
      <c r="ICN23" s="21"/>
      <c r="ICO23" s="21"/>
      <c r="ICP23" s="21"/>
      <c r="ICQ23" s="21"/>
      <c r="ICR23" s="21"/>
      <c r="ICS23" s="21"/>
      <c r="ICT23" s="21"/>
      <c r="ICU23" s="21"/>
      <c r="ICV23" s="21"/>
      <c r="ICW23" s="21"/>
      <c r="ICX23" s="21"/>
      <c r="ICY23" s="21"/>
      <c r="ICZ23" s="21"/>
      <c r="IDA23" s="21"/>
      <c r="IDB23" s="21"/>
      <c r="IDC23" s="21"/>
      <c r="IDD23" s="21"/>
      <c r="IDE23" s="21"/>
      <c r="IDF23" s="21"/>
      <c r="IDG23" s="21"/>
      <c r="IDH23" s="21"/>
      <c r="IDI23" s="21"/>
      <c r="IDJ23" s="21"/>
      <c r="IDK23" s="21"/>
      <c r="IDL23" s="21"/>
      <c r="IDM23" s="21"/>
      <c r="IDN23" s="21"/>
      <c r="IDO23" s="21"/>
      <c r="IDP23" s="21"/>
      <c r="IDQ23" s="21"/>
      <c r="IDR23" s="21"/>
      <c r="IDS23" s="21"/>
      <c r="IDT23" s="21"/>
      <c r="IDU23" s="21"/>
      <c r="IDV23" s="21"/>
      <c r="IDW23" s="21"/>
      <c r="IDX23" s="21"/>
      <c r="IDY23" s="21"/>
      <c r="IDZ23" s="21"/>
      <c r="IEA23" s="21"/>
      <c r="IEB23" s="21"/>
      <c r="IEC23" s="21"/>
      <c r="IED23" s="21"/>
      <c r="IEE23" s="21"/>
      <c r="IEF23" s="21"/>
      <c r="IEG23" s="21"/>
      <c r="IEH23" s="21"/>
      <c r="IEI23" s="21"/>
      <c r="IEJ23" s="21"/>
      <c r="IEK23" s="21"/>
      <c r="IEL23" s="21"/>
      <c r="IEM23" s="21"/>
      <c r="IEN23" s="21"/>
      <c r="IEO23" s="21"/>
      <c r="IEP23" s="21"/>
      <c r="IEQ23" s="21"/>
      <c r="IER23" s="21"/>
      <c r="IES23" s="21"/>
      <c r="IET23" s="21"/>
      <c r="IEU23" s="21"/>
      <c r="IEV23" s="21"/>
      <c r="IEW23" s="21"/>
      <c r="IEX23" s="21"/>
      <c r="IEY23" s="21"/>
      <c r="IEZ23" s="21"/>
      <c r="IFA23" s="21"/>
      <c r="IFB23" s="21"/>
      <c r="IFC23" s="21"/>
      <c r="IFD23" s="21"/>
      <c r="IFE23" s="21"/>
      <c r="IFF23" s="21"/>
      <c r="IFG23" s="21"/>
      <c r="IFH23" s="21"/>
      <c r="IFI23" s="21"/>
      <c r="IFJ23" s="21"/>
      <c r="IFK23" s="21"/>
      <c r="IFL23" s="21"/>
      <c r="IFM23" s="21"/>
      <c r="IFN23" s="21"/>
      <c r="IFO23" s="21"/>
      <c r="IFP23" s="21"/>
      <c r="IFQ23" s="21"/>
      <c r="IFR23" s="21"/>
      <c r="IFS23" s="21"/>
      <c r="IFT23" s="21"/>
      <c r="IFU23" s="21"/>
      <c r="IFV23" s="21"/>
      <c r="IFW23" s="21"/>
      <c r="IFX23" s="21"/>
      <c r="IFY23" s="21"/>
      <c r="IFZ23" s="21"/>
      <c r="IGA23" s="21"/>
      <c r="IGB23" s="21"/>
      <c r="IGC23" s="21"/>
      <c r="IGD23" s="21"/>
      <c r="IGE23" s="21"/>
      <c r="IGF23" s="21"/>
      <c r="IGG23" s="21"/>
      <c r="IGH23" s="21"/>
      <c r="IGI23" s="21"/>
      <c r="IGJ23" s="21"/>
      <c r="IGK23" s="21"/>
      <c r="IGL23" s="21"/>
      <c r="IGM23" s="21"/>
      <c r="IGN23" s="21"/>
      <c r="IGO23" s="21"/>
      <c r="IGP23" s="21"/>
      <c r="IGQ23" s="21"/>
      <c r="IGR23" s="21"/>
      <c r="IGS23" s="21"/>
      <c r="IGT23" s="21"/>
      <c r="IGU23" s="21"/>
      <c r="IGV23" s="21"/>
      <c r="IGW23" s="21"/>
      <c r="IGX23" s="21"/>
      <c r="IGY23" s="21"/>
      <c r="IGZ23" s="21"/>
      <c r="IHA23" s="21"/>
      <c r="IHB23" s="21"/>
      <c r="IHC23" s="21"/>
      <c r="IHD23" s="21"/>
      <c r="IHE23" s="21"/>
      <c r="IHF23" s="21"/>
      <c r="IHG23" s="21"/>
      <c r="IHH23" s="21"/>
      <c r="IHI23" s="21"/>
      <c r="IHJ23" s="21"/>
      <c r="IHK23" s="21"/>
      <c r="IHL23" s="21"/>
      <c r="IHM23" s="21"/>
      <c r="IHN23" s="21"/>
      <c r="IHO23" s="21"/>
      <c r="IHP23" s="21"/>
      <c r="IHQ23" s="21"/>
      <c r="IHR23" s="21"/>
      <c r="IHS23" s="21"/>
      <c r="IHT23" s="21"/>
      <c r="IHU23" s="21"/>
      <c r="IHV23" s="21"/>
      <c r="IHW23" s="21"/>
      <c r="IHX23" s="21"/>
      <c r="IHY23" s="21"/>
      <c r="IHZ23" s="21"/>
      <c r="IIA23" s="21"/>
      <c r="IIB23" s="21"/>
      <c r="IIC23" s="21"/>
      <c r="IID23" s="21"/>
      <c r="IIE23" s="21"/>
      <c r="IIF23" s="21"/>
      <c r="IIG23" s="21"/>
      <c r="IIH23" s="21"/>
      <c r="III23" s="21"/>
      <c r="IIJ23" s="21"/>
      <c r="IIK23" s="21"/>
      <c r="IIL23" s="21"/>
      <c r="IIM23" s="21"/>
      <c r="IIN23" s="21"/>
      <c r="IIO23" s="21"/>
      <c r="IIP23" s="21"/>
      <c r="IIQ23" s="21"/>
      <c r="IIR23" s="21"/>
      <c r="IIS23" s="21"/>
      <c r="IIT23" s="21"/>
      <c r="IIU23" s="21"/>
      <c r="IIV23" s="21"/>
      <c r="IIW23" s="21"/>
      <c r="IIX23" s="21"/>
      <c r="IIY23" s="21"/>
      <c r="IIZ23" s="21"/>
      <c r="IJA23" s="21"/>
      <c r="IJB23" s="21"/>
      <c r="IJC23" s="21"/>
      <c r="IJD23" s="21"/>
      <c r="IJE23" s="21"/>
      <c r="IJF23" s="21"/>
      <c r="IJG23" s="21"/>
      <c r="IJH23" s="21"/>
      <c r="IJI23" s="21"/>
      <c r="IJJ23" s="21"/>
      <c r="IJK23" s="21"/>
      <c r="IJL23" s="21"/>
      <c r="IJM23" s="21"/>
      <c r="IJN23" s="21"/>
      <c r="IJO23" s="21"/>
      <c r="IJP23" s="21"/>
      <c r="IJQ23" s="21"/>
      <c r="IJR23" s="21"/>
      <c r="IJS23" s="21"/>
      <c r="IJT23" s="21"/>
      <c r="IJU23" s="21"/>
      <c r="IJV23" s="21"/>
      <c r="IJW23" s="21"/>
      <c r="IJX23" s="21"/>
      <c r="IJY23" s="21"/>
      <c r="IJZ23" s="21"/>
      <c r="IKA23" s="21"/>
      <c r="IKB23" s="21"/>
      <c r="IKC23" s="21"/>
      <c r="IKD23" s="21"/>
      <c r="IKE23" s="21"/>
      <c r="IKF23" s="21"/>
      <c r="IKG23" s="21"/>
      <c r="IKH23" s="21"/>
      <c r="IKI23" s="21"/>
      <c r="IKJ23" s="21"/>
      <c r="IKK23" s="21"/>
      <c r="IKL23" s="21"/>
      <c r="IKM23" s="21"/>
      <c r="IKN23" s="21"/>
      <c r="IKO23" s="21"/>
      <c r="IKP23" s="21"/>
      <c r="IKQ23" s="21"/>
      <c r="IKR23" s="21"/>
      <c r="IKS23" s="21"/>
      <c r="IKT23" s="21"/>
      <c r="IKU23" s="21"/>
      <c r="IKV23" s="21"/>
      <c r="IKW23" s="21"/>
      <c r="IKX23" s="21"/>
      <c r="IKY23" s="21"/>
      <c r="IKZ23" s="21"/>
      <c r="ILA23" s="21"/>
      <c r="ILB23" s="21"/>
      <c r="ILC23" s="21"/>
      <c r="ILD23" s="21"/>
      <c r="ILE23" s="21"/>
      <c r="ILF23" s="21"/>
      <c r="ILG23" s="21"/>
      <c r="ILH23" s="21"/>
      <c r="ILI23" s="21"/>
      <c r="ILJ23" s="21"/>
      <c r="ILK23" s="21"/>
      <c r="ILL23" s="21"/>
      <c r="ILM23" s="21"/>
      <c r="ILN23" s="21"/>
      <c r="ILO23" s="21"/>
      <c r="ILP23" s="21"/>
      <c r="ILQ23" s="21"/>
      <c r="ILR23" s="21"/>
      <c r="ILS23" s="21"/>
      <c r="ILT23" s="21"/>
      <c r="ILU23" s="21"/>
      <c r="ILV23" s="21"/>
      <c r="ILW23" s="21"/>
      <c r="ILX23" s="21"/>
      <c r="ILY23" s="21"/>
      <c r="ILZ23" s="21"/>
      <c r="IMA23" s="21"/>
      <c r="IMB23" s="21"/>
      <c r="IMC23" s="21"/>
      <c r="IMD23" s="21"/>
      <c r="IME23" s="21"/>
      <c r="IMF23" s="21"/>
      <c r="IMG23" s="21"/>
      <c r="IMH23" s="21"/>
      <c r="IMI23" s="21"/>
      <c r="IMJ23" s="21"/>
      <c r="IMK23" s="21"/>
      <c r="IML23" s="21"/>
      <c r="IMM23" s="21"/>
      <c r="IMN23" s="21"/>
      <c r="IMO23" s="21"/>
      <c r="IMP23" s="21"/>
      <c r="IMQ23" s="21"/>
      <c r="IMR23" s="21"/>
      <c r="IMS23" s="21"/>
      <c r="IMT23" s="21"/>
      <c r="IMU23" s="21"/>
      <c r="IMV23" s="21"/>
      <c r="IMW23" s="21"/>
      <c r="IMX23" s="21"/>
      <c r="IMY23" s="21"/>
      <c r="IMZ23" s="21"/>
      <c r="INA23" s="21"/>
      <c r="INB23" s="21"/>
      <c r="INC23" s="21"/>
      <c r="IND23" s="21"/>
      <c r="INE23" s="21"/>
      <c r="INF23" s="21"/>
      <c r="ING23" s="21"/>
      <c r="INH23" s="21"/>
      <c r="INI23" s="21"/>
      <c r="INJ23" s="21"/>
      <c r="INK23" s="21"/>
      <c r="INL23" s="21"/>
      <c r="INM23" s="21"/>
      <c r="INN23" s="21"/>
      <c r="INO23" s="21"/>
      <c r="INP23" s="21"/>
      <c r="INQ23" s="21"/>
      <c r="INR23" s="21"/>
      <c r="INS23" s="21"/>
      <c r="INT23" s="21"/>
      <c r="INU23" s="21"/>
      <c r="INV23" s="21"/>
      <c r="INW23" s="21"/>
      <c r="INX23" s="21"/>
      <c r="INY23" s="21"/>
      <c r="INZ23" s="21"/>
      <c r="IOA23" s="21"/>
      <c r="IOB23" s="21"/>
      <c r="IOC23" s="21"/>
      <c r="IOD23" s="21"/>
      <c r="IOE23" s="21"/>
      <c r="IOF23" s="21"/>
      <c r="IOG23" s="21"/>
      <c r="IOH23" s="21"/>
      <c r="IOI23" s="21"/>
      <c r="IOJ23" s="21"/>
      <c r="IOK23" s="21"/>
      <c r="IOL23" s="21"/>
      <c r="IOM23" s="21"/>
      <c r="ION23" s="21"/>
      <c r="IOO23" s="21"/>
      <c r="IOP23" s="21"/>
      <c r="IOQ23" s="21"/>
      <c r="IOR23" s="21"/>
      <c r="IOS23" s="21"/>
      <c r="IOT23" s="21"/>
      <c r="IOU23" s="21"/>
      <c r="IOV23" s="21"/>
      <c r="IOW23" s="21"/>
      <c r="IOX23" s="21"/>
      <c r="IOY23" s="21"/>
      <c r="IOZ23" s="21"/>
      <c r="IPA23" s="21"/>
      <c r="IPB23" s="21"/>
      <c r="IPC23" s="21"/>
      <c r="IPD23" s="21"/>
      <c r="IPE23" s="21"/>
      <c r="IPF23" s="21"/>
      <c r="IPG23" s="21"/>
      <c r="IPH23" s="21"/>
      <c r="IPI23" s="21"/>
      <c r="IPJ23" s="21"/>
      <c r="IPK23" s="21"/>
      <c r="IPL23" s="21"/>
      <c r="IPM23" s="21"/>
      <c r="IPN23" s="21"/>
      <c r="IPO23" s="21"/>
      <c r="IPP23" s="21"/>
      <c r="IPQ23" s="21"/>
      <c r="IPR23" s="21"/>
      <c r="IPS23" s="21"/>
      <c r="IPT23" s="21"/>
      <c r="IPU23" s="21"/>
      <c r="IPV23" s="21"/>
      <c r="IPW23" s="21"/>
      <c r="IPX23" s="21"/>
      <c r="IPY23" s="21"/>
      <c r="IPZ23" s="21"/>
      <c r="IQA23" s="21"/>
      <c r="IQB23" s="21"/>
      <c r="IQC23" s="21"/>
      <c r="IQD23" s="21"/>
      <c r="IQE23" s="21"/>
      <c r="IQF23" s="21"/>
      <c r="IQG23" s="21"/>
      <c r="IQH23" s="21"/>
      <c r="IQI23" s="21"/>
      <c r="IQJ23" s="21"/>
      <c r="IQK23" s="21"/>
      <c r="IQL23" s="21"/>
      <c r="IQM23" s="21"/>
      <c r="IQN23" s="21"/>
      <c r="IQO23" s="21"/>
      <c r="IQP23" s="21"/>
      <c r="IQQ23" s="21"/>
      <c r="IQR23" s="21"/>
      <c r="IQS23" s="21"/>
      <c r="IQT23" s="21"/>
      <c r="IQU23" s="21"/>
      <c r="IQV23" s="21"/>
      <c r="IQW23" s="21"/>
      <c r="IQX23" s="21"/>
      <c r="IQY23" s="21"/>
      <c r="IQZ23" s="21"/>
      <c r="IRA23" s="21"/>
      <c r="IRB23" s="21"/>
      <c r="IRC23" s="21"/>
      <c r="IRD23" s="21"/>
      <c r="IRE23" s="21"/>
      <c r="IRF23" s="21"/>
      <c r="IRG23" s="21"/>
      <c r="IRH23" s="21"/>
      <c r="IRI23" s="21"/>
      <c r="IRJ23" s="21"/>
      <c r="IRK23" s="21"/>
      <c r="IRL23" s="21"/>
      <c r="IRM23" s="21"/>
      <c r="IRN23" s="21"/>
      <c r="IRO23" s="21"/>
      <c r="IRP23" s="21"/>
      <c r="IRQ23" s="21"/>
      <c r="IRR23" s="21"/>
      <c r="IRS23" s="21"/>
      <c r="IRT23" s="21"/>
      <c r="IRU23" s="21"/>
      <c r="IRV23" s="21"/>
      <c r="IRW23" s="21"/>
      <c r="IRX23" s="21"/>
      <c r="IRY23" s="21"/>
      <c r="IRZ23" s="21"/>
      <c r="ISA23" s="21"/>
      <c r="ISB23" s="21"/>
      <c r="ISC23" s="21"/>
      <c r="ISD23" s="21"/>
      <c r="ISE23" s="21"/>
      <c r="ISF23" s="21"/>
      <c r="ISG23" s="21"/>
      <c r="ISH23" s="21"/>
      <c r="ISI23" s="21"/>
      <c r="ISJ23" s="21"/>
      <c r="ISK23" s="21"/>
      <c r="ISL23" s="21"/>
      <c r="ISM23" s="21"/>
      <c r="ISN23" s="21"/>
      <c r="ISO23" s="21"/>
      <c r="ISP23" s="21"/>
      <c r="ISQ23" s="21"/>
      <c r="ISR23" s="21"/>
      <c r="ISS23" s="21"/>
      <c r="IST23" s="21"/>
      <c r="ISU23" s="21"/>
      <c r="ISV23" s="21"/>
      <c r="ISW23" s="21"/>
      <c r="ISX23" s="21"/>
      <c r="ISY23" s="21"/>
      <c r="ISZ23" s="21"/>
      <c r="ITA23" s="21"/>
      <c r="ITB23" s="21"/>
      <c r="ITC23" s="21"/>
      <c r="ITD23" s="21"/>
      <c r="ITE23" s="21"/>
      <c r="ITF23" s="21"/>
      <c r="ITG23" s="21"/>
      <c r="ITH23" s="21"/>
      <c r="ITI23" s="21"/>
      <c r="ITJ23" s="21"/>
      <c r="ITK23" s="21"/>
      <c r="ITL23" s="21"/>
      <c r="ITM23" s="21"/>
      <c r="ITN23" s="21"/>
      <c r="ITO23" s="21"/>
      <c r="ITP23" s="21"/>
      <c r="ITQ23" s="21"/>
      <c r="ITR23" s="21"/>
      <c r="ITS23" s="21"/>
      <c r="ITT23" s="21"/>
      <c r="ITU23" s="21"/>
      <c r="ITV23" s="21"/>
      <c r="ITW23" s="21"/>
      <c r="ITX23" s="21"/>
      <c r="ITY23" s="21"/>
      <c r="ITZ23" s="21"/>
      <c r="IUA23" s="21"/>
      <c r="IUB23" s="21"/>
      <c r="IUC23" s="21"/>
      <c r="IUD23" s="21"/>
      <c r="IUE23" s="21"/>
      <c r="IUF23" s="21"/>
      <c r="IUG23" s="21"/>
      <c r="IUH23" s="21"/>
      <c r="IUI23" s="21"/>
      <c r="IUJ23" s="21"/>
      <c r="IUK23" s="21"/>
      <c r="IUL23" s="21"/>
      <c r="IUM23" s="21"/>
      <c r="IUN23" s="21"/>
      <c r="IUO23" s="21"/>
      <c r="IUP23" s="21"/>
      <c r="IUQ23" s="21"/>
      <c r="IUR23" s="21"/>
      <c r="IUS23" s="21"/>
      <c r="IUT23" s="21"/>
      <c r="IUU23" s="21"/>
      <c r="IUV23" s="21"/>
      <c r="IUW23" s="21"/>
      <c r="IUX23" s="21"/>
      <c r="IUY23" s="21"/>
      <c r="IUZ23" s="21"/>
      <c r="IVA23" s="21"/>
      <c r="IVB23" s="21"/>
      <c r="IVC23" s="21"/>
      <c r="IVD23" s="21"/>
      <c r="IVE23" s="21"/>
      <c r="IVF23" s="21"/>
      <c r="IVG23" s="21"/>
      <c r="IVH23" s="21"/>
      <c r="IVI23" s="21"/>
      <c r="IVJ23" s="21"/>
      <c r="IVK23" s="21"/>
      <c r="IVL23" s="21"/>
      <c r="IVM23" s="21"/>
      <c r="IVN23" s="21"/>
      <c r="IVO23" s="21"/>
      <c r="IVP23" s="21"/>
      <c r="IVQ23" s="21"/>
      <c r="IVR23" s="21"/>
      <c r="IVS23" s="21"/>
      <c r="IVT23" s="21"/>
      <c r="IVU23" s="21"/>
      <c r="IVV23" s="21"/>
      <c r="IVW23" s="21"/>
      <c r="IVX23" s="21"/>
      <c r="IVY23" s="21"/>
      <c r="IVZ23" s="21"/>
      <c r="IWA23" s="21"/>
      <c r="IWB23" s="21"/>
      <c r="IWC23" s="21"/>
      <c r="IWD23" s="21"/>
      <c r="IWE23" s="21"/>
      <c r="IWF23" s="21"/>
      <c r="IWG23" s="21"/>
      <c r="IWH23" s="21"/>
      <c r="IWI23" s="21"/>
      <c r="IWJ23" s="21"/>
      <c r="IWK23" s="21"/>
      <c r="IWL23" s="21"/>
      <c r="IWM23" s="21"/>
      <c r="IWN23" s="21"/>
      <c r="IWO23" s="21"/>
      <c r="IWP23" s="21"/>
      <c r="IWQ23" s="21"/>
      <c r="IWR23" s="21"/>
      <c r="IWS23" s="21"/>
      <c r="IWT23" s="21"/>
      <c r="IWU23" s="21"/>
      <c r="IWV23" s="21"/>
      <c r="IWW23" s="21"/>
      <c r="IWX23" s="21"/>
      <c r="IWY23" s="21"/>
      <c r="IWZ23" s="21"/>
      <c r="IXA23" s="21"/>
      <c r="IXB23" s="21"/>
      <c r="IXC23" s="21"/>
      <c r="IXD23" s="21"/>
      <c r="IXE23" s="21"/>
      <c r="IXF23" s="21"/>
      <c r="IXG23" s="21"/>
      <c r="IXH23" s="21"/>
      <c r="IXI23" s="21"/>
      <c r="IXJ23" s="21"/>
      <c r="IXK23" s="21"/>
      <c r="IXL23" s="21"/>
      <c r="IXM23" s="21"/>
      <c r="IXN23" s="21"/>
      <c r="IXO23" s="21"/>
      <c r="IXP23" s="21"/>
      <c r="IXQ23" s="21"/>
      <c r="IXR23" s="21"/>
      <c r="IXS23" s="21"/>
      <c r="IXT23" s="21"/>
      <c r="IXU23" s="21"/>
      <c r="IXV23" s="21"/>
      <c r="IXW23" s="21"/>
      <c r="IXX23" s="21"/>
      <c r="IXY23" s="21"/>
      <c r="IXZ23" s="21"/>
      <c r="IYA23" s="21"/>
      <c r="IYB23" s="21"/>
      <c r="IYC23" s="21"/>
      <c r="IYD23" s="21"/>
      <c r="IYE23" s="21"/>
      <c r="IYF23" s="21"/>
      <c r="IYG23" s="21"/>
      <c r="IYH23" s="21"/>
      <c r="IYI23" s="21"/>
      <c r="IYJ23" s="21"/>
      <c r="IYK23" s="21"/>
      <c r="IYL23" s="21"/>
      <c r="IYM23" s="21"/>
      <c r="IYN23" s="21"/>
      <c r="IYO23" s="21"/>
      <c r="IYP23" s="21"/>
      <c r="IYQ23" s="21"/>
      <c r="IYR23" s="21"/>
      <c r="IYS23" s="21"/>
      <c r="IYT23" s="21"/>
      <c r="IYU23" s="21"/>
      <c r="IYV23" s="21"/>
      <c r="IYW23" s="21"/>
      <c r="IYX23" s="21"/>
      <c r="IYY23" s="21"/>
      <c r="IYZ23" s="21"/>
      <c r="IZA23" s="21"/>
      <c r="IZB23" s="21"/>
      <c r="IZC23" s="21"/>
      <c r="IZD23" s="21"/>
      <c r="IZE23" s="21"/>
      <c r="IZF23" s="21"/>
      <c r="IZG23" s="21"/>
      <c r="IZH23" s="21"/>
      <c r="IZI23" s="21"/>
      <c r="IZJ23" s="21"/>
      <c r="IZK23" s="21"/>
      <c r="IZL23" s="21"/>
      <c r="IZM23" s="21"/>
      <c r="IZN23" s="21"/>
      <c r="IZO23" s="21"/>
      <c r="IZP23" s="21"/>
      <c r="IZQ23" s="21"/>
      <c r="IZR23" s="21"/>
      <c r="IZS23" s="21"/>
      <c r="IZT23" s="21"/>
      <c r="IZU23" s="21"/>
      <c r="IZV23" s="21"/>
      <c r="IZW23" s="21"/>
      <c r="IZX23" s="21"/>
      <c r="IZY23" s="21"/>
      <c r="IZZ23" s="21"/>
      <c r="JAA23" s="21"/>
      <c r="JAB23" s="21"/>
      <c r="JAC23" s="21"/>
      <c r="JAD23" s="21"/>
      <c r="JAE23" s="21"/>
      <c r="JAF23" s="21"/>
      <c r="JAG23" s="21"/>
      <c r="JAH23" s="21"/>
      <c r="JAI23" s="21"/>
      <c r="JAJ23" s="21"/>
      <c r="JAK23" s="21"/>
      <c r="JAL23" s="21"/>
      <c r="JAM23" s="21"/>
      <c r="JAN23" s="21"/>
      <c r="JAO23" s="21"/>
      <c r="JAP23" s="21"/>
      <c r="JAQ23" s="21"/>
      <c r="JAR23" s="21"/>
      <c r="JAS23" s="21"/>
      <c r="JAT23" s="21"/>
      <c r="JAU23" s="21"/>
      <c r="JAV23" s="21"/>
      <c r="JAW23" s="21"/>
      <c r="JAX23" s="21"/>
      <c r="JAY23" s="21"/>
      <c r="JAZ23" s="21"/>
      <c r="JBA23" s="21"/>
      <c r="JBB23" s="21"/>
      <c r="JBC23" s="21"/>
      <c r="JBD23" s="21"/>
      <c r="JBE23" s="21"/>
      <c r="JBF23" s="21"/>
      <c r="JBG23" s="21"/>
      <c r="JBH23" s="21"/>
      <c r="JBI23" s="21"/>
      <c r="JBJ23" s="21"/>
      <c r="JBK23" s="21"/>
      <c r="JBL23" s="21"/>
      <c r="JBM23" s="21"/>
      <c r="JBN23" s="21"/>
      <c r="JBO23" s="21"/>
      <c r="JBP23" s="21"/>
      <c r="JBQ23" s="21"/>
      <c r="JBR23" s="21"/>
      <c r="JBS23" s="21"/>
      <c r="JBT23" s="21"/>
      <c r="JBU23" s="21"/>
      <c r="JBV23" s="21"/>
      <c r="JBW23" s="21"/>
      <c r="JBX23" s="21"/>
      <c r="JBY23" s="21"/>
      <c r="JBZ23" s="21"/>
      <c r="JCA23" s="21"/>
      <c r="JCB23" s="21"/>
      <c r="JCC23" s="21"/>
      <c r="JCD23" s="21"/>
      <c r="JCE23" s="21"/>
      <c r="JCF23" s="21"/>
      <c r="JCG23" s="21"/>
      <c r="JCH23" s="21"/>
      <c r="JCI23" s="21"/>
      <c r="JCJ23" s="21"/>
      <c r="JCK23" s="21"/>
      <c r="JCL23" s="21"/>
      <c r="JCM23" s="21"/>
      <c r="JCN23" s="21"/>
      <c r="JCO23" s="21"/>
      <c r="JCP23" s="21"/>
      <c r="JCQ23" s="21"/>
      <c r="JCR23" s="21"/>
      <c r="JCS23" s="21"/>
      <c r="JCT23" s="21"/>
      <c r="JCU23" s="21"/>
      <c r="JCV23" s="21"/>
      <c r="JCW23" s="21"/>
      <c r="JCX23" s="21"/>
      <c r="JCY23" s="21"/>
      <c r="JCZ23" s="21"/>
      <c r="JDA23" s="21"/>
      <c r="JDB23" s="21"/>
      <c r="JDC23" s="21"/>
      <c r="JDD23" s="21"/>
      <c r="JDE23" s="21"/>
      <c r="JDF23" s="21"/>
      <c r="JDG23" s="21"/>
      <c r="JDH23" s="21"/>
      <c r="JDI23" s="21"/>
      <c r="JDJ23" s="21"/>
      <c r="JDK23" s="21"/>
      <c r="JDL23" s="21"/>
      <c r="JDM23" s="21"/>
      <c r="JDN23" s="21"/>
      <c r="JDO23" s="21"/>
      <c r="JDP23" s="21"/>
      <c r="JDQ23" s="21"/>
      <c r="JDR23" s="21"/>
      <c r="JDS23" s="21"/>
      <c r="JDT23" s="21"/>
      <c r="JDU23" s="21"/>
      <c r="JDV23" s="21"/>
      <c r="JDW23" s="21"/>
      <c r="JDX23" s="21"/>
      <c r="JDY23" s="21"/>
      <c r="JDZ23" s="21"/>
      <c r="JEA23" s="21"/>
      <c r="JEB23" s="21"/>
      <c r="JEC23" s="21"/>
      <c r="JED23" s="21"/>
      <c r="JEE23" s="21"/>
      <c r="JEF23" s="21"/>
      <c r="JEG23" s="21"/>
      <c r="JEH23" s="21"/>
      <c r="JEI23" s="21"/>
      <c r="JEJ23" s="21"/>
      <c r="JEK23" s="21"/>
      <c r="JEL23" s="21"/>
      <c r="JEM23" s="21"/>
      <c r="JEN23" s="21"/>
      <c r="JEO23" s="21"/>
      <c r="JEP23" s="21"/>
      <c r="JEQ23" s="21"/>
      <c r="JER23" s="21"/>
      <c r="JES23" s="21"/>
      <c r="JET23" s="21"/>
      <c r="JEU23" s="21"/>
      <c r="JEV23" s="21"/>
      <c r="JEW23" s="21"/>
      <c r="JEX23" s="21"/>
      <c r="JEY23" s="21"/>
      <c r="JEZ23" s="21"/>
      <c r="JFA23" s="21"/>
      <c r="JFB23" s="21"/>
      <c r="JFC23" s="21"/>
      <c r="JFD23" s="21"/>
      <c r="JFE23" s="21"/>
      <c r="JFF23" s="21"/>
      <c r="JFG23" s="21"/>
      <c r="JFH23" s="21"/>
      <c r="JFI23" s="21"/>
      <c r="JFJ23" s="21"/>
      <c r="JFK23" s="21"/>
      <c r="JFL23" s="21"/>
      <c r="JFM23" s="21"/>
      <c r="JFN23" s="21"/>
      <c r="JFO23" s="21"/>
      <c r="JFP23" s="21"/>
      <c r="JFQ23" s="21"/>
      <c r="JFR23" s="21"/>
      <c r="JFS23" s="21"/>
      <c r="JFT23" s="21"/>
      <c r="JFU23" s="21"/>
      <c r="JFV23" s="21"/>
      <c r="JFW23" s="21"/>
      <c r="JFX23" s="21"/>
      <c r="JFY23" s="21"/>
      <c r="JFZ23" s="21"/>
      <c r="JGA23" s="21"/>
      <c r="JGB23" s="21"/>
      <c r="JGC23" s="21"/>
      <c r="JGD23" s="21"/>
      <c r="JGE23" s="21"/>
      <c r="JGF23" s="21"/>
      <c r="JGG23" s="21"/>
      <c r="JGH23" s="21"/>
      <c r="JGI23" s="21"/>
      <c r="JGJ23" s="21"/>
      <c r="JGK23" s="21"/>
      <c r="JGL23" s="21"/>
      <c r="JGM23" s="21"/>
      <c r="JGN23" s="21"/>
      <c r="JGO23" s="21"/>
      <c r="JGP23" s="21"/>
      <c r="JGQ23" s="21"/>
      <c r="JGR23" s="21"/>
      <c r="JGS23" s="21"/>
      <c r="JGT23" s="21"/>
      <c r="JGU23" s="21"/>
      <c r="JGV23" s="21"/>
      <c r="JGW23" s="21"/>
      <c r="JGX23" s="21"/>
      <c r="JGY23" s="21"/>
      <c r="JGZ23" s="21"/>
      <c r="JHA23" s="21"/>
      <c r="JHB23" s="21"/>
      <c r="JHC23" s="21"/>
      <c r="JHD23" s="21"/>
      <c r="JHE23" s="21"/>
      <c r="JHF23" s="21"/>
      <c r="JHG23" s="21"/>
      <c r="JHH23" s="21"/>
      <c r="JHI23" s="21"/>
      <c r="JHJ23" s="21"/>
      <c r="JHK23" s="21"/>
      <c r="JHL23" s="21"/>
      <c r="JHM23" s="21"/>
      <c r="JHN23" s="21"/>
      <c r="JHO23" s="21"/>
      <c r="JHP23" s="21"/>
      <c r="JHQ23" s="21"/>
      <c r="JHR23" s="21"/>
      <c r="JHS23" s="21"/>
      <c r="JHT23" s="21"/>
      <c r="JHU23" s="21"/>
      <c r="JHV23" s="21"/>
      <c r="JHW23" s="21"/>
      <c r="JHX23" s="21"/>
      <c r="JHY23" s="21"/>
      <c r="JHZ23" s="21"/>
      <c r="JIA23" s="21"/>
      <c r="JIB23" s="21"/>
      <c r="JIC23" s="21"/>
      <c r="JID23" s="21"/>
      <c r="JIE23" s="21"/>
      <c r="JIF23" s="21"/>
      <c r="JIG23" s="21"/>
      <c r="JIH23" s="21"/>
      <c r="JII23" s="21"/>
      <c r="JIJ23" s="21"/>
      <c r="JIK23" s="21"/>
      <c r="JIL23" s="21"/>
      <c r="JIM23" s="21"/>
      <c r="JIN23" s="21"/>
      <c r="JIO23" s="21"/>
      <c r="JIP23" s="21"/>
      <c r="JIQ23" s="21"/>
      <c r="JIR23" s="21"/>
      <c r="JIS23" s="21"/>
      <c r="JIT23" s="21"/>
      <c r="JIU23" s="21"/>
      <c r="JIV23" s="21"/>
      <c r="JIW23" s="21"/>
      <c r="JIX23" s="21"/>
      <c r="JIY23" s="21"/>
      <c r="JIZ23" s="21"/>
      <c r="JJA23" s="21"/>
      <c r="JJB23" s="21"/>
      <c r="JJC23" s="21"/>
      <c r="JJD23" s="21"/>
      <c r="JJE23" s="21"/>
      <c r="JJF23" s="21"/>
      <c r="JJG23" s="21"/>
      <c r="JJH23" s="21"/>
      <c r="JJI23" s="21"/>
      <c r="JJJ23" s="21"/>
      <c r="JJK23" s="21"/>
      <c r="JJL23" s="21"/>
      <c r="JJM23" s="21"/>
      <c r="JJN23" s="21"/>
      <c r="JJO23" s="21"/>
      <c r="JJP23" s="21"/>
      <c r="JJQ23" s="21"/>
      <c r="JJR23" s="21"/>
      <c r="JJS23" s="21"/>
      <c r="JJT23" s="21"/>
      <c r="JJU23" s="21"/>
      <c r="JJV23" s="21"/>
      <c r="JJW23" s="21"/>
      <c r="JJX23" s="21"/>
      <c r="JJY23" s="21"/>
      <c r="JJZ23" s="21"/>
      <c r="JKA23" s="21"/>
      <c r="JKB23" s="21"/>
      <c r="JKC23" s="21"/>
      <c r="JKD23" s="21"/>
      <c r="JKE23" s="21"/>
      <c r="JKF23" s="21"/>
      <c r="JKG23" s="21"/>
      <c r="JKH23" s="21"/>
      <c r="JKI23" s="21"/>
      <c r="JKJ23" s="21"/>
      <c r="JKK23" s="21"/>
      <c r="JKL23" s="21"/>
      <c r="JKM23" s="21"/>
      <c r="JKN23" s="21"/>
      <c r="JKO23" s="21"/>
      <c r="JKP23" s="21"/>
      <c r="JKQ23" s="21"/>
      <c r="JKR23" s="21"/>
      <c r="JKS23" s="21"/>
      <c r="JKT23" s="21"/>
      <c r="JKU23" s="21"/>
      <c r="JKV23" s="21"/>
      <c r="JKW23" s="21"/>
      <c r="JKX23" s="21"/>
      <c r="JKY23" s="21"/>
      <c r="JKZ23" s="21"/>
      <c r="JLA23" s="21"/>
      <c r="JLB23" s="21"/>
      <c r="JLC23" s="21"/>
      <c r="JLD23" s="21"/>
      <c r="JLE23" s="21"/>
      <c r="JLF23" s="21"/>
      <c r="JLG23" s="21"/>
      <c r="JLH23" s="21"/>
      <c r="JLI23" s="21"/>
      <c r="JLJ23" s="21"/>
      <c r="JLK23" s="21"/>
      <c r="JLL23" s="21"/>
      <c r="JLM23" s="21"/>
      <c r="JLN23" s="21"/>
      <c r="JLO23" s="21"/>
      <c r="JLP23" s="21"/>
      <c r="JLQ23" s="21"/>
      <c r="JLR23" s="21"/>
      <c r="JLS23" s="21"/>
      <c r="JLT23" s="21"/>
      <c r="JLU23" s="21"/>
      <c r="JLV23" s="21"/>
      <c r="JLW23" s="21"/>
      <c r="JLX23" s="21"/>
      <c r="JLY23" s="21"/>
      <c r="JLZ23" s="21"/>
      <c r="JMA23" s="21"/>
      <c r="JMB23" s="21"/>
      <c r="JMC23" s="21"/>
      <c r="JMD23" s="21"/>
      <c r="JME23" s="21"/>
      <c r="JMF23" s="21"/>
      <c r="JMG23" s="21"/>
      <c r="JMH23" s="21"/>
      <c r="JMI23" s="21"/>
      <c r="JMJ23" s="21"/>
      <c r="JMK23" s="21"/>
      <c r="JML23" s="21"/>
      <c r="JMM23" s="21"/>
      <c r="JMN23" s="21"/>
      <c r="JMO23" s="21"/>
      <c r="JMP23" s="21"/>
      <c r="JMQ23" s="21"/>
      <c r="JMR23" s="21"/>
      <c r="JMS23" s="21"/>
      <c r="JMT23" s="21"/>
      <c r="JMU23" s="21"/>
      <c r="JMV23" s="21"/>
      <c r="JMW23" s="21"/>
      <c r="JMX23" s="21"/>
      <c r="JMY23" s="21"/>
      <c r="JMZ23" s="21"/>
      <c r="JNA23" s="21"/>
      <c r="JNB23" s="21"/>
      <c r="JNC23" s="21"/>
      <c r="JND23" s="21"/>
      <c r="JNE23" s="21"/>
      <c r="JNF23" s="21"/>
      <c r="JNG23" s="21"/>
      <c r="JNH23" s="21"/>
      <c r="JNI23" s="21"/>
      <c r="JNJ23" s="21"/>
      <c r="JNK23" s="21"/>
      <c r="JNL23" s="21"/>
      <c r="JNM23" s="21"/>
      <c r="JNN23" s="21"/>
      <c r="JNO23" s="21"/>
      <c r="JNP23" s="21"/>
      <c r="JNQ23" s="21"/>
      <c r="JNR23" s="21"/>
      <c r="JNS23" s="21"/>
      <c r="JNT23" s="21"/>
      <c r="JNU23" s="21"/>
      <c r="JNV23" s="21"/>
      <c r="JNW23" s="21"/>
      <c r="JNX23" s="21"/>
      <c r="JNY23" s="21"/>
      <c r="JNZ23" s="21"/>
      <c r="JOA23" s="21"/>
      <c r="JOB23" s="21"/>
      <c r="JOC23" s="21"/>
      <c r="JOD23" s="21"/>
      <c r="JOE23" s="21"/>
      <c r="JOF23" s="21"/>
      <c r="JOG23" s="21"/>
      <c r="JOH23" s="21"/>
      <c r="JOI23" s="21"/>
      <c r="JOJ23" s="21"/>
      <c r="JOK23" s="21"/>
      <c r="JOL23" s="21"/>
      <c r="JOM23" s="21"/>
      <c r="JON23" s="21"/>
      <c r="JOO23" s="21"/>
      <c r="JOP23" s="21"/>
      <c r="JOQ23" s="21"/>
      <c r="JOR23" s="21"/>
      <c r="JOS23" s="21"/>
      <c r="JOT23" s="21"/>
      <c r="JOU23" s="21"/>
      <c r="JOV23" s="21"/>
      <c r="JOW23" s="21"/>
      <c r="JOX23" s="21"/>
      <c r="JOY23" s="21"/>
      <c r="JOZ23" s="21"/>
      <c r="JPA23" s="21"/>
      <c r="JPB23" s="21"/>
      <c r="JPC23" s="21"/>
      <c r="JPD23" s="21"/>
      <c r="JPE23" s="21"/>
      <c r="JPF23" s="21"/>
      <c r="JPG23" s="21"/>
      <c r="JPH23" s="21"/>
      <c r="JPI23" s="21"/>
      <c r="JPJ23" s="21"/>
      <c r="JPK23" s="21"/>
      <c r="JPL23" s="21"/>
      <c r="JPM23" s="21"/>
      <c r="JPN23" s="21"/>
      <c r="JPO23" s="21"/>
      <c r="JPP23" s="21"/>
      <c r="JPQ23" s="21"/>
      <c r="JPR23" s="21"/>
      <c r="JPS23" s="21"/>
      <c r="JPT23" s="21"/>
      <c r="JPU23" s="21"/>
      <c r="JPV23" s="21"/>
      <c r="JPW23" s="21"/>
      <c r="JPX23" s="21"/>
      <c r="JPY23" s="21"/>
      <c r="JPZ23" s="21"/>
      <c r="JQA23" s="21"/>
      <c r="JQB23" s="21"/>
      <c r="JQC23" s="21"/>
      <c r="JQD23" s="21"/>
      <c r="JQE23" s="21"/>
      <c r="JQF23" s="21"/>
      <c r="JQG23" s="21"/>
      <c r="JQH23" s="21"/>
      <c r="JQI23" s="21"/>
      <c r="JQJ23" s="21"/>
      <c r="JQK23" s="21"/>
      <c r="JQL23" s="21"/>
      <c r="JQM23" s="21"/>
      <c r="JQN23" s="21"/>
      <c r="JQO23" s="21"/>
      <c r="JQP23" s="21"/>
      <c r="JQQ23" s="21"/>
      <c r="JQR23" s="21"/>
      <c r="JQS23" s="21"/>
      <c r="JQT23" s="21"/>
      <c r="JQU23" s="21"/>
      <c r="JQV23" s="21"/>
      <c r="JQW23" s="21"/>
      <c r="JQX23" s="21"/>
      <c r="JQY23" s="21"/>
      <c r="JQZ23" s="21"/>
      <c r="JRA23" s="21"/>
      <c r="JRB23" s="21"/>
      <c r="JRC23" s="21"/>
      <c r="JRD23" s="21"/>
      <c r="JRE23" s="21"/>
      <c r="JRF23" s="21"/>
      <c r="JRG23" s="21"/>
      <c r="JRH23" s="21"/>
      <c r="JRI23" s="21"/>
      <c r="JRJ23" s="21"/>
      <c r="JRK23" s="21"/>
      <c r="JRL23" s="21"/>
      <c r="JRM23" s="21"/>
      <c r="JRN23" s="21"/>
      <c r="JRO23" s="21"/>
      <c r="JRP23" s="21"/>
      <c r="JRQ23" s="21"/>
      <c r="JRR23" s="21"/>
      <c r="JRS23" s="21"/>
      <c r="JRT23" s="21"/>
      <c r="JRU23" s="21"/>
      <c r="JRV23" s="21"/>
      <c r="JRW23" s="21"/>
      <c r="JRX23" s="21"/>
      <c r="JRY23" s="21"/>
      <c r="JRZ23" s="21"/>
      <c r="JSA23" s="21"/>
      <c r="JSB23" s="21"/>
      <c r="JSC23" s="21"/>
      <c r="JSD23" s="21"/>
      <c r="JSE23" s="21"/>
      <c r="JSF23" s="21"/>
      <c r="JSG23" s="21"/>
      <c r="JSH23" s="21"/>
      <c r="JSI23" s="21"/>
      <c r="JSJ23" s="21"/>
      <c r="JSK23" s="21"/>
      <c r="JSL23" s="21"/>
      <c r="JSM23" s="21"/>
      <c r="JSN23" s="21"/>
      <c r="JSO23" s="21"/>
      <c r="JSP23" s="21"/>
      <c r="JSQ23" s="21"/>
      <c r="JSR23" s="21"/>
      <c r="JSS23" s="21"/>
      <c r="JST23" s="21"/>
      <c r="JSU23" s="21"/>
      <c r="JSV23" s="21"/>
      <c r="JSW23" s="21"/>
      <c r="JSX23" s="21"/>
      <c r="JSY23" s="21"/>
      <c r="JSZ23" s="21"/>
      <c r="JTA23" s="21"/>
      <c r="JTB23" s="21"/>
      <c r="JTC23" s="21"/>
      <c r="JTD23" s="21"/>
      <c r="JTE23" s="21"/>
      <c r="JTF23" s="21"/>
      <c r="JTG23" s="21"/>
      <c r="JTH23" s="21"/>
      <c r="JTI23" s="21"/>
      <c r="JTJ23" s="21"/>
      <c r="JTK23" s="21"/>
      <c r="JTL23" s="21"/>
      <c r="JTM23" s="21"/>
      <c r="JTN23" s="21"/>
      <c r="JTO23" s="21"/>
      <c r="JTP23" s="21"/>
      <c r="JTQ23" s="21"/>
      <c r="JTR23" s="21"/>
      <c r="JTS23" s="21"/>
      <c r="JTT23" s="21"/>
      <c r="JTU23" s="21"/>
      <c r="JTV23" s="21"/>
      <c r="JTW23" s="21"/>
      <c r="JTX23" s="21"/>
      <c r="JTY23" s="21"/>
      <c r="JTZ23" s="21"/>
      <c r="JUA23" s="21"/>
      <c r="JUB23" s="21"/>
      <c r="JUC23" s="21"/>
      <c r="JUD23" s="21"/>
      <c r="JUE23" s="21"/>
      <c r="JUF23" s="21"/>
      <c r="JUG23" s="21"/>
      <c r="JUH23" s="21"/>
      <c r="JUI23" s="21"/>
      <c r="JUJ23" s="21"/>
      <c r="JUK23" s="21"/>
      <c r="JUL23" s="21"/>
      <c r="JUM23" s="21"/>
      <c r="JUN23" s="21"/>
      <c r="JUO23" s="21"/>
      <c r="JUP23" s="21"/>
      <c r="JUQ23" s="21"/>
      <c r="JUR23" s="21"/>
      <c r="JUS23" s="21"/>
      <c r="JUT23" s="21"/>
      <c r="JUU23" s="21"/>
      <c r="JUV23" s="21"/>
      <c r="JUW23" s="21"/>
      <c r="JUX23" s="21"/>
      <c r="JUY23" s="21"/>
      <c r="JUZ23" s="21"/>
      <c r="JVA23" s="21"/>
      <c r="JVB23" s="21"/>
      <c r="JVC23" s="21"/>
      <c r="JVD23" s="21"/>
      <c r="JVE23" s="21"/>
      <c r="JVF23" s="21"/>
      <c r="JVG23" s="21"/>
      <c r="JVH23" s="21"/>
      <c r="JVI23" s="21"/>
      <c r="JVJ23" s="21"/>
      <c r="JVK23" s="21"/>
      <c r="JVL23" s="21"/>
      <c r="JVM23" s="21"/>
      <c r="JVN23" s="21"/>
      <c r="JVO23" s="21"/>
      <c r="JVP23" s="21"/>
      <c r="JVQ23" s="21"/>
      <c r="JVR23" s="21"/>
      <c r="JVS23" s="21"/>
      <c r="JVT23" s="21"/>
      <c r="JVU23" s="21"/>
      <c r="JVV23" s="21"/>
      <c r="JVW23" s="21"/>
      <c r="JVX23" s="21"/>
      <c r="JVY23" s="21"/>
      <c r="JVZ23" s="21"/>
      <c r="JWA23" s="21"/>
      <c r="JWB23" s="21"/>
      <c r="JWC23" s="21"/>
      <c r="JWD23" s="21"/>
      <c r="JWE23" s="21"/>
      <c r="JWF23" s="21"/>
      <c r="JWG23" s="21"/>
      <c r="JWH23" s="21"/>
      <c r="JWI23" s="21"/>
      <c r="JWJ23" s="21"/>
      <c r="JWK23" s="21"/>
      <c r="JWL23" s="21"/>
      <c r="JWM23" s="21"/>
      <c r="JWN23" s="21"/>
      <c r="JWO23" s="21"/>
      <c r="JWP23" s="21"/>
      <c r="JWQ23" s="21"/>
      <c r="JWR23" s="21"/>
      <c r="JWS23" s="21"/>
      <c r="JWT23" s="21"/>
      <c r="JWU23" s="21"/>
      <c r="JWV23" s="21"/>
      <c r="JWW23" s="21"/>
      <c r="JWX23" s="21"/>
      <c r="JWY23" s="21"/>
      <c r="JWZ23" s="21"/>
      <c r="JXA23" s="21"/>
      <c r="JXB23" s="21"/>
      <c r="JXC23" s="21"/>
      <c r="JXD23" s="21"/>
      <c r="JXE23" s="21"/>
      <c r="JXF23" s="21"/>
      <c r="JXG23" s="21"/>
      <c r="JXH23" s="21"/>
      <c r="JXI23" s="21"/>
      <c r="JXJ23" s="21"/>
      <c r="JXK23" s="21"/>
      <c r="JXL23" s="21"/>
      <c r="JXM23" s="21"/>
      <c r="JXN23" s="21"/>
      <c r="JXO23" s="21"/>
      <c r="JXP23" s="21"/>
      <c r="JXQ23" s="21"/>
      <c r="JXR23" s="21"/>
      <c r="JXS23" s="21"/>
      <c r="JXT23" s="21"/>
      <c r="JXU23" s="21"/>
      <c r="JXV23" s="21"/>
      <c r="JXW23" s="21"/>
      <c r="JXX23" s="21"/>
      <c r="JXY23" s="21"/>
      <c r="JXZ23" s="21"/>
      <c r="JYA23" s="21"/>
      <c r="JYB23" s="21"/>
      <c r="JYC23" s="21"/>
      <c r="JYD23" s="21"/>
      <c r="JYE23" s="21"/>
      <c r="JYF23" s="21"/>
      <c r="JYG23" s="21"/>
      <c r="JYH23" s="21"/>
      <c r="JYI23" s="21"/>
      <c r="JYJ23" s="21"/>
      <c r="JYK23" s="21"/>
      <c r="JYL23" s="21"/>
      <c r="JYM23" s="21"/>
      <c r="JYN23" s="21"/>
      <c r="JYO23" s="21"/>
      <c r="JYP23" s="21"/>
      <c r="JYQ23" s="21"/>
      <c r="JYR23" s="21"/>
      <c r="JYS23" s="21"/>
      <c r="JYT23" s="21"/>
      <c r="JYU23" s="21"/>
      <c r="JYV23" s="21"/>
      <c r="JYW23" s="21"/>
      <c r="JYX23" s="21"/>
      <c r="JYY23" s="21"/>
      <c r="JYZ23" s="21"/>
      <c r="JZA23" s="21"/>
      <c r="JZB23" s="21"/>
      <c r="JZC23" s="21"/>
      <c r="JZD23" s="21"/>
      <c r="JZE23" s="21"/>
      <c r="JZF23" s="21"/>
      <c r="JZG23" s="21"/>
      <c r="JZH23" s="21"/>
      <c r="JZI23" s="21"/>
      <c r="JZJ23" s="21"/>
      <c r="JZK23" s="21"/>
      <c r="JZL23" s="21"/>
      <c r="JZM23" s="21"/>
      <c r="JZN23" s="21"/>
      <c r="JZO23" s="21"/>
      <c r="JZP23" s="21"/>
      <c r="JZQ23" s="21"/>
      <c r="JZR23" s="21"/>
      <c r="JZS23" s="21"/>
      <c r="JZT23" s="21"/>
      <c r="JZU23" s="21"/>
      <c r="JZV23" s="21"/>
      <c r="JZW23" s="21"/>
      <c r="JZX23" s="21"/>
      <c r="JZY23" s="21"/>
      <c r="JZZ23" s="21"/>
      <c r="KAA23" s="21"/>
      <c r="KAB23" s="21"/>
      <c r="KAC23" s="21"/>
      <c r="KAD23" s="21"/>
      <c r="KAE23" s="21"/>
      <c r="KAF23" s="21"/>
      <c r="KAG23" s="21"/>
      <c r="KAH23" s="21"/>
      <c r="KAI23" s="21"/>
      <c r="KAJ23" s="21"/>
      <c r="KAK23" s="21"/>
      <c r="KAL23" s="21"/>
      <c r="KAM23" s="21"/>
      <c r="KAN23" s="21"/>
      <c r="KAO23" s="21"/>
      <c r="KAP23" s="21"/>
      <c r="KAQ23" s="21"/>
      <c r="KAR23" s="21"/>
      <c r="KAS23" s="21"/>
      <c r="KAT23" s="21"/>
      <c r="KAU23" s="21"/>
      <c r="KAV23" s="21"/>
      <c r="KAW23" s="21"/>
      <c r="KAX23" s="21"/>
      <c r="KAY23" s="21"/>
      <c r="KAZ23" s="21"/>
      <c r="KBA23" s="21"/>
      <c r="KBB23" s="21"/>
      <c r="KBC23" s="21"/>
      <c r="KBD23" s="21"/>
      <c r="KBE23" s="21"/>
      <c r="KBF23" s="21"/>
      <c r="KBG23" s="21"/>
      <c r="KBH23" s="21"/>
      <c r="KBI23" s="21"/>
      <c r="KBJ23" s="21"/>
      <c r="KBK23" s="21"/>
      <c r="KBL23" s="21"/>
      <c r="KBM23" s="21"/>
      <c r="KBN23" s="21"/>
      <c r="KBO23" s="21"/>
      <c r="KBP23" s="21"/>
      <c r="KBQ23" s="21"/>
      <c r="KBR23" s="21"/>
      <c r="KBS23" s="21"/>
      <c r="KBT23" s="21"/>
      <c r="KBU23" s="21"/>
      <c r="KBV23" s="21"/>
      <c r="KBW23" s="21"/>
      <c r="KBX23" s="21"/>
      <c r="KBY23" s="21"/>
      <c r="KBZ23" s="21"/>
      <c r="KCA23" s="21"/>
      <c r="KCB23" s="21"/>
      <c r="KCC23" s="21"/>
      <c r="KCD23" s="21"/>
      <c r="KCE23" s="21"/>
      <c r="KCF23" s="21"/>
      <c r="KCG23" s="21"/>
      <c r="KCH23" s="21"/>
      <c r="KCI23" s="21"/>
      <c r="KCJ23" s="21"/>
      <c r="KCK23" s="21"/>
      <c r="KCL23" s="21"/>
      <c r="KCM23" s="21"/>
      <c r="KCN23" s="21"/>
      <c r="KCO23" s="21"/>
      <c r="KCP23" s="21"/>
      <c r="KCQ23" s="21"/>
      <c r="KCR23" s="21"/>
      <c r="KCS23" s="21"/>
      <c r="KCT23" s="21"/>
      <c r="KCU23" s="21"/>
      <c r="KCV23" s="21"/>
      <c r="KCW23" s="21"/>
      <c r="KCX23" s="21"/>
      <c r="KCY23" s="21"/>
      <c r="KCZ23" s="21"/>
      <c r="KDA23" s="21"/>
      <c r="KDB23" s="21"/>
      <c r="KDC23" s="21"/>
      <c r="KDD23" s="21"/>
      <c r="KDE23" s="21"/>
      <c r="KDF23" s="21"/>
      <c r="KDG23" s="21"/>
      <c r="KDH23" s="21"/>
      <c r="KDI23" s="21"/>
      <c r="KDJ23" s="21"/>
      <c r="KDK23" s="21"/>
      <c r="KDL23" s="21"/>
      <c r="KDM23" s="21"/>
      <c r="KDN23" s="21"/>
      <c r="KDO23" s="21"/>
      <c r="KDP23" s="21"/>
      <c r="KDQ23" s="21"/>
      <c r="KDR23" s="21"/>
      <c r="KDS23" s="21"/>
      <c r="KDT23" s="21"/>
      <c r="KDU23" s="21"/>
      <c r="KDV23" s="21"/>
      <c r="KDW23" s="21"/>
      <c r="KDX23" s="21"/>
      <c r="KDY23" s="21"/>
      <c r="KDZ23" s="21"/>
      <c r="KEA23" s="21"/>
      <c r="KEB23" s="21"/>
      <c r="KEC23" s="21"/>
      <c r="KED23" s="21"/>
      <c r="KEE23" s="21"/>
      <c r="KEF23" s="21"/>
      <c r="KEG23" s="21"/>
      <c r="KEH23" s="21"/>
      <c r="KEI23" s="21"/>
      <c r="KEJ23" s="21"/>
      <c r="KEK23" s="21"/>
      <c r="KEL23" s="21"/>
      <c r="KEM23" s="21"/>
      <c r="KEN23" s="21"/>
      <c r="KEO23" s="21"/>
      <c r="KEP23" s="21"/>
      <c r="KEQ23" s="21"/>
      <c r="KER23" s="21"/>
      <c r="KES23" s="21"/>
      <c r="KET23" s="21"/>
      <c r="KEU23" s="21"/>
      <c r="KEV23" s="21"/>
      <c r="KEW23" s="21"/>
      <c r="KEX23" s="21"/>
      <c r="KEY23" s="21"/>
      <c r="KEZ23" s="21"/>
      <c r="KFA23" s="21"/>
      <c r="KFB23" s="21"/>
      <c r="KFC23" s="21"/>
      <c r="KFD23" s="21"/>
      <c r="KFE23" s="21"/>
      <c r="KFF23" s="21"/>
      <c r="KFG23" s="21"/>
      <c r="KFH23" s="21"/>
      <c r="KFI23" s="21"/>
      <c r="KFJ23" s="21"/>
      <c r="KFK23" s="21"/>
      <c r="KFL23" s="21"/>
      <c r="KFM23" s="21"/>
      <c r="KFN23" s="21"/>
      <c r="KFO23" s="21"/>
      <c r="KFP23" s="21"/>
      <c r="KFQ23" s="21"/>
      <c r="KFR23" s="21"/>
      <c r="KFS23" s="21"/>
      <c r="KFT23" s="21"/>
      <c r="KFU23" s="21"/>
      <c r="KFV23" s="21"/>
      <c r="KFW23" s="21"/>
      <c r="KFX23" s="21"/>
      <c r="KFY23" s="21"/>
      <c r="KFZ23" s="21"/>
      <c r="KGA23" s="21"/>
      <c r="KGB23" s="21"/>
      <c r="KGC23" s="21"/>
      <c r="KGD23" s="21"/>
      <c r="KGE23" s="21"/>
      <c r="KGF23" s="21"/>
      <c r="KGG23" s="21"/>
      <c r="KGH23" s="21"/>
      <c r="KGI23" s="21"/>
      <c r="KGJ23" s="21"/>
      <c r="KGK23" s="21"/>
      <c r="KGL23" s="21"/>
      <c r="KGM23" s="21"/>
      <c r="KGN23" s="21"/>
      <c r="KGO23" s="21"/>
      <c r="KGP23" s="21"/>
      <c r="KGQ23" s="21"/>
      <c r="KGR23" s="21"/>
      <c r="KGS23" s="21"/>
      <c r="KGT23" s="21"/>
      <c r="KGU23" s="21"/>
      <c r="KGV23" s="21"/>
      <c r="KGW23" s="21"/>
      <c r="KGX23" s="21"/>
      <c r="KGY23" s="21"/>
      <c r="KGZ23" s="21"/>
      <c r="KHA23" s="21"/>
      <c r="KHB23" s="21"/>
      <c r="KHC23" s="21"/>
      <c r="KHD23" s="21"/>
      <c r="KHE23" s="21"/>
      <c r="KHF23" s="21"/>
      <c r="KHG23" s="21"/>
      <c r="KHH23" s="21"/>
      <c r="KHI23" s="21"/>
      <c r="KHJ23" s="21"/>
      <c r="KHK23" s="21"/>
      <c r="KHL23" s="21"/>
      <c r="KHM23" s="21"/>
      <c r="KHN23" s="21"/>
      <c r="KHO23" s="21"/>
      <c r="KHP23" s="21"/>
      <c r="KHQ23" s="21"/>
      <c r="KHR23" s="21"/>
      <c r="KHS23" s="21"/>
      <c r="KHT23" s="21"/>
      <c r="KHU23" s="21"/>
      <c r="KHV23" s="21"/>
      <c r="KHW23" s="21"/>
      <c r="KHX23" s="21"/>
      <c r="KHY23" s="21"/>
      <c r="KHZ23" s="21"/>
      <c r="KIA23" s="21"/>
      <c r="KIB23" s="21"/>
      <c r="KIC23" s="21"/>
      <c r="KID23" s="21"/>
      <c r="KIE23" s="21"/>
      <c r="KIF23" s="21"/>
      <c r="KIG23" s="21"/>
      <c r="KIH23" s="21"/>
      <c r="KII23" s="21"/>
      <c r="KIJ23" s="21"/>
      <c r="KIK23" s="21"/>
      <c r="KIL23" s="21"/>
      <c r="KIM23" s="21"/>
      <c r="KIN23" s="21"/>
      <c r="KIO23" s="21"/>
      <c r="KIP23" s="21"/>
      <c r="KIQ23" s="21"/>
      <c r="KIR23" s="21"/>
      <c r="KIS23" s="21"/>
      <c r="KIT23" s="21"/>
      <c r="KIU23" s="21"/>
      <c r="KIV23" s="21"/>
      <c r="KIW23" s="21"/>
      <c r="KIX23" s="21"/>
      <c r="KIY23" s="21"/>
      <c r="KIZ23" s="21"/>
      <c r="KJA23" s="21"/>
      <c r="KJB23" s="21"/>
      <c r="KJC23" s="21"/>
      <c r="KJD23" s="21"/>
      <c r="KJE23" s="21"/>
      <c r="KJF23" s="21"/>
      <c r="KJG23" s="21"/>
      <c r="KJH23" s="21"/>
      <c r="KJI23" s="21"/>
      <c r="KJJ23" s="21"/>
      <c r="KJK23" s="21"/>
      <c r="KJL23" s="21"/>
      <c r="KJM23" s="21"/>
      <c r="KJN23" s="21"/>
      <c r="KJO23" s="21"/>
      <c r="KJP23" s="21"/>
      <c r="KJQ23" s="21"/>
      <c r="KJR23" s="21"/>
      <c r="KJS23" s="21"/>
      <c r="KJT23" s="21"/>
      <c r="KJU23" s="21"/>
      <c r="KJV23" s="21"/>
      <c r="KJW23" s="21"/>
      <c r="KJX23" s="21"/>
      <c r="KJY23" s="21"/>
      <c r="KJZ23" s="21"/>
      <c r="KKA23" s="21"/>
      <c r="KKB23" s="21"/>
      <c r="KKC23" s="21"/>
      <c r="KKD23" s="21"/>
      <c r="KKE23" s="21"/>
      <c r="KKF23" s="21"/>
      <c r="KKG23" s="21"/>
      <c r="KKH23" s="21"/>
      <c r="KKI23" s="21"/>
      <c r="KKJ23" s="21"/>
      <c r="KKK23" s="21"/>
      <c r="KKL23" s="21"/>
      <c r="KKM23" s="21"/>
      <c r="KKN23" s="21"/>
      <c r="KKO23" s="21"/>
      <c r="KKP23" s="21"/>
      <c r="KKQ23" s="21"/>
      <c r="KKR23" s="21"/>
      <c r="KKS23" s="21"/>
      <c r="KKT23" s="21"/>
      <c r="KKU23" s="21"/>
      <c r="KKV23" s="21"/>
      <c r="KKW23" s="21"/>
      <c r="KKX23" s="21"/>
      <c r="KKY23" s="21"/>
      <c r="KKZ23" s="21"/>
      <c r="KLA23" s="21"/>
      <c r="KLB23" s="21"/>
      <c r="KLC23" s="21"/>
      <c r="KLD23" s="21"/>
      <c r="KLE23" s="21"/>
      <c r="KLF23" s="21"/>
      <c r="KLG23" s="21"/>
      <c r="KLH23" s="21"/>
      <c r="KLI23" s="21"/>
      <c r="KLJ23" s="21"/>
      <c r="KLK23" s="21"/>
      <c r="KLL23" s="21"/>
      <c r="KLM23" s="21"/>
      <c r="KLN23" s="21"/>
      <c r="KLO23" s="21"/>
      <c r="KLP23" s="21"/>
      <c r="KLQ23" s="21"/>
      <c r="KLR23" s="21"/>
      <c r="KLS23" s="21"/>
      <c r="KLT23" s="21"/>
      <c r="KLU23" s="21"/>
      <c r="KLV23" s="21"/>
      <c r="KLW23" s="21"/>
      <c r="KLX23" s="21"/>
      <c r="KLY23" s="21"/>
      <c r="KLZ23" s="21"/>
      <c r="KMA23" s="21"/>
      <c r="KMB23" s="21"/>
      <c r="KMC23" s="21"/>
      <c r="KMD23" s="21"/>
      <c r="KME23" s="21"/>
      <c r="KMF23" s="21"/>
      <c r="KMG23" s="21"/>
      <c r="KMH23" s="21"/>
      <c r="KMI23" s="21"/>
      <c r="KMJ23" s="21"/>
      <c r="KMK23" s="21"/>
      <c r="KML23" s="21"/>
      <c r="KMM23" s="21"/>
      <c r="KMN23" s="21"/>
      <c r="KMO23" s="21"/>
      <c r="KMP23" s="21"/>
      <c r="KMQ23" s="21"/>
      <c r="KMR23" s="21"/>
      <c r="KMS23" s="21"/>
      <c r="KMT23" s="21"/>
      <c r="KMU23" s="21"/>
      <c r="KMV23" s="21"/>
      <c r="KMW23" s="21"/>
      <c r="KMX23" s="21"/>
      <c r="KMY23" s="21"/>
      <c r="KMZ23" s="21"/>
      <c r="KNA23" s="21"/>
      <c r="KNB23" s="21"/>
      <c r="KNC23" s="21"/>
      <c r="KND23" s="21"/>
      <c r="KNE23" s="21"/>
      <c r="KNF23" s="21"/>
      <c r="KNG23" s="21"/>
      <c r="KNH23" s="21"/>
      <c r="KNI23" s="21"/>
      <c r="KNJ23" s="21"/>
      <c r="KNK23" s="21"/>
      <c r="KNL23" s="21"/>
      <c r="KNM23" s="21"/>
      <c r="KNN23" s="21"/>
      <c r="KNO23" s="21"/>
      <c r="KNP23" s="21"/>
      <c r="KNQ23" s="21"/>
      <c r="KNR23" s="21"/>
      <c r="KNS23" s="21"/>
      <c r="KNT23" s="21"/>
      <c r="KNU23" s="21"/>
      <c r="KNV23" s="21"/>
      <c r="KNW23" s="21"/>
      <c r="KNX23" s="21"/>
      <c r="KNY23" s="21"/>
      <c r="KNZ23" s="21"/>
      <c r="KOA23" s="21"/>
      <c r="KOB23" s="21"/>
      <c r="KOC23" s="21"/>
      <c r="KOD23" s="21"/>
      <c r="KOE23" s="21"/>
      <c r="KOF23" s="21"/>
      <c r="KOG23" s="21"/>
      <c r="KOH23" s="21"/>
      <c r="KOI23" s="21"/>
      <c r="KOJ23" s="21"/>
      <c r="KOK23" s="21"/>
      <c r="KOL23" s="21"/>
      <c r="KOM23" s="21"/>
      <c r="KON23" s="21"/>
      <c r="KOO23" s="21"/>
      <c r="KOP23" s="21"/>
      <c r="KOQ23" s="21"/>
      <c r="KOR23" s="21"/>
      <c r="KOS23" s="21"/>
      <c r="KOT23" s="21"/>
      <c r="KOU23" s="21"/>
      <c r="KOV23" s="21"/>
      <c r="KOW23" s="21"/>
      <c r="KOX23" s="21"/>
      <c r="KOY23" s="21"/>
      <c r="KOZ23" s="21"/>
      <c r="KPA23" s="21"/>
      <c r="KPB23" s="21"/>
      <c r="KPC23" s="21"/>
      <c r="KPD23" s="21"/>
      <c r="KPE23" s="21"/>
      <c r="KPF23" s="21"/>
      <c r="KPG23" s="21"/>
      <c r="KPH23" s="21"/>
      <c r="KPI23" s="21"/>
      <c r="KPJ23" s="21"/>
      <c r="KPK23" s="21"/>
      <c r="KPL23" s="21"/>
      <c r="KPM23" s="21"/>
      <c r="KPN23" s="21"/>
      <c r="KPO23" s="21"/>
      <c r="KPP23" s="21"/>
      <c r="KPQ23" s="21"/>
      <c r="KPR23" s="21"/>
      <c r="KPS23" s="21"/>
      <c r="KPT23" s="21"/>
      <c r="KPU23" s="21"/>
      <c r="KPV23" s="21"/>
      <c r="KPW23" s="21"/>
      <c r="KPX23" s="21"/>
      <c r="KPY23" s="21"/>
      <c r="KPZ23" s="21"/>
      <c r="KQA23" s="21"/>
      <c r="KQB23" s="21"/>
      <c r="KQC23" s="21"/>
      <c r="KQD23" s="21"/>
      <c r="KQE23" s="21"/>
      <c r="KQF23" s="21"/>
      <c r="KQG23" s="21"/>
      <c r="KQH23" s="21"/>
      <c r="KQI23" s="21"/>
      <c r="KQJ23" s="21"/>
      <c r="KQK23" s="21"/>
      <c r="KQL23" s="21"/>
      <c r="KQM23" s="21"/>
      <c r="KQN23" s="21"/>
      <c r="KQO23" s="21"/>
      <c r="KQP23" s="21"/>
      <c r="KQQ23" s="21"/>
      <c r="KQR23" s="21"/>
      <c r="KQS23" s="21"/>
      <c r="KQT23" s="21"/>
      <c r="KQU23" s="21"/>
      <c r="KQV23" s="21"/>
      <c r="KQW23" s="21"/>
      <c r="KQX23" s="21"/>
      <c r="KQY23" s="21"/>
      <c r="KQZ23" s="21"/>
      <c r="KRA23" s="21"/>
      <c r="KRB23" s="21"/>
      <c r="KRC23" s="21"/>
      <c r="KRD23" s="21"/>
      <c r="KRE23" s="21"/>
      <c r="KRF23" s="21"/>
      <c r="KRG23" s="21"/>
      <c r="KRH23" s="21"/>
      <c r="KRI23" s="21"/>
      <c r="KRJ23" s="21"/>
      <c r="KRK23" s="21"/>
      <c r="KRL23" s="21"/>
      <c r="KRM23" s="21"/>
      <c r="KRN23" s="21"/>
      <c r="KRO23" s="21"/>
      <c r="KRP23" s="21"/>
      <c r="KRQ23" s="21"/>
      <c r="KRR23" s="21"/>
      <c r="KRS23" s="21"/>
      <c r="KRT23" s="21"/>
      <c r="KRU23" s="21"/>
      <c r="KRV23" s="21"/>
      <c r="KRW23" s="21"/>
      <c r="KRX23" s="21"/>
      <c r="KRY23" s="21"/>
      <c r="KRZ23" s="21"/>
      <c r="KSA23" s="21"/>
      <c r="KSB23" s="21"/>
      <c r="KSC23" s="21"/>
      <c r="KSD23" s="21"/>
      <c r="KSE23" s="21"/>
      <c r="KSF23" s="21"/>
      <c r="KSG23" s="21"/>
      <c r="KSH23" s="21"/>
      <c r="KSI23" s="21"/>
      <c r="KSJ23" s="21"/>
      <c r="KSK23" s="21"/>
      <c r="KSL23" s="21"/>
      <c r="KSM23" s="21"/>
      <c r="KSN23" s="21"/>
      <c r="KSO23" s="21"/>
      <c r="KSP23" s="21"/>
      <c r="KSQ23" s="21"/>
      <c r="KSR23" s="21"/>
      <c r="KSS23" s="21"/>
      <c r="KST23" s="21"/>
      <c r="KSU23" s="21"/>
      <c r="KSV23" s="21"/>
      <c r="KSW23" s="21"/>
      <c r="KSX23" s="21"/>
      <c r="KSY23" s="21"/>
      <c r="KSZ23" s="21"/>
      <c r="KTA23" s="21"/>
      <c r="KTB23" s="21"/>
      <c r="KTC23" s="21"/>
      <c r="KTD23" s="21"/>
      <c r="KTE23" s="21"/>
      <c r="KTF23" s="21"/>
      <c r="KTG23" s="21"/>
      <c r="KTH23" s="21"/>
      <c r="KTI23" s="21"/>
      <c r="KTJ23" s="21"/>
      <c r="KTK23" s="21"/>
      <c r="KTL23" s="21"/>
      <c r="KTM23" s="21"/>
      <c r="KTN23" s="21"/>
      <c r="KTO23" s="21"/>
      <c r="KTP23" s="21"/>
      <c r="KTQ23" s="21"/>
      <c r="KTR23" s="21"/>
      <c r="KTS23" s="21"/>
      <c r="KTT23" s="21"/>
      <c r="KTU23" s="21"/>
      <c r="KTV23" s="21"/>
      <c r="KTW23" s="21"/>
      <c r="KTX23" s="21"/>
      <c r="KTY23" s="21"/>
      <c r="KTZ23" s="21"/>
      <c r="KUA23" s="21"/>
      <c r="KUB23" s="21"/>
      <c r="KUC23" s="21"/>
      <c r="KUD23" s="21"/>
      <c r="KUE23" s="21"/>
      <c r="KUF23" s="21"/>
      <c r="KUG23" s="21"/>
      <c r="KUH23" s="21"/>
      <c r="KUI23" s="21"/>
      <c r="KUJ23" s="21"/>
      <c r="KUK23" s="21"/>
      <c r="KUL23" s="21"/>
      <c r="KUM23" s="21"/>
      <c r="KUN23" s="21"/>
      <c r="KUO23" s="21"/>
      <c r="KUP23" s="21"/>
      <c r="KUQ23" s="21"/>
      <c r="KUR23" s="21"/>
      <c r="KUS23" s="21"/>
      <c r="KUT23" s="21"/>
      <c r="KUU23" s="21"/>
      <c r="KUV23" s="21"/>
      <c r="KUW23" s="21"/>
      <c r="KUX23" s="21"/>
      <c r="KUY23" s="21"/>
      <c r="KUZ23" s="21"/>
      <c r="KVA23" s="21"/>
      <c r="KVB23" s="21"/>
      <c r="KVC23" s="21"/>
      <c r="KVD23" s="21"/>
      <c r="KVE23" s="21"/>
      <c r="KVF23" s="21"/>
      <c r="KVG23" s="21"/>
      <c r="KVH23" s="21"/>
      <c r="KVI23" s="21"/>
      <c r="KVJ23" s="21"/>
      <c r="KVK23" s="21"/>
      <c r="KVL23" s="21"/>
      <c r="KVM23" s="21"/>
      <c r="KVN23" s="21"/>
      <c r="KVO23" s="21"/>
      <c r="KVP23" s="21"/>
      <c r="KVQ23" s="21"/>
      <c r="KVR23" s="21"/>
      <c r="KVS23" s="21"/>
      <c r="KVT23" s="21"/>
      <c r="KVU23" s="21"/>
      <c r="KVV23" s="21"/>
      <c r="KVW23" s="21"/>
      <c r="KVX23" s="21"/>
      <c r="KVY23" s="21"/>
      <c r="KVZ23" s="21"/>
      <c r="KWA23" s="21"/>
      <c r="KWB23" s="21"/>
      <c r="KWC23" s="21"/>
      <c r="KWD23" s="21"/>
      <c r="KWE23" s="21"/>
      <c r="KWF23" s="21"/>
      <c r="KWG23" s="21"/>
      <c r="KWH23" s="21"/>
      <c r="KWI23" s="21"/>
      <c r="KWJ23" s="21"/>
      <c r="KWK23" s="21"/>
      <c r="KWL23" s="21"/>
      <c r="KWM23" s="21"/>
      <c r="KWN23" s="21"/>
      <c r="KWO23" s="21"/>
      <c r="KWP23" s="21"/>
      <c r="KWQ23" s="21"/>
      <c r="KWR23" s="21"/>
      <c r="KWS23" s="21"/>
      <c r="KWT23" s="21"/>
      <c r="KWU23" s="21"/>
      <c r="KWV23" s="21"/>
      <c r="KWW23" s="21"/>
      <c r="KWX23" s="21"/>
      <c r="KWY23" s="21"/>
      <c r="KWZ23" s="21"/>
      <c r="KXA23" s="21"/>
      <c r="KXB23" s="21"/>
      <c r="KXC23" s="21"/>
      <c r="KXD23" s="21"/>
      <c r="KXE23" s="21"/>
      <c r="KXF23" s="21"/>
      <c r="KXG23" s="21"/>
      <c r="KXH23" s="21"/>
      <c r="KXI23" s="21"/>
      <c r="KXJ23" s="21"/>
      <c r="KXK23" s="21"/>
      <c r="KXL23" s="21"/>
      <c r="KXM23" s="21"/>
      <c r="KXN23" s="21"/>
      <c r="KXO23" s="21"/>
      <c r="KXP23" s="21"/>
      <c r="KXQ23" s="21"/>
      <c r="KXR23" s="21"/>
      <c r="KXS23" s="21"/>
      <c r="KXT23" s="21"/>
      <c r="KXU23" s="21"/>
      <c r="KXV23" s="21"/>
      <c r="KXW23" s="21"/>
      <c r="KXX23" s="21"/>
      <c r="KXY23" s="21"/>
      <c r="KXZ23" s="21"/>
      <c r="KYA23" s="21"/>
      <c r="KYB23" s="21"/>
      <c r="KYC23" s="21"/>
      <c r="KYD23" s="21"/>
      <c r="KYE23" s="21"/>
      <c r="KYF23" s="21"/>
      <c r="KYG23" s="21"/>
      <c r="KYH23" s="21"/>
      <c r="KYI23" s="21"/>
      <c r="KYJ23" s="21"/>
      <c r="KYK23" s="21"/>
      <c r="KYL23" s="21"/>
      <c r="KYM23" s="21"/>
      <c r="KYN23" s="21"/>
      <c r="KYO23" s="21"/>
      <c r="KYP23" s="21"/>
      <c r="KYQ23" s="21"/>
      <c r="KYR23" s="21"/>
      <c r="KYS23" s="21"/>
      <c r="KYT23" s="21"/>
      <c r="KYU23" s="21"/>
      <c r="KYV23" s="21"/>
      <c r="KYW23" s="21"/>
      <c r="KYX23" s="21"/>
      <c r="KYY23" s="21"/>
      <c r="KYZ23" s="21"/>
      <c r="KZA23" s="21"/>
      <c r="KZB23" s="21"/>
      <c r="KZC23" s="21"/>
      <c r="KZD23" s="21"/>
      <c r="KZE23" s="21"/>
      <c r="KZF23" s="21"/>
      <c r="KZG23" s="21"/>
      <c r="KZH23" s="21"/>
      <c r="KZI23" s="21"/>
      <c r="KZJ23" s="21"/>
      <c r="KZK23" s="21"/>
      <c r="KZL23" s="21"/>
      <c r="KZM23" s="21"/>
      <c r="KZN23" s="21"/>
      <c r="KZO23" s="21"/>
      <c r="KZP23" s="21"/>
      <c r="KZQ23" s="21"/>
      <c r="KZR23" s="21"/>
      <c r="KZS23" s="21"/>
      <c r="KZT23" s="21"/>
      <c r="KZU23" s="21"/>
      <c r="KZV23" s="21"/>
      <c r="KZW23" s="21"/>
      <c r="KZX23" s="21"/>
      <c r="KZY23" s="21"/>
      <c r="KZZ23" s="21"/>
      <c r="LAA23" s="21"/>
      <c r="LAB23" s="21"/>
      <c r="LAC23" s="21"/>
      <c r="LAD23" s="21"/>
      <c r="LAE23" s="21"/>
      <c r="LAF23" s="21"/>
      <c r="LAG23" s="21"/>
      <c r="LAH23" s="21"/>
      <c r="LAI23" s="21"/>
      <c r="LAJ23" s="21"/>
      <c r="LAK23" s="21"/>
      <c r="LAL23" s="21"/>
      <c r="LAM23" s="21"/>
      <c r="LAN23" s="21"/>
      <c r="LAO23" s="21"/>
      <c r="LAP23" s="21"/>
      <c r="LAQ23" s="21"/>
      <c r="LAR23" s="21"/>
      <c r="LAS23" s="21"/>
      <c r="LAT23" s="21"/>
      <c r="LAU23" s="21"/>
      <c r="LAV23" s="21"/>
      <c r="LAW23" s="21"/>
      <c r="LAX23" s="21"/>
      <c r="LAY23" s="21"/>
      <c r="LAZ23" s="21"/>
      <c r="LBA23" s="21"/>
      <c r="LBB23" s="21"/>
      <c r="LBC23" s="21"/>
      <c r="LBD23" s="21"/>
      <c r="LBE23" s="21"/>
      <c r="LBF23" s="21"/>
      <c r="LBG23" s="21"/>
      <c r="LBH23" s="21"/>
      <c r="LBI23" s="21"/>
      <c r="LBJ23" s="21"/>
      <c r="LBK23" s="21"/>
      <c r="LBL23" s="21"/>
      <c r="LBM23" s="21"/>
      <c r="LBN23" s="21"/>
      <c r="LBO23" s="21"/>
      <c r="LBP23" s="21"/>
      <c r="LBQ23" s="21"/>
      <c r="LBR23" s="21"/>
      <c r="LBS23" s="21"/>
      <c r="LBT23" s="21"/>
      <c r="LBU23" s="21"/>
      <c r="LBV23" s="21"/>
      <c r="LBW23" s="21"/>
      <c r="LBX23" s="21"/>
      <c r="LBY23" s="21"/>
      <c r="LBZ23" s="21"/>
      <c r="LCA23" s="21"/>
      <c r="LCB23" s="21"/>
      <c r="LCC23" s="21"/>
      <c r="LCD23" s="21"/>
      <c r="LCE23" s="21"/>
      <c r="LCF23" s="21"/>
      <c r="LCG23" s="21"/>
      <c r="LCH23" s="21"/>
      <c r="LCI23" s="21"/>
      <c r="LCJ23" s="21"/>
      <c r="LCK23" s="21"/>
      <c r="LCL23" s="21"/>
      <c r="LCM23" s="21"/>
      <c r="LCN23" s="21"/>
      <c r="LCO23" s="21"/>
      <c r="LCP23" s="21"/>
      <c r="LCQ23" s="21"/>
      <c r="LCR23" s="21"/>
      <c r="LCS23" s="21"/>
      <c r="LCT23" s="21"/>
      <c r="LCU23" s="21"/>
      <c r="LCV23" s="21"/>
      <c r="LCW23" s="21"/>
      <c r="LCX23" s="21"/>
      <c r="LCY23" s="21"/>
      <c r="LCZ23" s="21"/>
      <c r="LDA23" s="21"/>
      <c r="LDB23" s="21"/>
      <c r="LDC23" s="21"/>
      <c r="LDD23" s="21"/>
      <c r="LDE23" s="21"/>
      <c r="LDF23" s="21"/>
      <c r="LDG23" s="21"/>
      <c r="LDH23" s="21"/>
      <c r="LDI23" s="21"/>
      <c r="LDJ23" s="21"/>
      <c r="LDK23" s="21"/>
      <c r="LDL23" s="21"/>
      <c r="LDM23" s="21"/>
      <c r="LDN23" s="21"/>
      <c r="LDO23" s="21"/>
      <c r="LDP23" s="21"/>
      <c r="LDQ23" s="21"/>
      <c r="LDR23" s="21"/>
      <c r="LDS23" s="21"/>
      <c r="LDT23" s="21"/>
      <c r="LDU23" s="21"/>
      <c r="LDV23" s="21"/>
      <c r="LDW23" s="21"/>
      <c r="LDX23" s="21"/>
      <c r="LDY23" s="21"/>
      <c r="LDZ23" s="21"/>
      <c r="LEA23" s="21"/>
      <c r="LEB23" s="21"/>
      <c r="LEC23" s="21"/>
      <c r="LED23" s="21"/>
      <c r="LEE23" s="21"/>
      <c r="LEF23" s="21"/>
      <c r="LEG23" s="21"/>
      <c r="LEH23" s="21"/>
      <c r="LEI23" s="21"/>
      <c r="LEJ23" s="21"/>
      <c r="LEK23" s="21"/>
      <c r="LEL23" s="21"/>
      <c r="LEM23" s="21"/>
      <c r="LEN23" s="21"/>
      <c r="LEO23" s="21"/>
      <c r="LEP23" s="21"/>
      <c r="LEQ23" s="21"/>
      <c r="LER23" s="21"/>
      <c r="LES23" s="21"/>
      <c r="LET23" s="21"/>
      <c r="LEU23" s="21"/>
      <c r="LEV23" s="21"/>
      <c r="LEW23" s="21"/>
      <c r="LEX23" s="21"/>
      <c r="LEY23" s="21"/>
      <c r="LEZ23" s="21"/>
      <c r="LFA23" s="21"/>
      <c r="LFB23" s="21"/>
      <c r="LFC23" s="21"/>
      <c r="LFD23" s="21"/>
      <c r="LFE23" s="21"/>
      <c r="LFF23" s="21"/>
      <c r="LFG23" s="21"/>
      <c r="LFH23" s="21"/>
      <c r="LFI23" s="21"/>
      <c r="LFJ23" s="21"/>
      <c r="LFK23" s="21"/>
      <c r="LFL23" s="21"/>
      <c r="LFM23" s="21"/>
      <c r="LFN23" s="21"/>
      <c r="LFO23" s="21"/>
      <c r="LFP23" s="21"/>
      <c r="LFQ23" s="21"/>
      <c r="LFR23" s="21"/>
      <c r="LFS23" s="21"/>
      <c r="LFT23" s="21"/>
      <c r="LFU23" s="21"/>
      <c r="LFV23" s="21"/>
      <c r="LFW23" s="21"/>
      <c r="LFX23" s="21"/>
      <c r="LFY23" s="21"/>
      <c r="LFZ23" s="21"/>
      <c r="LGA23" s="21"/>
      <c r="LGB23" s="21"/>
      <c r="LGC23" s="21"/>
      <c r="LGD23" s="21"/>
      <c r="LGE23" s="21"/>
      <c r="LGF23" s="21"/>
      <c r="LGG23" s="21"/>
      <c r="LGH23" s="21"/>
      <c r="LGI23" s="21"/>
      <c r="LGJ23" s="21"/>
      <c r="LGK23" s="21"/>
      <c r="LGL23" s="21"/>
      <c r="LGM23" s="21"/>
      <c r="LGN23" s="21"/>
      <c r="LGO23" s="21"/>
      <c r="LGP23" s="21"/>
      <c r="LGQ23" s="21"/>
      <c r="LGR23" s="21"/>
      <c r="LGS23" s="21"/>
      <c r="LGT23" s="21"/>
      <c r="LGU23" s="21"/>
      <c r="LGV23" s="21"/>
      <c r="LGW23" s="21"/>
      <c r="LGX23" s="21"/>
      <c r="LGY23" s="21"/>
      <c r="LGZ23" s="21"/>
      <c r="LHA23" s="21"/>
      <c r="LHB23" s="21"/>
      <c r="LHC23" s="21"/>
      <c r="LHD23" s="21"/>
      <c r="LHE23" s="21"/>
      <c r="LHF23" s="21"/>
      <c r="LHG23" s="21"/>
      <c r="LHH23" s="21"/>
      <c r="LHI23" s="21"/>
      <c r="LHJ23" s="21"/>
      <c r="LHK23" s="21"/>
      <c r="LHL23" s="21"/>
      <c r="LHM23" s="21"/>
      <c r="LHN23" s="21"/>
      <c r="LHO23" s="21"/>
      <c r="LHP23" s="21"/>
      <c r="LHQ23" s="21"/>
      <c r="LHR23" s="21"/>
      <c r="LHS23" s="21"/>
      <c r="LHT23" s="21"/>
      <c r="LHU23" s="21"/>
      <c r="LHV23" s="21"/>
      <c r="LHW23" s="21"/>
      <c r="LHX23" s="21"/>
      <c r="LHY23" s="21"/>
      <c r="LHZ23" s="21"/>
      <c r="LIA23" s="21"/>
      <c r="LIB23" s="21"/>
      <c r="LIC23" s="21"/>
      <c r="LID23" s="21"/>
      <c r="LIE23" s="21"/>
      <c r="LIF23" s="21"/>
      <c r="LIG23" s="21"/>
      <c r="LIH23" s="21"/>
      <c r="LII23" s="21"/>
      <c r="LIJ23" s="21"/>
      <c r="LIK23" s="21"/>
      <c r="LIL23" s="21"/>
      <c r="LIM23" s="21"/>
      <c r="LIN23" s="21"/>
      <c r="LIO23" s="21"/>
      <c r="LIP23" s="21"/>
      <c r="LIQ23" s="21"/>
      <c r="LIR23" s="21"/>
      <c r="LIS23" s="21"/>
      <c r="LIT23" s="21"/>
      <c r="LIU23" s="21"/>
      <c r="LIV23" s="21"/>
      <c r="LIW23" s="21"/>
      <c r="LIX23" s="21"/>
      <c r="LIY23" s="21"/>
      <c r="LIZ23" s="21"/>
      <c r="LJA23" s="21"/>
      <c r="LJB23" s="21"/>
      <c r="LJC23" s="21"/>
      <c r="LJD23" s="21"/>
      <c r="LJE23" s="21"/>
      <c r="LJF23" s="21"/>
      <c r="LJG23" s="21"/>
      <c r="LJH23" s="21"/>
      <c r="LJI23" s="21"/>
      <c r="LJJ23" s="21"/>
      <c r="LJK23" s="21"/>
      <c r="LJL23" s="21"/>
      <c r="LJM23" s="21"/>
      <c r="LJN23" s="21"/>
      <c r="LJO23" s="21"/>
      <c r="LJP23" s="21"/>
      <c r="LJQ23" s="21"/>
      <c r="LJR23" s="21"/>
      <c r="LJS23" s="21"/>
      <c r="LJT23" s="21"/>
      <c r="LJU23" s="21"/>
      <c r="LJV23" s="21"/>
      <c r="LJW23" s="21"/>
      <c r="LJX23" s="21"/>
      <c r="LJY23" s="21"/>
      <c r="LJZ23" s="21"/>
      <c r="LKA23" s="21"/>
      <c r="LKB23" s="21"/>
      <c r="LKC23" s="21"/>
      <c r="LKD23" s="21"/>
      <c r="LKE23" s="21"/>
      <c r="LKF23" s="21"/>
      <c r="LKG23" s="21"/>
      <c r="LKH23" s="21"/>
      <c r="LKI23" s="21"/>
      <c r="LKJ23" s="21"/>
      <c r="LKK23" s="21"/>
      <c r="LKL23" s="21"/>
      <c r="LKM23" s="21"/>
      <c r="LKN23" s="21"/>
      <c r="LKO23" s="21"/>
      <c r="LKP23" s="21"/>
      <c r="LKQ23" s="21"/>
      <c r="LKR23" s="21"/>
      <c r="LKS23" s="21"/>
      <c r="LKT23" s="21"/>
      <c r="LKU23" s="21"/>
      <c r="LKV23" s="21"/>
      <c r="LKW23" s="21"/>
      <c r="LKX23" s="21"/>
      <c r="LKY23" s="21"/>
      <c r="LKZ23" s="21"/>
      <c r="LLA23" s="21"/>
      <c r="LLB23" s="21"/>
      <c r="LLC23" s="21"/>
      <c r="LLD23" s="21"/>
      <c r="LLE23" s="21"/>
      <c r="LLF23" s="21"/>
      <c r="LLG23" s="21"/>
      <c r="LLH23" s="21"/>
      <c r="LLI23" s="21"/>
      <c r="LLJ23" s="21"/>
      <c r="LLK23" s="21"/>
      <c r="LLL23" s="21"/>
      <c r="LLM23" s="21"/>
      <c r="LLN23" s="21"/>
      <c r="LLO23" s="21"/>
      <c r="LLP23" s="21"/>
      <c r="LLQ23" s="21"/>
      <c r="LLR23" s="21"/>
      <c r="LLS23" s="21"/>
      <c r="LLT23" s="21"/>
      <c r="LLU23" s="21"/>
      <c r="LLV23" s="21"/>
      <c r="LLW23" s="21"/>
      <c r="LLX23" s="21"/>
      <c r="LLY23" s="21"/>
      <c r="LLZ23" s="21"/>
      <c r="LMA23" s="21"/>
      <c r="LMB23" s="21"/>
      <c r="LMC23" s="21"/>
      <c r="LMD23" s="21"/>
      <c r="LME23" s="21"/>
      <c r="LMF23" s="21"/>
      <c r="LMG23" s="21"/>
      <c r="LMH23" s="21"/>
      <c r="LMI23" s="21"/>
      <c r="LMJ23" s="21"/>
      <c r="LMK23" s="21"/>
      <c r="LML23" s="21"/>
      <c r="LMM23" s="21"/>
      <c r="LMN23" s="21"/>
      <c r="LMO23" s="21"/>
      <c r="LMP23" s="21"/>
      <c r="LMQ23" s="21"/>
      <c r="LMR23" s="21"/>
      <c r="LMS23" s="21"/>
      <c r="LMT23" s="21"/>
      <c r="LMU23" s="21"/>
      <c r="LMV23" s="21"/>
      <c r="LMW23" s="21"/>
      <c r="LMX23" s="21"/>
      <c r="LMY23" s="21"/>
      <c r="LMZ23" s="21"/>
      <c r="LNA23" s="21"/>
      <c r="LNB23" s="21"/>
      <c r="LNC23" s="21"/>
      <c r="LND23" s="21"/>
      <c r="LNE23" s="21"/>
      <c r="LNF23" s="21"/>
      <c r="LNG23" s="21"/>
      <c r="LNH23" s="21"/>
      <c r="LNI23" s="21"/>
      <c r="LNJ23" s="21"/>
      <c r="LNK23" s="21"/>
      <c r="LNL23" s="21"/>
      <c r="LNM23" s="21"/>
      <c r="LNN23" s="21"/>
      <c r="LNO23" s="21"/>
      <c r="LNP23" s="21"/>
      <c r="LNQ23" s="21"/>
      <c r="LNR23" s="21"/>
      <c r="LNS23" s="21"/>
      <c r="LNT23" s="21"/>
      <c r="LNU23" s="21"/>
      <c r="LNV23" s="21"/>
      <c r="LNW23" s="21"/>
      <c r="LNX23" s="21"/>
      <c r="LNY23" s="21"/>
      <c r="LNZ23" s="21"/>
      <c r="LOA23" s="21"/>
      <c r="LOB23" s="21"/>
      <c r="LOC23" s="21"/>
      <c r="LOD23" s="21"/>
      <c r="LOE23" s="21"/>
      <c r="LOF23" s="21"/>
      <c r="LOG23" s="21"/>
      <c r="LOH23" s="21"/>
      <c r="LOI23" s="21"/>
      <c r="LOJ23" s="21"/>
      <c r="LOK23" s="21"/>
      <c r="LOL23" s="21"/>
      <c r="LOM23" s="21"/>
      <c r="LON23" s="21"/>
      <c r="LOO23" s="21"/>
      <c r="LOP23" s="21"/>
      <c r="LOQ23" s="21"/>
      <c r="LOR23" s="21"/>
      <c r="LOS23" s="21"/>
      <c r="LOT23" s="21"/>
      <c r="LOU23" s="21"/>
      <c r="LOV23" s="21"/>
      <c r="LOW23" s="21"/>
      <c r="LOX23" s="21"/>
      <c r="LOY23" s="21"/>
      <c r="LOZ23" s="21"/>
      <c r="LPA23" s="21"/>
      <c r="LPB23" s="21"/>
      <c r="LPC23" s="21"/>
      <c r="LPD23" s="21"/>
      <c r="LPE23" s="21"/>
      <c r="LPF23" s="21"/>
      <c r="LPG23" s="21"/>
      <c r="LPH23" s="21"/>
      <c r="LPI23" s="21"/>
      <c r="LPJ23" s="21"/>
      <c r="LPK23" s="21"/>
      <c r="LPL23" s="21"/>
      <c r="LPM23" s="21"/>
      <c r="LPN23" s="21"/>
      <c r="LPO23" s="21"/>
      <c r="LPP23" s="21"/>
      <c r="LPQ23" s="21"/>
      <c r="LPR23" s="21"/>
      <c r="LPS23" s="21"/>
      <c r="LPT23" s="21"/>
      <c r="LPU23" s="21"/>
      <c r="LPV23" s="21"/>
      <c r="LPW23" s="21"/>
      <c r="LPX23" s="21"/>
      <c r="LPY23" s="21"/>
      <c r="LPZ23" s="21"/>
      <c r="LQA23" s="21"/>
      <c r="LQB23" s="21"/>
      <c r="LQC23" s="21"/>
      <c r="LQD23" s="21"/>
      <c r="LQE23" s="21"/>
      <c r="LQF23" s="21"/>
      <c r="LQG23" s="21"/>
      <c r="LQH23" s="21"/>
      <c r="LQI23" s="21"/>
      <c r="LQJ23" s="21"/>
      <c r="LQK23" s="21"/>
      <c r="LQL23" s="21"/>
      <c r="LQM23" s="21"/>
      <c r="LQN23" s="21"/>
      <c r="LQO23" s="21"/>
      <c r="LQP23" s="21"/>
      <c r="LQQ23" s="21"/>
      <c r="LQR23" s="21"/>
      <c r="LQS23" s="21"/>
      <c r="LQT23" s="21"/>
      <c r="LQU23" s="21"/>
      <c r="LQV23" s="21"/>
      <c r="LQW23" s="21"/>
      <c r="LQX23" s="21"/>
      <c r="LQY23" s="21"/>
      <c r="LQZ23" s="21"/>
      <c r="LRA23" s="21"/>
      <c r="LRB23" s="21"/>
      <c r="LRC23" s="21"/>
      <c r="LRD23" s="21"/>
      <c r="LRE23" s="21"/>
      <c r="LRF23" s="21"/>
      <c r="LRG23" s="21"/>
      <c r="LRH23" s="21"/>
      <c r="LRI23" s="21"/>
      <c r="LRJ23" s="21"/>
      <c r="LRK23" s="21"/>
      <c r="LRL23" s="21"/>
      <c r="LRM23" s="21"/>
      <c r="LRN23" s="21"/>
      <c r="LRO23" s="21"/>
      <c r="LRP23" s="21"/>
      <c r="LRQ23" s="21"/>
      <c r="LRR23" s="21"/>
      <c r="LRS23" s="21"/>
      <c r="LRT23" s="21"/>
      <c r="LRU23" s="21"/>
      <c r="LRV23" s="21"/>
      <c r="LRW23" s="21"/>
      <c r="LRX23" s="21"/>
      <c r="LRY23" s="21"/>
      <c r="LRZ23" s="21"/>
      <c r="LSA23" s="21"/>
      <c r="LSB23" s="21"/>
      <c r="LSC23" s="21"/>
      <c r="LSD23" s="21"/>
      <c r="LSE23" s="21"/>
      <c r="LSF23" s="21"/>
      <c r="LSG23" s="21"/>
      <c r="LSH23" s="21"/>
      <c r="LSI23" s="21"/>
      <c r="LSJ23" s="21"/>
      <c r="LSK23" s="21"/>
      <c r="LSL23" s="21"/>
      <c r="LSM23" s="21"/>
      <c r="LSN23" s="21"/>
      <c r="LSO23" s="21"/>
      <c r="LSP23" s="21"/>
      <c r="LSQ23" s="21"/>
      <c r="LSR23" s="21"/>
      <c r="LSS23" s="21"/>
      <c r="LST23" s="21"/>
      <c r="LSU23" s="21"/>
      <c r="LSV23" s="21"/>
      <c r="LSW23" s="21"/>
      <c r="LSX23" s="21"/>
      <c r="LSY23" s="21"/>
      <c r="LSZ23" s="21"/>
      <c r="LTA23" s="21"/>
      <c r="LTB23" s="21"/>
      <c r="LTC23" s="21"/>
      <c r="LTD23" s="21"/>
      <c r="LTE23" s="21"/>
      <c r="LTF23" s="21"/>
      <c r="LTG23" s="21"/>
      <c r="LTH23" s="21"/>
      <c r="LTI23" s="21"/>
      <c r="LTJ23" s="21"/>
      <c r="LTK23" s="21"/>
      <c r="LTL23" s="21"/>
      <c r="LTM23" s="21"/>
      <c r="LTN23" s="21"/>
      <c r="LTO23" s="21"/>
      <c r="LTP23" s="21"/>
      <c r="LTQ23" s="21"/>
      <c r="LTR23" s="21"/>
      <c r="LTS23" s="21"/>
      <c r="LTT23" s="21"/>
      <c r="LTU23" s="21"/>
      <c r="LTV23" s="21"/>
      <c r="LTW23" s="21"/>
      <c r="LTX23" s="21"/>
      <c r="LTY23" s="21"/>
      <c r="LTZ23" s="21"/>
      <c r="LUA23" s="21"/>
      <c r="LUB23" s="21"/>
      <c r="LUC23" s="21"/>
      <c r="LUD23" s="21"/>
      <c r="LUE23" s="21"/>
      <c r="LUF23" s="21"/>
      <c r="LUG23" s="21"/>
      <c r="LUH23" s="21"/>
      <c r="LUI23" s="21"/>
      <c r="LUJ23" s="21"/>
      <c r="LUK23" s="21"/>
      <c r="LUL23" s="21"/>
      <c r="LUM23" s="21"/>
      <c r="LUN23" s="21"/>
      <c r="LUO23" s="21"/>
      <c r="LUP23" s="21"/>
      <c r="LUQ23" s="21"/>
      <c r="LUR23" s="21"/>
      <c r="LUS23" s="21"/>
      <c r="LUT23" s="21"/>
      <c r="LUU23" s="21"/>
      <c r="LUV23" s="21"/>
      <c r="LUW23" s="21"/>
      <c r="LUX23" s="21"/>
      <c r="LUY23" s="21"/>
      <c r="LUZ23" s="21"/>
      <c r="LVA23" s="21"/>
      <c r="LVB23" s="21"/>
      <c r="LVC23" s="21"/>
      <c r="LVD23" s="21"/>
      <c r="LVE23" s="21"/>
      <c r="LVF23" s="21"/>
      <c r="LVG23" s="21"/>
      <c r="LVH23" s="21"/>
      <c r="LVI23" s="21"/>
      <c r="LVJ23" s="21"/>
      <c r="LVK23" s="21"/>
      <c r="LVL23" s="21"/>
      <c r="LVM23" s="21"/>
      <c r="LVN23" s="21"/>
      <c r="LVO23" s="21"/>
      <c r="LVP23" s="21"/>
      <c r="LVQ23" s="21"/>
      <c r="LVR23" s="21"/>
      <c r="LVS23" s="21"/>
      <c r="LVT23" s="21"/>
      <c r="LVU23" s="21"/>
      <c r="LVV23" s="21"/>
      <c r="LVW23" s="21"/>
      <c r="LVX23" s="21"/>
      <c r="LVY23" s="21"/>
      <c r="LVZ23" s="21"/>
      <c r="LWA23" s="21"/>
      <c r="LWB23" s="21"/>
      <c r="LWC23" s="21"/>
      <c r="LWD23" s="21"/>
      <c r="LWE23" s="21"/>
      <c r="LWF23" s="21"/>
      <c r="LWG23" s="21"/>
      <c r="LWH23" s="21"/>
      <c r="LWI23" s="21"/>
      <c r="LWJ23" s="21"/>
      <c r="LWK23" s="21"/>
      <c r="LWL23" s="21"/>
      <c r="LWM23" s="21"/>
      <c r="LWN23" s="21"/>
      <c r="LWO23" s="21"/>
      <c r="LWP23" s="21"/>
      <c r="LWQ23" s="21"/>
      <c r="LWR23" s="21"/>
      <c r="LWS23" s="21"/>
      <c r="LWT23" s="21"/>
      <c r="LWU23" s="21"/>
      <c r="LWV23" s="21"/>
      <c r="LWW23" s="21"/>
      <c r="LWX23" s="21"/>
      <c r="LWY23" s="21"/>
      <c r="LWZ23" s="21"/>
      <c r="LXA23" s="21"/>
      <c r="LXB23" s="21"/>
      <c r="LXC23" s="21"/>
      <c r="LXD23" s="21"/>
      <c r="LXE23" s="21"/>
      <c r="LXF23" s="21"/>
      <c r="LXG23" s="21"/>
      <c r="LXH23" s="21"/>
      <c r="LXI23" s="21"/>
      <c r="LXJ23" s="21"/>
      <c r="LXK23" s="21"/>
      <c r="LXL23" s="21"/>
      <c r="LXM23" s="21"/>
      <c r="LXN23" s="21"/>
      <c r="LXO23" s="21"/>
      <c r="LXP23" s="21"/>
      <c r="LXQ23" s="21"/>
      <c r="LXR23" s="21"/>
      <c r="LXS23" s="21"/>
      <c r="LXT23" s="21"/>
      <c r="LXU23" s="21"/>
      <c r="LXV23" s="21"/>
      <c r="LXW23" s="21"/>
      <c r="LXX23" s="21"/>
      <c r="LXY23" s="21"/>
      <c r="LXZ23" s="21"/>
      <c r="LYA23" s="21"/>
      <c r="LYB23" s="21"/>
      <c r="LYC23" s="21"/>
      <c r="LYD23" s="21"/>
      <c r="LYE23" s="21"/>
      <c r="LYF23" s="21"/>
      <c r="LYG23" s="21"/>
      <c r="LYH23" s="21"/>
      <c r="LYI23" s="21"/>
      <c r="LYJ23" s="21"/>
      <c r="LYK23" s="21"/>
      <c r="LYL23" s="21"/>
      <c r="LYM23" s="21"/>
      <c r="LYN23" s="21"/>
      <c r="LYO23" s="21"/>
      <c r="LYP23" s="21"/>
      <c r="LYQ23" s="21"/>
      <c r="LYR23" s="21"/>
      <c r="LYS23" s="21"/>
      <c r="LYT23" s="21"/>
      <c r="LYU23" s="21"/>
      <c r="LYV23" s="21"/>
      <c r="LYW23" s="21"/>
      <c r="LYX23" s="21"/>
      <c r="LYY23" s="21"/>
      <c r="LYZ23" s="21"/>
      <c r="LZA23" s="21"/>
      <c r="LZB23" s="21"/>
      <c r="LZC23" s="21"/>
      <c r="LZD23" s="21"/>
      <c r="LZE23" s="21"/>
      <c r="LZF23" s="21"/>
      <c r="LZG23" s="21"/>
      <c r="LZH23" s="21"/>
      <c r="LZI23" s="21"/>
      <c r="LZJ23" s="21"/>
      <c r="LZK23" s="21"/>
      <c r="LZL23" s="21"/>
      <c r="LZM23" s="21"/>
      <c r="LZN23" s="21"/>
      <c r="LZO23" s="21"/>
      <c r="LZP23" s="21"/>
      <c r="LZQ23" s="21"/>
      <c r="LZR23" s="21"/>
      <c r="LZS23" s="21"/>
      <c r="LZT23" s="21"/>
      <c r="LZU23" s="21"/>
      <c r="LZV23" s="21"/>
      <c r="LZW23" s="21"/>
      <c r="LZX23" s="21"/>
      <c r="LZY23" s="21"/>
      <c r="LZZ23" s="21"/>
      <c r="MAA23" s="21"/>
      <c r="MAB23" s="21"/>
      <c r="MAC23" s="21"/>
      <c r="MAD23" s="21"/>
      <c r="MAE23" s="21"/>
      <c r="MAF23" s="21"/>
      <c r="MAG23" s="21"/>
      <c r="MAH23" s="21"/>
      <c r="MAI23" s="21"/>
      <c r="MAJ23" s="21"/>
      <c r="MAK23" s="21"/>
      <c r="MAL23" s="21"/>
      <c r="MAM23" s="21"/>
      <c r="MAN23" s="21"/>
      <c r="MAO23" s="21"/>
      <c r="MAP23" s="21"/>
      <c r="MAQ23" s="21"/>
      <c r="MAR23" s="21"/>
      <c r="MAS23" s="21"/>
      <c r="MAT23" s="21"/>
      <c r="MAU23" s="21"/>
      <c r="MAV23" s="21"/>
      <c r="MAW23" s="21"/>
      <c r="MAX23" s="21"/>
      <c r="MAY23" s="21"/>
      <c r="MAZ23" s="21"/>
      <c r="MBA23" s="21"/>
      <c r="MBB23" s="21"/>
      <c r="MBC23" s="21"/>
      <c r="MBD23" s="21"/>
      <c r="MBE23" s="21"/>
      <c r="MBF23" s="21"/>
      <c r="MBG23" s="21"/>
      <c r="MBH23" s="21"/>
      <c r="MBI23" s="21"/>
      <c r="MBJ23" s="21"/>
      <c r="MBK23" s="21"/>
      <c r="MBL23" s="21"/>
      <c r="MBM23" s="21"/>
      <c r="MBN23" s="21"/>
      <c r="MBO23" s="21"/>
      <c r="MBP23" s="21"/>
      <c r="MBQ23" s="21"/>
      <c r="MBR23" s="21"/>
      <c r="MBS23" s="21"/>
      <c r="MBT23" s="21"/>
      <c r="MBU23" s="21"/>
      <c r="MBV23" s="21"/>
      <c r="MBW23" s="21"/>
      <c r="MBX23" s="21"/>
      <c r="MBY23" s="21"/>
      <c r="MBZ23" s="21"/>
      <c r="MCA23" s="21"/>
      <c r="MCB23" s="21"/>
      <c r="MCC23" s="21"/>
      <c r="MCD23" s="21"/>
      <c r="MCE23" s="21"/>
      <c r="MCF23" s="21"/>
      <c r="MCG23" s="21"/>
      <c r="MCH23" s="21"/>
      <c r="MCI23" s="21"/>
      <c r="MCJ23" s="21"/>
      <c r="MCK23" s="21"/>
      <c r="MCL23" s="21"/>
      <c r="MCM23" s="21"/>
      <c r="MCN23" s="21"/>
      <c r="MCO23" s="21"/>
      <c r="MCP23" s="21"/>
      <c r="MCQ23" s="21"/>
      <c r="MCR23" s="21"/>
      <c r="MCS23" s="21"/>
      <c r="MCT23" s="21"/>
      <c r="MCU23" s="21"/>
      <c r="MCV23" s="21"/>
      <c r="MCW23" s="21"/>
      <c r="MCX23" s="21"/>
      <c r="MCY23" s="21"/>
      <c r="MCZ23" s="21"/>
      <c r="MDA23" s="21"/>
      <c r="MDB23" s="21"/>
      <c r="MDC23" s="21"/>
      <c r="MDD23" s="21"/>
      <c r="MDE23" s="21"/>
      <c r="MDF23" s="21"/>
      <c r="MDG23" s="21"/>
      <c r="MDH23" s="21"/>
      <c r="MDI23" s="21"/>
      <c r="MDJ23" s="21"/>
      <c r="MDK23" s="21"/>
      <c r="MDL23" s="21"/>
      <c r="MDM23" s="21"/>
      <c r="MDN23" s="21"/>
      <c r="MDO23" s="21"/>
      <c r="MDP23" s="21"/>
      <c r="MDQ23" s="21"/>
      <c r="MDR23" s="21"/>
      <c r="MDS23" s="21"/>
      <c r="MDT23" s="21"/>
      <c r="MDU23" s="21"/>
      <c r="MDV23" s="21"/>
      <c r="MDW23" s="21"/>
      <c r="MDX23" s="21"/>
      <c r="MDY23" s="21"/>
      <c r="MDZ23" s="21"/>
      <c r="MEA23" s="21"/>
      <c r="MEB23" s="21"/>
      <c r="MEC23" s="21"/>
      <c r="MED23" s="21"/>
      <c r="MEE23" s="21"/>
      <c r="MEF23" s="21"/>
      <c r="MEG23" s="21"/>
      <c r="MEH23" s="21"/>
      <c r="MEI23" s="21"/>
      <c r="MEJ23" s="21"/>
      <c r="MEK23" s="21"/>
      <c r="MEL23" s="21"/>
      <c r="MEM23" s="21"/>
      <c r="MEN23" s="21"/>
      <c r="MEO23" s="21"/>
      <c r="MEP23" s="21"/>
      <c r="MEQ23" s="21"/>
      <c r="MER23" s="21"/>
      <c r="MES23" s="21"/>
      <c r="MET23" s="21"/>
      <c r="MEU23" s="21"/>
      <c r="MEV23" s="21"/>
      <c r="MEW23" s="21"/>
      <c r="MEX23" s="21"/>
      <c r="MEY23" s="21"/>
      <c r="MEZ23" s="21"/>
      <c r="MFA23" s="21"/>
      <c r="MFB23" s="21"/>
      <c r="MFC23" s="21"/>
      <c r="MFD23" s="21"/>
      <c r="MFE23" s="21"/>
      <c r="MFF23" s="21"/>
      <c r="MFG23" s="21"/>
      <c r="MFH23" s="21"/>
      <c r="MFI23" s="21"/>
      <c r="MFJ23" s="21"/>
      <c r="MFK23" s="21"/>
      <c r="MFL23" s="21"/>
      <c r="MFM23" s="21"/>
      <c r="MFN23" s="21"/>
      <c r="MFO23" s="21"/>
      <c r="MFP23" s="21"/>
      <c r="MFQ23" s="21"/>
      <c r="MFR23" s="21"/>
      <c r="MFS23" s="21"/>
      <c r="MFT23" s="21"/>
      <c r="MFU23" s="21"/>
      <c r="MFV23" s="21"/>
      <c r="MFW23" s="21"/>
      <c r="MFX23" s="21"/>
      <c r="MFY23" s="21"/>
      <c r="MFZ23" s="21"/>
      <c r="MGA23" s="21"/>
      <c r="MGB23" s="21"/>
      <c r="MGC23" s="21"/>
      <c r="MGD23" s="21"/>
      <c r="MGE23" s="21"/>
      <c r="MGF23" s="21"/>
      <c r="MGG23" s="21"/>
      <c r="MGH23" s="21"/>
      <c r="MGI23" s="21"/>
      <c r="MGJ23" s="21"/>
      <c r="MGK23" s="21"/>
      <c r="MGL23" s="21"/>
      <c r="MGM23" s="21"/>
      <c r="MGN23" s="21"/>
      <c r="MGO23" s="21"/>
      <c r="MGP23" s="21"/>
      <c r="MGQ23" s="21"/>
      <c r="MGR23" s="21"/>
      <c r="MGS23" s="21"/>
      <c r="MGT23" s="21"/>
      <c r="MGU23" s="21"/>
      <c r="MGV23" s="21"/>
      <c r="MGW23" s="21"/>
      <c r="MGX23" s="21"/>
      <c r="MGY23" s="21"/>
      <c r="MGZ23" s="21"/>
      <c r="MHA23" s="21"/>
      <c r="MHB23" s="21"/>
      <c r="MHC23" s="21"/>
      <c r="MHD23" s="21"/>
      <c r="MHE23" s="21"/>
      <c r="MHF23" s="21"/>
      <c r="MHG23" s="21"/>
      <c r="MHH23" s="21"/>
      <c r="MHI23" s="21"/>
      <c r="MHJ23" s="21"/>
      <c r="MHK23" s="21"/>
      <c r="MHL23" s="21"/>
      <c r="MHM23" s="21"/>
      <c r="MHN23" s="21"/>
      <c r="MHO23" s="21"/>
      <c r="MHP23" s="21"/>
      <c r="MHQ23" s="21"/>
      <c r="MHR23" s="21"/>
      <c r="MHS23" s="21"/>
      <c r="MHT23" s="21"/>
      <c r="MHU23" s="21"/>
      <c r="MHV23" s="21"/>
      <c r="MHW23" s="21"/>
      <c r="MHX23" s="21"/>
      <c r="MHY23" s="21"/>
      <c r="MHZ23" s="21"/>
      <c r="MIA23" s="21"/>
      <c r="MIB23" s="21"/>
      <c r="MIC23" s="21"/>
      <c r="MID23" s="21"/>
      <c r="MIE23" s="21"/>
      <c r="MIF23" s="21"/>
      <c r="MIG23" s="21"/>
      <c r="MIH23" s="21"/>
      <c r="MII23" s="21"/>
      <c r="MIJ23" s="21"/>
      <c r="MIK23" s="21"/>
      <c r="MIL23" s="21"/>
      <c r="MIM23" s="21"/>
      <c r="MIN23" s="21"/>
      <c r="MIO23" s="21"/>
      <c r="MIP23" s="21"/>
      <c r="MIQ23" s="21"/>
      <c r="MIR23" s="21"/>
      <c r="MIS23" s="21"/>
      <c r="MIT23" s="21"/>
      <c r="MIU23" s="21"/>
      <c r="MIV23" s="21"/>
      <c r="MIW23" s="21"/>
      <c r="MIX23" s="21"/>
      <c r="MIY23" s="21"/>
      <c r="MIZ23" s="21"/>
      <c r="MJA23" s="21"/>
      <c r="MJB23" s="21"/>
      <c r="MJC23" s="21"/>
      <c r="MJD23" s="21"/>
      <c r="MJE23" s="21"/>
      <c r="MJF23" s="21"/>
      <c r="MJG23" s="21"/>
      <c r="MJH23" s="21"/>
      <c r="MJI23" s="21"/>
      <c r="MJJ23" s="21"/>
      <c r="MJK23" s="21"/>
      <c r="MJL23" s="21"/>
      <c r="MJM23" s="21"/>
      <c r="MJN23" s="21"/>
      <c r="MJO23" s="21"/>
      <c r="MJP23" s="21"/>
      <c r="MJQ23" s="21"/>
      <c r="MJR23" s="21"/>
      <c r="MJS23" s="21"/>
      <c r="MJT23" s="21"/>
      <c r="MJU23" s="21"/>
      <c r="MJV23" s="21"/>
      <c r="MJW23" s="21"/>
      <c r="MJX23" s="21"/>
      <c r="MJY23" s="21"/>
      <c r="MJZ23" s="21"/>
      <c r="MKA23" s="21"/>
      <c r="MKB23" s="21"/>
      <c r="MKC23" s="21"/>
      <c r="MKD23" s="21"/>
      <c r="MKE23" s="21"/>
      <c r="MKF23" s="21"/>
      <c r="MKG23" s="21"/>
      <c r="MKH23" s="21"/>
      <c r="MKI23" s="21"/>
      <c r="MKJ23" s="21"/>
      <c r="MKK23" s="21"/>
      <c r="MKL23" s="21"/>
      <c r="MKM23" s="21"/>
      <c r="MKN23" s="21"/>
      <c r="MKO23" s="21"/>
      <c r="MKP23" s="21"/>
      <c r="MKQ23" s="21"/>
      <c r="MKR23" s="21"/>
      <c r="MKS23" s="21"/>
      <c r="MKT23" s="21"/>
      <c r="MKU23" s="21"/>
      <c r="MKV23" s="21"/>
      <c r="MKW23" s="21"/>
      <c r="MKX23" s="21"/>
      <c r="MKY23" s="21"/>
      <c r="MKZ23" s="21"/>
      <c r="MLA23" s="21"/>
      <c r="MLB23" s="21"/>
      <c r="MLC23" s="21"/>
      <c r="MLD23" s="21"/>
      <c r="MLE23" s="21"/>
      <c r="MLF23" s="21"/>
      <c r="MLG23" s="21"/>
      <c r="MLH23" s="21"/>
      <c r="MLI23" s="21"/>
      <c r="MLJ23" s="21"/>
      <c r="MLK23" s="21"/>
      <c r="MLL23" s="21"/>
      <c r="MLM23" s="21"/>
      <c r="MLN23" s="21"/>
      <c r="MLO23" s="21"/>
      <c r="MLP23" s="21"/>
      <c r="MLQ23" s="21"/>
      <c r="MLR23" s="21"/>
      <c r="MLS23" s="21"/>
      <c r="MLT23" s="21"/>
      <c r="MLU23" s="21"/>
      <c r="MLV23" s="21"/>
      <c r="MLW23" s="21"/>
      <c r="MLX23" s="21"/>
      <c r="MLY23" s="21"/>
      <c r="MLZ23" s="21"/>
      <c r="MMA23" s="21"/>
      <c r="MMB23" s="21"/>
      <c r="MMC23" s="21"/>
      <c r="MMD23" s="21"/>
      <c r="MME23" s="21"/>
      <c r="MMF23" s="21"/>
      <c r="MMG23" s="21"/>
      <c r="MMH23" s="21"/>
      <c r="MMI23" s="21"/>
      <c r="MMJ23" s="21"/>
      <c r="MMK23" s="21"/>
      <c r="MML23" s="21"/>
      <c r="MMM23" s="21"/>
      <c r="MMN23" s="21"/>
      <c r="MMO23" s="21"/>
      <c r="MMP23" s="21"/>
      <c r="MMQ23" s="21"/>
      <c r="MMR23" s="21"/>
      <c r="MMS23" s="21"/>
      <c r="MMT23" s="21"/>
      <c r="MMU23" s="21"/>
      <c r="MMV23" s="21"/>
      <c r="MMW23" s="21"/>
      <c r="MMX23" s="21"/>
      <c r="MMY23" s="21"/>
      <c r="MMZ23" s="21"/>
      <c r="MNA23" s="21"/>
      <c r="MNB23" s="21"/>
      <c r="MNC23" s="21"/>
      <c r="MND23" s="21"/>
      <c r="MNE23" s="21"/>
      <c r="MNF23" s="21"/>
      <c r="MNG23" s="21"/>
      <c r="MNH23" s="21"/>
      <c r="MNI23" s="21"/>
      <c r="MNJ23" s="21"/>
      <c r="MNK23" s="21"/>
      <c r="MNL23" s="21"/>
      <c r="MNM23" s="21"/>
      <c r="MNN23" s="21"/>
      <c r="MNO23" s="21"/>
      <c r="MNP23" s="21"/>
      <c r="MNQ23" s="21"/>
      <c r="MNR23" s="21"/>
      <c r="MNS23" s="21"/>
      <c r="MNT23" s="21"/>
      <c r="MNU23" s="21"/>
      <c r="MNV23" s="21"/>
      <c r="MNW23" s="21"/>
      <c r="MNX23" s="21"/>
      <c r="MNY23" s="21"/>
      <c r="MNZ23" s="21"/>
      <c r="MOA23" s="21"/>
      <c r="MOB23" s="21"/>
      <c r="MOC23" s="21"/>
      <c r="MOD23" s="21"/>
      <c r="MOE23" s="21"/>
      <c r="MOF23" s="21"/>
      <c r="MOG23" s="21"/>
      <c r="MOH23" s="21"/>
      <c r="MOI23" s="21"/>
      <c r="MOJ23" s="21"/>
      <c r="MOK23" s="21"/>
      <c r="MOL23" s="21"/>
      <c r="MOM23" s="21"/>
      <c r="MON23" s="21"/>
      <c r="MOO23" s="21"/>
      <c r="MOP23" s="21"/>
      <c r="MOQ23" s="21"/>
      <c r="MOR23" s="21"/>
      <c r="MOS23" s="21"/>
      <c r="MOT23" s="21"/>
      <c r="MOU23" s="21"/>
      <c r="MOV23" s="21"/>
      <c r="MOW23" s="21"/>
      <c r="MOX23" s="21"/>
      <c r="MOY23" s="21"/>
      <c r="MOZ23" s="21"/>
      <c r="MPA23" s="21"/>
      <c r="MPB23" s="21"/>
      <c r="MPC23" s="21"/>
      <c r="MPD23" s="21"/>
      <c r="MPE23" s="21"/>
      <c r="MPF23" s="21"/>
      <c r="MPG23" s="21"/>
      <c r="MPH23" s="21"/>
      <c r="MPI23" s="21"/>
      <c r="MPJ23" s="21"/>
      <c r="MPK23" s="21"/>
      <c r="MPL23" s="21"/>
      <c r="MPM23" s="21"/>
      <c r="MPN23" s="21"/>
      <c r="MPO23" s="21"/>
      <c r="MPP23" s="21"/>
      <c r="MPQ23" s="21"/>
      <c r="MPR23" s="21"/>
      <c r="MPS23" s="21"/>
      <c r="MPT23" s="21"/>
      <c r="MPU23" s="21"/>
      <c r="MPV23" s="21"/>
      <c r="MPW23" s="21"/>
      <c r="MPX23" s="21"/>
      <c r="MPY23" s="21"/>
      <c r="MPZ23" s="21"/>
      <c r="MQA23" s="21"/>
      <c r="MQB23" s="21"/>
      <c r="MQC23" s="21"/>
      <c r="MQD23" s="21"/>
      <c r="MQE23" s="21"/>
      <c r="MQF23" s="21"/>
      <c r="MQG23" s="21"/>
      <c r="MQH23" s="21"/>
      <c r="MQI23" s="21"/>
      <c r="MQJ23" s="21"/>
      <c r="MQK23" s="21"/>
      <c r="MQL23" s="21"/>
      <c r="MQM23" s="21"/>
      <c r="MQN23" s="21"/>
      <c r="MQO23" s="21"/>
      <c r="MQP23" s="21"/>
      <c r="MQQ23" s="21"/>
      <c r="MQR23" s="21"/>
      <c r="MQS23" s="21"/>
      <c r="MQT23" s="21"/>
      <c r="MQU23" s="21"/>
      <c r="MQV23" s="21"/>
      <c r="MQW23" s="21"/>
      <c r="MQX23" s="21"/>
      <c r="MQY23" s="21"/>
      <c r="MQZ23" s="21"/>
      <c r="MRA23" s="21"/>
      <c r="MRB23" s="21"/>
      <c r="MRC23" s="21"/>
      <c r="MRD23" s="21"/>
      <c r="MRE23" s="21"/>
      <c r="MRF23" s="21"/>
      <c r="MRG23" s="21"/>
      <c r="MRH23" s="21"/>
      <c r="MRI23" s="21"/>
      <c r="MRJ23" s="21"/>
      <c r="MRK23" s="21"/>
      <c r="MRL23" s="21"/>
      <c r="MRM23" s="21"/>
      <c r="MRN23" s="21"/>
      <c r="MRO23" s="21"/>
      <c r="MRP23" s="21"/>
      <c r="MRQ23" s="21"/>
      <c r="MRR23" s="21"/>
      <c r="MRS23" s="21"/>
      <c r="MRT23" s="21"/>
      <c r="MRU23" s="21"/>
      <c r="MRV23" s="21"/>
      <c r="MRW23" s="21"/>
      <c r="MRX23" s="21"/>
      <c r="MRY23" s="21"/>
      <c r="MRZ23" s="21"/>
      <c r="MSA23" s="21"/>
      <c r="MSB23" s="21"/>
      <c r="MSC23" s="21"/>
      <c r="MSD23" s="21"/>
      <c r="MSE23" s="21"/>
      <c r="MSF23" s="21"/>
      <c r="MSG23" s="21"/>
      <c r="MSH23" s="21"/>
      <c r="MSI23" s="21"/>
      <c r="MSJ23" s="21"/>
      <c r="MSK23" s="21"/>
      <c r="MSL23" s="21"/>
      <c r="MSM23" s="21"/>
      <c r="MSN23" s="21"/>
      <c r="MSO23" s="21"/>
      <c r="MSP23" s="21"/>
      <c r="MSQ23" s="21"/>
      <c r="MSR23" s="21"/>
      <c r="MSS23" s="21"/>
      <c r="MST23" s="21"/>
      <c r="MSU23" s="21"/>
      <c r="MSV23" s="21"/>
      <c r="MSW23" s="21"/>
      <c r="MSX23" s="21"/>
      <c r="MSY23" s="21"/>
      <c r="MSZ23" s="21"/>
      <c r="MTA23" s="21"/>
      <c r="MTB23" s="21"/>
      <c r="MTC23" s="21"/>
      <c r="MTD23" s="21"/>
      <c r="MTE23" s="21"/>
      <c r="MTF23" s="21"/>
      <c r="MTG23" s="21"/>
      <c r="MTH23" s="21"/>
      <c r="MTI23" s="21"/>
      <c r="MTJ23" s="21"/>
      <c r="MTK23" s="21"/>
      <c r="MTL23" s="21"/>
      <c r="MTM23" s="21"/>
      <c r="MTN23" s="21"/>
      <c r="MTO23" s="21"/>
      <c r="MTP23" s="21"/>
      <c r="MTQ23" s="21"/>
      <c r="MTR23" s="21"/>
      <c r="MTS23" s="21"/>
      <c r="MTT23" s="21"/>
      <c r="MTU23" s="21"/>
      <c r="MTV23" s="21"/>
      <c r="MTW23" s="21"/>
      <c r="MTX23" s="21"/>
      <c r="MTY23" s="21"/>
      <c r="MTZ23" s="21"/>
      <c r="MUA23" s="21"/>
      <c r="MUB23" s="21"/>
      <c r="MUC23" s="21"/>
      <c r="MUD23" s="21"/>
      <c r="MUE23" s="21"/>
      <c r="MUF23" s="21"/>
      <c r="MUG23" s="21"/>
      <c r="MUH23" s="21"/>
      <c r="MUI23" s="21"/>
      <c r="MUJ23" s="21"/>
      <c r="MUK23" s="21"/>
      <c r="MUL23" s="21"/>
      <c r="MUM23" s="21"/>
      <c r="MUN23" s="21"/>
      <c r="MUO23" s="21"/>
      <c r="MUP23" s="21"/>
      <c r="MUQ23" s="21"/>
      <c r="MUR23" s="21"/>
      <c r="MUS23" s="21"/>
      <c r="MUT23" s="21"/>
      <c r="MUU23" s="21"/>
      <c r="MUV23" s="21"/>
      <c r="MUW23" s="21"/>
      <c r="MUX23" s="21"/>
      <c r="MUY23" s="21"/>
      <c r="MUZ23" s="21"/>
      <c r="MVA23" s="21"/>
      <c r="MVB23" s="21"/>
      <c r="MVC23" s="21"/>
      <c r="MVD23" s="21"/>
      <c r="MVE23" s="21"/>
      <c r="MVF23" s="21"/>
      <c r="MVG23" s="21"/>
      <c r="MVH23" s="21"/>
      <c r="MVI23" s="21"/>
      <c r="MVJ23" s="21"/>
      <c r="MVK23" s="21"/>
      <c r="MVL23" s="21"/>
      <c r="MVM23" s="21"/>
      <c r="MVN23" s="21"/>
      <c r="MVO23" s="21"/>
      <c r="MVP23" s="21"/>
      <c r="MVQ23" s="21"/>
      <c r="MVR23" s="21"/>
      <c r="MVS23" s="21"/>
      <c r="MVT23" s="21"/>
      <c r="MVU23" s="21"/>
      <c r="MVV23" s="21"/>
      <c r="MVW23" s="21"/>
      <c r="MVX23" s="21"/>
      <c r="MVY23" s="21"/>
      <c r="MVZ23" s="21"/>
      <c r="MWA23" s="21"/>
      <c r="MWB23" s="21"/>
      <c r="MWC23" s="21"/>
      <c r="MWD23" s="21"/>
      <c r="MWE23" s="21"/>
      <c r="MWF23" s="21"/>
      <c r="MWG23" s="21"/>
      <c r="MWH23" s="21"/>
      <c r="MWI23" s="21"/>
      <c r="MWJ23" s="21"/>
      <c r="MWK23" s="21"/>
      <c r="MWL23" s="21"/>
      <c r="MWM23" s="21"/>
      <c r="MWN23" s="21"/>
      <c r="MWO23" s="21"/>
      <c r="MWP23" s="21"/>
      <c r="MWQ23" s="21"/>
      <c r="MWR23" s="21"/>
      <c r="MWS23" s="21"/>
      <c r="MWT23" s="21"/>
      <c r="MWU23" s="21"/>
      <c r="MWV23" s="21"/>
      <c r="MWW23" s="21"/>
      <c r="MWX23" s="21"/>
      <c r="MWY23" s="21"/>
      <c r="MWZ23" s="21"/>
      <c r="MXA23" s="21"/>
      <c r="MXB23" s="21"/>
      <c r="MXC23" s="21"/>
      <c r="MXD23" s="21"/>
      <c r="MXE23" s="21"/>
      <c r="MXF23" s="21"/>
      <c r="MXG23" s="21"/>
      <c r="MXH23" s="21"/>
      <c r="MXI23" s="21"/>
      <c r="MXJ23" s="21"/>
      <c r="MXK23" s="21"/>
      <c r="MXL23" s="21"/>
      <c r="MXM23" s="21"/>
      <c r="MXN23" s="21"/>
      <c r="MXO23" s="21"/>
      <c r="MXP23" s="21"/>
      <c r="MXQ23" s="21"/>
      <c r="MXR23" s="21"/>
      <c r="MXS23" s="21"/>
      <c r="MXT23" s="21"/>
      <c r="MXU23" s="21"/>
      <c r="MXV23" s="21"/>
      <c r="MXW23" s="21"/>
      <c r="MXX23" s="21"/>
      <c r="MXY23" s="21"/>
      <c r="MXZ23" s="21"/>
      <c r="MYA23" s="21"/>
      <c r="MYB23" s="21"/>
      <c r="MYC23" s="21"/>
      <c r="MYD23" s="21"/>
      <c r="MYE23" s="21"/>
      <c r="MYF23" s="21"/>
      <c r="MYG23" s="21"/>
      <c r="MYH23" s="21"/>
      <c r="MYI23" s="21"/>
      <c r="MYJ23" s="21"/>
      <c r="MYK23" s="21"/>
      <c r="MYL23" s="21"/>
      <c r="MYM23" s="21"/>
      <c r="MYN23" s="21"/>
      <c r="MYO23" s="21"/>
      <c r="MYP23" s="21"/>
      <c r="MYQ23" s="21"/>
      <c r="MYR23" s="21"/>
      <c r="MYS23" s="21"/>
      <c r="MYT23" s="21"/>
      <c r="MYU23" s="21"/>
      <c r="MYV23" s="21"/>
      <c r="MYW23" s="21"/>
      <c r="MYX23" s="21"/>
      <c r="MYY23" s="21"/>
      <c r="MYZ23" s="21"/>
      <c r="MZA23" s="21"/>
      <c r="MZB23" s="21"/>
      <c r="MZC23" s="21"/>
      <c r="MZD23" s="21"/>
      <c r="MZE23" s="21"/>
      <c r="MZF23" s="21"/>
      <c r="MZG23" s="21"/>
      <c r="MZH23" s="21"/>
      <c r="MZI23" s="21"/>
      <c r="MZJ23" s="21"/>
      <c r="MZK23" s="21"/>
      <c r="MZL23" s="21"/>
      <c r="MZM23" s="21"/>
      <c r="MZN23" s="21"/>
      <c r="MZO23" s="21"/>
      <c r="MZP23" s="21"/>
      <c r="MZQ23" s="21"/>
      <c r="MZR23" s="21"/>
      <c r="MZS23" s="21"/>
      <c r="MZT23" s="21"/>
      <c r="MZU23" s="21"/>
      <c r="MZV23" s="21"/>
      <c r="MZW23" s="21"/>
      <c r="MZX23" s="21"/>
      <c r="MZY23" s="21"/>
      <c r="MZZ23" s="21"/>
      <c r="NAA23" s="21"/>
      <c r="NAB23" s="21"/>
      <c r="NAC23" s="21"/>
      <c r="NAD23" s="21"/>
      <c r="NAE23" s="21"/>
      <c r="NAF23" s="21"/>
      <c r="NAG23" s="21"/>
      <c r="NAH23" s="21"/>
      <c r="NAI23" s="21"/>
      <c r="NAJ23" s="21"/>
      <c r="NAK23" s="21"/>
      <c r="NAL23" s="21"/>
      <c r="NAM23" s="21"/>
      <c r="NAN23" s="21"/>
      <c r="NAO23" s="21"/>
      <c r="NAP23" s="21"/>
      <c r="NAQ23" s="21"/>
      <c r="NAR23" s="21"/>
      <c r="NAS23" s="21"/>
      <c r="NAT23" s="21"/>
      <c r="NAU23" s="21"/>
      <c r="NAV23" s="21"/>
      <c r="NAW23" s="21"/>
      <c r="NAX23" s="21"/>
      <c r="NAY23" s="21"/>
      <c r="NAZ23" s="21"/>
      <c r="NBA23" s="21"/>
      <c r="NBB23" s="21"/>
      <c r="NBC23" s="21"/>
      <c r="NBD23" s="21"/>
      <c r="NBE23" s="21"/>
      <c r="NBF23" s="21"/>
      <c r="NBG23" s="21"/>
      <c r="NBH23" s="21"/>
      <c r="NBI23" s="21"/>
      <c r="NBJ23" s="21"/>
      <c r="NBK23" s="21"/>
      <c r="NBL23" s="21"/>
      <c r="NBM23" s="21"/>
      <c r="NBN23" s="21"/>
      <c r="NBO23" s="21"/>
      <c r="NBP23" s="21"/>
      <c r="NBQ23" s="21"/>
      <c r="NBR23" s="21"/>
      <c r="NBS23" s="21"/>
      <c r="NBT23" s="21"/>
      <c r="NBU23" s="21"/>
      <c r="NBV23" s="21"/>
      <c r="NBW23" s="21"/>
      <c r="NBX23" s="21"/>
      <c r="NBY23" s="21"/>
      <c r="NBZ23" s="21"/>
      <c r="NCA23" s="21"/>
      <c r="NCB23" s="21"/>
      <c r="NCC23" s="21"/>
      <c r="NCD23" s="21"/>
      <c r="NCE23" s="21"/>
      <c r="NCF23" s="21"/>
      <c r="NCG23" s="21"/>
      <c r="NCH23" s="21"/>
      <c r="NCI23" s="21"/>
      <c r="NCJ23" s="21"/>
      <c r="NCK23" s="21"/>
      <c r="NCL23" s="21"/>
      <c r="NCM23" s="21"/>
      <c r="NCN23" s="21"/>
      <c r="NCO23" s="21"/>
      <c r="NCP23" s="21"/>
      <c r="NCQ23" s="21"/>
      <c r="NCR23" s="21"/>
      <c r="NCS23" s="21"/>
      <c r="NCT23" s="21"/>
      <c r="NCU23" s="21"/>
      <c r="NCV23" s="21"/>
      <c r="NCW23" s="21"/>
      <c r="NCX23" s="21"/>
      <c r="NCY23" s="21"/>
      <c r="NCZ23" s="21"/>
      <c r="NDA23" s="21"/>
      <c r="NDB23" s="21"/>
      <c r="NDC23" s="21"/>
      <c r="NDD23" s="21"/>
      <c r="NDE23" s="21"/>
      <c r="NDF23" s="21"/>
      <c r="NDG23" s="21"/>
      <c r="NDH23" s="21"/>
      <c r="NDI23" s="21"/>
      <c r="NDJ23" s="21"/>
      <c r="NDK23" s="21"/>
      <c r="NDL23" s="21"/>
      <c r="NDM23" s="21"/>
      <c r="NDN23" s="21"/>
      <c r="NDO23" s="21"/>
      <c r="NDP23" s="21"/>
      <c r="NDQ23" s="21"/>
      <c r="NDR23" s="21"/>
      <c r="NDS23" s="21"/>
      <c r="NDT23" s="21"/>
      <c r="NDU23" s="21"/>
      <c r="NDV23" s="21"/>
      <c r="NDW23" s="21"/>
      <c r="NDX23" s="21"/>
      <c r="NDY23" s="21"/>
      <c r="NDZ23" s="21"/>
      <c r="NEA23" s="21"/>
      <c r="NEB23" s="21"/>
      <c r="NEC23" s="21"/>
      <c r="NED23" s="21"/>
      <c r="NEE23" s="21"/>
      <c r="NEF23" s="21"/>
      <c r="NEG23" s="21"/>
      <c r="NEH23" s="21"/>
      <c r="NEI23" s="21"/>
      <c r="NEJ23" s="21"/>
      <c r="NEK23" s="21"/>
      <c r="NEL23" s="21"/>
      <c r="NEM23" s="21"/>
      <c r="NEN23" s="21"/>
      <c r="NEO23" s="21"/>
      <c r="NEP23" s="21"/>
      <c r="NEQ23" s="21"/>
      <c r="NER23" s="21"/>
      <c r="NES23" s="21"/>
      <c r="NET23" s="21"/>
      <c r="NEU23" s="21"/>
      <c r="NEV23" s="21"/>
      <c r="NEW23" s="21"/>
      <c r="NEX23" s="21"/>
      <c r="NEY23" s="21"/>
      <c r="NEZ23" s="21"/>
      <c r="NFA23" s="21"/>
      <c r="NFB23" s="21"/>
      <c r="NFC23" s="21"/>
      <c r="NFD23" s="21"/>
      <c r="NFE23" s="21"/>
      <c r="NFF23" s="21"/>
      <c r="NFG23" s="21"/>
      <c r="NFH23" s="21"/>
      <c r="NFI23" s="21"/>
      <c r="NFJ23" s="21"/>
      <c r="NFK23" s="21"/>
      <c r="NFL23" s="21"/>
      <c r="NFM23" s="21"/>
      <c r="NFN23" s="21"/>
      <c r="NFO23" s="21"/>
      <c r="NFP23" s="21"/>
      <c r="NFQ23" s="21"/>
      <c r="NFR23" s="21"/>
      <c r="NFS23" s="21"/>
      <c r="NFT23" s="21"/>
      <c r="NFU23" s="21"/>
      <c r="NFV23" s="21"/>
      <c r="NFW23" s="21"/>
      <c r="NFX23" s="21"/>
      <c r="NFY23" s="21"/>
      <c r="NFZ23" s="21"/>
      <c r="NGA23" s="21"/>
      <c r="NGB23" s="21"/>
      <c r="NGC23" s="21"/>
      <c r="NGD23" s="21"/>
      <c r="NGE23" s="21"/>
      <c r="NGF23" s="21"/>
      <c r="NGG23" s="21"/>
      <c r="NGH23" s="21"/>
      <c r="NGI23" s="21"/>
      <c r="NGJ23" s="21"/>
      <c r="NGK23" s="21"/>
      <c r="NGL23" s="21"/>
      <c r="NGM23" s="21"/>
      <c r="NGN23" s="21"/>
      <c r="NGO23" s="21"/>
      <c r="NGP23" s="21"/>
      <c r="NGQ23" s="21"/>
      <c r="NGR23" s="21"/>
      <c r="NGS23" s="21"/>
      <c r="NGT23" s="21"/>
      <c r="NGU23" s="21"/>
      <c r="NGV23" s="21"/>
      <c r="NGW23" s="21"/>
      <c r="NGX23" s="21"/>
      <c r="NGY23" s="21"/>
      <c r="NGZ23" s="21"/>
      <c r="NHA23" s="21"/>
      <c r="NHB23" s="21"/>
      <c r="NHC23" s="21"/>
      <c r="NHD23" s="21"/>
      <c r="NHE23" s="21"/>
      <c r="NHF23" s="21"/>
      <c r="NHG23" s="21"/>
      <c r="NHH23" s="21"/>
      <c r="NHI23" s="21"/>
      <c r="NHJ23" s="21"/>
      <c r="NHK23" s="21"/>
      <c r="NHL23" s="21"/>
      <c r="NHM23" s="21"/>
      <c r="NHN23" s="21"/>
      <c r="NHO23" s="21"/>
      <c r="NHP23" s="21"/>
      <c r="NHQ23" s="21"/>
      <c r="NHR23" s="21"/>
      <c r="NHS23" s="21"/>
      <c r="NHT23" s="21"/>
      <c r="NHU23" s="21"/>
      <c r="NHV23" s="21"/>
      <c r="NHW23" s="21"/>
      <c r="NHX23" s="21"/>
      <c r="NHY23" s="21"/>
      <c r="NHZ23" s="21"/>
      <c r="NIA23" s="21"/>
      <c r="NIB23" s="21"/>
      <c r="NIC23" s="21"/>
      <c r="NID23" s="21"/>
      <c r="NIE23" s="21"/>
      <c r="NIF23" s="21"/>
      <c r="NIG23" s="21"/>
      <c r="NIH23" s="21"/>
      <c r="NII23" s="21"/>
      <c r="NIJ23" s="21"/>
      <c r="NIK23" s="21"/>
      <c r="NIL23" s="21"/>
      <c r="NIM23" s="21"/>
      <c r="NIN23" s="21"/>
      <c r="NIO23" s="21"/>
      <c r="NIP23" s="21"/>
      <c r="NIQ23" s="21"/>
      <c r="NIR23" s="21"/>
      <c r="NIS23" s="21"/>
      <c r="NIT23" s="21"/>
      <c r="NIU23" s="21"/>
      <c r="NIV23" s="21"/>
      <c r="NIW23" s="21"/>
      <c r="NIX23" s="21"/>
      <c r="NIY23" s="21"/>
      <c r="NIZ23" s="21"/>
      <c r="NJA23" s="21"/>
      <c r="NJB23" s="21"/>
      <c r="NJC23" s="21"/>
      <c r="NJD23" s="21"/>
      <c r="NJE23" s="21"/>
      <c r="NJF23" s="21"/>
      <c r="NJG23" s="21"/>
      <c r="NJH23" s="21"/>
      <c r="NJI23" s="21"/>
      <c r="NJJ23" s="21"/>
      <c r="NJK23" s="21"/>
      <c r="NJL23" s="21"/>
      <c r="NJM23" s="21"/>
      <c r="NJN23" s="21"/>
      <c r="NJO23" s="21"/>
      <c r="NJP23" s="21"/>
      <c r="NJQ23" s="21"/>
      <c r="NJR23" s="21"/>
      <c r="NJS23" s="21"/>
      <c r="NJT23" s="21"/>
      <c r="NJU23" s="21"/>
      <c r="NJV23" s="21"/>
      <c r="NJW23" s="21"/>
      <c r="NJX23" s="21"/>
      <c r="NJY23" s="21"/>
      <c r="NJZ23" s="21"/>
      <c r="NKA23" s="21"/>
      <c r="NKB23" s="21"/>
      <c r="NKC23" s="21"/>
      <c r="NKD23" s="21"/>
      <c r="NKE23" s="21"/>
      <c r="NKF23" s="21"/>
      <c r="NKG23" s="21"/>
      <c r="NKH23" s="21"/>
      <c r="NKI23" s="21"/>
      <c r="NKJ23" s="21"/>
      <c r="NKK23" s="21"/>
      <c r="NKL23" s="21"/>
      <c r="NKM23" s="21"/>
      <c r="NKN23" s="21"/>
      <c r="NKO23" s="21"/>
      <c r="NKP23" s="21"/>
      <c r="NKQ23" s="21"/>
      <c r="NKR23" s="21"/>
      <c r="NKS23" s="21"/>
      <c r="NKT23" s="21"/>
      <c r="NKU23" s="21"/>
      <c r="NKV23" s="21"/>
      <c r="NKW23" s="21"/>
      <c r="NKX23" s="21"/>
      <c r="NKY23" s="21"/>
      <c r="NKZ23" s="21"/>
      <c r="NLA23" s="21"/>
      <c r="NLB23" s="21"/>
      <c r="NLC23" s="21"/>
      <c r="NLD23" s="21"/>
      <c r="NLE23" s="21"/>
      <c r="NLF23" s="21"/>
      <c r="NLG23" s="21"/>
      <c r="NLH23" s="21"/>
      <c r="NLI23" s="21"/>
      <c r="NLJ23" s="21"/>
      <c r="NLK23" s="21"/>
      <c r="NLL23" s="21"/>
      <c r="NLM23" s="21"/>
      <c r="NLN23" s="21"/>
      <c r="NLO23" s="21"/>
      <c r="NLP23" s="21"/>
      <c r="NLQ23" s="21"/>
      <c r="NLR23" s="21"/>
      <c r="NLS23" s="21"/>
      <c r="NLT23" s="21"/>
      <c r="NLU23" s="21"/>
      <c r="NLV23" s="21"/>
      <c r="NLW23" s="21"/>
      <c r="NLX23" s="21"/>
      <c r="NLY23" s="21"/>
      <c r="NLZ23" s="21"/>
      <c r="NMA23" s="21"/>
      <c r="NMB23" s="21"/>
      <c r="NMC23" s="21"/>
      <c r="NMD23" s="21"/>
      <c r="NME23" s="21"/>
      <c r="NMF23" s="21"/>
      <c r="NMG23" s="21"/>
      <c r="NMH23" s="21"/>
      <c r="NMI23" s="21"/>
      <c r="NMJ23" s="21"/>
      <c r="NMK23" s="21"/>
      <c r="NML23" s="21"/>
      <c r="NMM23" s="21"/>
      <c r="NMN23" s="21"/>
      <c r="NMO23" s="21"/>
      <c r="NMP23" s="21"/>
      <c r="NMQ23" s="21"/>
      <c r="NMR23" s="21"/>
      <c r="NMS23" s="21"/>
      <c r="NMT23" s="21"/>
      <c r="NMU23" s="21"/>
      <c r="NMV23" s="21"/>
      <c r="NMW23" s="21"/>
      <c r="NMX23" s="21"/>
      <c r="NMY23" s="21"/>
      <c r="NMZ23" s="21"/>
      <c r="NNA23" s="21"/>
      <c r="NNB23" s="21"/>
      <c r="NNC23" s="21"/>
      <c r="NND23" s="21"/>
      <c r="NNE23" s="21"/>
      <c r="NNF23" s="21"/>
      <c r="NNG23" s="21"/>
      <c r="NNH23" s="21"/>
      <c r="NNI23" s="21"/>
      <c r="NNJ23" s="21"/>
      <c r="NNK23" s="21"/>
      <c r="NNL23" s="21"/>
      <c r="NNM23" s="21"/>
      <c r="NNN23" s="21"/>
      <c r="NNO23" s="21"/>
      <c r="NNP23" s="21"/>
      <c r="NNQ23" s="21"/>
      <c r="NNR23" s="21"/>
      <c r="NNS23" s="21"/>
      <c r="NNT23" s="21"/>
      <c r="NNU23" s="21"/>
      <c r="NNV23" s="21"/>
      <c r="NNW23" s="21"/>
      <c r="NNX23" s="21"/>
      <c r="NNY23" s="21"/>
      <c r="NNZ23" s="21"/>
      <c r="NOA23" s="21"/>
      <c r="NOB23" s="21"/>
      <c r="NOC23" s="21"/>
      <c r="NOD23" s="21"/>
      <c r="NOE23" s="21"/>
      <c r="NOF23" s="21"/>
      <c r="NOG23" s="21"/>
      <c r="NOH23" s="21"/>
      <c r="NOI23" s="21"/>
      <c r="NOJ23" s="21"/>
      <c r="NOK23" s="21"/>
      <c r="NOL23" s="21"/>
      <c r="NOM23" s="21"/>
      <c r="NON23" s="21"/>
      <c r="NOO23" s="21"/>
      <c r="NOP23" s="21"/>
      <c r="NOQ23" s="21"/>
      <c r="NOR23" s="21"/>
      <c r="NOS23" s="21"/>
      <c r="NOT23" s="21"/>
      <c r="NOU23" s="21"/>
      <c r="NOV23" s="21"/>
      <c r="NOW23" s="21"/>
      <c r="NOX23" s="21"/>
      <c r="NOY23" s="21"/>
      <c r="NOZ23" s="21"/>
      <c r="NPA23" s="21"/>
      <c r="NPB23" s="21"/>
      <c r="NPC23" s="21"/>
      <c r="NPD23" s="21"/>
      <c r="NPE23" s="21"/>
      <c r="NPF23" s="21"/>
      <c r="NPG23" s="21"/>
      <c r="NPH23" s="21"/>
      <c r="NPI23" s="21"/>
      <c r="NPJ23" s="21"/>
      <c r="NPK23" s="21"/>
      <c r="NPL23" s="21"/>
      <c r="NPM23" s="21"/>
      <c r="NPN23" s="21"/>
      <c r="NPO23" s="21"/>
      <c r="NPP23" s="21"/>
      <c r="NPQ23" s="21"/>
      <c r="NPR23" s="21"/>
      <c r="NPS23" s="21"/>
      <c r="NPT23" s="21"/>
      <c r="NPU23" s="21"/>
      <c r="NPV23" s="21"/>
      <c r="NPW23" s="21"/>
      <c r="NPX23" s="21"/>
      <c r="NPY23" s="21"/>
      <c r="NPZ23" s="21"/>
      <c r="NQA23" s="21"/>
      <c r="NQB23" s="21"/>
      <c r="NQC23" s="21"/>
      <c r="NQD23" s="21"/>
      <c r="NQE23" s="21"/>
      <c r="NQF23" s="21"/>
      <c r="NQG23" s="21"/>
      <c r="NQH23" s="21"/>
      <c r="NQI23" s="21"/>
      <c r="NQJ23" s="21"/>
      <c r="NQK23" s="21"/>
      <c r="NQL23" s="21"/>
      <c r="NQM23" s="21"/>
      <c r="NQN23" s="21"/>
      <c r="NQO23" s="21"/>
      <c r="NQP23" s="21"/>
      <c r="NQQ23" s="21"/>
      <c r="NQR23" s="21"/>
      <c r="NQS23" s="21"/>
      <c r="NQT23" s="21"/>
      <c r="NQU23" s="21"/>
      <c r="NQV23" s="21"/>
      <c r="NQW23" s="21"/>
      <c r="NQX23" s="21"/>
      <c r="NQY23" s="21"/>
      <c r="NQZ23" s="21"/>
      <c r="NRA23" s="21"/>
      <c r="NRB23" s="21"/>
      <c r="NRC23" s="21"/>
      <c r="NRD23" s="21"/>
      <c r="NRE23" s="21"/>
      <c r="NRF23" s="21"/>
      <c r="NRG23" s="21"/>
      <c r="NRH23" s="21"/>
      <c r="NRI23" s="21"/>
      <c r="NRJ23" s="21"/>
      <c r="NRK23" s="21"/>
      <c r="NRL23" s="21"/>
      <c r="NRM23" s="21"/>
      <c r="NRN23" s="21"/>
      <c r="NRO23" s="21"/>
      <c r="NRP23" s="21"/>
      <c r="NRQ23" s="21"/>
      <c r="NRR23" s="21"/>
      <c r="NRS23" s="21"/>
      <c r="NRT23" s="21"/>
      <c r="NRU23" s="21"/>
      <c r="NRV23" s="21"/>
      <c r="NRW23" s="21"/>
      <c r="NRX23" s="21"/>
      <c r="NRY23" s="21"/>
      <c r="NRZ23" s="21"/>
      <c r="NSA23" s="21"/>
      <c r="NSB23" s="21"/>
      <c r="NSC23" s="21"/>
      <c r="NSD23" s="21"/>
      <c r="NSE23" s="21"/>
      <c r="NSF23" s="21"/>
      <c r="NSG23" s="21"/>
      <c r="NSH23" s="21"/>
      <c r="NSI23" s="21"/>
      <c r="NSJ23" s="21"/>
      <c r="NSK23" s="21"/>
      <c r="NSL23" s="21"/>
      <c r="NSM23" s="21"/>
      <c r="NSN23" s="21"/>
      <c r="NSO23" s="21"/>
      <c r="NSP23" s="21"/>
      <c r="NSQ23" s="21"/>
      <c r="NSR23" s="21"/>
      <c r="NSS23" s="21"/>
      <c r="NST23" s="21"/>
      <c r="NSU23" s="21"/>
      <c r="NSV23" s="21"/>
      <c r="NSW23" s="21"/>
      <c r="NSX23" s="21"/>
      <c r="NSY23" s="21"/>
      <c r="NSZ23" s="21"/>
      <c r="NTA23" s="21"/>
      <c r="NTB23" s="21"/>
      <c r="NTC23" s="21"/>
      <c r="NTD23" s="21"/>
      <c r="NTE23" s="21"/>
      <c r="NTF23" s="21"/>
      <c r="NTG23" s="21"/>
      <c r="NTH23" s="21"/>
      <c r="NTI23" s="21"/>
      <c r="NTJ23" s="21"/>
      <c r="NTK23" s="21"/>
      <c r="NTL23" s="21"/>
      <c r="NTM23" s="21"/>
      <c r="NTN23" s="21"/>
      <c r="NTO23" s="21"/>
      <c r="NTP23" s="21"/>
      <c r="NTQ23" s="21"/>
      <c r="NTR23" s="21"/>
      <c r="NTS23" s="21"/>
      <c r="NTT23" s="21"/>
      <c r="NTU23" s="21"/>
      <c r="NTV23" s="21"/>
      <c r="NTW23" s="21"/>
      <c r="NTX23" s="21"/>
      <c r="NTY23" s="21"/>
      <c r="NTZ23" s="21"/>
      <c r="NUA23" s="21"/>
      <c r="NUB23" s="21"/>
      <c r="NUC23" s="21"/>
      <c r="NUD23" s="21"/>
      <c r="NUE23" s="21"/>
      <c r="NUF23" s="21"/>
      <c r="NUG23" s="21"/>
      <c r="NUH23" s="21"/>
      <c r="NUI23" s="21"/>
      <c r="NUJ23" s="21"/>
      <c r="NUK23" s="21"/>
      <c r="NUL23" s="21"/>
      <c r="NUM23" s="21"/>
      <c r="NUN23" s="21"/>
      <c r="NUO23" s="21"/>
      <c r="NUP23" s="21"/>
      <c r="NUQ23" s="21"/>
      <c r="NUR23" s="21"/>
      <c r="NUS23" s="21"/>
      <c r="NUT23" s="21"/>
      <c r="NUU23" s="21"/>
      <c r="NUV23" s="21"/>
      <c r="NUW23" s="21"/>
      <c r="NUX23" s="21"/>
      <c r="NUY23" s="21"/>
      <c r="NUZ23" s="21"/>
      <c r="NVA23" s="21"/>
      <c r="NVB23" s="21"/>
      <c r="NVC23" s="21"/>
      <c r="NVD23" s="21"/>
      <c r="NVE23" s="21"/>
      <c r="NVF23" s="21"/>
      <c r="NVG23" s="21"/>
      <c r="NVH23" s="21"/>
      <c r="NVI23" s="21"/>
      <c r="NVJ23" s="21"/>
      <c r="NVK23" s="21"/>
      <c r="NVL23" s="21"/>
      <c r="NVM23" s="21"/>
      <c r="NVN23" s="21"/>
      <c r="NVO23" s="21"/>
      <c r="NVP23" s="21"/>
      <c r="NVQ23" s="21"/>
      <c r="NVR23" s="21"/>
      <c r="NVS23" s="21"/>
      <c r="NVT23" s="21"/>
      <c r="NVU23" s="21"/>
      <c r="NVV23" s="21"/>
      <c r="NVW23" s="21"/>
      <c r="NVX23" s="21"/>
      <c r="NVY23" s="21"/>
      <c r="NVZ23" s="21"/>
      <c r="NWA23" s="21"/>
      <c r="NWB23" s="21"/>
      <c r="NWC23" s="21"/>
      <c r="NWD23" s="21"/>
      <c r="NWE23" s="21"/>
      <c r="NWF23" s="21"/>
      <c r="NWG23" s="21"/>
      <c r="NWH23" s="21"/>
      <c r="NWI23" s="21"/>
      <c r="NWJ23" s="21"/>
      <c r="NWK23" s="21"/>
      <c r="NWL23" s="21"/>
      <c r="NWM23" s="21"/>
      <c r="NWN23" s="21"/>
      <c r="NWO23" s="21"/>
      <c r="NWP23" s="21"/>
      <c r="NWQ23" s="21"/>
      <c r="NWR23" s="21"/>
      <c r="NWS23" s="21"/>
      <c r="NWT23" s="21"/>
      <c r="NWU23" s="21"/>
      <c r="NWV23" s="21"/>
      <c r="NWW23" s="21"/>
      <c r="NWX23" s="21"/>
      <c r="NWY23" s="21"/>
      <c r="NWZ23" s="21"/>
      <c r="NXA23" s="21"/>
      <c r="NXB23" s="21"/>
      <c r="NXC23" s="21"/>
      <c r="NXD23" s="21"/>
      <c r="NXE23" s="21"/>
      <c r="NXF23" s="21"/>
      <c r="NXG23" s="21"/>
      <c r="NXH23" s="21"/>
      <c r="NXI23" s="21"/>
      <c r="NXJ23" s="21"/>
      <c r="NXK23" s="21"/>
      <c r="NXL23" s="21"/>
      <c r="NXM23" s="21"/>
      <c r="NXN23" s="21"/>
      <c r="NXO23" s="21"/>
      <c r="NXP23" s="21"/>
      <c r="NXQ23" s="21"/>
      <c r="NXR23" s="21"/>
      <c r="NXS23" s="21"/>
      <c r="NXT23" s="21"/>
      <c r="NXU23" s="21"/>
      <c r="NXV23" s="21"/>
      <c r="NXW23" s="21"/>
      <c r="NXX23" s="21"/>
      <c r="NXY23" s="21"/>
      <c r="NXZ23" s="21"/>
      <c r="NYA23" s="21"/>
      <c r="NYB23" s="21"/>
      <c r="NYC23" s="21"/>
      <c r="NYD23" s="21"/>
      <c r="NYE23" s="21"/>
      <c r="NYF23" s="21"/>
      <c r="NYG23" s="21"/>
      <c r="NYH23" s="21"/>
      <c r="NYI23" s="21"/>
      <c r="NYJ23" s="21"/>
      <c r="NYK23" s="21"/>
      <c r="NYL23" s="21"/>
      <c r="NYM23" s="21"/>
      <c r="NYN23" s="21"/>
      <c r="NYO23" s="21"/>
      <c r="NYP23" s="21"/>
      <c r="NYQ23" s="21"/>
      <c r="NYR23" s="21"/>
      <c r="NYS23" s="21"/>
      <c r="NYT23" s="21"/>
      <c r="NYU23" s="21"/>
      <c r="NYV23" s="21"/>
      <c r="NYW23" s="21"/>
      <c r="NYX23" s="21"/>
      <c r="NYY23" s="21"/>
      <c r="NYZ23" s="21"/>
      <c r="NZA23" s="21"/>
      <c r="NZB23" s="21"/>
      <c r="NZC23" s="21"/>
      <c r="NZD23" s="21"/>
      <c r="NZE23" s="21"/>
      <c r="NZF23" s="21"/>
      <c r="NZG23" s="21"/>
      <c r="NZH23" s="21"/>
      <c r="NZI23" s="21"/>
      <c r="NZJ23" s="21"/>
      <c r="NZK23" s="21"/>
      <c r="NZL23" s="21"/>
      <c r="NZM23" s="21"/>
      <c r="NZN23" s="21"/>
      <c r="NZO23" s="21"/>
      <c r="NZP23" s="21"/>
      <c r="NZQ23" s="21"/>
      <c r="NZR23" s="21"/>
      <c r="NZS23" s="21"/>
      <c r="NZT23" s="21"/>
      <c r="NZU23" s="21"/>
      <c r="NZV23" s="21"/>
      <c r="NZW23" s="21"/>
      <c r="NZX23" s="21"/>
      <c r="NZY23" s="21"/>
      <c r="NZZ23" s="21"/>
      <c r="OAA23" s="21"/>
      <c r="OAB23" s="21"/>
      <c r="OAC23" s="21"/>
      <c r="OAD23" s="21"/>
      <c r="OAE23" s="21"/>
      <c r="OAF23" s="21"/>
      <c r="OAG23" s="21"/>
      <c r="OAH23" s="21"/>
      <c r="OAI23" s="21"/>
      <c r="OAJ23" s="21"/>
      <c r="OAK23" s="21"/>
      <c r="OAL23" s="21"/>
      <c r="OAM23" s="21"/>
      <c r="OAN23" s="21"/>
      <c r="OAO23" s="21"/>
      <c r="OAP23" s="21"/>
      <c r="OAQ23" s="21"/>
      <c r="OAR23" s="21"/>
      <c r="OAS23" s="21"/>
      <c r="OAT23" s="21"/>
      <c r="OAU23" s="21"/>
      <c r="OAV23" s="21"/>
      <c r="OAW23" s="21"/>
      <c r="OAX23" s="21"/>
      <c r="OAY23" s="21"/>
      <c r="OAZ23" s="21"/>
      <c r="OBA23" s="21"/>
      <c r="OBB23" s="21"/>
      <c r="OBC23" s="21"/>
      <c r="OBD23" s="21"/>
      <c r="OBE23" s="21"/>
      <c r="OBF23" s="21"/>
      <c r="OBG23" s="21"/>
      <c r="OBH23" s="21"/>
      <c r="OBI23" s="21"/>
      <c r="OBJ23" s="21"/>
      <c r="OBK23" s="21"/>
      <c r="OBL23" s="21"/>
      <c r="OBM23" s="21"/>
      <c r="OBN23" s="21"/>
      <c r="OBO23" s="21"/>
      <c r="OBP23" s="21"/>
      <c r="OBQ23" s="21"/>
      <c r="OBR23" s="21"/>
      <c r="OBS23" s="21"/>
      <c r="OBT23" s="21"/>
      <c r="OBU23" s="21"/>
      <c r="OBV23" s="21"/>
      <c r="OBW23" s="21"/>
      <c r="OBX23" s="21"/>
      <c r="OBY23" s="21"/>
      <c r="OBZ23" s="21"/>
      <c r="OCA23" s="21"/>
      <c r="OCB23" s="21"/>
      <c r="OCC23" s="21"/>
      <c r="OCD23" s="21"/>
      <c r="OCE23" s="21"/>
      <c r="OCF23" s="21"/>
      <c r="OCG23" s="21"/>
      <c r="OCH23" s="21"/>
      <c r="OCI23" s="21"/>
      <c r="OCJ23" s="21"/>
      <c r="OCK23" s="21"/>
      <c r="OCL23" s="21"/>
      <c r="OCM23" s="21"/>
      <c r="OCN23" s="21"/>
      <c r="OCO23" s="21"/>
      <c r="OCP23" s="21"/>
      <c r="OCQ23" s="21"/>
      <c r="OCR23" s="21"/>
      <c r="OCS23" s="21"/>
      <c r="OCT23" s="21"/>
      <c r="OCU23" s="21"/>
      <c r="OCV23" s="21"/>
      <c r="OCW23" s="21"/>
      <c r="OCX23" s="21"/>
      <c r="OCY23" s="21"/>
      <c r="OCZ23" s="21"/>
      <c r="ODA23" s="21"/>
      <c r="ODB23" s="21"/>
      <c r="ODC23" s="21"/>
      <c r="ODD23" s="21"/>
      <c r="ODE23" s="21"/>
      <c r="ODF23" s="21"/>
      <c r="ODG23" s="21"/>
      <c r="ODH23" s="21"/>
      <c r="ODI23" s="21"/>
      <c r="ODJ23" s="21"/>
      <c r="ODK23" s="21"/>
      <c r="ODL23" s="21"/>
      <c r="ODM23" s="21"/>
      <c r="ODN23" s="21"/>
      <c r="ODO23" s="21"/>
      <c r="ODP23" s="21"/>
      <c r="ODQ23" s="21"/>
      <c r="ODR23" s="21"/>
      <c r="ODS23" s="21"/>
      <c r="ODT23" s="21"/>
      <c r="ODU23" s="21"/>
      <c r="ODV23" s="21"/>
      <c r="ODW23" s="21"/>
      <c r="ODX23" s="21"/>
      <c r="ODY23" s="21"/>
      <c r="ODZ23" s="21"/>
      <c r="OEA23" s="21"/>
      <c r="OEB23" s="21"/>
      <c r="OEC23" s="21"/>
      <c r="OED23" s="21"/>
      <c r="OEE23" s="21"/>
      <c r="OEF23" s="21"/>
      <c r="OEG23" s="21"/>
      <c r="OEH23" s="21"/>
      <c r="OEI23" s="21"/>
      <c r="OEJ23" s="21"/>
      <c r="OEK23" s="21"/>
      <c r="OEL23" s="21"/>
      <c r="OEM23" s="21"/>
      <c r="OEN23" s="21"/>
      <c r="OEO23" s="21"/>
      <c r="OEP23" s="21"/>
      <c r="OEQ23" s="21"/>
      <c r="OER23" s="21"/>
      <c r="OES23" s="21"/>
      <c r="OET23" s="21"/>
      <c r="OEU23" s="21"/>
      <c r="OEV23" s="21"/>
      <c r="OEW23" s="21"/>
      <c r="OEX23" s="21"/>
      <c r="OEY23" s="21"/>
      <c r="OEZ23" s="21"/>
      <c r="OFA23" s="21"/>
      <c r="OFB23" s="21"/>
      <c r="OFC23" s="21"/>
      <c r="OFD23" s="21"/>
      <c r="OFE23" s="21"/>
      <c r="OFF23" s="21"/>
      <c r="OFG23" s="21"/>
      <c r="OFH23" s="21"/>
      <c r="OFI23" s="21"/>
      <c r="OFJ23" s="21"/>
      <c r="OFK23" s="21"/>
      <c r="OFL23" s="21"/>
      <c r="OFM23" s="21"/>
      <c r="OFN23" s="21"/>
      <c r="OFO23" s="21"/>
      <c r="OFP23" s="21"/>
      <c r="OFQ23" s="21"/>
      <c r="OFR23" s="21"/>
      <c r="OFS23" s="21"/>
      <c r="OFT23" s="21"/>
      <c r="OFU23" s="21"/>
      <c r="OFV23" s="21"/>
      <c r="OFW23" s="21"/>
      <c r="OFX23" s="21"/>
      <c r="OFY23" s="21"/>
      <c r="OFZ23" s="21"/>
      <c r="OGA23" s="21"/>
      <c r="OGB23" s="21"/>
      <c r="OGC23" s="21"/>
      <c r="OGD23" s="21"/>
      <c r="OGE23" s="21"/>
      <c r="OGF23" s="21"/>
      <c r="OGG23" s="21"/>
      <c r="OGH23" s="21"/>
      <c r="OGI23" s="21"/>
      <c r="OGJ23" s="21"/>
      <c r="OGK23" s="21"/>
      <c r="OGL23" s="21"/>
      <c r="OGM23" s="21"/>
      <c r="OGN23" s="21"/>
      <c r="OGO23" s="21"/>
      <c r="OGP23" s="21"/>
      <c r="OGQ23" s="21"/>
      <c r="OGR23" s="21"/>
      <c r="OGS23" s="21"/>
      <c r="OGT23" s="21"/>
      <c r="OGU23" s="21"/>
      <c r="OGV23" s="21"/>
      <c r="OGW23" s="21"/>
      <c r="OGX23" s="21"/>
      <c r="OGY23" s="21"/>
      <c r="OGZ23" s="21"/>
      <c r="OHA23" s="21"/>
      <c r="OHB23" s="21"/>
      <c r="OHC23" s="21"/>
      <c r="OHD23" s="21"/>
      <c r="OHE23" s="21"/>
      <c r="OHF23" s="21"/>
      <c r="OHG23" s="21"/>
      <c r="OHH23" s="21"/>
      <c r="OHI23" s="21"/>
      <c r="OHJ23" s="21"/>
      <c r="OHK23" s="21"/>
      <c r="OHL23" s="21"/>
      <c r="OHM23" s="21"/>
      <c r="OHN23" s="21"/>
      <c r="OHO23" s="21"/>
      <c r="OHP23" s="21"/>
      <c r="OHQ23" s="21"/>
      <c r="OHR23" s="21"/>
      <c r="OHS23" s="21"/>
      <c r="OHT23" s="21"/>
      <c r="OHU23" s="21"/>
      <c r="OHV23" s="21"/>
      <c r="OHW23" s="21"/>
      <c r="OHX23" s="21"/>
      <c r="OHY23" s="21"/>
      <c r="OHZ23" s="21"/>
      <c r="OIA23" s="21"/>
      <c r="OIB23" s="21"/>
      <c r="OIC23" s="21"/>
      <c r="OID23" s="21"/>
      <c r="OIE23" s="21"/>
      <c r="OIF23" s="21"/>
      <c r="OIG23" s="21"/>
      <c r="OIH23" s="21"/>
      <c r="OII23" s="21"/>
      <c r="OIJ23" s="21"/>
      <c r="OIK23" s="21"/>
      <c r="OIL23" s="21"/>
      <c r="OIM23" s="21"/>
      <c r="OIN23" s="21"/>
      <c r="OIO23" s="21"/>
      <c r="OIP23" s="21"/>
      <c r="OIQ23" s="21"/>
      <c r="OIR23" s="21"/>
      <c r="OIS23" s="21"/>
      <c r="OIT23" s="21"/>
      <c r="OIU23" s="21"/>
      <c r="OIV23" s="21"/>
      <c r="OIW23" s="21"/>
      <c r="OIX23" s="21"/>
      <c r="OIY23" s="21"/>
      <c r="OIZ23" s="21"/>
      <c r="OJA23" s="21"/>
      <c r="OJB23" s="21"/>
      <c r="OJC23" s="21"/>
      <c r="OJD23" s="21"/>
      <c r="OJE23" s="21"/>
      <c r="OJF23" s="21"/>
      <c r="OJG23" s="21"/>
      <c r="OJH23" s="21"/>
      <c r="OJI23" s="21"/>
      <c r="OJJ23" s="21"/>
      <c r="OJK23" s="21"/>
      <c r="OJL23" s="21"/>
      <c r="OJM23" s="21"/>
      <c r="OJN23" s="21"/>
      <c r="OJO23" s="21"/>
      <c r="OJP23" s="21"/>
      <c r="OJQ23" s="21"/>
      <c r="OJR23" s="21"/>
      <c r="OJS23" s="21"/>
      <c r="OJT23" s="21"/>
      <c r="OJU23" s="21"/>
      <c r="OJV23" s="21"/>
      <c r="OJW23" s="21"/>
      <c r="OJX23" s="21"/>
      <c r="OJY23" s="21"/>
      <c r="OJZ23" s="21"/>
      <c r="OKA23" s="21"/>
      <c r="OKB23" s="21"/>
      <c r="OKC23" s="21"/>
      <c r="OKD23" s="21"/>
      <c r="OKE23" s="21"/>
      <c r="OKF23" s="21"/>
      <c r="OKG23" s="21"/>
      <c r="OKH23" s="21"/>
      <c r="OKI23" s="21"/>
      <c r="OKJ23" s="21"/>
      <c r="OKK23" s="21"/>
      <c r="OKL23" s="21"/>
      <c r="OKM23" s="21"/>
      <c r="OKN23" s="21"/>
      <c r="OKO23" s="21"/>
      <c r="OKP23" s="21"/>
      <c r="OKQ23" s="21"/>
      <c r="OKR23" s="21"/>
      <c r="OKS23" s="21"/>
      <c r="OKT23" s="21"/>
      <c r="OKU23" s="21"/>
      <c r="OKV23" s="21"/>
      <c r="OKW23" s="21"/>
      <c r="OKX23" s="21"/>
      <c r="OKY23" s="21"/>
      <c r="OKZ23" s="21"/>
      <c r="OLA23" s="21"/>
      <c r="OLB23" s="21"/>
      <c r="OLC23" s="21"/>
      <c r="OLD23" s="21"/>
      <c r="OLE23" s="21"/>
      <c r="OLF23" s="21"/>
      <c r="OLG23" s="21"/>
      <c r="OLH23" s="21"/>
      <c r="OLI23" s="21"/>
      <c r="OLJ23" s="21"/>
      <c r="OLK23" s="21"/>
      <c r="OLL23" s="21"/>
      <c r="OLM23" s="21"/>
      <c r="OLN23" s="21"/>
      <c r="OLO23" s="21"/>
      <c r="OLP23" s="21"/>
      <c r="OLQ23" s="21"/>
      <c r="OLR23" s="21"/>
      <c r="OLS23" s="21"/>
      <c r="OLT23" s="21"/>
      <c r="OLU23" s="21"/>
      <c r="OLV23" s="21"/>
      <c r="OLW23" s="21"/>
      <c r="OLX23" s="21"/>
      <c r="OLY23" s="21"/>
      <c r="OLZ23" s="21"/>
      <c r="OMA23" s="21"/>
      <c r="OMB23" s="21"/>
      <c r="OMC23" s="21"/>
      <c r="OMD23" s="21"/>
      <c r="OME23" s="21"/>
      <c r="OMF23" s="21"/>
      <c r="OMG23" s="21"/>
      <c r="OMH23" s="21"/>
      <c r="OMI23" s="21"/>
      <c r="OMJ23" s="21"/>
      <c r="OMK23" s="21"/>
      <c r="OML23" s="21"/>
      <c r="OMM23" s="21"/>
      <c r="OMN23" s="21"/>
      <c r="OMO23" s="21"/>
      <c r="OMP23" s="21"/>
      <c r="OMQ23" s="21"/>
      <c r="OMR23" s="21"/>
      <c r="OMS23" s="21"/>
      <c r="OMT23" s="21"/>
      <c r="OMU23" s="21"/>
      <c r="OMV23" s="21"/>
      <c r="OMW23" s="21"/>
      <c r="OMX23" s="21"/>
      <c r="OMY23" s="21"/>
      <c r="OMZ23" s="21"/>
      <c r="ONA23" s="21"/>
      <c r="ONB23" s="21"/>
      <c r="ONC23" s="21"/>
      <c r="OND23" s="21"/>
      <c r="ONE23" s="21"/>
      <c r="ONF23" s="21"/>
      <c r="ONG23" s="21"/>
      <c r="ONH23" s="21"/>
      <c r="ONI23" s="21"/>
      <c r="ONJ23" s="21"/>
      <c r="ONK23" s="21"/>
      <c r="ONL23" s="21"/>
      <c r="ONM23" s="21"/>
      <c r="ONN23" s="21"/>
      <c r="ONO23" s="21"/>
      <c r="ONP23" s="21"/>
      <c r="ONQ23" s="21"/>
      <c r="ONR23" s="21"/>
      <c r="ONS23" s="21"/>
      <c r="ONT23" s="21"/>
      <c r="ONU23" s="21"/>
      <c r="ONV23" s="21"/>
      <c r="ONW23" s="21"/>
      <c r="ONX23" s="21"/>
      <c r="ONY23" s="21"/>
      <c r="ONZ23" s="21"/>
      <c r="OOA23" s="21"/>
      <c r="OOB23" s="21"/>
      <c r="OOC23" s="21"/>
      <c r="OOD23" s="21"/>
      <c r="OOE23" s="21"/>
      <c r="OOF23" s="21"/>
      <c r="OOG23" s="21"/>
      <c r="OOH23" s="21"/>
      <c r="OOI23" s="21"/>
      <c r="OOJ23" s="21"/>
      <c r="OOK23" s="21"/>
      <c r="OOL23" s="21"/>
      <c r="OOM23" s="21"/>
      <c r="OON23" s="21"/>
      <c r="OOO23" s="21"/>
      <c r="OOP23" s="21"/>
      <c r="OOQ23" s="21"/>
      <c r="OOR23" s="21"/>
      <c r="OOS23" s="21"/>
      <c r="OOT23" s="21"/>
      <c r="OOU23" s="21"/>
      <c r="OOV23" s="21"/>
      <c r="OOW23" s="21"/>
      <c r="OOX23" s="21"/>
      <c r="OOY23" s="21"/>
      <c r="OOZ23" s="21"/>
      <c r="OPA23" s="21"/>
      <c r="OPB23" s="21"/>
      <c r="OPC23" s="21"/>
      <c r="OPD23" s="21"/>
      <c r="OPE23" s="21"/>
      <c r="OPF23" s="21"/>
      <c r="OPG23" s="21"/>
      <c r="OPH23" s="21"/>
      <c r="OPI23" s="21"/>
      <c r="OPJ23" s="21"/>
      <c r="OPK23" s="21"/>
      <c r="OPL23" s="21"/>
      <c r="OPM23" s="21"/>
      <c r="OPN23" s="21"/>
      <c r="OPO23" s="21"/>
      <c r="OPP23" s="21"/>
      <c r="OPQ23" s="21"/>
      <c r="OPR23" s="21"/>
      <c r="OPS23" s="21"/>
      <c r="OPT23" s="21"/>
      <c r="OPU23" s="21"/>
      <c r="OPV23" s="21"/>
      <c r="OPW23" s="21"/>
      <c r="OPX23" s="21"/>
      <c r="OPY23" s="21"/>
      <c r="OPZ23" s="21"/>
      <c r="OQA23" s="21"/>
      <c r="OQB23" s="21"/>
      <c r="OQC23" s="21"/>
      <c r="OQD23" s="21"/>
      <c r="OQE23" s="21"/>
      <c r="OQF23" s="21"/>
      <c r="OQG23" s="21"/>
      <c r="OQH23" s="21"/>
      <c r="OQI23" s="21"/>
      <c r="OQJ23" s="21"/>
      <c r="OQK23" s="21"/>
      <c r="OQL23" s="21"/>
      <c r="OQM23" s="21"/>
      <c r="OQN23" s="21"/>
      <c r="OQO23" s="21"/>
      <c r="OQP23" s="21"/>
      <c r="OQQ23" s="21"/>
      <c r="OQR23" s="21"/>
      <c r="OQS23" s="21"/>
      <c r="OQT23" s="21"/>
      <c r="OQU23" s="21"/>
      <c r="OQV23" s="21"/>
      <c r="OQW23" s="21"/>
      <c r="OQX23" s="21"/>
      <c r="OQY23" s="21"/>
      <c r="OQZ23" s="21"/>
      <c r="ORA23" s="21"/>
      <c r="ORB23" s="21"/>
      <c r="ORC23" s="21"/>
      <c r="ORD23" s="21"/>
      <c r="ORE23" s="21"/>
      <c r="ORF23" s="21"/>
      <c r="ORG23" s="21"/>
      <c r="ORH23" s="21"/>
      <c r="ORI23" s="21"/>
      <c r="ORJ23" s="21"/>
      <c r="ORK23" s="21"/>
      <c r="ORL23" s="21"/>
      <c r="ORM23" s="21"/>
      <c r="ORN23" s="21"/>
      <c r="ORO23" s="21"/>
      <c r="ORP23" s="21"/>
      <c r="ORQ23" s="21"/>
      <c r="ORR23" s="21"/>
      <c r="ORS23" s="21"/>
      <c r="ORT23" s="21"/>
      <c r="ORU23" s="21"/>
      <c r="ORV23" s="21"/>
      <c r="ORW23" s="21"/>
      <c r="ORX23" s="21"/>
      <c r="ORY23" s="21"/>
      <c r="ORZ23" s="21"/>
      <c r="OSA23" s="21"/>
      <c r="OSB23" s="21"/>
      <c r="OSC23" s="21"/>
      <c r="OSD23" s="21"/>
      <c r="OSE23" s="21"/>
      <c r="OSF23" s="21"/>
      <c r="OSG23" s="21"/>
      <c r="OSH23" s="21"/>
      <c r="OSI23" s="21"/>
      <c r="OSJ23" s="21"/>
      <c r="OSK23" s="21"/>
      <c r="OSL23" s="21"/>
      <c r="OSM23" s="21"/>
      <c r="OSN23" s="21"/>
      <c r="OSO23" s="21"/>
      <c r="OSP23" s="21"/>
      <c r="OSQ23" s="21"/>
      <c r="OSR23" s="21"/>
      <c r="OSS23" s="21"/>
      <c r="OST23" s="21"/>
      <c r="OSU23" s="21"/>
      <c r="OSV23" s="21"/>
      <c r="OSW23" s="21"/>
      <c r="OSX23" s="21"/>
      <c r="OSY23" s="21"/>
      <c r="OSZ23" s="21"/>
      <c r="OTA23" s="21"/>
      <c r="OTB23" s="21"/>
      <c r="OTC23" s="21"/>
      <c r="OTD23" s="21"/>
      <c r="OTE23" s="21"/>
      <c r="OTF23" s="21"/>
      <c r="OTG23" s="21"/>
      <c r="OTH23" s="21"/>
      <c r="OTI23" s="21"/>
      <c r="OTJ23" s="21"/>
      <c r="OTK23" s="21"/>
      <c r="OTL23" s="21"/>
      <c r="OTM23" s="21"/>
      <c r="OTN23" s="21"/>
      <c r="OTO23" s="21"/>
      <c r="OTP23" s="21"/>
      <c r="OTQ23" s="21"/>
      <c r="OTR23" s="21"/>
      <c r="OTS23" s="21"/>
      <c r="OTT23" s="21"/>
      <c r="OTU23" s="21"/>
      <c r="OTV23" s="21"/>
      <c r="OTW23" s="21"/>
      <c r="OTX23" s="21"/>
      <c r="OTY23" s="21"/>
      <c r="OTZ23" s="21"/>
      <c r="OUA23" s="21"/>
      <c r="OUB23" s="21"/>
      <c r="OUC23" s="21"/>
      <c r="OUD23" s="21"/>
      <c r="OUE23" s="21"/>
      <c r="OUF23" s="21"/>
      <c r="OUG23" s="21"/>
      <c r="OUH23" s="21"/>
      <c r="OUI23" s="21"/>
      <c r="OUJ23" s="21"/>
      <c r="OUK23" s="21"/>
      <c r="OUL23" s="21"/>
      <c r="OUM23" s="21"/>
      <c r="OUN23" s="21"/>
      <c r="OUO23" s="21"/>
      <c r="OUP23" s="21"/>
      <c r="OUQ23" s="21"/>
      <c r="OUR23" s="21"/>
      <c r="OUS23" s="21"/>
      <c r="OUT23" s="21"/>
      <c r="OUU23" s="21"/>
      <c r="OUV23" s="21"/>
      <c r="OUW23" s="21"/>
      <c r="OUX23" s="21"/>
      <c r="OUY23" s="21"/>
      <c r="OUZ23" s="21"/>
      <c r="OVA23" s="21"/>
      <c r="OVB23" s="21"/>
      <c r="OVC23" s="21"/>
      <c r="OVD23" s="21"/>
      <c r="OVE23" s="21"/>
      <c r="OVF23" s="21"/>
      <c r="OVG23" s="21"/>
      <c r="OVH23" s="21"/>
      <c r="OVI23" s="21"/>
      <c r="OVJ23" s="21"/>
      <c r="OVK23" s="21"/>
      <c r="OVL23" s="21"/>
      <c r="OVM23" s="21"/>
      <c r="OVN23" s="21"/>
      <c r="OVO23" s="21"/>
      <c r="OVP23" s="21"/>
      <c r="OVQ23" s="21"/>
      <c r="OVR23" s="21"/>
      <c r="OVS23" s="21"/>
      <c r="OVT23" s="21"/>
      <c r="OVU23" s="21"/>
      <c r="OVV23" s="21"/>
      <c r="OVW23" s="21"/>
      <c r="OVX23" s="21"/>
      <c r="OVY23" s="21"/>
      <c r="OVZ23" s="21"/>
      <c r="OWA23" s="21"/>
      <c r="OWB23" s="21"/>
      <c r="OWC23" s="21"/>
      <c r="OWD23" s="21"/>
      <c r="OWE23" s="21"/>
      <c r="OWF23" s="21"/>
      <c r="OWG23" s="21"/>
      <c r="OWH23" s="21"/>
      <c r="OWI23" s="21"/>
      <c r="OWJ23" s="21"/>
      <c r="OWK23" s="21"/>
      <c r="OWL23" s="21"/>
      <c r="OWM23" s="21"/>
      <c r="OWN23" s="21"/>
      <c r="OWO23" s="21"/>
      <c r="OWP23" s="21"/>
      <c r="OWQ23" s="21"/>
      <c r="OWR23" s="21"/>
      <c r="OWS23" s="21"/>
      <c r="OWT23" s="21"/>
      <c r="OWU23" s="21"/>
      <c r="OWV23" s="21"/>
      <c r="OWW23" s="21"/>
      <c r="OWX23" s="21"/>
      <c r="OWY23" s="21"/>
      <c r="OWZ23" s="21"/>
      <c r="OXA23" s="21"/>
      <c r="OXB23" s="21"/>
      <c r="OXC23" s="21"/>
      <c r="OXD23" s="21"/>
      <c r="OXE23" s="21"/>
      <c r="OXF23" s="21"/>
      <c r="OXG23" s="21"/>
      <c r="OXH23" s="21"/>
      <c r="OXI23" s="21"/>
      <c r="OXJ23" s="21"/>
      <c r="OXK23" s="21"/>
      <c r="OXL23" s="21"/>
      <c r="OXM23" s="21"/>
      <c r="OXN23" s="21"/>
      <c r="OXO23" s="21"/>
      <c r="OXP23" s="21"/>
      <c r="OXQ23" s="21"/>
      <c r="OXR23" s="21"/>
      <c r="OXS23" s="21"/>
      <c r="OXT23" s="21"/>
      <c r="OXU23" s="21"/>
      <c r="OXV23" s="21"/>
      <c r="OXW23" s="21"/>
      <c r="OXX23" s="21"/>
      <c r="OXY23" s="21"/>
      <c r="OXZ23" s="21"/>
      <c r="OYA23" s="21"/>
      <c r="OYB23" s="21"/>
      <c r="OYC23" s="21"/>
      <c r="OYD23" s="21"/>
      <c r="OYE23" s="21"/>
      <c r="OYF23" s="21"/>
      <c r="OYG23" s="21"/>
      <c r="OYH23" s="21"/>
      <c r="OYI23" s="21"/>
      <c r="OYJ23" s="21"/>
      <c r="OYK23" s="21"/>
      <c r="OYL23" s="21"/>
      <c r="OYM23" s="21"/>
      <c r="OYN23" s="21"/>
      <c r="OYO23" s="21"/>
      <c r="OYP23" s="21"/>
      <c r="OYQ23" s="21"/>
      <c r="OYR23" s="21"/>
      <c r="OYS23" s="21"/>
      <c r="OYT23" s="21"/>
      <c r="OYU23" s="21"/>
      <c r="OYV23" s="21"/>
      <c r="OYW23" s="21"/>
      <c r="OYX23" s="21"/>
      <c r="OYY23" s="21"/>
      <c r="OYZ23" s="21"/>
      <c r="OZA23" s="21"/>
      <c r="OZB23" s="21"/>
      <c r="OZC23" s="21"/>
      <c r="OZD23" s="21"/>
      <c r="OZE23" s="21"/>
      <c r="OZF23" s="21"/>
      <c r="OZG23" s="21"/>
      <c r="OZH23" s="21"/>
      <c r="OZI23" s="21"/>
      <c r="OZJ23" s="21"/>
      <c r="OZK23" s="21"/>
      <c r="OZL23" s="21"/>
      <c r="OZM23" s="21"/>
      <c r="OZN23" s="21"/>
      <c r="OZO23" s="21"/>
      <c r="OZP23" s="21"/>
      <c r="OZQ23" s="21"/>
      <c r="OZR23" s="21"/>
      <c r="OZS23" s="21"/>
      <c r="OZT23" s="21"/>
      <c r="OZU23" s="21"/>
      <c r="OZV23" s="21"/>
      <c r="OZW23" s="21"/>
      <c r="OZX23" s="21"/>
      <c r="OZY23" s="21"/>
      <c r="OZZ23" s="21"/>
      <c r="PAA23" s="21"/>
      <c r="PAB23" s="21"/>
      <c r="PAC23" s="21"/>
      <c r="PAD23" s="21"/>
      <c r="PAE23" s="21"/>
      <c r="PAF23" s="21"/>
      <c r="PAG23" s="21"/>
      <c r="PAH23" s="21"/>
      <c r="PAI23" s="21"/>
      <c r="PAJ23" s="21"/>
      <c r="PAK23" s="21"/>
      <c r="PAL23" s="21"/>
      <c r="PAM23" s="21"/>
      <c r="PAN23" s="21"/>
      <c r="PAO23" s="21"/>
      <c r="PAP23" s="21"/>
      <c r="PAQ23" s="21"/>
      <c r="PAR23" s="21"/>
      <c r="PAS23" s="21"/>
      <c r="PAT23" s="21"/>
      <c r="PAU23" s="21"/>
      <c r="PAV23" s="21"/>
      <c r="PAW23" s="21"/>
      <c r="PAX23" s="21"/>
      <c r="PAY23" s="21"/>
      <c r="PAZ23" s="21"/>
      <c r="PBA23" s="21"/>
      <c r="PBB23" s="21"/>
      <c r="PBC23" s="21"/>
      <c r="PBD23" s="21"/>
      <c r="PBE23" s="21"/>
      <c r="PBF23" s="21"/>
      <c r="PBG23" s="21"/>
      <c r="PBH23" s="21"/>
      <c r="PBI23" s="21"/>
      <c r="PBJ23" s="21"/>
      <c r="PBK23" s="21"/>
      <c r="PBL23" s="21"/>
      <c r="PBM23" s="21"/>
      <c r="PBN23" s="21"/>
      <c r="PBO23" s="21"/>
      <c r="PBP23" s="21"/>
      <c r="PBQ23" s="21"/>
      <c r="PBR23" s="21"/>
      <c r="PBS23" s="21"/>
      <c r="PBT23" s="21"/>
      <c r="PBU23" s="21"/>
      <c r="PBV23" s="21"/>
      <c r="PBW23" s="21"/>
      <c r="PBX23" s="21"/>
      <c r="PBY23" s="21"/>
      <c r="PBZ23" s="21"/>
      <c r="PCA23" s="21"/>
      <c r="PCB23" s="21"/>
      <c r="PCC23" s="21"/>
      <c r="PCD23" s="21"/>
      <c r="PCE23" s="21"/>
      <c r="PCF23" s="21"/>
      <c r="PCG23" s="21"/>
      <c r="PCH23" s="21"/>
      <c r="PCI23" s="21"/>
      <c r="PCJ23" s="21"/>
      <c r="PCK23" s="21"/>
      <c r="PCL23" s="21"/>
      <c r="PCM23" s="21"/>
      <c r="PCN23" s="21"/>
      <c r="PCO23" s="21"/>
      <c r="PCP23" s="21"/>
      <c r="PCQ23" s="21"/>
      <c r="PCR23" s="21"/>
      <c r="PCS23" s="21"/>
      <c r="PCT23" s="21"/>
      <c r="PCU23" s="21"/>
      <c r="PCV23" s="21"/>
      <c r="PCW23" s="21"/>
      <c r="PCX23" s="21"/>
      <c r="PCY23" s="21"/>
      <c r="PCZ23" s="21"/>
      <c r="PDA23" s="21"/>
      <c r="PDB23" s="21"/>
      <c r="PDC23" s="21"/>
      <c r="PDD23" s="21"/>
      <c r="PDE23" s="21"/>
      <c r="PDF23" s="21"/>
      <c r="PDG23" s="21"/>
      <c r="PDH23" s="21"/>
      <c r="PDI23" s="21"/>
      <c r="PDJ23" s="21"/>
      <c r="PDK23" s="21"/>
      <c r="PDL23" s="21"/>
      <c r="PDM23" s="21"/>
      <c r="PDN23" s="21"/>
      <c r="PDO23" s="21"/>
      <c r="PDP23" s="21"/>
      <c r="PDQ23" s="21"/>
      <c r="PDR23" s="21"/>
      <c r="PDS23" s="21"/>
      <c r="PDT23" s="21"/>
      <c r="PDU23" s="21"/>
      <c r="PDV23" s="21"/>
      <c r="PDW23" s="21"/>
      <c r="PDX23" s="21"/>
      <c r="PDY23" s="21"/>
      <c r="PDZ23" s="21"/>
      <c r="PEA23" s="21"/>
      <c r="PEB23" s="21"/>
      <c r="PEC23" s="21"/>
      <c r="PED23" s="21"/>
      <c r="PEE23" s="21"/>
      <c r="PEF23" s="21"/>
      <c r="PEG23" s="21"/>
      <c r="PEH23" s="21"/>
      <c r="PEI23" s="21"/>
      <c r="PEJ23" s="21"/>
      <c r="PEK23" s="21"/>
      <c r="PEL23" s="21"/>
      <c r="PEM23" s="21"/>
      <c r="PEN23" s="21"/>
      <c r="PEO23" s="21"/>
      <c r="PEP23" s="21"/>
      <c r="PEQ23" s="21"/>
      <c r="PER23" s="21"/>
      <c r="PES23" s="21"/>
      <c r="PET23" s="21"/>
      <c r="PEU23" s="21"/>
      <c r="PEV23" s="21"/>
      <c r="PEW23" s="21"/>
      <c r="PEX23" s="21"/>
      <c r="PEY23" s="21"/>
      <c r="PEZ23" s="21"/>
      <c r="PFA23" s="21"/>
      <c r="PFB23" s="21"/>
      <c r="PFC23" s="21"/>
      <c r="PFD23" s="21"/>
      <c r="PFE23" s="21"/>
      <c r="PFF23" s="21"/>
      <c r="PFG23" s="21"/>
      <c r="PFH23" s="21"/>
      <c r="PFI23" s="21"/>
      <c r="PFJ23" s="21"/>
      <c r="PFK23" s="21"/>
      <c r="PFL23" s="21"/>
      <c r="PFM23" s="21"/>
      <c r="PFN23" s="21"/>
      <c r="PFO23" s="21"/>
      <c r="PFP23" s="21"/>
      <c r="PFQ23" s="21"/>
      <c r="PFR23" s="21"/>
      <c r="PFS23" s="21"/>
      <c r="PFT23" s="21"/>
      <c r="PFU23" s="21"/>
      <c r="PFV23" s="21"/>
      <c r="PFW23" s="21"/>
      <c r="PFX23" s="21"/>
      <c r="PFY23" s="21"/>
      <c r="PFZ23" s="21"/>
      <c r="PGA23" s="21"/>
      <c r="PGB23" s="21"/>
      <c r="PGC23" s="21"/>
      <c r="PGD23" s="21"/>
      <c r="PGE23" s="21"/>
      <c r="PGF23" s="21"/>
      <c r="PGG23" s="21"/>
      <c r="PGH23" s="21"/>
      <c r="PGI23" s="21"/>
      <c r="PGJ23" s="21"/>
      <c r="PGK23" s="21"/>
      <c r="PGL23" s="21"/>
      <c r="PGM23" s="21"/>
      <c r="PGN23" s="21"/>
      <c r="PGO23" s="21"/>
      <c r="PGP23" s="21"/>
      <c r="PGQ23" s="21"/>
      <c r="PGR23" s="21"/>
      <c r="PGS23" s="21"/>
      <c r="PGT23" s="21"/>
      <c r="PGU23" s="21"/>
      <c r="PGV23" s="21"/>
      <c r="PGW23" s="21"/>
      <c r="PGX23" s="21"/>
      <c r="PGY23" s="21"/>
      <c r="PGZ23" s="21"/>
      <c r="PHA23" s="21"/>
      <c r="PHB23" s="21"/>
      <c r="PHC23" s="21"/>
      <c r="PHD23" s="21"/>
      <c r="PHE23" s="21"/>
      <c r="PHF23" s="21"/>
      <c r="PHG23" s="21"/>
      <c r="PHH23" s="21"/>
      <c r="PHI23" s="21"/>
      <c r="PHJ23" s="21"/>
      <c r="PHK23" s="21"/>
      <c r="PHL23" s="21"/>
      <c r="PHM23" s="21"/>
      <c r="PHN23" s="21"/>
      <c r="PHO23" s="21"/>
      <c r="PHP23" s="21"/>
      <c r="PHQ23" s="21"/>
      <c r="PHR23" s="21"/>
      <c r="PHS23" s="21"/>
      <c r="PHT23" s="21"/>
      <c r="PHU23" s="21"/>
      <c r="PHV23" s="21"/>
      <c r="PHW23" s="21"/>
      <c r="PHX23" s="21"/>
      <c r="PHY23" s="21"/>
      <c r="PHZ23" s="21"/>
      <c r="PIA23" s="21"/>
      <c r="PIB23" s="21"/>
      <c r="PIC23" s="21"/>
      <c r="PID23" s="21"/>
      <c r="PIE23" s="21"/>
      <c r="PIF23" s="21"/>
      <c r="PIG23" s="21"/>
      <c r="PIH23" s="21"/>
      <c r="PII23" s="21"/>
      <c r="PIJ23" s="21"/>
      <c r="PIK23" s="21"/>
      <c r="PIL23" s="21"/>
      <c r="PIM23" s="21"/>
      <c r="PIN23" s="21"/>
      <c r="PIO23" s="21"/>
      <c r="PIP23" s="21"/>
      <c r="PIQ23" s="21"/>
      <c r="PIR23" s="21"/>
      <c r="PIS23" s="21"/>
      <c r="PIT23" s="21"/>
      <c r="PIU23" s="21"/>
      <c r="PIV23" s="21"/>
      <c r="PIW23" s="21"/>
      <c r="PIX23" s="21"/>
      <c r="PIY23" s="21"/>
      <c r="PIZ23" s="21"/>
      <c r="PJA23" s="21"/>
      <c r="PJB23" s="21"/>
      <c r="PJC23" s="21"/>
      <c r="PJD23" s="21"/>
      <c r="PJE23" s="21"/>
      <c r="PJF23" s="21"/>
      <c r="PJG23" s="21"/>
      <c r="PJH23" s="21"/>
      <c r="PJI23" s="21"/>
      <c r="PJJ23" s="21"/>
      <c r="PJK23" s="21"/>
      <c r="PJL23" s="21"/>
      <c r="PJM23" s="21"/>
      <c r="PJN23" s="21"/>
      <c r="PJO23" s="21"/>
      <c r="PJP23" s="21"/>
      <c r="PJQ23" s="21"/>
      <c r="PJR23" s="21"/>
      <c r="PJS23" s="21"/>
      <c r="PJT23" s="21"/>
      <c r="PJU23" s="21"/>
      <c r="PJV23" s="21"/>
      <c r="PJW23" s="21"/>
      <c r="PJX23" s="21"/>
      <c r="PJY23" s="21"/>
      <c r="PJZ23" s="21"/>
      <c r="PKA23" s="21"/>
      <c r="PKB23" s="21"/>
      <c r="PKC23" s="21"/>
      <c r="PKD23" s="21"/>
      <c r="PKE23" s="21"/>
      <c r="PKF23" s="21"/>
      <c r="PKG23" s="21"/>
      <c r="PKH23" s="21"/>
      <c r="PKI23" s="21"/>
      <c r="PKJ23" s="21"/>
      <c r="PKK23" s="21"/>
      <c r="PKL23" s="21"/>
      <c r="PKM23" s="21"/>
      <c r="PKN23" s="21"/>
      <c r="PKO23" s="21"/>
      <c r="PKP23" s="21"/>
      <c r="PKQ23" s="21"/>
      <c r="PKR23" s="21"/>
      <c r="PKS23" s="21"/>
      <c r="PKT23" s="21"/>
      <c r="PKU23" s="21"/>
      <c r="PKV23" s="21"/>
      <c r="PKW23" s="21"/>
      <c r="PKX23" s="21"/>
      <c r="PKY23" s="21"/>
      <c r="PKZ23" s="21"/>
      <c r="PLA23" s="21"/>
      <c r="PLB23" s="21"/>
      <c r="PLC23" s="21"/>
      <c r="PLD23" s="21"/>
      <c r="PLE23" s="21"/>
      <c r="PLF23" s="21"/>
      <c r="PLG23" s="21"/>
      <c r="PLH23" s="21"/>
      <c r="PLI23" s="21"/>
      <c r="PLJ23" s="21"/>
      <c r="PLK23" s="21"/>
      <c r="PLL23" s="21"/>
      <c r="PLM23" s="21"/>
      <c r="PLN23" s="21"/>
      <c r="PLO23" s="21"/>
      <c r="PLP23" s="21"/>
      <c r="PLQ23" s="21"/>
      <c r="PLR23" s="21"/>
      <c r="PLS23" s="21"/>
      <c r="PLT23" s="21"/>
      <c r="PLU23" s="21"/>
      <c r="PLV23" s="21"/>
      <c r="PLW23" s="21"/>
      <c r="PLX23" s="21"/>
      <c r="PLY23" s="21"/>
      <c r="PLZ23" s="21"/>
      <c r="PMA23" s="21"/>
      <c r="PMB23" s="21"/>
      <c r="PMC23" s="21"/>
      <c r="PMD23" s="21"/>
      <c r="PME23" s="21"/>
      <c r="PMF23" s="21"/>
      <c r="PMG23" s="21"/>
      <c r="PMH23" s="21"/>
      <c r="PMI23" s="21"/>
      <c r="PMJ23" s="21"/>
      <c r="PMK23" s="21"/>
      <c r="PML23" s="21"/>
      <c r="PMM23" s="21"/>
      <c r="PMN23" s="21"/>
      <c r="PMO23" s="21"/>
      <c r="PMP23" s="21"/>
      <c r="PMQ23" s="21"/>
      <c r="PMR23" s="21"/>
      <c r="PMS23" s="21"/>
      <c r="PMT23" s="21"/>
      <c r="PMU23" s="21"/>
      <c r="PMV23" s="21"/>
      <c r="PMW23" s="21"/>
      <c r="PMX23" s="21"/>
      <c r="PMY23" s="21"/>
      <c r="PMZ23" s="21"/>
      <c r="PNA23" s="21"/>
      <c r="PNB23" s="21"/>
      <c r="PNC23" s="21"/>
      <c r="PND23" s="21"/>
      <c r="PNE23" s="21"/>
      <c r="PNF23" s="21"/>
      <c r="PNG23" s="21"/>
      <c r="PNH23" s="21"/>
      <c r="PNI23" s="21"/>
      <c r="PNJ23" s="21"/>
      <c r="PNK23" s="21"/>
      <c r="PNL23" s="21"/>
      <c r="PNM23" s="21"/>
      <c r="PNN23" s="21"/>
      <c r="PNO23" s="21"/>
      <c r="PNP23" s="21"/>
      <c r="PNQ23" s="21"/>
      <c r="PNR23" s="21"/>
      <c r="PNS23" s="21"/>
      <c r="PNT23" s="21"/>
      <c r="PNU23" s="21"/>
      <c r="PNV23" s="21"/>
      <c r="PNW23" s="21"/>
      <c r="PNX23" s="21"/>
      <c r="PNY23" s="21"/>
      <c r="PNZ23" s="21"/>
      <c r="POA23" s="21"/>
      <c r="POB23" s="21"/>
      <c r="POC23" s="21"/>
      <c r="POD23" s="21"/>
      <c r="POE23" s="21"/>
      <c r="POF23" s="21"/>
      <c r="POG23" s="21"/>
      <c r="POH23" s="21"/>
      <c r="POI23" s="21"/>
      <c r="POJ23" s="21"/>
      <c r="POK23" s="21"/>
      <c r="POL23" s="21"/>
      <c r="POM23" s="21"/>
      <c r="PON23" s="21"/>
      <c r="POO23" s="21"/>
      <c r="POP23" s="21"/>
      <c r="POQ23" s="21"/>
      <c r="POR23" s="21"/>
      <c r="POS23" s="21"/>
      <c r="POT23" s="21"/>
      <c r="POU23" s="21"/>
      <c r="POV23" s="21"/>
      <c r="POW23" s="21"/>
      <c r="POX23" s="21"/>
      <c r="POY23" s="21"/>
      <c r="POZ23" s="21"/>
      <c r="PPA23" s="21"/>
      <c r="PPB23" s="21"/>
      <c r="PPC23" s="21"/>
      <c r="PPD23" s="21"/>
      <c r="PPE23" s="21"/>
      <c r="PPF23" s="21"/>
      <c r="PPG23" s="21"/>
      <c r="PPH23" s="21"/>
      <c r="PPI23" s="21"/>
      <c r="PPJ23" s="21"/>
      <c r="PPK23" s="21"/>
      <c r="PPL23" s="21"/>
      <c r="PPM23" s="21"/>
      <c r="PPN23" s="21"/>
      <c r="PPO23" s="21"/>
      <c r="PPP23" s="21"/>
      <c r="PPQ23" s="21"/>
      <c r="PPR23" s="21"/>
      <c r="PPS23" s="21"/>
      <c r="PPT23" s="21"/>
      <c r="PPU23" s="21"/>
      <c r="PPV23" s="21"/>
      <c r="PPW23" s="21"/>
      <c r="PPX23" s="21"/>
      <c r="PPY23" s="21"/>
      <c r="PPZ23" s="21"/>
      <c r="PQA23" s="21"/>
      <c r="PQB23" s="21"/>
      <c r="PQC23" s="21"/>
      <c r="PQD23" s="21"/>
      <c r="PQE23" s="21"/>
      <c r="PQF23" s="21"/>
      <c r="PQG23" s="21"/>
      <c r="PQH23" s="21"/>
      <c r="PQI23" s="21"/>
      <c r="PQJ23" s="21"/>
      <c r="PQK23" s="21"/>
      <c r="PQL23" s="21"/>
      <c r="PQM23" s="21"/>
      <c r="PQN23" s="21"/>
      <c r="PQO23" s="21"/>
      <c r="PQP23" s="21"/>
      <c r="PQQ23" s="21"/>
      <c r="PQR23" s="21"/>
      <c r="PQS23" s="21"/>
      <c r="PQT23" s="21"/>
      <c r="PQU23" s="21"/>
      <c r="PQV23" s="21"/>
      <c r="PQW23" s="21"/>
      <c r="PQX23" s="21"/>
      <c r="PQY23" s="21"/>
      <c r="PQZ23" s="21"/>
      <c r="PRA23" s="21"/>
      <c r="PRB23" s="21"/>
      <c r="PRC23" s="21"/>
      <c r="PRD23" s="21"/>
      <c r="PRE23" s="21"/>
      <c r="PRF23" s="21"/>
      <c r="PRG23" s="21"/>
      <c r="PRH23" s="21"/>
      <c r="PRI23" s="21"/>
      <c r="PRJ23" s="21"/>
      <c r="PRK23" s="21"/>
      <c r="PRL23" s="21"/>
      <c r="PRM23" s="21"/>
      <c r="PRN23" s="21"/>
      <c r="PRO23" s="21"/>
      <c r="PRP23" s="21"/>
      <c r="PRQ23" s="21"/>
      <c r="PRR23" s="21"/>
      <c r="PRS23" s="21"/>
      <c r="PRT23" s="21"/>
      <c r="PRU23" s="21"/>
      <c r="PRV23" s="21"/>
      <c r="PRW23" s="21"/>
      <c r="PRX23" s="21"/>
      <c r="PRY23" s="21"/>
      <c r="PRZ23" s="21"/>
      <c r="PSA23" s="21"/>
      <c r="PSB23" s="21"/>
      <c r="PSC23" s="21"/>
      <c r="PSD23" s="21"/>
      <c r="PSE23" s="21"/>
      <c r="PSF23" s="21"/>
      <c r="PSG23" s="21"/>
      <c r="PSH23" s="21"/>
      <c r="PSI23" s="21"/>
      <c r="PSJ23" s="21"/>
      <c r="PSK23" s="21"/>
      <c r="PSL23" s="21"/>
      <c r="PSM23" s="21"/>
      <c r="PSN23" s="21"/>
      <c r="PSO23" s="21"/>
      <c r="PSP23" s="21"/>
      <c r="PSQ23" s="21"/>
      <c r="PSR23" s="21"/>
      <c r="PSS23" s="21"/>
      <c r="PST23" s="21"/>
      <c r="PSU23" s="21"/>
      <c r="PSV23" s="21"/>
      <c r="PSW23" s="21"/>
      <c r="PSX23" s="21"/>
      <c r="PSY23" s="21"/>
      <c r="PSZ23" s="21"/>
      <c r="PTA23" s="21"/>
      <c r="PTB23" s="21"/>
      <c r="PTC23" s="21"/>
      <c r="PTD23" s="21"/>
      <c r="PTE23" s="21"/>
      <c r="PTF23" s="21"/>
      <c r="PTG23" s="21"/>
      <c r="PTH23" s="21"/>
      <c r="PTI23" s="21"/>
      <c r="PTJ23" s="21"/>
      <c r="PTK23" s="21"/>
      <c r="PTL23" s="21"/>
      <c r="PTM23" s="21"/>
      <c r="PTN23" s="21"/>
      <c r="PTO23" s="21"/>
      <c r="PTP23" s="21"/>
      <c r="PTQ23" s="21"/>
      <c r="PTR23" s="21"/>
      <c r="PTS23" s="21"/>
      <c r="PTT23" s="21"/>
      <c r="PTU23" s="21"/>
      <c r="PTV23" s="21"/>
      <c r="PTW23" s="21"/>
      <c r="PTX23" s="21"/>
      <c r="PTY23" s="21"/>
      <c r="PTZ23" s="21"/>
      <c r="PUA23" s="21"/>
      <c r="PUB23" s="21"/>
      <c r="PUC23" s="21"/>
      <c r="PUD23" s="21"/>
      <c r="PUE23" s="21"/>
      <c r="PUF23" s="21"/>
      <c r="PUG23" s="21"/>
      <c r="PUH23" s="21"/>
      <c r="PUI23" s="21"/>
      <c r="PUJ23" s="21"/>
      <c r="PUK23" s="21"/>
      <c r="PUL23" s="21"/>
      <c r="PUM23" s="21"/>
      <c r="PUN23" s="21"/>
      <c r="PUO23" s="21"/>
      <c r="PUP23" s="21"/>
      <c r="PUQ23" s="21"/>
      <c r="PUR23" s="21"/>
      <c r="PUS23" s="21"/>
      <c r="PUT23" s="21"/>
      <c r="PUU23" s="21"/>
      <c r="PUV23" s="21"/>
      <c r="PUW23" s="21"/>
      <c r="PUX23" s="21"/>
      <c r="PUY23" s="21"/>
      <c r="PUZ23" s="21"/>
      <c r="PVA23" s="21"/>
      <c r="PVB23" s="21"/>
      <c r="PVC23" s="21"/>
      <c r="PVD23" s="21"/>
      <c r="PVE23" s="21"/>
      <c r="PVF23" s="21"/>
      <c r="PVG23" s="21"/>
      <c r="PVH23" s="21"/>
      <c r="PVI23" s="21"/>
      <c r="PVJ23" s="21"/>
      <c r="PVK23" s="21"/>
      <c r="PVL23" s="21"/>
      <c r="PVM23" s="21"/>
      <c r="PVN23" s="21"/>
      <c r="PVO23" s="21"/>
      <c r="PVP23" s="21"/>
      <c r="PVQ23" s="21"/>
      <c r="PVR23" s="21"/>
      <c r="PVS23" s="21"/>
      <c r="PVT23" s="21"/>
      <c r="PVU23" s="21"/>
      <c r="PVV23" s="21"/>
      <c r="PVW23" s="21"/>
      <c r="PVX23" s="21"/>
      <c r="PVY23" s="21"/>
      <c r="PVZ23" s="21"/>
      <c r="PWA23" s="21"/>
      <c r="PWB23" s="21"/>
      <c r="PWC23" s="21"/>
      <c r="PWD23" s="21"/>
      <c r="PWE23" s="21"/>
      <c r="PWF23" s="21"/>
      <c r="PWG23" s="21"/>
      <c r="PWH23" s="21"/>
      <c r="PWI23" s="21"/>
      <c r="PWJ23" s="21"/>
      <c r="PWK23" s="21"/>
      <c r="PWL23" s="21"/>
      <c r="PWM23" s="21"/>
      <c r="PWN23" s="21"/>
      <c r="PWO23" s="21"/>
      <c r="PWP23" s="21"/>
      <c r="PWQ23" s="21"/>
      <c r="PWR23" s="21"/>
      <c r="PWS23" s="21"/>
      <c r="PWT23" s="21"/>
      <c r="PWU23" s="21"/>
      <c r="PWV23" s="21"/>
      <c r="PWW23" s="21"/>
      <c r="PWX23" s="21"/>
      <c r="PWY23" s="21"/>
      <c r="PWZ23" s="21"/>
      <c r="PXA23" s="21"/>
      <c r="PXB23" s="21"/>
      <c r="PXC23" s="21"/>
      <c r="PXD23" s="21"/>
      <c r="PXE23" s="21"/>
      <c r="PXF23" s="21"/>
      <c r="PXG23" s="21"/>
      <c r="PXH23" s="21"/>
      <c r="PXI23" s="21"/>
      <c r="PXJ23" s="21"/>
      <c r="PXK23" s="21"/>
      <c r="PXL23" s="21"/>
      <c r="PXM23" s="21"/>
      <c r="PXN23" s="21"/>
      <c r="PXO23" s="21"/>
      <c r="PXP23" s="21"/>
      <c r="PXQ23" s="21"/>
      <c r="PXR23" s="21"/>
      <c r="PXS23" s="21"/>
      <c r="PXT23" s="21"/>
      <c r="PXU23" s="21"/>
      <c r="PXV23" s="21"/>
      <c r="PXW23" s="21"/>
      <c r="PXX23" s="21"/>
      <c r="PXY23" s="21"/>
      <c r="PXZ23" s="21"/>
      <c r="PYA23" s="21"/>
      <c r="PYB23" s="21"/>
      <c r="PYC23" s="21"/>
      <c r="PYD23" s="21"/>
      <c r="PYE23" s="21"/>
      <c r="PYF23" s="21"/>
      <c r="PYG23" s="21"/>
      <c r="PYH23" s="21"/>
      <c r="PYI23" s="21"/>
      <c r="PYJ23" s="21"/>
      <c r="PYK23" s="21"/>
      <c r="PYL23" s="21"/>
      <c r="PYM23" s="21"/>
      <c r="PYN23" s="21"/>
      <c r="PYO23" s="21"/>
      <c r="PYP23" s="21"/>
      <c r="PYQ23" s="21"/>
      <c r="PYR23" s="21"/>
      <c r="PYS23" s="21"/>
      <c r="PYT23" s="21"/>
      <c r="PYU23" s="21"/>
      <c r="PYV23" s="21"/>
      <c r="PYW23" s="21"/>
      <c r="PYX23" s="21"/>
      <c r="PYY23" s="21"/>
      <c r="PYZ23" s="21"/>
      <c r="PZA23" s="21"/>
      <c r="PZB23" s="21"/>
      <c r="PZC23" s="21"/>
      <c r="PZD23" s="21"/>
      <c r="PZE23" s="21"/>
      <c r="PZF23" s="21"/>
      <c r="PZG23" s="21"/>
      <c r="PZH23" s="21"/>
      <c r="PZI23" s="21"/>
      <c r="PZJ23" s="21"/>
      <c r="PZK23" s="21"/>
      <c r="PZL23" s="21"/>
      <c r="PZM23" s="21"/>
      <c r="PZN23" s="21"/>
      <c r="PZO23" s="21"/>
      <c r="PZP23" s="21"/>
      <c r="PZQ23" s="21"/>
      <c r="PZR23" s="21"/>
      <c r="PZS23" s="21"/>
      <c r="PZT23" s="21"/>
      <c r="PZU23" s="21"/>
      <c r="PZV23" s="21"/>
      <c r="PZW23" s="21"/>
      <c r="PZX23" s="21"/>
      <c r="PZY23" s="21"/>
      <c r="PZZ23" s="21"/>
      <c r="QAA23" s="21"/>
      <c r="QAB23" s="21"/>
      <c r="QAC23" s="21"/>
      <c r="QAD23" s="21"/>
      <c r="QAE23" s="21"/>
      <c r="QAF23" s="21"/>
      <c r="QAG23" s="21"/>
      <c r="QAH23" s="21"/>
      <c r="QAI23" s="21"/>
      <c r="QAJ23" s="21"/>
      <c r="QAK23" s="21"/>
      <c r="QAL23" s="21"/>
      <c r="QAM23" s="21"/>
      <c r="QAN23" s="21"/>
      <c r="QAO23" s="21"/>
      <c r="QAP23" s="21"/>
      <c r="QAQ23" s="21"/>
      <c r="QAR23" s="21"/>
      <c r="QAS23" s="21"/>
      <c r="QAT23" s="21"/>
      <c r="QAU23" s="21"/>
      <c r="QAV23" s="21"/>
      <c r="QAW23" s="21"/>
      <c r="QAX23" s="21"/>
      <c r="QAY23" s="21"/>
      <c r="QAZ23" s="21"/>
      <c r="QBA23" s="21"/>
      <c r="QBB23" s="21"/>
      <c r="QBC23" s="21"/>
      <c r="QBD23" s="21"/>
      <c r="QBE23" s="21"/>
      <c r="QBF23" s="21"/>
      <c r="QBG23" s="21"/>
      <c r="QBH23" s="21"/>
      <c r="QBI23" s="21"/>
      <c r="QBJ23" s="21"/>
      <c r="QBK23" s="21"/>
      <c r="QBL23" s="21"/>
      <c r="QBM23" s="21"/>
      <c r="QBN23" s="21"/>
      <c r="QBO23" s="21"/>
      <c r="QBP23" s="21"/>
      <c r="QBQ23" s="21"/>
      <c r="QBR23" s="21"/>
      <c r="QBS23" s="21"/>
      <c r="QBT23" s="21"/>
      <c r="QBU23" s="21"/>
      <c r="QBV23" s="21"/>
      <c r="QBW23" s="21"/>
      <c r="QBX23" s="21"/>
      <c r="QBY23" s="21"/>
      <c r="QBZ23" s="21"/>
      <c r="QCA23" s="21"/>
      <c r="QCB23" s="21"/>
      <c r="QCC23" s="21"/>
      <c r="QCD23" s="21"/>
      <c r="QCE23" s="21"/>
      <c r="QCF23" s="21"/>
      <c r="QCG23" s="21"/>
      <c r="QCH23" s="21"/>
      <c r="QCI23" s="21"/>
      <c r="QCJ23" s="21"/>
      <c r="QCK23" s="21"/>
      <c r="QCL23" s="21"/>
      <c r="QCM23" s="21"/>
      <c r="QCN23" s="21"/>
      <c r="QCO23" s="21"/>
      <c r="QCP23" s="21"/>
      <c r="QCQ23" s="21"/>
      <c r="QCR23" s="21"/>
      <c r="QCS23" s="21"/>
      <c r="QCT23" s="21"/>
      <c r="QCU23" s="21"/>
      <c r="QCV23" s="21"/>
      <c r="QCW23" s="21"/>
      <c r="QCX23" s="21"/>
      <c r="QCY23" s="21"/>
      <c r="QCZ23" s="21"/>
      <c r="QDA23" s="21"/>
      <c r="QDB23" s="21"/>
      <c r="QDC23" s="21"/>
      <c r="QDD23" s="21"/>
      <c r="QDE23" s="21"/>
      <c r="QDF23" s="21"/>
      <c r="QDG23" s="21"/>
      <c r="QDH23" s="21"/>
      <c r="QDI23" s="21"/>
      <c r="QDJ23" s="21"/>
      <c r="QDK23" s="21"/>
      <c r="QDL23" s="21"/>
      <c r="QDM23" s="21"/>
      <c r="QDN23" s="21"/>
      <c r="QDO23" s="21"/>
      <c r="QDP23" s="21"/>
      <c r="QDQ23" s="21"/>
      <c r="QDR23" s="21"/>
      <c r="QDS23" s="21"/>
      <c r="QDT23" s="21"/>
      <c r="QDU23" s="21"/>
      <c r="QDV23" s="21"/>
      <c r="QDW23" s="21"/>
      <c r="QDX23" s="21"/>
      <c r="QDY23" s="21"/>
      <c r="QDZ23" s="21"/>
      <c r="QEA23" s="21"/>
      <c r="QEB23" s="21"/>
      <c r="QEC23" s="21"/>
      <c r="QED23" s="21"/>
      <c r="QEE23" s="21"/>
      <c r="QEF23" s="21"/>
      <c r="QEG23" s="21"/>
      <c r="QEH23" s="21"/>
      <c r="QEI23" s="21"/>
      <c r="QEJ23" s="21"/>
      <c r="QEK23" s="21"/>
      <c r="QEL23" s="21"/>
      <c r="QEM23" s="21"/>
      <c r="QEN23" s="21"/>
      <c r="QEO23" s="21"/>
      <c r="QEP23" s="21"/>
      <c r="QEQ23" s="21"/>
      <c r="QER23" s="21"/>
      <c r="QES23" s="21"/>
      <c r="QET23" s="21"/>
      <c r="QEU23" s="21"/>
      <c r="QEV23" s="21"/>
      <c r="QEW23" s="21"/>
      <c r="QEX23" s="21"/>
      <c r="QEY23" s="21"/>
      <c r="QEZ23" s="21"/>
      <c r="QFA23" s="21"/>
      <c r="QFB23" s="21"/>
      <c r="QFC23" s="21"/>
      <c r="QFD23" s="21"/>
      <c r="QFE23" s="21"/>
      <c r="QFF23" s="21"/>
      <c r="QFG23" s="21"/>
      <c r="QFH23" s="21"/>
      <c r="QFI23" s="21"/>
      <c r="QFJ23" s="21"/>
      <c r="QFK23" s="21"/>
      <c r="QFL23" s="21"/>
      <c r="QFM23" s="21"/>
      <c r="QFN23" s="21"/>
      <c r="QFO23" s="21"/>
      <c r="QFP23" s="21"/>
      <c r="QFQ23" s="21"/>
      <c r="QFR23" s="21"/>
      <c r="QFS23" s="21"/>
      <c r="QFT23" s="21"/>
      <c r="QFU23" s="21"/>
      <c r="QFV23" s="21"/>
      <c r="QFW23" s="21"/>
      <c r="QFX23" s="21"/>
      <c r="QFY23" s="21"/>
      <c r="QFZ23" s="21"/>
      <c r="QGA23" s="21"/>
      <c r="QGB23" s="21"/>
      <c r="QGC23" s="21"/>
      <c r="QGD23" s="21"/>
      <c r="QGE23" s="21"/>
      <c r="QGF23" s="21"/>
      <c r="QGG23" s="21"/>
      <c r="QGH23" s="21"/>
      <c r="QGI23" s="21"/>
      <c r="QGJ23" s="21"/>
      <c r="QGK23" s="21"/>
      <c r="QGL23" s="21"/>
      <c r="QGM23" s="21"/>
      <c r="QGN23" s="21"/>
      <c r="QGO23" s="21"/>
      <c r="QGP23" s="21"/>
      <c r="QGQ23" s="21"/>
      <c r="QGR23" s="21"/>
      <c r="QGS23" s="21"/>
      <c r="QGT23" s="21"/>
      <c r="QGU23" s="21"/>
      <c r="QGV23" s="21"/>
      <c r="QGW23" s="21"/>
      <c r="QGX23" s="21"/>
      <c r="QGY23" s="21"/>
      <c r="QGZ23" s="21"/>
      <c r="QHA23" s="21"/>
      <c r="QHB23" s="21"/>
      <c r="QHC23" s="21"/>
      <c r="QHD23" s="21"/>
      <c r="QHE23" s="21"/>
      <c r="QHF23" s="21"/>
      <c r="QHG23" s="21"/>
      <c r="QHH23" s="21"/>
      <c r="QHI23" s="21"/>
      <c r="QHJ23" s="21"/>
      <c r="QHK23" s="21"/>
      <c r="QHL23" s="21"/>
      <c r="QHM23" s="21"/>
      <c r="QHN23" s="21"/>
      <c r="QHO23" s="21"/>
      <c r="QHP23" s="21"/>
      <c r="QHQ23" s="21"/>
      <c r="QHR23" s="21"/>
      <c r="QHS23" s="21"/>
      <c r="QHT23" s="21"/>
      <c r="QHU23" s="21"/>
      <c r="QHV23" s="21"/>
      <c r="QHW23" s="21"/>
      <c r="QHX23" s="21"/>
      <c r="QHY23" s="21"/>
      <c r="QHZ23" s="21"/>
      <c r="QIA23" s="21"/>
      <c r="QIB23" s="21"/>
      <c r="QIC23" s="21"/>
      <c r="QID23" s="21"/>
      <c r="QIE23" s="21"/>
      <c r="QIF23" s="21"/>
      <c r="QIG23" s="21"/>
      <c r="QIH23" s="21"/>
      <c r="QII23" s="21"/>
      <c r="QIJ23" s="21"/>
      <c r="QIK23" s="21"/>
      <c r="QIL23" s="21"/>
      <c r="QIM23" s="21"/>
      <c r="QIN23" s="21"/>
      <c r="QIO23" s="21"/>
      <c r="QIP23" s="21"/>
      <c r="QIQ23" s="21"/>
      <c r="QIR23" s="21"/>
      <c r="QIS23" s="21"/>
      <c r="QIT23" s="21"/>
      <c r="QIU23" s="21"/>
      <c r="QIV23" s="21"/>
      <c r="QIW23" s="21"/>
      <c r="QIX23" s="21"/>
      <c r="QIY23" s="21"/>
      <c r="QIZ23" s="21"/>
      <c r="QJA23" s="21"/>
      <c r="QJB23" s="21"/>
      <c r="QJC23" s="21"/>
      <c r="QJD23" s="21"/>
      <c r="QJE23" s="21"/>
      <c r="QJF23" s="21"/>
      <c r="QJG23" s="21"/>
      <c r="QJH23" s="21"/>
      <c r="QJI23" s="21"/>
      <c r="QJJ23" s="21"/>
      <c r="QJK23" s="21"/>
      <c r="QJL23" s="21"/>
      <c r="QJM23" s="21"/>
      <c r="QJN23" s="21"/>
      <c r="QJO23" s="21"/>
      <c r="QJP23" s="21"/>
      <c r="QJQ23" s="21"/>
      <c r="QJR23" s="21"/>
      <c r="QJS23" s="21"/>
      <c r="QJT23" s="21"/>
      <c r="QJU23" s="21"/>
      <c r="QJV23" s="21"/>
      <c r="QJW23" s="21"/>
      <c r="QJX23" s="21"/>
      <c r="QJY23" s="21"/>
      <c r="QJZ23" s="21"/>
      <c r="QKA23" s="21"/>
      <c r="QKB23" s="21"/>
      <c r="QKC23" s="21"/>
      <c r="QKD23" s="21"/>
      <c r="QKE23" s="21"/>
      <c r="QKF23" s="21"/>
      <c r="QKG23" s="21"/>
      <c r="QKH23" s="21"/>
      <c r="QKI23" s="21"/>
      <c r="QKJ23" s="21"/>
      <c r="QKK23" s="21"/>
      <c r="QKL23" s="21"/>
      <c r="QKM23" s="21"/>
      <c r="QKN23" s="21"/>
      <c r="QKO23" s="21"/>
      <c r="QKP23" s="21"/>
      <c r="QKQ23" s="21"/>
      <c r="QKR23" s="21"/>
      <c r="QKS23" s="21"/>
      <c r="QKT23" s="21"/>
      <c r="QKU23" s="21"/>
      <c r="QKV23" s="21"/>
      <c r="QKW23" s="21"/>
      <c r="QKX23" s="21"/>
      <c r="QKY23" s="21"/>
      <c r="QKZ23" s="21"/>
      <c r="QLA23" s="21"/>
      <c r="QLB23" s="21"/>
      <c r="QLC23" s="21"/>
      <c r="QLD23" s="21"/>
      <c r="QLE23" s="21"/>
      <c r="QLF23" s="21"/>
      <c r="QLG23" s="21"/>
      <c r="QLH23" s="21"/>
      <c r="QLI23" s="21"/>
      <c r="QLJ23" s="21"/>
      <c r="QLK23" s="21"/>
      <c r="QLL23" s="21"/>
      <c r="QLM23" s="21"/>
      <c r="QLN23" s="21"/>
      <c r="QLO23" s="21"/>
      <c r="QLP23" s="21"/>
      <c r="QLQ23" s="21"/>
      <c r="QLR23" s="21"/>
      <c r="QLS23" s="21"/>
      <c r="QLT23" s="21"/>
      <c r="QLU23" s="21"/>
      <c r="QLV23" s="21"/>
      <c r="QLW23" s="21"/>
      <c r="QLX23" s="21"/>
      <c r="QLY23" s="21"/>
      <c r="QLZ23" s="21"/>
      <c r="QMA23" s="21"/>
      <c r="QMB23" s="21"/>
      <c r="QMC23" s="21"/>
      <c r="QMD23" s="21"/>
      <c r="QME23" s="21"/>
      <c r="QMF23" s="21"/>
      <c r="QMG23" s="21"/>
      <c r="QMH23" s="21"/>
      <c r="QMI23" s="21"/>
      <c r="QMJ23" s="21"/>
      <c r="QMK23" s="21"/>
      <c r="QML23" s="21"/>
      <c r="QMM23" s="21"/>
      <c r="QMN23" s="21"/>
      <c r="QMO23" s="21"/>
      <c r="QMP23" s="21"/>
      <c r="QMQ23" s="21"/>
      <c r="QMR23" s="21"/>
      <c r="QMS23" s="21"/>
      <c r="QMT23" s="21"/>
      <c r="QMU23" s="21"/>
      <c r="QMV23" s="21"/>
      <c r="QMW23" s="21"/>
      <c r="QMX23" s="21"/>
      <c r="QMY23" s="21"/>
      <c r="QMZ23" s="21"/>
      <c r="QNA23" s="21"/>
      <c r="QNB23" s="21"/>
      <c r="QNC23" s="21"/>
      <c r="QND23" s="21"/>
      <c r="QNE23" s="21"/>
      <c r="QNF23" s="21"/>
      <c r="QNG23" s="21"/>
      <c r="QNH23" s="21"/>
      <c r="QNI23" s="21"/>
      <c r="QNJ23" s="21"/>
      <c r="QNK23" s="21"/>
      <c r="QNL23" s="21"/>
      <c r="QNM23" s="21"/>
      <c r="QNN23" s="21"/>
      <c r="QNO23" s="21"/>
      <c r="QNP23" s="21"/>
      <c r="QNQ23" s="21"/>
      <c r="QNR23" s="21"/>
      <c r="QNS23" s="21"/>
      <c r="QNT23" s="21"/>
      <c r="QNU23" s="21"/>
      <c r="QNV23" s="21"/>
      <c r="QNW23" s="21"/>
      <c r="QNX23" s="21"/>
      <c r="QNY23" s="21"/>
      <c r="QNZ23" s="21"/>
      <c r="QOA23" s="21"/>
      <c r="QOB23" s="21"/>
      <c r="QOC23" s="21"/>
      <c r="QOD23" s="21"/>
      <c r="QOE23" s="21"/>
      <c r="QOF23" s="21"/>
      <c r="QOG23" s="21"/>
      <c r="QOH23" s="21"/>
      <c r="QOI23" s="21"/>
      <c r="QOJ23" s="21"/>
      <c r="QOK23" s="21"/>
      <c r="QOL23" s="21"/>
      <c r="QOM23" s="21"/>
      <c r="QON23" s="21"/>
      <c r="QOO23" s="21"/>
      <c r="QOP23" s="21"/>
      <c r="QOQ23" s="21"/>
      <c r="QOR23" s="21"/>
      <c r="QOS23" s="21"/>
      <c r="QOT23" s="21"/>
      <c r="QOU23" s="21"/>
      <c r="QOV23" s="21"/>
      <c r="QOW23" s="21"/>
      <c r="QOX23" s="21"/>
      <c r="QOY23" s="21"/>
      <c r="QOZ23" s="21"/>
      <c r="QPA23" s="21"/>
      <c r="QPB23" s="21"/>
      <c r="QPC23" s="21"/>
      <c r="QPD23" s="21"/>
      <c r="QPE23" s="21"/>
      <c r="QPF23" s="21"/>
      <c r="QPG23" s="21"/>
      <c r="QPH23" s="21"/>
      <c r="QPI23" s="21"/>
      <c r="QPJ23" s="21"/>
      <c r="QPK23" s="21"/>
      <c r="QPL23" s="21"/>
      <c r="QPM23" s="21"/>
      <c r="QPN23" s="21"/>
      <c r="QPO23" s="21"/>
      <c r="QPP23" s="21"/>
      <c r="QPQ23" s="21"/>
      <c r="QPR23" s="21"/>
      <c r="QPS23" s="21"/>
      <c r="QPT23" s="21"/>
      <c r="QPU23" s="21"/>
      <c r="QPV23" s="21"/>
      <c r="QPW23" s="21"/>
      <c r="QPX23" s="21"/>
      <c r="QPY23" s="21"/>
      <c r="QPZ23" s="21"/>
      <c r="QQA23" s="21"/>
      <c r="QQB23" s="21"/>
      <c r="QQC23" s="21"/>
      <c r="QQD23" s="21"/>
      <c r="QQE23" s="21"/>
      <c r="QQF23" s="21"/>
      <c r="QQG23" s="21"/>
      <c r="QQH23" s="21"/>
      <c r="QQI23" s="21"/>
      <c r="QQJ23" s="21"/>
      <c r="QQK23" s="21"/>
      <c r="QQL23" s="21"/>
      <c r="QQM23" s="21"/>
      <c r="QQN23" s="21"/>
      <c r="QQO23" s="21"/>
      <c r="QQP23" s="21"/>
      <c r="QQQ23" s="21"/>
      <c r="QQR23" s="21"/>
      <c r="QQS23" s="21"/>
      <c r="QQT23" s="21"/>
      <c r="QQU23" s="21"/>
      <c r="QQV23" s="21"/>
      <c r="QQW23" s="21"/>
      <c r="QQX23" s="21"/>
      <c r="QQY23" s="21"/>
      <c r="QQZ23" s="21"/>
      <c r="QRA23" s="21"/>
      <c r="QRB23" s="21"/>
      <c r="QRC23" s="21"/>
      <c r="QRD23" s="21"/>
      <c r="QRE23" s="21"/>
      <c r="QRF23" s="21"/>
      <c r="QRG23" s="21"/>
      <c r="QRH23" s="21"/>
      <c r="QRI23" s="21"/>
      <c r="QRJ23" s="21"/>
      <c r="QRK23" s="21"/>
      <c r="QRL23" s="21"/>
      <c r="QRM23" s="21"/>
      <c r="QRN23" s="21"/>
      <c r="QRO23" s="21"/>
      <c r="QRP23" s="21"/>
      <c r="QRQ23" s="21"/>
      <c r="QRR23" s="21"/>
      <c r="QRS23" s="21"/>
      <c r="QRT23" s="21"/>
      <c r="QRU23" s="21"/>
      <c r="QRV23" s="21"/>
      <c r="QRW23" s="21"/>
      <c r="QRX23" s="21"/>
      <c r="QRY23" s="21"/>
      <c r="QRZ23" s="21"/>
      <c r="QSA23" s="21"/>
      <c r="QSB23" s="21"/>
      <c r="QSC23" s="21"/>
      <c r="QSD23" s="21"/>
      <c r="QSE23" s="21"/>
      <c r="QSF23" s="21"/>
      <c r="QSG23" s="21"/>
      <c r="QSH23" s="21"/>
      <c r="QSI23" s="21"/>
      <c r="QSJ23" s="21"/>
      <c r="QSK23" s="21"/>
      <c r="QSL23" s="21"/>
      <c r="QSM23" s="21"/>
      <c r="QSN23" s="21"/>
      <c r="QSO23" s="21"/>
      <c r="QSP23" s="21"/>
      <c r="QSQ23" s="21"/>
      <c r="QSR23" s="21"/>
      <c r="QSS23" s="21"/>
      <c r="QST23" s="21"/>
      <c r="QSU23" s="21"/>
      <c r="QSV23" s="21"/>
      <c r="QSW23" s="21"/>
      <c r="QSX23" s="21"/>
      <c r="QSY23" s="21"/>
      <c r="QSZ23" s="21"/>
      <c r="QTA23" s="21"/>
      <c r="QTB23" s="21"/>
      <c r="QTC23" s="21"/>
      <c r="QTD23" s="21"/>
      <c r="QTE23" s="21"/>
      <c r="QTF23" s="21"/>
      <c r="QTG23" s="21"/>
      <c r="QTH23" s="21"/>
      <c r="QTI23" s="21"/>
      <c r="QTJ23" s="21"/>
      <c r="QTK23" s="21"/>
      <c r="QTL23" s="21"/>
      <c r="QTM23" s="21"/>
      <c r="QTN23" s="21"/>
      <c r="QTO23" s="21"/>
      <c r="QTP23" s="21"/>
      <c r="QTQ23" s="21"/>
      <c r="QTR23" s="21"/>
      <c r="QTS23" s="21"/>
      <c r="QTT23" s="21"/>
      <c r="QTU23" s="21"/>
      <c r="QTV23" s="21"/>
      <c r="QTW23" s="21"/>
      <c r="QTX23" s="21"/>
      <c r="QTY23" s="21"/>
      <c r="QTZ23" s="21"/>
      <c r="QUA23" s="21"/>
      <c r="QUB23" s="21"/>
      <c r="QUC23" s="21"/>
      <c r="QUD23" s="21"/>
      <c r="QUE23" s="21"/>
      <c r="QUF23" s="21"/>
      <c r="QUG23" s="21"/>
      <c r="QUH23" s="21"/>
      <c r="QUI23" s="21"/>
      <c r="QUJ23" s="21"/>
      <c r="QUK23" s="21"/>
      <c r="QUL23" s="21"/>
      <c r="QUM23" s="21"/>
      <c r="QUN23" s="21"/>
      <c r="QUO23" s="21"/>
      <c r="QUP23" s="21"/>
      <c r="QUQ23" s="21"/>
      <c r="QUR23" s="21"/>
      <c r="QUS23" s="21"/>
      <c r="QUT23" s="21"/>
      <c r="QUU23" s="21"/>
      <c r="QUV23" s="21"/>
      <c r="QUW23" s="21"/>
      <c r="QUX23" s="21"/>
      <c r="QUY23" s="21"/>
      <c r="QUZ23" s="21"/>
      <c r="QVA23" s="21"/>
      <c r="QVB23" s="21"/>
      <c r="QVC23" s="21"/>
      <c r="QVD23" s="21"/>
      <c r="QVE23" s="21"/>
      <c r="QVF23" s="21"/>
      <c r="QVG23" s="21"/>
      <c r="QVH23" s="21"/>
      <c r="QVI23" s="21"/>
      <c r="QVJ23" s="21"/>
      <c r="QVK23" s="21"/>
      <c r="QVL23" s="21"/>
      <c r="QVM23" s="21"/>
      <c r="QVN23" s="21"/>
      <c r="QVO23" s="21"/>
      <c r="QVP23" s="21"/>
      <c r="QVQ23" s="21"/>
      <c r="QVR23" s="21"/>
      <c r="QVS23" s="21"/>
      <c r="QVT23" s="21"/>
      <c r="QVU23" s="21"/>
      <c r="QVV23" s="21"/>
      <c r="QVW23" s="21"/>
      <c r="QVX23" s="21"/>
      <c r="QVY23" s="21"/>
      <c r="QVZ23" s="21"/>
      <c r="QWA23" s="21"/>
      <c r="QWB23" s="21"/>
      <c r="QWC23" s="21"/>
      <c r="QWD23" s="21"/>
      <c r="QWE23" s="21"/>
      <c r="QWF23" s="21"/>
      <c r="QWG23" s="21"/>
      <c r="QWH23" s="21"/>
      <c r="QWI23" s="21"/>
      <c r="QWJ23" s="21"/>
      <c r="QWK23" s="21"/>
      <c r="QWL23" s="21"/>
      <c r="QWM23" s="21"/>
      <c r="QWN23" s="21"/>
      <c r="QWO23" s="21"/>
      <c r="QWP23" s="21"/>
      <c r="QWQ23" s="21"/>
      <c r="QWR23" s="21"/>
      <c r="QWS23" s="21"/>
      <c r="QWT23" s="21"/>
      <c r="QWU23" s="21"/>
      <c r="QWV23" s="21"/>
      <c r="QWW23" s="21"/>
      <c r="QWX23" s="21"/>
      <c r="QWY23" s="21"/>
      <c r="QWZ23" s="21"/>
      <c r="QXA23" s="21"/>
      <c r="QXB23" s="21"/>
      <c r="QXC23" s="21"/>
      <c r="QXD23" s="21"/>
      <c r="QXE23" s="21"/>
      <c r="QXF23" s="21"/>
      <c r="QXG23" s="21"/>
      <c r="QXH23" s="21"/>
      <c r="QXI23" s="21"/>
      <c r="QXJ23" s="21"/>
      <c r="QXK23" s="21"/>
      <c r="QXL23" s="21"/>
      <c r="QXM23" s="21"/>
      <c r="QXN23" s="21"/>
      <c r="QXO23" s="21"/>
      <c r="QXP23" s="21"/>
      <c r="QXQ23" s="21"/>
      <c r="QXR23" s="21"/>
      <c r="QXS23" s="21"/>
      <c r="QXT23" s="21"/>
      <c r="QXU23" s="21"/>
      <c r="QXV23" s="21"/>
      <c r="QXW23" s="21"/>
      <c r="QXX23" s="21"/>
      <c r="QXY23" s="21"/>
      <c r="QXZ23" s="21"/>
      <c r="QYA23" s="21"/>
      <c r="QYB23" s="21"/>
      <c r="QYC23" s="21"/>
      <c r="QYD23" s="21"/>
      <c r="QYE23" s="21"/>
      <c r="QYF23" s="21"/>
      <c r="QYG23" s="21"/>
      <c r="QYH23" s="21"/>
      <c r="QYI23" s="21"/>
      <c r="QYJ23" s="21"/>
      <c r="QYK23" s="21"/>
      <c r="QYL23" s="21"/>
      <c r="QYM23" s="21"/>
      <c r="QYN23" s="21"/>
      <c r="QYO23" s="21"/>
      <c r="QYP23" s="21"/>
      <c r="QYQ23" s="21"/>
      <c r="QYR23" s="21"/>
      <c r="QYS23" s="21"/>
      <c r="QYT23" s="21"/>
      <c r="QYU23" s="21"/>
      <c r="QYV23" s="21"/>
      <c r="QYW23" s="21"/>
      <c r="QYX23" s="21"/>
      <c r="QYY23" s="21"/>
      <c r="QYZ23" s="21"/>
      <c r="QZA23" s="21"/>
      <c r="QZB23" s="21"/>
      <c r="QZC23" s="21"/>
      <c r="QZD23" s="21"/>
      <c r="QZE23" s="21"/>
      <c r="QZF23" s="21"/>
      <c r="QZG23" s="21"/>
      <c r="QZH23" s="21"/>
      <c r="QZI23" s="21"/>
      <c r="QZJ23" s="21"/>
      <c r="QZK23" s="21"/>
      <c r="QZL23" s="21"/>
      <c r="QZM23" s="21"/>
      <c r="QZN23" s="21"/>
      <c r="QZO23" s="21"/>
      <c r="QZP23" s="21"/>
      <c r="QZQ23" s="21"/>
      <c r="QZR23" s="21"/>
      <c r="QZS23" s="21"/>
      <c r="QZT23" s="21"/>
      <c r="QZU23" s="21"/>
      <c r="QZV23" s="21"/>
      <c r="QZW23" s="21"/>
      <c r="QZX23" s="21"/>
      <c r="QZY23" s="21"/>
      <c r="QZZ23" s="21"/>
      <c r="RAA23" s="21"/>
      <c r="RAB23" s="21"/>
      <c r="RAC23" s="21"/>
      <c r="RAD23" s="21"/>
      <c r="RAE23" s="21"/>
      <c r="RAF23" s="21"/>
      <c r="RAG23" s="21"/>
      <c r="RAH23" s="21"/>
      <c r="RAI23" s="21"/>
      <c r="RAJ23" s="21"/>
      <c r="RAK23" s="21"/>
      <c r="RAL23" s="21"/>
      <c r="RAM23" s="21"/>
      <c r="RAN23" s="21"/>
      <c r="RAO23" s="21"/>
      <c r="RAP23" s="21"/>
      <c r="RAQ23" s="21"/>
      <c r="RAR23" s="21"/>
      <c r="RAS23" s="21"/>
      <c r="RAT23" s="21"/>
      <c r="RAU23" s="21"/>
      <c r="RAV23" s="21"/>
      <c r="RAW23" s="21"/>
      <c r="RAX23" s="21"/>
      <c r="RAY23" s="21"/>
      <c r="RAZ23" s="21"/>
      <c r="RBA23" s="21"/>
      <c r="RBB23" s="21"/>
      <c r="RBC23" s="21"/>
      <c r="RBD23" s="21"/>
      <c r="RBE23" s="21"/>
      <c r="RBF23" s="21"/>
      <c r="RBG23" s="21"/>
      <c r="RBH23" s="21"/>
      <c r="RBI23" s="21"/>
      <c r="RBJ23" s="21"/>
      <c r="RBK23" s="21"/>
      <c r="RBL23" s="21"/>
      <c r="RBM23" s="21"/>
      <c r="RBN23" s="21"/>
      <c r="RBO23" s="21"/>
      <c r="RBP23" s="21"/>
      <c r="RBQ23" s="21"/>
      <c r="RBR23" s="21"/>
      <c r="RBS23" s="21"/>
      <c r="RBT23" s="21"/>
      <c r="RBU23" s="21"/>
      <c r="RBV23" s="21"/>
      <c r="RBW23" s="21"/>
      <c r="RBX23" s="21"/>
      <c r="RBY23" s="21"/>
      <c r="RBZ23" s="21"/>
      <c r="RCA23" s="21"/>
      <c r="RCB23" s="21"/>
      <c r="RCC23" s="21"/>
      <c r="RCD23" s="21"/>
      <c r="RCE23" s="21"/>
      <c r="RCF23" s="21"/>
      <c r="RCG23" s="21"/>
      <c r="RCH23" s="21"/>
      <c r="RCI23" s="21"/>
      <c r="RCJ23" s="21"/>
      <c r="RCK23" s="21"/>
      <c r="RCL23" s="21"/>
      <c r="RCM23" s="21"/>
      <c r="RCN23" s="21"/>
      <c r="RCO23" s="21"/>
      <c r="RCP23" s="21"/>
      <c r="RCQ23" s="21"/>
      <c r="RCR23" s="21"/>
      <c r="RCS23" s="21"/>
      <c r="RCT23" s="21"/>
      <c r="RCU23" s="21"/>
      <c r="RCV23" s="21"/>
      <c r="RCW23" s="21"/>
      <c r="RCX23" s="21"/>
      <c r="RCY23" s="21"/>
      <c r="RCZ23" s="21"/>
      <c r="RDA23" s="21"/>
      <c r="RDB23" s="21"/>
      <c r="RDC23" s="21"/>
      <c r="RDD23" s="21"/>
      <c r="RDE23" s="21"/>
      <c r="RDF23" s="21"/>
      <c r="RDG23" s="21"/>
      <c r="RDH23" s="21"/>
      <c r="RDI23" s="21"/>
      <c r="RDJ23" s="21"/>
      <c r="RDK23" s="21"/>
      <c r="RDL23" s="21"/>
      <c r="RDM23" s="21"/>
      <c r="RDN23" s="21"/>
      <c r="RDO23" s="21"/>
      <c r="RDP23" s="21"/>
      <c r="RDQ23" s="21"/>
      <c r="RDR23" s="21"/>
      <c r="RDS23" s="21"/>
      <c r="RDT23" s="21"/>
      <c r="RDU23" s="21"/>
      <c r="RDV23" s="21"/>
      <c r="RDW23" s="21"/>
      <c r="RDX23" s="21"/>
      <c r="RDY23" s="21"/>
      <c r="RDZ23" s="21"/>
      <c r="REA23" s="21"/>
      <c r="REB23" s="21"/>
      <c r="REC23" s="21"/>
      <c r="RED23" s="21"/>
      <c r="REE23" s="21"/>
      <c r="REF23" s="21"/>
      <c r="REG23" s="21"/>
      <c r="REH23" s="21"/>
      <c r="REI23" s="21"/>
      <c r="REJ23" s="21"/>
      <c r="REK23" s="21"/>
      <c r="REL23" s="21"/>
      <c r="REM23" s="21"/>
      <c r="REN23" s="21"/>
      <c r="REO23" s="21"/>
      <c r="REP23" s="21"/>
      <c r="REQ23" s="21"/>
      <c r="RER23" s="21"/>
      <c r="RES23" s="21"/>
      <c r="RET23" s="21"/>
      <c r="REU23" s="21"/>
      <c r="REV23" s="21"/>
      <c r="REW23" s="21"/>
      <c r="REX23" s="21"/>
      <c r="REY23" s="21"/>
      <c r="REZ23" s="21"/>
      <c r="RFA23" s="21"/>
      <c r="RFB23" s="21"/>
      <c r="RFC23" s="21"/>
      <c r="RFD23" s="21"/>
      <c r="RFE23" s="21"/>
      <c r="RFF23" s="21"/>
      <c r="RFG23" s="21"/>
      <c r="RFH23" s="21"/>
      <c r="RFI23" s="21"/>
      <c r="RFJ23" s="21"/>
      <c r="RFK23" s="21"/>
      <c r="RFL23" s="21"/>
      <c r="RFM23" s="21"/>
      <c r="RFN23" s="21"/>
      <c r="RFO23" s="21"/>
      <c r="RFP23" s="21"/>
      <c r="RFQ23" s="21"/>
      <c r="RFR23" s="21"/>
      <c r="RFS23" s="21"/>
      <c r="RFT23" s="21"/>
      <c r="RFU23" s="21"/>
      <c r="RFV23" s="21"/>
      <c r="RFW23" s="21"/>
      <c r="RFX23" s="21"/>
      <c r="RFY23" s="21"/>
      <c r="RFZ23" s="21"/>
      <c r="RGA23" s="21"/>
      <c r="RGB23" s="21"/>
      <c r="RGC23" s="21"/>
      <c r="RGD23" s="21"/>
      <c r="RGE23" s="21"/>
      <c r="RGF23" s="21"/>
      <c r="RGG23" s="21"/>
      <c r="RGH23" s="21"/>
      <c r="RGI23" s="21"/>
      <c r="RGJ23" s="21"/>
      <c r="RGK23" s="21"/>
      <c r="RGL23" s="21"/>
      <c r="RGM23" s="21"/>
      <c r="RGN23" s="21"/>
      <c r="RGO23" s="21"/>
      <c r="RGP23" s="21"/>
      <c r="RGQ23" s="21"/>
      <c r="RGR23" s="21"/>
      <c r="RGS23" s="21"/>
      <c r="RGT23" s="21"/>
      <c r="RGU23" s="21"/>
      <c r="RGV23" s="21"/>
      <c r="RGW23" s="21"/>
      <c r="RGX23" s="21"/>
      <c r="RGY23" s="21"/>
      <c r="RGZ23" s="21"/>
      <c r="RHA23" s="21"/>
      <c r="RHB23" s="21"/>
      <c r="RHC23" s="21"/>
      <c r="RHD23" s="21"/>
      <c r="RHE23" s="21"/>
      <c r="RHF23" s="21"/>
      <c r="RHG23" s="21"/>
      <c r="RHH23" s="21"/>
      <c r="RHI23" s="21"/>
      <c r="RHJ23" s="21"/>
      <c r="RHK23" s="21"/>
      <c r="RHL23" s="21"/>
      <c r="RHM23" s="21"/>
      <c r="RHN23" s="21"/>
      <c r="RHO23" s="21"/>
      <c r="RHP23" s="21"/>
      <c r="RHQ23" s="21"/>
      <c r="RHR23" s="21"/>
      <c r="RHS23" s="21"/>
      <c r="RHT23" s="21"/>
      <c r="RHU23" s="21"/>
      <c r="RHV23" s="21"/>
      <c r="RHW23" s="21"/>
      <c r="RHX23" s="21"/>
      <c r="RHY23" s="21"/>
      <c r="RHZ23" s="21"/>
      <c r="RIA23" s="21"/>
      <c r="RIB23" s="21"/>
      <c r="RIC23" s="21"/>
      <c r="RID23" s="21"/>
      <c r="RIE23" s="21"/>
      <c r="RIF23" s="21"/>
      <c r="RIG23" s="21"/>
      <c r="RIH23" s="21"/>
      <c r="RII23" s="21"/>
      <c r="RIJ23" s="21"/>
      <c r="RIK23" s="21"/>
      <c r="RIL23" s="21"/>
      <c r="RIM23" s="21"/>
      <c r="RIN23" s="21"/>
      <c r="RIO23" s="21"/>
      <c r="RIP23" s="21"/>
      <c r="RIQ23" s="21"/>
      <c r="RIR23" s="21"/>
      <c r="RIS23" s="21"/>
      <c r="RIT23" s="21"/>
      <c r="RIU23" s="21"/>
      <c r="RIV23" s="21"/>
      <c r="RIW23" s="21"/>
      <c r="RIX23" s="21"/>
      <c r="RIY23" s="21"/>
      <c r="RIZ23" s="21"/>
      <c r="RJA23" s="21"/>
      <c r="RJB23" s="21"/>
      <c r="RJC23" s="21"/>
      <c r="RJD23" s="21"/>
      <c r="RJE23" s="21"/>
      <c r="RJF23" s="21"/>
      <c r="RJG23" s="21"/>
      <c r="RJH23" s="21"/>
      <c r="RJI23" s="21"/>
      <c r="RJJ23" s="21"/>
      <c r="RJK23" s="21"/>
      <c r="RJL23" s="21"/>
      <c r="RJM23" s="21"/>
      <c r="RJN23" s="21"/>
      <c r="RJO23" s="21"/>
      <c r="RJP23" s="21"/>
      <c r="RJQ23" s="21"/>
      <c r="RJR23" s="21"/>
      <c r="RJS23" s="21"/>
      <c r="RJT23" s="21"/>
      <c r="RJU23" s="21"/>
      <c r="RJV23" s="21"/>
      <c r="RJW23" s="21"/>
      <c r="RJX23" s="21"/>
      <c r="RJY23" s="21"/>
      <c r="RJZ23" s="21"/>
      <c r="RKA23" s="21"/>
      <c r="RKB23" s="21"/>
      <c r="RKC23" s="21"/>
      <c r="RKD23" s="21"/>
      <c r="RKE23" s="21"/>
      <c r="RKF23" s="21"/>
      <c r="RKG23" s="21"/>
      <c r="RKH23" s="21"/>
      <c r="RKI23" s="21"/>
      <c r="RKJ23" s="21"/>
      <c r="RKK23" s="21"/>
      <c r="RKL23" s="21"/>
      <c r="RKM23" s="21"/>
      <c r="RKN23" s="21"/>
      <c r="RKO23" s="21"/>
      <c r="RKP23" s="21"/>
      <c r="RKQ23" s="21"/>
      <c r="RKR23" s="21"/>
      <c r="RKS23" s="21"/>
      <c r="RKT23" s="21"/>
      <c r="RKU23" s="21"/>
      <c r="RKV23" s="21"/>
      <c r="RKW23" s="21"/>
      <c r="RKX23" s="21"/>
      <c r="RKY23" s="21"/>
      <c r="RKZ23" s="21"/>
      <c r="RLA23" s="21"/>
      <c r="RLB23" s="21"/>
      <c r="RLC23" s="21"/>
      <c r="RLD23" s="21"/>
      <c r="RLE23" s="21"/>
      <c r="RLF23" s="21"/>
      <c r="RLG23" s="21"/>
      <c r="RLH23" s="21"/>
      <c r="RLI23" s="21"/>
      <c r="RLJ23" s="21"/>
      <c r="RLK23" s="21"/>
      <c r="RLL23" s="21"/>
      <c r="RLM23" s="21"/>
      <c r="RLN23" s="21"/>
      <c r="RLO23" s="21"/>
      <c r="RLP23" s="21"/>
      <c r="RLQ23" s="21"/>
      <c r="RLR23" s="21"/>
      <c r="RLS23" s="21"/>
      <c r="RLT23" s="21"/>
      <c r="RLU23" s="21"/>
      <c r="RLV23" s="21"/>
      <c r="RLW23" s="21"/>
      <c r="RLX23" s="21"/>
      <c r="RLY23" s="21"/>
      <c r="RLZ23" s="21"/>
      <c r="RMA23" s="21"/>
      <c r="RMB23" s="21"/>
      <c r="RMC23" s="21"/>
      <c r="RMD23" s="21"/>
      <c r="RME23" s="21"/>
      <c r="RMF23" s="21"/>
      <c r="RMG23" s="21"/>
      <c r="RMH23" s="21"/>
      <c r="RMI23" s="21"/>
      <c r="RMJ23" s="21"/>
      <c r="RMK23" s="21"/>
      <c r="RML23" s="21"/>
      <c r="RMM23" s="21"/>
      <c r="RMN23" s="21"/>
      <c r="RMO23" s="21"/>
      <c r="RMP23" s="21"/>
      <c r="RMQ23" s="21"/>
      <c r="RMR23" s="21"/>
      <c r="RMS23" s="21"/>
      <c r="RMT23" s="21"/>
      <c r="RMU23" s="21"/>
      <c r="RMV23" s="21"/>
      <c r="RMW23" s="21"/>
      <c r="RMX23" s="21"/>
      <c r="RMY23" s="21"/>
      <c r="RMZ23" s="21"/>
      <c r="RNA23" s="21"/>
      <c r="RNB23" s="21"/>
      <c r="RNC23" s="21"/>
      <c r="RND23" s="21"/>
      <c r="RNE23" s="21"/>
      <c r="RNF23" s="21"/>
      <c r="RNG23" s="21"/>
      <c r="RNH23" s="21"/>
      <c r="RNI23" s="21"/>
      <c r="RNJ23" s="21"/>
      <c r="RNK23" s="21"/>
      <c r="RNL23" s="21"/>
      <c r="RNM23" s="21"/>
      <c r="RNN23" s="21"/>
      <c r="RNO23" s="21"/>
      <c r="RNP23" s="21"/>
      <c r="RNQ23" s="21"/>
      <c r="RNR23" s="21"/>
      <c r="RNS23" s="21"/>
      <c r="RNT23" s="21"/>
      <c r="RNU23" s="21"/>
      <c r="RNV23" s="21"/>
      <c r="RNW23" s="21"/>
      <c r="RNX23" s="21"/>
      <c r="RNY23" s="21"/>
      <c r="RNZ23" s="21"/>
      <c r="ROA23" s="21"/>
      <c r="ROB23" s="21"/>
      <c r="ROC23" s="21"/>
      <c r="ROD23" s="21"/>
      <c r="ROE23" s="21"/>
      <c r="ROF23" s="21"/>
      <c r="ROG23" s="21"/>
      <c r="ROH23" s="21"/>
      <c r="ROI23" s="21"/>
      <c r="ROJ23" s="21"/>
      <c r="ROK23" s="21"/>
      <c r="ROL23" s="21"/>
      <c r="ROM23" s="21"/>
      <c r="RON23" s="21"/>
      <c r="ROO23" s="21"/>
      <c r="ROP23" s="21"/>
      <c r="ROQ23" s="21"/>
      <c r="ROR23" s="21"/>
      <c r="ROS23" s="21"/>
      <c r="ROT23" s="21"/>
      <c r="ROU23" s="21"/>
      <c r="ROV23" s="21"/>
      <c r="ROW23" s="21"/>
      <c r="ROX23" s="21"/>
      <c r="ROY23" s="21"/>
      <c r="ROZ23" s="21"/>
      <c r="RPA23" s="21"/>
      <c r="RPB23" s="21"/>
      <c r="RPC23" s="21"/>
      <c r="RPD23" s="21"/>
      <c r="RPE23" s="21"/>
      <c r="RPF23" s="21"/>
      <c r="RPG23" s="21"/>
      <c r="RPH23" s="21"/>
      <c r="RPI23" s="21"/>
      <c r="RPJ23" s="21"/>
      <c r="RPK23" s="21"/>
      <c r="RPL23" s="21"/>
      <c r="RPM23" s="21"/>
      <c r="RPN23" s="21"/>
      <c r="RPO23" s="21"/>
      <c r="RPP23" s="21"/>
      <c r="RPQ23" s="21"/>
      <c r="RPR23" s="21"/>
      <c r="RPS23" s="21"/>
      <c r="RPT23" s="21"/>
      <c r="RPU23" s="21"/>
      <c r="RPV23" s="21"/>
      <c r="RPW23" s="21"/>
      <c r="RPX23" s="21"/>
      <c r="RPY23" s="21"/>
      <c r="RPZ23" s="21"/>
      <c r="RQA23" s="21"/>
      <c r="RQB23" s="21"/>
      <c r="RQC23" s="21"/>
      <c r="RQD23" s="21"/>
      <c r="RQE23" s="21"/>
      <c r="RQF23" s="21"/>
      <c r="RQG23" s="21"/>
      <c r="RQH23" s="21"/>
      <c r="RQI23" s="21"/>
      <c r="RQJ23" s="21"/>
      <c r="RQK23" s="21"/>
      <c r="RQL23" s="21"/>
      <c r="RQM23" s="21"/>
      <c r="RQN23" s="21"/>
      <c r="RQO23" s="21"/>
      <c r="RQP23" s="21"/>
      <c r="RQQ23" s="21"/>
      <c r="RQR23" s="21"/>
      <c r="RQS23" s="21"/>
      <c r="RQT23" s="21"/>
      <c r="RQU23" s="21"/>
      <c r="RQV23" s="21"/>
      <c r="RQW23" s="21"/>
      <c r="RQX23" s="21"/>
      <c r="RQY23" s="21"/>
      <c r="RQZ23" s="21"/>
      <c r="RRA23" s="21"/>
      <c r="RRB23" s="21"/>
      <c r="RRC23" s="21"/>
      <c r="RRD23" s="21"/>
      <c r="RRE23" s="21"/>
      <c r="RRF23" s="21"/>
      <c r="RRG23" s="21"/>
      <c r="RRH23" s="21"/>
      <c r="RRI23" s="21"/>
      <c r="RRJ23" s="21"/>
      <c r="RRK23" s="21"/>
      <c r="RRL23" s="21"/>
      <c r="RRM23" s="21"/>
      <c r="RRN23" s="21"/>
      <c r="RRO23" s="21"/>
      <c r="RRP23" s="21"/>
      <c r="RRQ23" s="21"/>
      <c r="RRR23" s="21"/>
      <c r="RRS23" s="21"/>
      <c r="RRT23" s="21"/>
      <c r="RRU23" s="21"/>
      <c r="RRV23" s="21"/>
      <c r="RRW23" s="21"/>
      <c r="RRX23" s="21"/>
      <c r="RRY23" s="21"/>
      <c r="RRZ23" s="21"/>
      <c r="RSA23" s="21"/>
      <c r="RSB23" s="21"/>
      <c r="RSC23" s="21"/>
      <c r="RSD23" s="21"/>
      <c r="RSE23" s="21"/>
      <c r="RSF23" s="21"/>
      <c r="RSG23" s="21"/>
      <c r="RSH23" s="21"/>
      <c r="RSI23" s="21"/>
      <c r="RSJ23" s="21"/>
      <c r="RSK23" s="21"/>
      <c r="RSL23" s="21"/>
      <c r="RSM23" s="21"/>
      <c r="RSN23" s="21"/>
      <c r="RSO23" s="21"/>
      <c r="RSP23" s="21"/>
      <c r="RSQ23" s="21"/>
      <c r="RSR23" s="21"/>
      <c r="RSS23" s="21"/>
      <c r="RST23" s="21"/>
      <c r="RSU23" s="21"/>
      <c r="RSV23" s="21"/>
      <c r="RSW23" s="21"/>
      <c r="RSX23" s="21"/>
      <c r="RSY23" s="21"/>
      <c r="RSZ23" s="21"/>
      <c r="RTA23" s="21"/>
      <c r="RTB23" s="21"/>
      <c r="RTC23" s="21"/>
      <c r="RTD23" s="21"/>
      <c r="RTE23" s="21"/>
      <c r="RTF23" s="21"/>
      <c r="RTG23" s="21"/>
      <c r="RTH23" s="21"/>
      <c r="RTI23" s="21"/>
      <c r="RTJ23" s="21"/>
      <c r="RTK23" s="21"/>
      <c r="RTL23" s="21"/>
      <c r="RTM23" s="21"/>
      <c r="RTN23" s="21"/>
      <c r="RTO23" s="21"/>
      <c r="RTP23" s="21"/>
      <c r="RTQ23" s="21"/>
      <c r="RTR23" s="21"/>
      <c r="RTS23" s="21"/>
      <c r="RTT23" s="21"/>
      <c r="RTU23" s="21"/>
      <c r="RTV23" s="21"/>
      <c r="RTW23" s="21"/>
      <c r="RTX23" s="21"/>
      <c r="RTY23" s="21"/>
      <c r="RTZ23" s="21"/>
      <c r="RUA23" s="21"/>
      <c r="RUB23" s="21"/>
      <c r="RUC23" s="21"/>
      <c r="RUD23" s="21"/>
      <c r="RUE23" s="21"/>
      <c r="RUF23" s="21"/>
      <c r="RUG23" s="21"/>
      <c r="RUH23" s="21"/>
      <c r="RUI23" s="21"/>
      <c r="RUJ23" s="21"/>
      <c r="RUK23" s="21"/>
      <c r="RUL23" s="21"/>
      <c r="RUM23" s="21"/>
      <c r="RUN23" s="21"/>
      <c r="RUO23" s="21"/>
      <c r="RUP23" s="21"/>
      <c r="RUQ23" s="21"/>
      <c r="RUR23" s="21"/>
      <c r="RUS23" s="21"/>
      <c r="RUT23" s="21"/>
      <c r="RUU23" s="21"/>
      <c r="RUV23" s="21"/>
      <c r="RUW23" s="21"/>
      <c r="RUX23" s="21"/>
      <c r="RUY23" s="21"/>
      <c r="RUZ23" s="21"/>
      <c r="RVA23" s="21"/>
      <c r="RVB23" s="21"/>
      <c r="RVC23" s="21"/>
      <c r="RVD23" s="21"/>
      <c r="RVE23" s="21"/>
      <c r="RVF23" s="21"/>
      <c r="RVG23" s="21"/>
      <c r="RVH23" s="21"/>
      <c r="RVI23" s="21"/>
      <c r="RVJ23" s="21"/>
      <c r="RVK23" s="21"/>
      <c r="RVL23" s="21"/>
      <c r="RVM23" s="21"/>
      <c r="RVN23" s="21"/>
      <c r="RVO23" s="21"/>
      <c r="RVP23" s="21"/>
      <c r="RVQ23" s="21"/>
      <c r="RVR23" s="21"/>
      <c r="RVS23" s="21"/>
      <c r="RVT23" s="21"/>
      <c r="RVU23" s="21"/>
      <c r="RVV23" s="21"/>
      <c r="RVW23" s="21"/>
      <c r="RVX23" s="21"/>
      <c r="RVY23" s="21"/>
      <c r="RVZ23" s="21"/>
      <c r="RWA23" s="21"/>
      <c r="RWB23" s="21"/>
      <c r="RWC23" s="21"/>
      <c r="RWD23" s="21"/>
      <c r="RWE23" s="21"/>
      <c r="RWF23" s="21"/>
      <c r="RWG23" s="21"/>
      <c r="RWH23" s="21"/>
      <c r="RWI23" s="21"/>
      <c r="RWJ23" s="21"/>
      <c r="RWK23" s="21"/>
      <c r="RWL23" s="21"/>
      <c r="RWM23" s="21"/>
      <c r="RWN23" s="21"/>
      <c r="RWO23" s="21"/>
      <c r="RWP23" s="21"/>
      <c r="RWQ23" s="21"/>
      <c r="RWR23" s="21"/>
      <c r="RWS23" s="21"/>
      <c r="RWT23" s="21"/>
      <c r="RWU23" s="21"/>
      <c r="RWV23" s="21"/>
      <c r="RWW23" s="21"/>
      <c r="RWX23" s="21"/>
      <c r="RWY23" s="21"/>
      <c r="RWZ23" s="21"/>
      <c r="RXA23" s="21"/>
      <c r="RXB23" s="21"/>
      <c r="RXC23" s="21"/>
      <c r="RXD23" s="21"/>
      <c r="RXE23" s="21"/>
      <c r="RXF23" s="21"/>
      <c r="RXG23" s="21"/>
      <c r="RXH23" s="21"/>
      <c r="RXI23" s="21"/>
      <c r="RXJ23" s="21"/>
      <c r="RXK23" s="21"/>
      <c r="RXL23" s="21"/>
      <c r="RXM23" s="21"/>
      <c r="RXN23" s="21"/>
      <c r="RXO23" s="21"/>
      <c r="RXP23" s="21"/>
      <c r="RXQ23" s="21"/>
      <c r="RXR23" s="21"/>
      <c r="RXS23" s="21"/>
      <c r="RXT23" s="21"/>
      <c r="RXU23" s="21"/>
      <c r="RXV23" s="21"/>
      <c r="RXW23" s="21"/>
      <c r="RXX23" s="21"/>
      <c r="RXY23" s="21"/>
      <c r="RXZ23" s="21"/>
      <c r="RYA23" s="21"/>
      <c r="RYB23" s="21"/>
      <c r="RYC23" s="21"/>
      <c r="RYD23" s="21"/>
      <c r="RYE23" s="21"/>
      <c r="RYF23" s="21"/>
      <c r="RYG23" s="21"/>
      <c r="RYH23" s="21"/>
      <c r="RYI23" s="21"/>
      <c r="RYJ23" s="21"/>
      <c r="RYK23" s="21"/>
      <c r="RYL23" s="21"/>
      <c r="RYM23" s="21"/>
      <c r="RYN23" s="21"/>
      <c r="RYO23" s="21"/>
      <c r="RYP23" s="21"/>
      <c r="RYQ23" s="21"/>
      <c r="RYR23" s="21"/>
      <c r="RYS23" s="21"/>
      <c r="RYT23" s="21"/>
      <c r="RYU23" s="21"/>
      <c r="RYV23" s="21"/>
      <c r="RYW23" s="21"/>
      <c r="RYX23" s="21"/>
      <c r="RYY23" s="21"/>
      <c r="RYZ23" s="21"/>
      <c r="RZA23" s="21"/>
      <c r="RZB23" s="21"/>
      <c r="RZC23" s="21"/>
      <c r="RZD23" s="21"/>
      <c r="RZE23" s="21"/>
      <c r="RZF23" s="21"/>
      <c r="RZG23" s="21"/>
      <c r="RZH23" s="21"/>
      <c r="RZI23" s="21"/>
      <c r="RZJ23" s="21"/>
      <c r="RZK23" s="21"/>
      <c r="RZL23" s="21"/>
      <c r="RZM23" s="21"/>
      <c r="RZN23" s="21"/>
      <c r="RZO23" s="21"/>
      <c r="RZP23" s="21"/>
      <c r="RZQ23" s="21"/>
      <c r="RZR23" s="21"/>
      <c r="RZS23" s="21"/>
      <c r="RZT23" s="21"/>
      <c r="RZU23" s="21"/>
      <c r="RZV23" s="21"/>
      <c r="RZW23" s="21"/>
      <c r="RZX23" s="21"/>
      <c r="RZY23" s="21"/>
      <c r="RZZ23" s="21"/>
      <c r="SAA23" s="21"/>
      <c r="SAB23" s="21"/>
      <c r="SAC23" s="21"/>
      <c r="SAD23" s="21"/>
      <c r="SAE23" s="21"/>
      <c r="SAF23" s="21"/>
      <c r="SAG23" s="21"/>
      <c r="SAH23" s="21"/>
      <c r="SAI23" s="21"/>
      <c r="SAJ23" s="21"/>
      <c r="SAK23" s="21"/>
      <c r="SAL23" s="21"/>
      <c r="SAM23" s="21"/>
      <c r="SAN23" s="21"/>
      <c r="SAO23" s="21"/>
      <c r="SAP23" s="21"/>
      <c r="SAQ23" s="21"/>
      <c r="SAR23" s="21"/>
      <c r="SAS23" s="21"/>
      <c r="SAT23" s="21"/>
      <c r="SAU23" s="21"/>
      <c r="SAV23" s="21"/>
      <c r="SAW23" s="21"/>
      <c r="SAX23" s="21"/>
      <c r="SAY23" s="21"/>
      <c r="SAZ23" s="21"/>
      <c r="SBA23" s="21"/>
      <c r="SBB23" s="21"/>
      <c r="SBC23" s="21"/>
      <c r="SBD23" s="21"/>
      <c r="SBE23" s="21"/>
      <c r="SBF23" s="21"/>
      <c r="SBG23" s="21"/>
      <c r="SBH23" s="21"/>
      <c r="SBI23" s="21"/>
      <c r="SBJ23" s="21"/>
      <c r="SBK23" s="21"/>
      <c r="SBL23" s="21"/>
      <c r="SBM23" s="21"/>
      <c r="SBN23" s="21"/>
      <c r="SBO23" s="21"/>
      <c r="SBP23" s="21"/>
      <c r="SBQ23" s="21"/>
      <c r="SBR23" s="21"/>
      <c r="SBS23" s="21"/>
      <c r="SBT23" s="21"/>
      <c r="SBU23" s="21"/>
      <c r="SBV23" s="21"/>
      <c r="SBW23" s="21"/>
      <c r="SBX23" s="21"/>
      <c r="SBY23" s="21"/>
      <c r="SBZ23" s="21"/>
      <c r="SCA23" s="21"/>
      <c r="SCB23" s="21"/>
      <c r="SCC23" s="21"/>
      <c r="SCD23" s="21"/>
      <c r="SCE23" s="21"/>
      <c r="SCF23" s="21"/>
      <c r="SCG23" s="21"/>
      <c r="SCH23" s="21"/>
      <c r="SCI23" s="21"/>
      <c r="SCJ23" s="21"/>
      <c r="SCK23" s="21"/>
      <c r="SCL23" s="21"/>
      <c r="SCM23" s="21"/>
      <c r="SCN23" s="21"/>
      <c r="SCO23" s="21"/>
      <c r="SCP23" s="21"/>
      <c r="SCQ23" s="21"/>
      <c r="SCR23" s="21"/>
      <c r="SCS23" s="21"/>
      <c r="SCT23" s="21"/>
      <c r="SCU23" s="21"/>
      <c r="SCV23" s="21"/>
      <c r="SCW23" s="21"/>
      <c r="SCX23" s="21"/>
      <c r="SCY23" s="21"/>
      <c r="SCZ23" s="21"/>
      <c r="SDA23" s="21"/>
      <c r="SDB23" s="21"/>
      <c r="SDC23" s="21"/>
      <c r="SDD23" s="21"/>
      <c r="SDE23" s="21"/>
      <c r="SDF23" s="21"/>
      <c r="SDG23" s="21"/>
      <c r="SDH23" s="21"/>
      <c r="SDI23" s="21"/>
      <c r="SDJ23" s="21"/>
      <c r="SDK23" s="21"/>
      <c r="SDL23" s="21"/>
      <c r="SDM23" s="21"/>
      <c r="SDN23" s="21"/>
      <c r="SDO23" s="21"/>
      <c r="SDP23" s="21"/>
      <c r="SDQ23" s="21"/>
      <c r="SDR23" s="21"/>
      <c r="SDS23" s="21"/>
      <c r="SDT23" s="21"/>
      <c r="SDU23" s="21"/>
      <c r="SDV23" s="21"/>
      <c r="SDW23" s="21"/>
      <c r="SDX23" s="21"/>
      <c r="SDY23" s="21"/>
      <c r="SDZ23" s="21"/>
      <c r="SEA23" s="21"/>
      <c r="SEB23" s="21"/>
      <c r="SEC23" s="21"/>
      <c r="SED23" s="21"/>
      <c r="SEE23" s="21"/>
      <c r="SEF23" s="21"/>
      <c r="SEG23" s="21"/>
      <c r="SEH23" s="21"/>
      <c r="SEI23" s="21"/>
      <c r="SEJ23" s="21"/>
      <c r="SEK23" s="21"/>
      <c r="SEL23" s="21"/>
      <c r="SEM23" s="21"/>
      <c r="SEN23" s="21"/>
      <c r="SEO23" s="21"/>
      <c r="SEP23" s="21"/>
      <c r="SEQ23" s="21"/>
      <c r="SER23" s="21"/>
      <c r="SES23" s="21"/>
      <c r="SET23" s="21"/>
      <c r="SEU23" s="21"/>
      <c r="SEV23" s="21"/>
      <c r="SEW23" s="21"/>
      <c r="SEX23" s="21"/>
      <c r="SEY23" s="21"/>
      <c r="SEZ23" s="21"/>
      <c r="SFA23" s="21"/>
      <c r="SFB23" s="21"/>
      <c r="SFC23" s="21"/>
      <c r="SFD23" s="21"/>
      <c r="SFE23" s="21"/>
      <c r="SFF23" s="21"/>
      <c r="SFG23" s="21"/>
      <c r="SFH23" s="21"/>
      <c r="SFI23" s="21"/>
      <c r="SFJ23" s="21"/>
      <c r="SFK23" s="21"/>
      <c r="SFL23" s="21"/>
      <c r="SFM23" s="21"/>
      <c r="SFN23" s="21"/>
      <c r="SFO23" s="21"/>
      <c r="SFP23" s="21"/>
      <c r="SFQ23" s="21"/>
      <c r="SFR23" s="21"/>
      <c r="SFS23" s="21"/>
      <c r="SFT23" s="21"/>
      <c r="SFU23" s="21"/>
      <c r="SFV23" s="21"/>
      <c r="SFW23" s="21"/>
      <c r="SFX23" s="21"/>
      <c r="SFY23" s="21"/>
      <c r="SFZ23" s="21"/>
      <c r="SGA23" s="21"/>
      <c r="SGB23" s="21"/>
      <c r="SGC23" s="21"/>
      <c r="SGD23" s="21"/>
      <c r="SGE23" s="21"/>
      <c r="SGF23" s="21"/>
      <c r="SGG23" s="21"/>
      <c r="SGH23" s="21"/>
      <c r="SGI23" s="21"/>
      <c r="SGJ23" s="21"/>
      <c r="SGK23" s="21"/>
      <c r="SGL23" s="21"/>
      <c r="SGM23" s="21"/>
      <c r="SGN23" s="21"/>
      <c r="SGO23" s="21"/>
      <c r="SGP23" s="21"/>
      <c r="SGQ23" s="21"/>
      <c r="SGR23" s="21"/>
      <c r="SGS23" s="21"/>
      <c r="SGT23" s="21"/>
      <c r="SGU23" s="21"/>
      <c r="SGV23" s="21"/>
      <c r="SGW23" s="21"/>
      <c r="SGX23" s="21"/>
      <c r="SGY23" s="21"/>
      <c r="SGZ23" s="21"/>
      <c r="SHA23" s="21"/>
      <c r="SHB23" s="21"/>
      <c r="SHC23" s="21"/>
      <c r="SHD23" s="21"/>
      <c r="SHE23" s="21"/>
      <c r="SHF23" s="21"/>
      <c r="SHG23" s="21"/>
      <c r="SHH23" s="21"/>
      <c r="SHI23" s="21"/>
      <c r="SHJ23" s="21"/>
      <c r="SHK23" s="21"/>
      <c r="SHL23" s="21"/>
      <c r="SHM23" s="21"/>
      <c r="SHN23" s="21"/>
      <c r="SHO23" s="21"/>
      <c r="SHP23" s="21"/>
      <c r="SHQ23" s="21"/>
      <c r="SHR23" s="21"/>
      <c r="SHS23" s="21"/>
      <c r="SHT23" s="21"/>
      <c r="SHU23" s="21"/>
      <c r="SHV23" s="21"/>
      <c r="SHW23" s="21"/>
      <c r="SHX23" s="21"/>
      <c r="SHY23" s="21"/>
      <c r="SHZ23" s="21"/>
      <c r="SIA23" s="21"/>
      <c r="SIB23" s="21"/>
      <c r="SIC23" s="21"/>
      <c r="SID23" s="21"/>
      <c r="SIE23" s="21"/>
      <c r="SIF23" s="21"/>
      <c r="SIG23" s="21"/>
      <c r="SIH23" s="21"/>
      <c r="SII23" s="21"/>
      <c r="SIJ23" s="21"/>
      <c r="SIK23" s="21"/>
      <c r="SIL23" s="21"/>
      <c r="SIM23" s="21"/>
      <c r="SIN23" s="21"/>
      <c r="SIO23" s="21"/>
      <c r="SIP23" s="21"/>
      <c r="SIQ23" s="21"/>
      <c r="SIR23" s="21"/>
      <c r="SIS23" s="21"/>
      <c r="SIT23" s="21"/>
      <c r="SIU23" s="21"/>
      <c r="SIV23" s="21"/>
      <c r="SIW23" s="21"/>
      <c r="SIX23" s="21"/>
      <c r="SIY23" s="21"/>
      <c r="SIZ23" s="21"/>
      <c r="SJA23" s="21"/>
      <c r="SJB23" s="21"/>
      <c r="SJC23" s="21"/>
      <c r="SJD23" s="21"/>
      <c r="SJE23" s="21"/>
      <c r="SJF23" s="21"/>
      <c r="SJG23" s="21"/>
      <c r="SJH23" s="21"/>
      <c r="SJI23" s="21"/>
      <c r="SJJ23" s="21"/>
      <c r="SJK23" s="21"/>
      <c r="SJL23" s="21"/>
      <c r="SJM23" s="21"/>
      <c r="SJN23" s="21"/>
      <c r="SJO23" s="21"/>
      <c r="SJP23" s="21"/>
      <c r="SJQ23" s="21"/>
      <c r="SJR23" s="21"/>
      <c r="SJS23" s="21"/>
      <c r="SJT23" s="21"/>
      <c r="SJU23" s="21"/>
      <c r="SJV23" s="21"/>
      <c r="SJW23" s="21"/>
      <c r="SJX23" s="21"/>
      <c r="SJY23" s="21"/>
      <c r="SJZ23" s="21"/>
      <c r="SKA23" s="21"/>
      <c r="SKB23" s="21"/>
      <c r="SKC23" s="21"/>
      <c r="SKD23" s="21"/>
      <c r="SKE23" s="21"/>
      <c r="SKF23" s="21"/>
      <c r="SKG23" s="21"/>
      <c r="SKH23" s="21"/>
      <c r="SKI23" s="21"/>
      <c r="SKJ23" s="21"/>
      <c r="SKK23" s="21"/>
      <c r="SKL23" s="21"/>
      <c r="SKM23" s="21"/>
      <c r="SKN23" s="21"/>
      <c r="SKO23" s="21"/>
      <c r="SKP23" s="21"/>
      <c r="SKQ23" s="21"/>
      <c r="SKR23" s="21"/>
      <c r="SKS23" s="21"/>
      <c r="SKT23" s="21"/>
      <c r="SKU23" s="21"/>
      <c r="SKV23" s="21"/>
      <c r="SKW23" s="21"/>
      <c r="SKX23" s="21"/>
      <c r="SKY23" s="21"/>
      <c r="SKZ23" s="21"/>
      <c r="SLA23" s="21"/>
      <c r="SLB23" s="21"/>
      <c r="SLC23" s="21"/>
      <c r="SLD23" s="21"/>
      <c r="SLE23" s="21"/>
      <c r="SLF23" s="21"/>
      <c r="SLG23" s="21"/>
      <c r="SLH23" s="21"/>
      <c r="SLI23" s="21"/>
      <c r="SLJ23" s="21"/>
      <c r="SLK23" s="21"/>
      <c r="SLL23" s="21"/>
      <c r="SLM23" s="21"/>
      <c r="SLN23" s="21"/>
      <c r="SLO23" s="21"/>
      <c r="SLP23" s="21"/>
      <c r="SLQ23" s="21"/>
      <c r="SLR23" s="21"/>
      <c r="SLS23" s="21"/>
      <c r="SLT23" s="21"/>
      <c r="SLU23" s="21"/>
      <c r="SLV23" s="21"/>
      <c r="SLW23" s="21"/>
      <c r="SLX23" s="21"/>
      <c r="SLY23" s="21"/>
      <c r="SLZ23" s="21"/>
      <c r="SMA23" s="21"/>
      <c r="SMB23" s="21"/>
      <c r="SMC23" s="21"/>
      <c r="SMD23" s="21"/>
      <c r="SME23" s="21"/>
      <c r="SMF23" s="21"/>
      <c r="SMG23" s="21"/>
      <c r="SMH23" s="21"/>
      <c r="SMI23" s="21"/>
      <c r="SMJ23" s="21"/>
      <c r="SMK23" s="21"/>
      <c r="SML23" s="21"/>
      <c r="SMM23" s="21"/>
      <c r="SMN23" s="21"/>
      <c r="SMO23" s="21"/>
      <c r="SMP23" s="21"/>
      <c r="SMQ23" s="21"/>
      <c r="SMR23" s="21"/>
      <c r="SMS23" s="21"/>
      <c r="SMT23" s="21"/>
      <c r="SMU23" s="21"/>
      <c r="SMV23" s="21"/>
      <c r="SMW23" s="21"/>
      <c r="SMX23" s="21"/>
      <c r="SMY23" s="21"/>
      <c r="SMZ23" s="21"/>
      <c r="SNA23" s="21"/>
      <c r="SNB23" s="21"/>
      <c r="SNC23" s="21"/>
      <c r="SND23" s="21"/>
      <c r="SNE23" s="21"/>
      <c r="SNF23" s="21"/>
      <c r="SNG23" s="21"/>
      <c r="SNH23" s="21"/>
      <c r="SNI23" s="21"/>
      <c r="SNJ23" s="21"/>
      <c r="SNK23" s="21"/>
      <c r="SNL23" s="21"/>
      <c r="SNM23" s="21"/>
      <c r="SNN23" s="21"/>
      <c r="SNO23" s="21"/>
      <c r="SNP23" s="21"/>
      <c r="SNQ23" s="21"/>
      <c r="SNR23" s="21"/>
      <c r="SNS23" s="21"/>
      <c r="SNT23" s="21"/>
      <c r="SNU23" s="21"/>
      <c r="SNV23" s="21"/>
      <c r="SNW23" s="21"/>
      <c r="SNX23" s="21"/>
      <c r="SNY23" s="21"/>
      <c r="SNZ23" s="21"/>
      <c r="SOA23" s="21"/>
      <c r="SOB23" s="21"/>
      <c r="SOC23" s="21"/>
      <c r="SOD23" s="21"/>
      <c r="SOE23" s="21"/>
      <c r="SOF23" s="21"/>
      <c r="SOG23" s="21"/>
      <c r="SOH23" s="21"/>
      <c r="SOI23" s="21"/>
      <c r="SOJ23" s="21"/>
      <c r="SOK23" s="21"/>
      <c r="SOL23" s="21"/>
      <c r="SOM23" s="21"/>
      <c r="SON23" s="21"/>
      <c r="SOO23" s="21"/>
      <c r="SOP23" s="21"/>
      <c r="SOQ23" s="21"/>
      <c r="SOR23" s="21"/>
      <c r="SOS23" s="21"/>
      <c r="SOT23" s="21"/>
      <c r="SOU23" s="21"/>
      <c r="SOV23" s="21"/>
      <c r="SOW23" s="21"/>
      <c r="SOX23" s="21"/>
      <c r="SOY23" s="21"/>
      <c r="SOZ23" s="21"/>
      <c r="SPA23" s="21"/>
      <c r="SPB23" s="21"/>
      <c r="SPC23" s="21"/>
      <c r="SPD23" s="21"/>
      <c r="SPE23" s="21"/>
      <c r="SPF23" s="21"/>
      <c r="SPG23" s="21"/>
      <c r="SPH23" s="21"/>
      <c r="SPI23" s="21"/>
      <c r="SPJ23" s="21"/>
      <c r="SPK23" s="21"/>
      <c r="SPL23" s="21"/>
      <c r="SPM23" s="21"/>
      <c r="SPN23" s="21"/>
      <c r="SPO23" s="21"/>
      <c r="SPP23" s="21"/>
      <c r="SPQ23" s="21"/>
      <c r="SPR23" s="21"/>
      <c r="SPS23" s="21"/>
      <c r="SPT23" s="21"/>
      <c r="SPU23" s="21"/>
      <c r="SPV23" s="21"/>
      <c r="SPW23" s="21"/>
      <c r="SPX23" s="21"/>
      <c r="SPY23" s="21"/>
      <c r="SPZ23" s="21"/>
      <c r="SQA23" s="21"/>
      <c r="SQB23" s="21"/>
      <c r="SQC23" s="21"/>
      <c r="SQD23" s="21"/>
      <c r="SQE23" s="21"/>
      <c r="SQF23" s="21"/>
      <c r="SQG23" s="21"/>
      <c r="SQH23" s="21"/>
      <c r="SQI23" s="21"/>
      <c r="SQJ23" s="21"/>
      <c r="SQK23" s="21"/>
      <c r="SQL23" s="21"/>
      <c r="SQM23" s="21"/>
      <c r="SQN23" s="21"/>
      <c r="SQO23" s="21"/>
      <c r="SQP23" s="21"/>
      <c r="SQQ23" s="21"/>
      <c r="SQR23" s="21"/>
      <c r="SQS23" s="21"/>
      <c r="SQT23" s="21"/>
      <c r="SQU23" s="21"/>
      <c r="SQV23" s="21"/>
      <c r="SQW23" s="21"/>
      <c r="SQX23" s="21"/>
      <c r="SQY23" s="21"/>
      <c r="SQZ23" s="21"/>
      <c r="SRA23" s="21"/>
      <c r="SRB23" s="21"/>
      <c r="SRC23" s="21"/>
      <c r="SRD23" s="21"/>
      <c r="SRE23" s="21"/>
      <c r="SRF23" s="21"/>
      <c r="SRG23" s="21"/>
      <c r="SRH23" s="21"/>
      <c r="SRI23" s="21"/>
      <c r="SRJ23" s="21"/>
      <c r="SRK23" s="21"/>
      <c r="SRL23" s="21"/>
      <c r="SRM23" s="21"/>
      <c r="SRN23" s="21"/>
      <c r="SRO23" s="21"/>
      <c r="SRP23" s="21"/>
      <c r="SRQ23" s="21"/>
      <c r="SRR23" s="21"/>
      <c r="SRS23" s="21"/>
      <c r="SRT23" s="21"/>
      <c r="SRU23" s="21"/>
      <c r="SRV23" s="21"/>
      <c r="SRW23" s="21"/>
      <c r="SRX23" s="21"/>
      <c r="SRY23" s="21"/>
      <c r="SRZ23" s="21"/>
      <c r="SSA23" s="21"/>
      <c r="SSB23" s="21"/>
      <c r="SSC23" s="21"/>
      <c r="SSD23" s="21"/>
      <c r="SSE23" s="21"/>
      <c r="SSF23" s="21"/>
      <c r="SSG23" s="21"/>
      <c r="SSH23" s="21"/>
      <c r="SSI23" s="21"/>
      <c r="SSJ23" s="21"/>
      <c r="SSK23" s="21"/>
      <c r="SSL23" s="21"/>
      <c r="SSM23" s="21"/>
      <c r="SSN23" s="21"/>
      <c r="SSO23" s="21"/>
      <c r="SSP23" s="21"/>
      <c r="SSQ23" s="21"/>
      <c r="SSR23" s="21"/>
      <c r="SSS23" s="21"/>
      <c r="SST23" s="21"/>
      <c r="SSU23" s="21"/>
      <c r="SSV23" s="21"/>
      <c r="SSW23" s="21"/>
      <c r="SSX23" s="21"/>
      <c r="SSY23" s="21"/>
      <c r="SSZ23" s="21"/>
      <c r="STA23" s="21"/>
      <c r="STB23" s="21"/>
      <c r="STC23" s="21"/>
      <c r="STD23" s="21"/>
      <c r="STE23" s="21"/>
      <c r="STF23" s="21"/>
      <c r="STG23" s="21"/>
      <c r="STH23" s="21"/>
      <c r="STI23" s="21"/>
      <c r="STJ23" s="21"/>
      <c r="STK23" s="21"/>
      <c r="STL23" s="21"/>
      <c r="STM23" s="21"/>
      <c r="STN23" s="21"/>
      <c r="STO23" s="21"/>
      <c r="STP23" s="21"/>
      <c r="STQ23" s="21"/>
      <c r="STR23" s="21"/>
      <c r="STS23" s="21"/>
      <c r="STT23" s="21"/>
      <c r="STU23" s="21"/>
      <c r="STV23" s="21"/>
      <c r="STW23" s="21"/>
      <c r="STX23" s="21"/>
      <c r="STY23" s="21"/>
      <c r="STZ23" s="21"/>
      <c r="SUA23" s="21"/>
      <c r="SUB23" s="21"/>
      <c r="SUC23" s="21"/>
      <c r="SUD23" s="21"/>
      <c r="SUE23" s="21"/>
      <c r="SUF23" s="21"/>
      <c r="SUG23" s="21"/>
      <c r="SUH23" s="21"/>
      <c r="SUI23" s="21"/>
      <c r="SUJ23" s="21"/>
      <c r="SUK23" s="21"/>
      <c r="SUL23" s="21"/>
      <c r="SUM23" s="21"/>
      <c r="SUN23" s="21"/>
      <c r="SUO23" s="21"/>
      <c r="SUP23" s="21"/>
      <c r="SUQ23" s="21"/>
      <c r="SUR23" s="21"/>
      <c r="SUS23" s="21"/>
      <c r="SUT23" s="21"/>
      <c r="SUU23" s="21"/>
      <c r="SUV23" s="21"/>
      <c r="SUW23" s="21"/>
      <c r="SUX23" s="21"/>
      <c r="SUY23" s="21"/>
      <c r="SUZ23" s="21"/>
      <c r="SVA23" s="21"/>
      <c r="SVB23" s="21"/>
      <c r="SVC23" s="21"/>
      <c r="SVD23" s="21"/>
      <c r="SVE23" s="21"/>
      <c r="SVF23" s="21"/>
      <c r="SVG23" s="21"/>
      <c r="SVH23" s="21"/>
      <c r="SVI23" s="21"/>
      <c r="SVJ23" s="21"/>
      <c r="SVK23" s="21"/>
      <c r="SVL23" s="21"/>
      <c r="SVM23" s="21"/>
      <c r="SVN23" s="21"/>
      <c r="SVO23" s="21"/>
      <c r="SVP23" s="21"/>
      <c r="SVQ23" s="21"/>
      <c r="SVR23" s="21"/>
      <c r="SVS23" s="21"/>
      <c r="SVT23" s="21"/>
      <c r="SVU23" s="21"/>
      <c r="SVV23" s="21"/>
      <c r="SVW23" s="21"/>
      <c r="SVX23" s="21"/>
      <c r="SVY23" s="21"/>
      <c r="SVZ23" s="21"/>
      <c r="SWA23" s="21"/>
      <c r="SWB23" s="21"/>
      <c r="SWC23" s="21"/>
      <c r="SWD23" s="21"/>
      <c r="SWE23" s="21"/>
      <c r="SWF23" s="21"/>
      <c r="SWG23" s="21"/>
      <c r="SWH23" s="21"/>
      <c r="SWI23" s="21"/>
      <c r="SWJ23" s="21"/>
      <c r="SWK23" s="21"/>
      <c r="SWL23" s="21"/>
      <c r="SWM23" s="21"/>
      <c r="SWN23" s="21"/>
      <c r="SWO23" s="21"/>
      <c r="SWP23" s="21"/>
      <c r="SWQ23" s="21"/>
      <c r="SWR23" s="21"/>
      <c r="SWS23" s="21"/>
      <c r="SWT23" s="21"/>
      <c r="SWU23" s="21"/>
      <c r="SWV23" s="21"/>
      <c r="SWW23" s="21"/>
      <c r="SWX23" s="21"/>
      <c r="SWY23" s="21"/>
      <c r="SWZ23" s="21"/>
      <c r="SXA23" s="21"/>
      <c r="SXB23" s="21"/>
      <c r="SXC23" s="21"/>
      <c r="SXD23" s="21"/>
      <c r="SXE23" s="21"/>
      <c r="SXF23" s="21"/>
      <c r="SXG23" s="21"/>
      <c r="SXH23" s="21"/>
      <c r="SXI23" s="21"/>
      <c r="SXJ23" s="21"/>
      <c r="SXK23" s="21"/>
      <c r="SXL23" s="21"/>
      <c r="SXM23" s="21"/>
      <c r="SXN23" s="21"/>
      <c r="SXO23" s="21"/>
      <c r="SXP23" s="21"/>
      <c r="SXQ23" s="21"/>
      <c r="SXR23" s="21"/>
      <c r="SXS23" s="21"/>
      <c r="SXT23" s="21"/>
      <c r="SXU23" s="21"/>
      <c r="SXV23" s="21"/>
      <c r="SXW23" s="21"/>
      <c r="SXX23" s="21"/>
      <c r="SXY23" s="21"/>
      <c r="SXZ23" s="21"/>
      <c r="SYA23" s="21"/>
      <c r="SYB23" s="21"/>
      <c r="SYC23" s="21"/>
      <c r="SYD23" s="21"/>
      <c r="SYE23" s="21"/>
      <c r="SYF23" s="21"/>
      <c r="SYG23" s="21"/>
      <c r="SYH23" s="21"/>
      <c r="SYI23" s="21"/>
      <c r="SYJ23" s="21"/>
      <c r="SYK23" s="21"/>
      <c r="SYL23" s="21"/>
      <c r="SYM23" s="21"/>
      <c r="SYN23" s="21"/>
      <c r="SYO23" s="21"/>
      <c r="SYP23" s="21"/>
      <c r="SYQ23" s="21"/>
      <c r="SYR23" s="21"/>
      <c r="SYS23" s="21"/>
      <c r="SYT23" s="21"/>
      <c r="SYU23" s="21"/>
      <c r="SYV23" s="21"/>
      <c r="SYW23" s="21"/>
      <c r="SYX23" s="21"/>
      <c r="SYY23" s="21"/>
      <c r="SYZ23" s="21"/>
      <c r="SZA23" s="21"/>
      <c r="SZB23" s="21"/>
      <c r="SZC23" s="21"/>
      <c r="SZD23" s="21"/>
      <c r="SZE23" s="21"/>
      <c r="SZF23" s="21"/>
      <c r="SZG23" s="21"/>
      <c r="SZH23" s="21"/>
      <c r="SZI23" s="21"/>
      <c r="SZJ23" s="21"/>
      <c r="SZK23" s="21"/>
      <c r="SZL23" s="21"/>
      <c r="SZM23" s="21"/>
      <c r="SZN23" s="21"/>
      <c r="SZO23" s="21"/>
      <c r="SZP23" s="21"/>
      <c r="SZQ23" s="21"/>
      <c r="SZR23" s="21"/>
      <c r="SZS23" s="21"/>
      <c r="SZT23" s="21"/>
      <c r="SZU23" s="21"/>
      <c r="SZV23" s="21"/>
      <c r="SZW23" s="21"/>
      <c r="SZX23" s="21"/>
      <c r="SZY23" s="21"/>
      <c r="SZZ23" s="21"/>
      <c r="TAA23" s="21"/>
      <c r="TAB23" s="21"/>
      <c r="TAC23" s="21"/>
      <c r="TAD23" s="21"/>
      <c r="TAE23" s="21"/>
      <c r="TAF23" s="21"/>
      <c r="TAG23" s="21"/>
      <c r="TAH23" s="21"/>
      <c r="TAI23" s="21"/>
      <c r="TAJ23" s="21"/>
      <c r="TAK23" s="21"/>
      <c r="TAL23" s="21"/>
      <c r="TAM23" s="21"/>
      <c r="TAN23" s="21"/>
      <c r="TAO23" s="21"/>
      <c r="TAP23" s="21"/>
      <c r="TAQ23" s="21"/>
      <c r="TAR23" s="21"/>
      <c r="TAS23" s="21"/>
      <c r="TAT23" s="21"/>
      <c r="TAU23" s="21"/>
      <c r="TAV23" s="21"/>
      <c r="TAW23" s="21"/>
      <c r="TAX23" s="21"/>
      <c r="TAY23" s="21"/>
      <c r="TAZ23" s="21"/>
      <c r="TBA23" s="21"/>
      <c r="TBB23" s="21"/>
      <c r="TBC23" s="21"/>
      <c r="TBD23" s="21"/>
      <c r="TBE23" s="21"/>
      <c r="TBF23" s="21"/>
      <c r="TBG23" s="21"/>
      <c r="TBH23" s="21"/>
      <c r="TBI23" s="21"/>
      <c r="TBJ23" s="21"/>
      <c r="TBK23" s="21"/>
      <c r="TBL23" s="21"/>
      <c r="TBM23" s="21"/>
      <c r="TBN23" s="21"/>
      <c r="TBO23" s="21"/>
      <c r="TBP23" s="21"/>
      <c r="TBQ23" s="21"/>
      <c r="TBR23" s="21"/>
      <c r="TBS23" s="21"/>
      <c r="TBT23" s="21"/>
      <c r="TBU23" s="21"/>
      <c r="TBV23" s="21"/>
      <c r="TBW23" s="21"/>
      <c r="TBX23" s="21"/>
      <c r="TBY23" s="21"/>
      <c r="TBZ23" s="21"/>
      <c r="TCA23" s="21"/>
      <c r="TCB23" s="21"/>
      <c r="TCC23" s="21"/>
      <c r="TCD23" s="21"/>
      <c r="TCE23" s="21"/>
      <c r="TCF23" s="21"/>
      <c r="TCG23" s="21"/>
      <c r="TCH23" s="21"/>
      <c r="TCI23" s="21"/>
      <c r="TCJ23" s="21"/>
      <c r="TCK23" s="21"/>
      <c r="TCL23" s="21"/>
      <c r="TCM23" s="21"/>
      <c r="TCN23" s="21"/>
      <c r="TCO23" s="21"/>
      <c r="TCP23" s="21"/>
      <c r="TCQ23" s="21"/>
      <c r="TCR23" s="21"/>
      <c r="TCS23" s="21"/>
      <c r="TCT23" s="21"/>
      <c r="TCU23" s="21"/>
      <c r="TCV23" s="21"/>
      <c r="TCW23" s="21"/>
      <c r="TCX23" s="21"/>
      <c r="TCY23" s="21"/>
      <c r="TCZ23" s="21"/>
      <c r="TDA23" s="21"/>
      <c r="TDB23" s="21"/>
      <c r="TDC23" s="21"/>
      <c r="TDD23" s="21"/>
      <c r="TDE23" s="21"/>
      <c r="TDF23" s="21"/>
      <c r="TDG23" s="21"/>
      <c r="TDH23" s="21"/>
      <c r="TDI23" s="21"/>
      <c r="TDJ23" s="21"/>
      <c r="TDK23" s="21"/>
      <c r="TDL23" s="21"/>
      <c r="TDM23" s="21"/>
      <c r="TDN23" s="21"/>
      <c r="TDO23" s="21"/>
      <c r="TDP23" s="21"/>
      <c r="TDQ23" s="21"/>
      <c r="TDR23" s="21"/>
      <c r="TDS23" s="21"/>
      <c r="TDT23" s="21"/>
      <c r="TDU23" s="21"/>
      <c r="TDV23" s="21"/>
      <c r="TDW23" s="21"/>
      <c r="TDX23" s="21"/>
      <c r="TDY23" s="21"/>
      <c r="TDZ23" s="21"/>
      <c r="TEA23" s="21"/>
      <c r="TEB23" s="21"/>
      <c r="TEC23" s="21"/>
      <c r="TED23" s="21"/>
      <c r="TEE23" s="21"/>
      <c r="TEF23" s="21"/>
      <c r="TEG23" s="21"/>
      <c r="TEH23" s="21"/>
      <c r="TEI23" s="21"/>
      <c r="TEJ23" s="21"/>
      <c r="TEK23" s="21"/>
      <c r="TEL23" s="21"/>
      <c r="TEM23" s="21"/>
      <c r="TEN23" s="21"/>
      <c r="TEO23" s="21"/>
      <c r="TEP23" s="21"/>
      <c r="TEQ23" s="21"/>
      <c r="TER23" s="21"/>
      <c r="TES23" s="21"/>
      <c r="TET23" s="21"/>
      <c r="TEU23" s="21"/>
      <c r="TEV23" s="21"/>
      <c r="TEW23" s="21"/>
      <c r="TEX23" s="21"/>
      <c r="TEY23" s="21"/>
      <c r="TEZ23" s="21"/>
      <c r="TFA23" s="21"/>
      <c r="TFB23" s="21"/>
      <c r="TFC23" s="21"/>
      <c r="TFD23" s="21"/>
      <c r="TFE23" s="21"/>
      <c r="TFF23" s="21"/>
      <c r="TFG23" s="21"/>
      <c r="TFH23" s="21"/>
      <c r="TFI23" s="21"/>
      <c r="TFJ23" s="21"/>
      <c r="TFK23" s="21"/>
      <c r="TFL23" s="21"/>
      <c r="TFM23" s="21"/>
      <c r="TFN23" s="21"/>
      <c r="TFO23" s="21"/>
      <c r="TFP23" s="21"/>
      <c r="TFQ23" s="21"/>
      <c r="TFR23" s="21"/>
      <c r="TFS23" s="21"/>
      <c r="TFT23" s="21"/>
      <c r="TFU23" s="21"/>
      <c r="TFV23" s="21"/>
      <c r="TFW23" s="21"/>
      <c r="TFX23" s="21"/>
      <c r="TFY23" s="21"/>
      <c r="TFZ23" s="21"/>
      <c r="TGA23" s="21"/>
      <c r="TGB23" s="21"/>
      <c r="TGC23" s="21"/>
      <c r="TGD23" s="21"/>
      <c r="TGE23" s="21"/>
      <c r="TGF23" s="21"/>
      <c r="TGG23" s="21"/>
      <c r="TGH23" s="21"/>
      <c r="TGI23" s="21"/>
      <c r="TGJ23" s="21"/>
      <c r="TGK23" s="21"/>
      <c r="TGL23" s="21"/>
      <c r="TGM23" s="21"/>
      <c r="TGN23" s="21"/>
      <c r="TGO23" s="21"/>
      <c r="TGP23" s="21"/>
      <c r="TGQ23" s="21"/>
      <c r="TGR23" s="21"/>
      <c r="TGS23" s="21"/>
      <c r="TGT23" s="21"/>
      <c r="TGU23" s="21"/>
      <c r="TGV23" s="21"/>
      <c r="TGW23" s="21"/>
      <c r="TGX23" s="21"/>
      <c r="TGY23" s="21"/>
      <c r="TGZ23" s="21"/>
      <c r="THA23" s="21"/>
      <c r="THB23" s="21"/>
      <c r="THC23" s="21"/>
      <c r="THD23" s="21"/>
      <c r="THE23" s="21"/>
      <c r="THF23" s="21"/>
      <c r="THG23" s="21"/>
      <c r="THH23" s="21"/>
      <c r="THI23" s="21"/>
      <c r="THJ23" s="21"/>
      <c r="THK23" s="21"/>
      <c r="THL23" s="21"/>
      <c r="THM23" s="21"/>
      <c r="THN23" s="21"/>
      <c r="THO23" s="21"/>
      <c r="THP23" s="21"/>
      <c r="THQ23" s="21"/>
      <c r="THR23" s="21"/>
      <c r="THS23" s="21"/>
      <c r="THT23" s="21"/>
      <c r="THU23" s="21"/>
      <c r="THV23" s="21"/>
      <c r="THW23" s="21"/>
      <c r="THX23" s="21"/>
      <c r="THY23" s="21"/>
      <c r="THZ23" s="21"/>
      <c r="TIA23" s="21"/>
      <c r="TIB23" s="21"/>
      <c r="TIC23" s="21"/>
      <c r="TID23" s="21"/>
      <c r="TIE23" s="21"/>
      <c r="TIF23" s="21"/>
      <c r="TIG23" s="21"/>
      <c r="TIH23" s="21"/>
      <c r="TII23" s="21"/>
      <c r="TIJ23" s="21"/>
      <c r="TIK23" s="21"/>
      <c r="TIL23" s="21"/>
      <c r="TIM23" s="21"/>
      <c r="TIN23" s="21"/>
      <c r="TIO23" s="21"/>
      <c r="TIP23" s="21"/>
      <c r="TIQ23" s="21"/>
      <c r="TIR23" s="21"/>
      <c r="TIS23" s="21"/>
      <c r="TIT23" s="21"/>
      <c r="TIU23" s="21"/>
      <c r="TIV23" s="21"/>
      <c r="TIW23" s="21"/>
      <c r="TIX23" s="21"/>
      <c r="TIY23" s="21"/>
      <c r="TIZ23" s="21"/>
      <c r="TJA23" s="21"/>
      <c r="TJB23" s="21"/>
      <c r="TJC23" s="21"/>
      <c r="TJD23" s="21"/>
      <c r="TJE23" s="21"/>
      <c r="TJF23" s="21"/>
      <c r="TJG23" s="21"/>
      <c r="TJH23" s="21"/>
      <c r="TJI23" s="21"/>
      <c r="TJJ23" s="21"/>
      <c r="TJK23" s="21"/>
      <c r="TJL23" s="21"/>
      <c r="TJM23" s="21"/>
      <c r="TJN23" s="21"/>
      <c r="TJO23" s="21"/>
      <c r="TJP23" s="21"/>
      <c r="TJQ23" s="21"/>
      <c r="TJR23" s="21"/>
      <c r="TJS23" s="21"/>
      <c r="TJT23" s="21"/>
      <c r="TJU23" s="21"/>
      <c r="TJV23" s="21"/>
      <c r="TJW23" s="21"/>
      <c r="TJX23" s="21"/>
      <c r="TJY23" s="21"/>
      <c r="TJZ23" s="21"/>
      <c r="TKA23" s="21"/>
      <c r="TKB23" s="21"/>
      <c r="TKC23" s="21"/>
      <c r="TKD23" s="21"/>
      <c r="TKE23" s="21"/>
      <c r="TKF23" s="21"/>
      <c r="TKG23" s="21"/>
      <c r="TKH23" s="21"/>
      <c r="TKI23" s="21"/>
      <c r="TKJ23" s="21"/>
      <c r="TKK23" s="21"/>
      <c r="TKL23" s="21"/>
      <c r="TKM23" s="21"/>
      <c r="TKN23" s="21"/>
      <c r="TKO23" s="21"/>
      <c r="TKP23" s="21"/>
      <c r="TKQ23" s="21"/>
      <c r="TKR23" s="21"/>
      <c r="TKS23" s="21"/>
      <c r="TKT23" s="21"/>
      <c r="TKU23" s="21"/>
      <c r="TKV23" s="21"/>
      <c r="TKW23" s="21"/>
      <c r="TKX23" s="21"/>
      <c r="TKY23" s="21"/>
      <c r="TKZ23" s="21"/>
      <c r="TLA23" s="21"/>
      <c r="TLB23" s="21"/>
      <c r="TLC23" s="21"/>
      <c r="TLD23" s="21"/>
      <c r="TLE23" s="21"/>
      <c r="TLF23" s="21"/>
      <c r="TLG23" s="21"/>
      <c r="TLH23" s="21"/>
      <c r="TLI23" s="21"/>
      <c r="TLJ23" s="21"/>
      <c r="TLK23" s="21"/>
      <c r="TLL23" s="21"/>
      <c r="TLM23" s="21"/>
      <c r="TLN23" s="21"/>
      <c r="TLO23" s="21"/>
      <c r="TLP23" s="21"/>
      <c r="TLQ23" s="21"/>
      <c r="TLR23" s="21"/>
      <c r="TLS23" s="21"/>
      <c r="TLT23" s="21"/>
      <c r="TLU23" s="21"/>
      <c r="TLV23" s="21"/>
      <c r="TLW23" s="21"/>
      <c r="TLX23" s="21"/>
      <c r="TLY23" s="21"/>
      <c r="TLZ23" s="21"/>
      <c r="TMA23" s="21"/>
      <c r="TMB23" s="21"/>
      <c r="TMC23" s="21"/>
      <c r="TMD23" s="21"/>
      <c r="TME23" s="21"/>
      <c r="TMF23" s="21"/>
      <c r="TMG23" s="21"/>
      <c r="TMH23" s="21"/>
      <c r="TMI23" s="21"/>
      <c r="TMJ23" s="21"/>
      <c r="TMK23" s="21"/>
      <c r="TML23" s="21"/>
      <c r="TMM23" s="21"/>
      <c r="TMN23" s="21"/>
      <c r="TMO23" s="21"/>
      <c r="TMP23" s="21"/>
      <c r="TMQ23" s="21"/>
      <c r="TMR23" s="21"/>
      <c r="TMS23" s="21"/>
      <c r="TMT23" s="21"/>
      <c r="TMU23" s="21"/>
      <c r="TMV23" s="21"/>
      <c r="TMW23" s="21"/>
      <c r="TMX23" s="21"/>
      <c r="TMY23" s="21"/>
      <c r="TMZ23" s="21"/>
      <c r="TNA23" s="21"/>
      <c r="TNB23" s="21"/>
      <c r="TNC23" s="21"/>
      <c r="TND23" s="21"/>
      <c r="TNE23" s="21"/>
      <c r="TNF23" s="21"/>
      <c r="TNG23" s="21"/>
      <c r="TNH23" s="21"/>
      <c r="TNI23" s="21"/>
      <c r="TNJ23" s="21"/>
      <c r="TNK23" s="21"/>
      <c r="TNL23" s="21"/>
      <c r="TNM23" s="21"/>
      <c r="TNN23" s="21"/>
      <c r="TNO23" s="21"/>
      <c r="TNP23" s="21"/>
      <c r="TNQ23" s="21"/>
      <c r="TNR23" s="21"/>
      <c r="TNS23" s="21"/>
      <c r="TNT23" s="21"/>
      <c r="TNU23" s="21"/>
      <c r="TNV23" s="21"/>
      <c r="TNW23" s="21"/>
      <c r="TNX23" s="21"/>
      <c r="TNY23" s="21"/>
      <c r="TNZ23" s="21"/>
      <c r="TOA23" s="21"/>
      <c r="TOB23" s="21"/>
      <c r="TOC23" s="21"/>
      <c r="TOD23" s="21"/>
      <c r="TOE23" s="21"/>
      <c r="TOF23" s="21"/>
      <c r="TOG23" s="21"/>
      <c r="TOH23" s="21"/>
      <c r="TOI23" s="21"/>
      <c r="TOJ23" s="21"/>
      <c r="TOK23" s="21"/>
      <c r="TOL23" s="21"/>
      <c r="TOM23" s="21"/>
      <c r="TON23" s="21"/>
      <c r="TOO23" s="21"/>
      <c r="TOP23" s="21"/>
      <c r="TOQ23" s="21"/>
      <c r="TOR23" s="21"/>
      <c r="TOS23" s="21"/>
      <c r="TOT23" s="21"/>
      <c r="TOU23" s="21"/>
      <c r="TOV23" s="21"/>
      <c r="TOW23" s="21"/>
      <c r="TOX23" s="21"/>
      <c r="TOY23" s="21"/>
      <c r="TOZ23" s="21"/>
      <c r="TPA23" s="21"/>
      <c r="TPB23" s="21"/>
      <c r="TPC23" s="21"/>
      <c r="TPD23" s="21"/>
      <c r="TPE23" s="21"/>
      <c r="TPF23" s="21"/>
      <c r="TPG23" s="21"/>
      <c r="TPH23" s="21"/>
      <c r="TPI23" s="21"/>
      <c r="TPJ23" s="21"/>
      <c r="TPK23" s="21"/>
      <c r="TPL23" s="21"/>
      <c r="TPM23" s="21"/>
      <c r="TPN23" s="21"/>
      <c r="TPO23" s="21"/>
      <c r="TPP23" s="21"/>
      <c r="TPQ23" s="21"/>
      <c r="TPR23" s="21"/>
      <c r="TPS23" s="21"/>
      <c r="TPT23" s="21"/>
      <c r="TPU23" s="21"/>
      <c r="TPV23" s="21"/>
      <c r="TPW23" s="21"/>
      <c r="TPX23" s="21"/>
      <c r="TPY23" s="21"/>
      <c r="TPZ23" s="21"/>
      <c r="TQA23" s="21"/>
      <c r="TQB23" s="21"/>
      <c r="TQC23" s="21"/>
      <c r="TQD23" s="21"/>
      <c r="TQE23" s="21"/>
      <c r="TQF23" s="21"/>
      <c r="TQG23" s="21"/>
      <c r="TQH23" s="21"/>
      <c r="TQI23" s="21"/>
      <c r="TQJ23" s="21"/>
      <c r="TQK23" s="21"/>
      <c r="TQL23" s="21"/>
      <c r="TQM23" s="21"/>
      <c r="TQN23" s="21"/>
      <c r="TQO23" s="21"/>
      <c r="TQP23" s="21"/>
      <c r="TQQ23" s="21"/>
      <c r="TQR23" s="21"/>
      <c r="TQS23" s="21"/>
      <c r="TQT23" s="21"/>
      <c r="TQU23" s="21"/>
      <c r="TQV23" s="21"/>
      <c r="TQW23" s="21"/>
      <c r="TQX23" s="21"/>
      <c r="TQY23" s="21"/>
      <c r="TQZ23" s="21"/>
      <c r="TRA23" s="21"/>
      <c r="TRB23" s="21"/>
      <c r="TRC23" s="21"/>
      <c r="TRD23" s="21"/>
      <c r="TRE23" s="21"/>
      <c r="TRF23" s="21"/>
      <c r="TRG23" s="21"/>
      <c r="TRH23" s="21"/>
      <c r="TRI23" s="21"/>
      <c r="TRJ23" s="21"/>
      <c r="TRK23" s="21"/>
      <c r="TRL23" s="21"/>
      <c r="TRM23" s="21"/>
      <c r="TRN23" s="21"/>
      <c r="TRO23" s="21"/>
      <c r="TRP23" s="21"/>
      <c r="TRQ23" s="21"/>
      <c r="TRR23" s="21"/>
      <c r="TRS23" s="21"/>
      <c r="TRT23" s="21"/>
      <c r="TRU23" s="21"/>
      <c r="TRV23" s="21"/>
      <c r="TRW23" s="21"/>
      <c r="TRX23" s="21"/>
      <c r="TRY23" s="21"/>
      <c r="TRZ23" s="21"/>
      <c r="TSA23" s="21"/>
      <c r="TSB23" s="21"/>
      <c r="TSC23" s="21"/>
      <c r="TSD23" s="21"/>
      <c r="TSE23" s="21"/>
      <c r="TSF23" s="21"/>
      <c r="TSG23" s="21"/>
      <c r="TSH23" s="21"/>
      <c r="TSI23" s="21"/>
      <c r="TSJ23" s="21"/>
      <c r="TSK23" s="21"/>
      <c r="TSL23" s="21"/>
      <c r="TSM23" s="21"/>
      <c r="TSN23" s="21"/>
      <c r="TSO23" s="21"/>
      <c r="TSP23" s="21"/>
      <c r="TSQ23" s="21"/>
      <c r="TSR23" s="21"/>
      <c r="TSS23" s="21"/>
      <c r="TST23" s="21"/>
      <c r="TSU23" s="21"/>
      <c r="TSV23" s="21"/>
      <c r="TSW23" s="21"/>
      <c r="TSX23" s="21"/>
      <c r="TSY23" s="21"/>
      <c r="TSZ23" s="21"/>
      <c r="TTA23" s="21"/>
      <c r="TTB23" s="21"/>
      <c r="TTC23" s="21"/>
      <c r="TTD23" s="21"/>
      <c r="TTE23" s="21"/>
      <c r="TTF23" s="21"/>
      <c r="TTG23" s="21"/>
      <c r="TTH23" s="21"/>
      <c r="TTI23" s="21"/>
      <c r="TTJ23" s="21"/>
      <c r="TTK23" s="21"/>
      <c r="TTL23" s="21"/>
      <c r="TTM23" s="21"/>
      <c r="TTN23" s="21"/>
      <c r="TTO23" s="21"/>
      <c r="TTP23" s="21"/>
      <c r="TTQ23" s="21"/>
      <c r="TTR23" s="21"/>
      <c r="TTS23" s="21"/>
      <c r="TTT23" s="21"/>
      <c r="TTU23" s="21"/>
      <c r="TTV23" s="21"/>
      <c r="TTW23" s="21"/>
      <c r="TTX23" s="21"/>
      <c r="TTY23" s="21"/>
      <c r="TTZ23" s="21"/>
      <c r="TUA23" s="21"/>
      <c r="TUB23" s="21"/>
      <c r="TUC23" s="21"/>
      <c r="TUD23" s="21"/>
      <c r="TUE23" s="21"/>
      <c r="TUF23" s="21"/>
      <c r="TUG23" s="21"/>
      <c r="TUH23" s="21"/>
      <c r="TUI23" s="21"/>
      <c r="TUJ23" s="21"/>
      <c r="TUK23" s="21"/>
      <c r="TUL23" s="21"/>
      <c r="TUM23" s="21"/>
      <c r="TUN23" s="21"/>
      <c r="TUO23" s="21"/>
      <c r="TUP23" s="21"/>
      <c r="TUQ23" s="21"/>
      <c r="TUR23" s="21"/>
      <c r="TUS23" s="21"/>
      <c r="TUT23" s="21"/>
      <c r="TUU23" s="21"/>
      <c r="TUV23" s="21"/>
      <c r="TUW23" s="21"/>
      <c r="TUX23" s="21"/>
      <c r="TUY23" s="21"/>
      <c r="TUZ23" s="21"/>
      <c r="TVA23" s="21"/>
      <c r="TVB23" s="21"/>
      <c r="TVC23" s="21"/>
      <c r="TVD23" s="21"/>
      <c r="TVE23" s="21"/>
      <c r="TVF23" s="21"/>
      <c r="TVG23" s="21"/>
      <c r="TVH23" s="21"/>
      <c r="TVI23" s="21"/>
      <c r="TVJ23" s="21"/>
      <c r="TVK23" s="21"/>
      <c r="TVL23" s="21"/>
      <c r="TVM23" s="21"/>
      <c r="TVN23" s="21"/>
      <c r="TVO23" s="21"/>
      <c r="TVP23" s="21"/>
      <c r="TVQ23" s="21"/>
      <c r="TVR23" s="21"/>
      <c r="TVS23" s="21"/>
      <c r="TVT23" s="21"/>
      <c r="TVU23" s="21"/>
      <c r="TVV23" s="21"/>
      <c r="TVW23" s="21"/>
      <c r="TVX23" s="21"/>
      <c r="TVY23" s="21"/>
      <c r="TVZ23" s="21"/>
      <c r="TWA23" s="21"/>
      <c r="TWB23" s="21"/>
      <c r="TWC23" s="21"/>
      <c r="TWD23" s="21"/>
      <c r="TWE23" s="21"/>
      <c r="TWF23" s="21"/>
      <c r="TWG23" s="21"/>
      <c r="TWH23" s="21"/>
      <c r="TWI23" s="21"/>
      <c r="TWJ23" s="21"/>
      <c r="TWK23" s="21"/>
      <c r="TWL23" s="21"/>
      <c r="TWM23" s="21"/>
      <c r="TWN23" s="21"/>
      <c r="TWO23" s="21"/>
      <c r="TWP23" s="21"/>
      <c r="TWQ23" s="21"/>
      <c r="TWR23" s="21"/>
      <c r="TWS23" s="21"/>
      <c r="TWT23" s="21"/>
      <c r="TWU23" s="21"/>
      <c r="TWV23" s="21"/>
      <c r="TWW23" s="21"/>
      <c r="TWX23" s="21"/>
      <c r="TWY23" s="21"/>
      <c r="TWZ23" s="21"/>
      <c r="TXA23" s="21"/>
      <c r="TXB23" s="21"/>
      <c r="TXC23" s="21"/>
      <c r="TXD23" s="21"/>
      <c r="TXE23" s="21"/>
      <c r="TXF23" s="21"/>
      <c r="TXG23" s="21"/>
      <c r="TXH23" s="21"/>
      <c r="TXI23" s="21"/>
      <c r="TXJ23" s="21"/>
      <c r="TXK23" s="21"/>
      <c r="TXL23" s="21"/>
      <c r="TXM23" s="21"/>
      <c r="TXN23" s="21"/>
      <c r="TXO23" s="21"/>
      <c r="TXP23" s="21"/>
      <c r="TXQ23" s="21"/>
      <c r="TXR23" s="21"/>
      <c r="TXS23" s="21"/>
      <c r="TXT23" s="21"/>
      <c r="TXU23" s="21"/>
      <c r="TXV23" s="21"/>
      <c r="TXW23" s="21"/>
      <c r="TXX23" s="21"/>
      <c r="TXY23" s="21"/>
      <c r="TXZ23" s="21"/>
      <c r="TYA23" s="21"/>
      <c r="TYB23" s="21"/>
      <c r="TYC23" s="21"/>
      <c r="TYD23" s="21"/>
      <c r="TYE23" s="21"/>
      <c r="TYF23" s="21"/>
      <c r="TYG23" s="21"/>
      <c r="TYH23" s="21"/>
      <c r="TYI23" s="21"/>
      <c r="TYJ23" s="21"/>
      <c r="TYK23" s="21"/>
      <c r="TYL23" s="21"/>
      <c r="TYM23" s="21"/>
      <c r="TYN23" s="21"/>
      <c r="TYO23" s="21"/>
      <c r="TYP23" s="21"/>
      <c r="TYQ23" s="21"/>
      <c r="TYR23" s="21"/>
      <c r="TYS23" s="21"/>
      <c r="TYT23" s="21"/>
      <c r="TYU23" s="21"/>
      <c r="TYV23" s="21"/>
      <c r="TYW23" s="21"/>
      <c r="TYX23" s="21"/>
      <c r="TYY23" s="21"/>
      <c r="TYZ23" s="21"/>
      <c r="TZA23" s="21"/>
      <c r="TZB23" s="21"/>
      <c r="TZC23" s="21"/>
      <c r="TZD23" s="21"/>
      <c r="TZE23" s="21"/>
      <c r="TZF23" s="21"/>
      <c r="TZG23" s="21"/>
      <c r="TZH23" s="21"/>
      <c r="TZI23" s="21"/>
      <c r="TZJ23" s="21"/>
      <c r="TZK23" s="21"/>
      <c r="TZL23" s="21"/>
      <c r="TZM23" s="21"/>
      <c r="TZN23" s="21"/>
      <c r="TZO23" s="21"/>
      <c r="TZP23" s="21"/>
      <c r="TZQ23" s="21"/>
      <c r="TZR23" s="21"/>
      <c r="TZS23" s="21"/>
      <c r="TZT23" s="21"/>
      <c r="TZU23" s="21"/>
      <c r="TZV23" s="21"/>
      <c r="TZW23" s="21"/>
      <c r="TZX23" s="21"/>
      <c r="TZY23" s="21"/>
      <c r="TZZ23" s="21"/>
      <c r="UAA23" s="21"/>
      <c r="UAB23" s="21"/>
      <c r="UAC23" s="21"/>
      <c r="UAD23" s="21"/>
      <c r="UAE23" s="21"/>
      <c r="UAF23" s="21"/>
      <c r="UAG23" s="21"/>
      <c r="UAH23" s="21"/>
      <c r="UAI23" s="21"/>
      <c r="UAJ23" s="21"/>
      <c r="UAK23" s="21"/>
      <c r="UAL23" s="21"/>
      <c r="UAM23" s="21"/>
      <c r="UAN23" s="21"/>
      <c r="UAO23" s="21"/>
      <c r="UAP23" s="21"/>
      <c r="UAQ23" s="21"/>
      <c r="UAR23" s="21"/>
      <c r="UAS23" s="21"/>
      <c r="UAT23" s="21"/>
      <c r="UAU23" s="21"/>
      <c r="UAV23" s="21"/>
      <c r="UAW23" s="21"/>
      <c r="UAX23" s="21"/>
      <c r="UAY23" s="21"/>
      <c r="UAZ23" s="21"/>
      <c r="UBA23" s="21"/>
      <c r="UBB23" s="21"/>
      <c r="UBC23" s="21"/>
      <c r="UBD23" s="21"/>
      <c r="UBE23" s="21"/>
      <c r="UBF23" s="21"/>
      <c r="UBG23" s="21"/>
      <c r="UBH23" s="21"/>
      <c r="UBI23" s="21"/>
      <c r="UBJ23" s="21"/>
      <c r="UBK23" s="21"/>
      <c r="UBL23" s="21"/>
      <c r="UBM23" s="21"/>
      <c r="UBN23" s="21"/>
      <c r="UBO23" s="21"/>
      <c r="UBP23" s="21"/>
      <c r="UBQ23" s="21"/>
      <c r="UBR23" s="21"/>
      <c r="UBS23" s="21"/>
      <c r="UBT23" s="21"/>
      <c r="UBU23" s="21"/>
      <c r="UBV23" s="21"/>
      <c r="UBW23" s="21"/>
      <c r="UBX23" s="21"/>
      <c r="UBY23" s="21"/>
      <c r="UBZ23" s="21"/>
      <c r="UCA23" s="21"/>
      <c r="UCB23" s="21"/>
      <c r="UCC23" s="21"/>
      <c r="UCD23" s="21"/>
      <c r="UCE23" s="21"/>
      <c r="UCF23" s="21"/>
      <c r="UCG23" s="21"/>
      <c r="UCH23" s="21"/>
      <c r="UCI23" s="21"/>
      <c r="UCJ23" s="21"/>
      <c r="UCK23" s="21"/>
      <c r="UCL23" s="21"/>
      <c r="UCM23" s="21"/>
      <c r="UCN23" s="21"/>
      <c r="UCO23" s="21"/>
      <c r="UCP23" s="21"/>
      <c r="UCQ23" s="21"/>
      <c r="UCR23" s="21"/>
      <c r="UCS23" s="21"/>
      <c r="UCT23" s="21"/>
      <c r="UCU23" s="21"/>
      <c r="UCV23" s="21"/>
      <c r="UCW23" s="21"/>
      <c r="UCX23" s="21"/>
      <c r="UCY23" s="21"/>
      <c r="UCZ23" s="21"/>
      <c r="UDA23" s="21"/>
      <c r="UDB23" s="21"/>
      <c r="UDC23" s="21"/>
      <c r="UDD23" s="21"/>
      <c r="UDE23" s="21"/>
      <c r="UDF23" s="21"/>
      <c r="UDG23" s="21"/>
      <c r="UDH23" s="21"/>
      <c r="UDI23" s="21"/>
      <c r="UDJ23" s="21"/>
      <c r="UDK23" s="21"/>
      <c r="UDL23" s="21"/>
      <c r="UDM23" s="21"/>
      <c r="UDN23" s="21"/>
      <c r="UDO23" s="21"/>
      <c r="UDP23" s="21"/>
      <c r="UDQ23" s="21"/>
      <c r="UDR23" s="21"/>
      <c r="UDS23" s="21"/>
      <c r="UDT23" s="21"/>
      <c r="UDU23" s="21"/>
      <c r="UDV23" s="21"/>
      <c r="UDW23" s="21"/>
      <c r="UDX23" s="21"/>
      <c r="UDY23" s="21"/>
      <c r="UDZ23" s="21"/>
      <c r="UEA23" s="21"/>
      <c r="UEB23" s="21"/>
      <c r="UEC23" s="21"/>
      <c r="UED23" s="21"/>
      <c r="UEE23" s="21"/>
      <c r="UEF23" s="21"/>
      <c r="UEG23" s="21"/>
      <c r="UEH23" s="21"/>
      <c r="UEI23" s="21"/>
      <c r="UEJ23" s="21"/>
      <c r="UEK23" s="21"/>
      <c r="UEL23" s="21"/>
      <c r="UEM23" s="21"/>
      <c r="UEN23" s="21"/>
      <c r="UEO23" s="21"/>
      <c r="UEP23" s="21"/>
      <c r="UEQ23" s="21"/>
      <c r="UER23" s="21"/>
      <c r="UES23" s="21"/>
      <c r="UET23" s="21"/>
      <c r="UEU23" s="21"/>
      <c r="UEV23" s="21"/>
      <c r="UEW23" s="21"/>
      <c r="UEX23" s="21"/>
      <c r="UEY23" s="21"/>
      <c r="UEZ23" s="21"/>
      <c r="UFA23" s="21"/>
      <c r="UFB23" s="21"/>
      <c r="UFC23" s="21"/>
      <c r="UFD23" s="21"/>
      <c r="UFE23" s="21"/>
      <c r="UFF23" s="21"/>
      <c r="UFG23" s="21"/>
      <c r="UFH23" s="21"/>
      <c r="UFI23" s="21"/>
      <c r="UFJ23" s="21"/>
      <c r="UFK23" s="21"/>
      <c r="UFL23" s="21"/>
      <c r="UFM23" s="21"/>
      <c r="UFN23" s="21"/>
      <c r="UFO23" s="21"/>
      <c r="UFP23" s="21"/>
      <c r="UFQ23" s="21"/>
      <c r="UFR23" s="21"/>
      <c r="UFS23" s="21"/>
      <c r="UFT23" s="21"/>
      <c r="UFU23" s="21"/>
      <c r="UFV23" s="21"/>
      <c r="UFW23" s="21"/>
      <c r="UFX23" s="21"/>
      <c r="UFY23" s="21"/>
      <c r="UFZ23" s="21"/>
      <c r="UGA23" s="21"/>
      <c r="UGB23" s="21"/>
      <c r="UGC23" s="21"/>
      <c r="UGD23" s="21"/>
      <c r="UGE23" s="21"/>
      <c r="UGF23" s="21"/>
      <c r="UGG23" s="21"/>
      <c r="UGH23" s="21"/>
      <c r="UGI23" s="21"/>
      <c r="UGJ23" s="21"/>
      <c r="UGK23" s="21"/>
      <c r="UGL23" s="21"/>
      <c r="UGM23" s="21"/>
      <c r="UGN23" s="21"/>
      <c r="UGO23" s="21"/>
      <c r="UGP23" s="21"/>
      <c r="UGQ23" s="21"/>
      <c r="UGR23" s="21"/>
      <c r="UGS23" s="21"/>
      <c r="UGT23" s="21"/>
      <c r="UGU23" s="21"/>
      <c r="UGV23" s="21"/>
      <c r="UGW23" s="21"/>
      <c r="UGX23" s="21"/>
      <c r="UGY23" s="21"/>
      <c r="UGZ23" s="21"/>
      <c r="UHA23" s="21"/>
      <c r="UHB23" s="21"/>
      <c r="UHC23" s="21"/>
      <c r="UHD23" s="21"/>
      <c r="UHE23" s="21"/>
      <c r="UHF23" s="21"/>
      <c r="UHG23" s="21"/>
      <c r="UHH23" s="21"/>
      <c r="UHI23" s="21"/>
      <c r="UHJ23" s="21"/>
      <c r="UHK23" s="21"/>
      <c r="UHL23" s="21"/>
      <c r="UHM23" s="21"/>
      <c r="UHN23" s="21"/>
      <c r="UHO23" s="21"/>
      <c r="UHP23" s="21"/>
      <c r="UHQ23" s="21"/>
      <c r="UHR23" s="21"/>
      <c r="UHS23" s="21"/>
      <c r="UHT23" s="21"/>
      <c r="UHU23" s="21"/>
      <c r="UHV23" s="21"/>
      <c r="UHW23" s="21"/>
      <c r="UHX23" s="21"/>
      <c r="UHY23" s="21"/>
      <c r="UHZ23" s="21"/>
      <c r="UIA23" s="21"/>
      <c r="UIB23" s="21"/>
      <c r="UIC23" s="21"/>
      <c r="UID23" s="21"/>
      <c r="UIE23" s="21"/>
      <c r="UIF23" s="21"/>
      <c r="UIG23" s="21"/>
      <c r="UIH23" s="21"/>
      <c r="UII23" s="21"/>
      <c r="UIJ23" s="21"/>
      <c r="UIK23" s="21"/>
      <c r="UIL23" s="21"/>
      <c r="UIM23" s="21"/>
      <c r="UIN23" s="21"/>
      <c r="UIO23" s="21"/>
      <c r="UIP23" s="21"/>
      <c r="UIQ23" s="21"/>
      <c r="UIR23" s="21"/>
      <c r="UIS23" s="21"/>
      <c r="UIT23" s="21"/>
      <c r="UIU23" s="21"/>
      <c r="UIV23" s="21"/>
      <c r="UIW23" s="21"/>
      <c r="UIX23" s="21"/>
      <c r="UIY23" s="21"/>
      <c r="UIZ23" s="21"/>
      <c r="UJA23" s="21"/>
      <c r="UJB23" s="21"/>
      <c r="UJC23" s="21"/>
      <c r="UJD23" s="21"/>
      <c r="UJE23" s="21"/>
      <c r="UJF23" s="21"/>
      <c r="UJG23" s="21"/>
      <c r="UJH23" s="21"/>
      <c r="UJI23" s="21"/>
      <c r="UJJ23" s="21"/>
      <c r="UJK23" s="21"/>
      <c r="UJL23" s="21"/>
      <c r="UJM23" s="21"/>
      <c r="UJN23" s="21"/>
      <c r="UJO23" s="21"/>
      <c r="UJP23" s="21"/>
      <c r="UJQ23" s="21"/>
      <c r="UJR23" s="21"/>
      <c r="UJS23" s="21"/>
      <c r="UJT23" s="21"/>
      <c r="UJU23" s="21"/>
      <c r="UJV23" s="21"/>
      <c r="UJW23" s="21"/>
      <c r="UJX23" s="21"/>
      <c r="UJY23" s="21"/>
      <c r="UJZ23" s="21"/>
      <c r="UKA23" s="21"/>
      <c r="UKB23" s="21"/>
      <c r="UKC23" s="21"/>
      <c r="UKD23" s="21"/>
      <c r="UKE23" s="21"/>
      <c r="UKF23" s="21"/>
      <c r="UKG23" s="21"/>
      <c r="UKH23" s="21"/>
      <c r="UKI23" s="21"/>
      <c r="UKJ23" s="21"/>
      <c r="UKK23" s="21"/>
      <c r="UKL23" s="21"/>
      <c r="UKM23" s="21"/>
      <c r="UKN23" s="21"/>
      <c r="UKO23" s="21"/>
      <c r="UKP23" s="21"/>
      <c r="UKQ23" s="21"/>
      <c r="UKR23" s="21"/>
      <c r="UKS23" s="21"/>
      <c r="UKT23" s="21"/>
      <c r="UKU23" s="21"/>
      <c r="UKV23" s="21"/>
      <c r="UKW23" s="21"/>
      <c r="UKX23" s="21"/>
      <c r="UKY23" s="21"/>
      <c r="UKZ23" s="21"/>
      <c r="ULA23" s="21"/>
      <c r="ULB23" s="21"/>
      <c r="ULC23" s="21"/>
      <c r="ULD23" s="21"/>
      <c r="ULE23" s="21"/>
      <c r="ULF23" s="21"/>
      <c r="ULG23" s="21"/>
      <c r="ULH23" s="21"/>
      <c r="ULI23" s="21"/>
      <c r="ULJ23" s="21"/>
      <c r="ULK23" s="21"/>
      <c r="ULL23" s="21"/>
      <c r="ULM23" s="21"/>
      <c r="ULN23" s="21"/>
      <c r="ULO23" s="21"/>
      <c r="ULP23" s="21"/>
      <c r="ULQ23" s="21"/>
      <c r="ULR23" s="21"/>
      <c r="ULS23" s="21"/>
      <c r="ULT23" s="21"/>
      <c r="ULU23" s="21"/>
      <c r="ULV23" s="21"/>
      <c r="ULW23" s="21"/>
      <c r="ULX23" s="21"/>
      <c r="ULY23" s="21"/>
      <c r="ULZ23" s="21"/>
      <c r="UMA23" s="21"/>
      <c r="UMB23" s="21"/>
      <c r="UMC23" s="21"/>
      <c r="UMD23" s="21"/>
      <c r="UME23" s="21"/>
      <c r="UMF23" s="21"/>
      <c r="UMG23" s="21"/>
      <c r="UMH23" s="21"/>
      <c r="UMI23" s="21"/>
      <c r="UMJ23" s="21"/>
      <c r="UMK23" s="21"/>
      <c r="UML23" s="21"/>
      <c r="UMM23" s="21"/>
      <c r="UMN23" s="21"/>
      <c r="UMO23" s="21"/>
      <c r="UMP23" s="21"/>
      <c r="UMQ23" s="21"/>
      <c r="UMR23" s="21"/>
      <c r="UMS23" s="21"/>
      <c r="UMT23" s="21"/>
      <c r="UMU23" s="21"/>
      <c r="UMV23" s="21"/>
      <c r="UMW23" s="21"/>
      <c r="UMX23" s="21"/>
      <c r="UMY23" s="21"/>
      <c r="UMZ23" s="21"/>
      <c r="UNA23" s="21"/>
      <c r="UNB23" s="21"/>
      <c r="UNC23" s="21"/>
      <c r="UND23" s="21"/>
      <c r="UNE23" s="21"/>
      <c r="UNF23" s="21"/>
      <c r="UNG23" s="21"/>
      <c r="UNH23" s="21"/>
      <c r="UNI23" s="21"/>
      <c r="UNJ23" s="21"/>
      <c r="UNK23" s="21"/>
      <c r="UNL23" s="21"/>
      <c r="UNM23" s="21"/>
      <c r="UNN23" s="21"/>
      <c r="UNO23" s="21"/>
      <c r="UNP23" s="21"/>
      <c r="UNQ23" s="21"/>
      <c r="UNR23" s="21"/>
      <c r="UNS23" s="21"/>
      <c r="UNT23" s="21"/>
      <c r="UNU23" s="21"/>
      <c r="UNV23" s="21"/>
      <c r="UNW23" s="21"/>
      <c r="UNX23" s="21"/>
      <c r="UNY23" s="21"/>
      <c r="UNZ23" s="21"/>
      <c r="UOA23" s="21"/>
      <c r="UOB23" s="21"/>
      <c r="UOC23" s="21"/>
      <c r="UOD23" s="21"/>
      <c r="UOE23" s="21"/>
      <c r="UOF23" s="21"/>
      <c r="UOG23" s="21"/>
      <c r="UOH23" s="21"/>
      <c r="UOI23" s="21"/>
      <c r="UOJ23" s="21"/>
      <c r="UOK23" s="21"/>
      <c r="UOL23" s="21"/>
      <c r="UOM23" s="21"/>
      <c r="UON23" s="21"/>
      <c r="UOO23" s="21"/>
      <c r="UOP23" s="21"/>
      <c r="UOQ23" s="21"/>
      <c r="UOR23" s="21"/>
      <c r="UOS23" s="21"/>
      <c r="UOT23" s="21"/>
      <c r="UOU23" s="21"/>
      <c r="UOV23" s="21"/>
      <c r="UOW23" s="21"/>
      <c r="UOX23" s="21"/>
      <c r="UOY23" s="21"/>
      <c r="UOZ23" s="21"/>
      <c r="UPA23" s="21"/>
      <c r="UPB23" s="21"/>
      <c r="UPC23" s="21"/>
      <c r="UPD23" s="21"/>
      <c r="UPE23" s="21"/>
      <c r="UPF23" s="21"/>
      <c r="UPG23" s="21"/>
      <c r="UPH23" s="21"/>
      <c r="UPI23" s="21"/>
      <c r="UPJ23" s="21"/>
      <c r="UPK23" s="21"/>
      <c r="UPL23" s="21"/>
      <c r="UPM23" s="21"/>
      <c r="UPN23" s="21"/>
      <c r="UPO23" s="21"/>
      <c r="UPP23" s="21"/>
      <c r="UPQ23" s="21"/>
      <c r="UPR23" s="21"/>
      <c r="UPS23" s="21"/>
      <c r="UPT23" s="21"/>
      <c r="UPU23" s="21"/>
      <c r="UPV23" s="21"/>
      <c r="UPW23" s="21"/>
      <c r="UPX23" s="21"/>
      <c r="UPY23" s="21"/>
      <c r="UPZ23" s="21"/>
      <c r="UQA23" s="21"/>
      <c r="UQB23" s="21"/>
      <c r="UQC23" s="21"/>
      <c r="UQD23" s="21"/>
      <c r="UQE23" s="21"/>
      <c r="UQF23" s="21"/>
      <c r="UQG23" s="21"/>
      <c r="UQH23" s="21"/>
      <c r="UQI23" s="21"/>
      <c r="UQJ23" s="21"/>
      <c r="UQK23" s="21"/>
      <c r="UQL23" s="21"/>
      <c r="UQM23" s="21"/>
      <c r="UQN23" s="21"/>
      <c r="UQO23" s="21"/>
      <c r="UQP23" s="21"/>
      <c r="UQQ23" s="21"/>
      <c r="UQR23" s="21"/>
      <c r="UQS23" s="21"/>
      <c r="UQT23" s="21"/>
      <c r="UQU23" s="21"/>
      <c r="UQV23" s="21"/>
      <c r="UQW23" s="21"/>
      <c r="UQX23" s="21"/>
      <c r="UQY23" s="21"/>
      <c r="UQZ23" s="21"/>
      <c r="URA23" s="21"/>
      <c r="URB23" s="21"/>
      <c r="URC23" s="21"/>
      <c r="URD23" s="21"/>
      <c r="URE23" s="21"/>
      <c r="URF23" s="21"/>
      <c r="URG23" s="21"/>
      <c r="URH23" s="21"/>
      <c r="URI23" s="21"/>
      <c r="URJ23" s="21"/>
      <c r="URK23" s="21"/>
      <c r="URL23" s="21"/>
      <c r="URM23" s="21"/>
      <c r="URN23" s="21"/>
      <c r="URO23" s="21"/>
      <c r="URP23" s="21"/>
      <c r="URQ23" s="21"/>
      <c r="URR23" s="21"/>
      <c r="URS23" s="21"/>
      <c r="URT23" s="21"/>
      <c r="URU23" s="21"/>
      <c r="URV23" s="21"/>
      <c r="URW23" s="21"/>
      <c r="URX23" s="21"/>
      <c r="URY23" s="21"/>
      <c r="URZ23" s="21"/>
      <c r="USA23" s="21"/>
      <c r="USB23" s="21"/>
      <c r="USC23" s="21"/>
      <c r="USD23" s="21"/>
      <c r="USE23" s="21"/>
      <c r="USF23" s="21"/>
      <c r="USG23" s="21"/>
      <c r="USH23" s="21"/>
      <c r="USI23" s="21"/>
      <c r="USJ23" s="21"/>
      <c r="USK23" s="21"/>
      <c r="USL23" s="21"/>
      <c r="USM23" s="21"/>
      <c r="USN23" s="21"/>
      <c r="USO23" s="21"/>
      <c r="USP23" s="21"/>
      <c r="USQ23" s="21"/>
      <c r="USR23" s="21"/>
      <c r="USS23" s="21"/>
      <c r="UST23" s="21"/>
      <c r="USU23" s="21"/>
      <c r="USV23" s="21"/>
      <c r="USW23" s="21"/>
      <c r="USX23" s="21"/>
      <c r="USY23" s="21"/>
      <c r="USZ23" s="21"/>
      <c r="UTA23" s="21"/>
      <c r="UTB23" s="21"/>
      <c r="UTC23" s="21"/>
      <c r="UTD23" s="21"/>
      <c r="UTE23" s="21"/>
      <c r="UTF23" s="21"/>
      <c r="UTG23" s="21"/>
      <c r="UTH23" s="21"/>
      <c r="UTI23" s="21"/>
      <c r="UTJ23" s="21"/>
      <c r="UTK23" s="21"/>
      <c r="UTL23" s="21"/>
      <c r="UTM23" s="21"/>
      <c r="UTN23" s="21"/>
      <c r="UTO23" s="21"/>
      <c r="UTP23" s="21"/>
      <c r="UTQ23" s="21"/>
      <c r="UTR23" s="21"/>
      <c r="UTS23" s="21"/>
      <c r="UTT23" s="21"/>
      <c r="UTU23" s="21"/>
      <c r="UTV23" s="21"/>
      <c r="UTW23" s="21"/>
      <c r="UTX23" s="21"/>
      <c r="UTY23" s="21"/>
      <c r="UTZ23" s="21"/>
      <c r="UUA23" s="21"/>
      <c r="UUB23" s="21"/>
      <c r="UUC23" s="21"/>
      <c r="UUD23" s="21"/>
      <c r="UUE23" s="21"/>
      <c r="UUF23" s="21"/>
      <c r="UUG23" s="21"/>
      <c r="UUH23" s="21"/>
      <c r="UUI23" s="21"/>
      <c r="UUJ23" s="21"/>
      <c r="UUK23" s="21"/>
      <c r="UUL23" s="21"/>
      <c r="UUM23" s="21"/>
      <c r="UUN23" s="21"/>
      <c r="UUO23" s="21"/>
      <c r="UUP23" s="21"/>
      <c r="UUQ23" s="21"/>
      <c r="UUR23" s="21"/>
      <c r="UUS23" s="21"/>
      <c r="UUT23" s="21"/>
      <c r="UUU23" s="21"/>
      <c r="UUV23" s="21"/>
      <c r="UUW23" s="21"/>
      <c r="UUX23" s="21"/>
      <c r="UUY23" s="21"/>
      <c r="UUZ23" s="21"/>
      <c r="UVA23" s="21"/>
      <c r="UVB23" s="21"/>
      <c r="UVC23" s="21"/>
      <c r="UVD23" s="21"/>
      <c r="UVE23" s="21"/>
      <c r="UVF23" s="21"/>
      <c r="UVG23" s="21"/>
      <c r="UVH23" s="21"/>
      <c r="UVI23" s="21"/>
      <c r="UVJ23" s="21"/>
      <c r="UVK23" s="21"/>
      <c r="UVL23" s="21"/>
      <c r="UVM23" s="21"/>
      <c r="UVN23" s="21"/>
      <c r="UVO23" s="21"/>
      <c r="UVP23" s="21"/>
      <c r="UVQ23" s="21"/>
      <c r="UVR23" s="21"/>
      <c r="UVS23" s="21"/>
      <c r="UVT23" s="21"/>
      <c r="UVU23" s="21"/>
      <c r="UVV23" s="21"/>
      <c r="UVW23" s="21"/>
      <c r="UVX23" s="21"/>
      <c r="UVY23" s="21"/>
      <c r="UVZ23" s="21"/>
      <c r="UWA23" s="21"/>
      <c r="UWB23" s="21"/>
      <c r="UWC23" s="21"/>
      <c r="UWD23" s="21"/>
      <c r="UWE23" s="21"/>
      <c r="UWF23" s="21"/>
      <c r="UWG23" s="21"/>
      <c r="UWH23" s="21"/>
      <c r="UWI23" s="21"/>
      <c r="UWJ23" s="21"/>
      <c r="UWK23" s="21"/>
      <c r="UWL23" s="21"/>
      <c r="UWM23" s="21"/>
      <c r="UWN23" s="21"/>
      <c r="UWO23" s="21"/>
      <c r="UWP23" s="21"/>
      <c r="UWQ23" s="21"/>
      <c r="UWR23" s="21"/>
      <c r="UWS23" s="21"/>
      <c r="UWT23" s="21"/>
      <c r="UWU23" s="21"/>
      <c r="UWV23" s="21"/>
      <c r="UWW23" s="21"/>
      <c r="UWX23" s="21"/>
      <c r="UWY23" s="21"/>
      <c r="UWZ23" s="21"/>
      <c r="UXA23" s="21"/>
      <c r="UXB23" s="21"/>
      <c r="UXC23" s="21"/>
      <c r="UXD23" s="21"/>
      <c r="UXE23" s="21"/>
      <c r="UXF23" s="21"/>
      <c r="UXG23" s="21"/>
      <c r="UXH23" s="21"/>
      <c r="UXI23" s="21"/>
      <c r="UXJ23" s="21"/>
      <c r="UXK23" s="21"/>
      <c r="UXL23" s="21"/>
      <c r="UXM23" s="21"/>
      <c r="UXN23" s="21"/>
      <c r="UXO23" s="21"/>
      <c r="UXP23" s="21"/>
      <c r="UXQ23" s="21"/>
      <c r="UXR23" s="21"/>
      <c r="UXS23" s="21"/>
      <c r="UXT23" s="21"/>
      <c r="UXU23" s="21"/>
      <c r="UXV23" s="21"/>
      <c r="UXW23" s="21"/>
      <c r="UXX23" s="21"/>
      <c r="UXY23" s="21"/>
      <c r="UXZ23" s="21"/>
      <c r="UYA23" s="21"/>
      <c r="UYB23" s="21"/>
      <c r="UYC23" s="21"/>
      <c r="UYD23" s="21"/>
      <c r="UYE23" s="21"/>
      <c r="UYF23" s="21"/>
      <c r="UYG23" s="21"/>
      <c r="UYH23" s="21"/>
      <c r="UYI23" s="21"/>
      <c r="UYJ23" s="21"/>
      <c r="UYK23" s="21"/>
      <c r="UYL23" s="21"/>
      <c r="UYM23" s="21"/>
      <c r="UYN23" s="21"/>
      <c r="UYO23" s="21"/>
      <c r="UYP23" s="21"/>
      <c r="UYQ23" s="21"/>
      <c r="UYR23" s="21"/>
      <c r="UYS23" s="21"/>
      <c r="UYT23" s="21"/>
      <c r="UYU23" s="21"/>
      <c r="UYV23" s="21"/>
      <c r="UYW23" s="21"/>
      <c r="UYX23" s="21"/>
      <c r="UYY23" s="21"/>
      <c r="UYZ23" s="21"/>
      <c r="UZA23" s="21"/>
      <c r="UZB23" s="21"/>
      <c r="UZC23" s="21"/>
      <c r="UZD23" s="21"/>
      <c r="UZE23" s="21"/>
      <c r="UZF23" s="21"/>
      <c r="UZG23" s="21"/>
      <c r="UZH23" s="21"/>
      <c r="UZI23" s="21"/>
      <c r="UZJ23" s="21"/>
      <c r="UZK23" s="21"/>
      <c r="UZL23" s="21"/>
      <c r="UZM23" s="21"/>
      <c r="UZN23" s="21"/>
      <c r="UZO23" s="21"/>
      <c r="UZP23" s="21"/>
      <c r="UZQ23" s="21"/>
      <c r="UZR23" s="21"/>
      <c r="UZS23" s="21"/>
      <c r="UZT23" s="21"/>
      <c r="UZU23" s="21"/>
      <c r="UZV23" s="21"/>
      <c r="UZW23" s="21"/>
      <c r="UZX23" s="21"/>
      <c r="UZY23" s="21"/>
      <c r="UZZ23" s="21"/>
      <c r="VAA23" s="21"/>
      <c r="VAB23" s="21"/>
      <c r="VAC23" s="21"/>
      <c r="VAD23" s="21"/>
      <c r="VAE23" s="21"/>
      <c r="VAF23" s="21"/>
      <c r="VAG23" s="21"/>
      <c r="VAH23" s="21"/>
      <c r="VAI23" s="21"/>
      <c r="VAJ23" s="21"/>
      <c r="VAK23" s="21"/>
      <c r="VAL23" s="21"/>
      <c r="VAM23" s="21"/>
      <c r="VAN23" s="21"/>
      <c r="VAO23" s="21"/>
      <c r="VAP23" s="21"/>
      <c r="VAQ23" s="21"/>
      <c r="VAR23" s="21"/>
      <c r="VAS23" s="21"/>
      <c r="VAT23" s="21"/>
      <c r="VAU23" s="21"/>
      <c r="VAV23" s="21"/>
      <c r="VAW23" s="21"/>
      <c r="VAX23" s="21"/>
      <c r="VAY23" s="21"/>
      <c r="VAZ23" s="21"/>
      <c r="VBA23" s="21"/>
      <c r="VBB23" s="21"/>
      <c r="VBC23" s="21"/>
      <c r="VBD23" s="21"/>
      <c r="VBE23" s="21"/>
      <c r="VBF23" s="21"/>
      <c r="VBG23" s="21"/>
      <c r="VBH23" s="21"/>
      <c r="VBI23" s="21"/>
      <c r="VBJ23" s="21"/>
      <c r="VBK23" s="21"/>
      <c r="VBL23" s="21"/>
      <c r="VBM23" s="21"/>
      <c r="VBN23" s="21"/>
      <c r="VBO23" s="21"/>
      <c r="VBP23" s="21"/>
      <c r="VBQ23" s="21"/>
      <c r="VBR23" s="21"/>
      <c r="VBS23" s="21"/>
      <c r="VBT23" s="21"/>
      <c r="VBU23" s="21"/>
      <c r="VBV23" s="21"/>
      <c r="VBW23" s="21"/>
      <c r="VBX23" s="21"/>
      <c r="VBY23" s="21"/>
      <c r="VBZ23" s="21"/>
      <c r="VCA23" s="21"/>
      <c r="VCB23" s="21"/>
      <c r="VCC23" s="21"/>
      <c r="VCD23" s="21"/>
      <c r="VCE23" s="21"/>
      <c r="VCF23" s="21"/>
      <c r="VCG23" s="21"/>
      <c r="VCH23" s="21"/>
      <c r="VCI23" s="21"/>
      <c r="VCJ23" s="21"/>
      <c r="VCK23" s="21"/>
      <c r="VCL23" s="21"/>
      <c r="VCM23" s="21"/>
      <c r="VCN23" s="21"/>
      <c r="VCO23" s="21"/>
      <c r="VCP23" s="21"/>
      <c r="VCQ23" s="21"/>
      <c r="VCR23" s="21"/>
      <c r="VCS23" s="21"/>
      <c r="VCT23" s="21"/>
      <c r="VCU23" s="21"/>
      <c r="VCV23" s="21"/>
      <c r="VCW23" s="21"/>
      <c r="VCX23" s="21"/>
      <c r="VCY23" s="21"/>
      <c r="VCZ23" s="21"/>
      <c r="VDA23" s="21"/>
      <c r="VDB23" s="21"/>
      <c r="VDC23" s="21"/>
      <c r="VDD23" s="21"/>
      <c r="VDE23" s="21"/>
      <c r="VDF23" s="21"/>
      <c r="VDG23" s="21"/>
      <c r="VDH23" s="21"/>
      <c r="VDI23" s="21"/>
      <c r="VDJ23" s="21"/>
      <c r="VDK23" s="21"/>
      <c r="VDL23" s="21"/>
      <c r="VDM23" s="21"/>
      <c r="VDN23" s="21"/>
      <c r="VDO23" s="21"/>
      <c r="VDP23" s="21"/>
      <c r="VDQ23" s="21"/>
      <c r="VDR23" s="21"/>
      <c r="VDS23" s="21"/>
      <c r="VDT23" s="21"/>
      <c r="VDU23" s="21"/>
      <c r="VDV23" s="21"/>
      <c r="VDW23" s="21"/>
      <c r="VDX23" s="21"/>
      <c r="VDY23" s="21"/>
      <c r="VDZ23" s="21"/>
      <c r="VEA23" s="21"/>
      <c r="VEB23" s="21"/>
      <c r="VEC23" s="21"/>
      <c r="VED23" s="21"/>
      <c r="VEE23" s="21"/>
      <c r="VEF23" s="21"/>
      <c r="VEG23" s="21"/>
      <c r="VEH23" s="21"/>
      <c r="VEI23" s="21"/>
      <c r="VEJ23" s="21"/>
      <c r="VEK23" s="21"/>
      <c r="VEL23" s="21"/>
      <c r="VEM23" s="21"/>
      <c r="VEN23" s="21"/>
      <c r="VEO23" s="21"/>
      <c r="VEP23" s="21"/>
      <c r="VEQ23" s="21"/>
      <c r="VER23" s="21"/>
      <c r="VES23" s="21"/>
      <c r="VET23" s="21"/>
      <c r="VEU23" s="21"/>
      <c r="VEV23" s="21"/>
      <c r="VEW23" s="21"/>
      <c r="VEX23" s="21"/>
      <c r="VEY23" s="21"/>
      <c r="VEZ23" s="21"/>
      <c r="VFA23" s="21"/>
      <c r="VFB23" s="21"/>
      <c r="VFC23" s="21"/>
      <c r="VFD23" s="21"/>
      <c r="VFE23" s="21"/>
      <c r="VFF23" s="21"/>
      <c r="VFG23" s="21"/>
      <c r="VFH23" s="21"/>
      <c r="VFI23" s="21"/>
      <c r="VFJ23" s="21"/>
      <c r="VFK23" s="21"/>
      <c r="VFL23" s="21"/>
      <c r="VFM23" s="21"/>
      <c r="VFN23" s="21"/>
      <c r="VFO23" s="21"/>
      <c r="VFP23" s="21"/>
      <c r="VFQ23" s="21"/>
      <c r="VFR23" s="21"/>
      <c r="VFS23" s="21"/>
      <c r="VFT23" s="21"/>
      <c r="VFU23" s="21"/>
      <c r="VFV23" s="21"/>
      <c r="VFW23" s="21"/>
      <c r="VFX23" s="21"/>
      <c r="VFY23" s="21"/>
      <c r="VFZ23" s="21"/>
      <c r="VGA23" s="21"/>
      <c r="VGB23" s="21"/>
      <c r="VGC23" s="21"/>
      <c r="VGD23" s="21"/>
      <c r="VGE23" s="21"/>
      <c r="VGF23" s="21"/>
      <c r="VGG23" s="21"/>
      <c r="VGH23" s="21"/>
      <c r="VGI23" s="21"/>
      <c r="VGJ23" s="21"/>
      <c r="VGK23" s="21"/>
      <c r="VGL23" s="21"/>
      <c r="VGM23" s="21"/>
      <c r="VGN23" s="21"/>
      <c r="VGO23" s="21"/>
      <c r="VGP23" s="21"/>
      <c r="VGQ23" s="21"/>
      <c r="VGR23" s="21"/>
      <c r="VGS23" s="21"/>
      <c r="VGT23" s="21"/>
      <c r="VGU23" s="21"/>
      <c r="VGV23" s="21"/>
      <c r="VGW23" s="21"/>
      <c r="VGX23" s="21"/>
      <c r="VGY23" s="21"/>
      <c r="VGZ23" s="21"/>
      <c r="VHA23" s="21"/>
      <c r="VHB23" s="21"/>
      <c r="VHC23" s="21"/>
      <c r="VHD23" s="21"/>
      <c r="VHE23" s="21"/>
      <c r="VHF23" s="21"/>
      <c r="VHG23" s="21"/>
      <c r="VHH23" s="21"/>
      <c r="VHI23" s="21"/>
      <c r="VHJ23" s="21"/>
      <c r="VHK23" s="21"/>
      <c r="VHL23" s="21"/>
      <c r="VHM23" s="21"/>
      <c r="VHN23" s="21"/>
      <c r="VHO23" s="21"/>
      <c r="VHP23" s="21"/>
      <c r="VHQ23" s="21"/>
      <c r="VHR23" s="21"/>
      <c r="VHS23" s="21"/>
      <c r="VHT23" s="21"/>
      <c r="VHU23" s="21"/>
      <c r="VHV23" s="21"/>
      <c r="VHW23" s="21"/>
      <c r="VHX23" s="21"/>
      <c r="VHY23" s="21"/>
      <c r="VHZ23" s="21"/>
      <c r="VIA23" s="21"/>
      <c r="VIB23" s="21"/>
      <c r="VIC23" s="21"/>
      <c r="VID23" s="21"/>
      <c r="VIE23" s="21"/>
      <c r="VIF23" s="21"/>
      <c r="VIG23" s="21"/>
      <c r="VIH23" s="21"/>
      <c r="VII23" s="21"/>
      <c r="VIJ23" s="21"/>
      <c r="VIK23" s="21"/>
      <c r="VIL23" s="21"/>
      <c r="VIM23" s="21"/>
      <c r="VIN23" s="21"/>
      <c r="VIO23" s="21"/>
      <c r="VIP23" s="21"/>
      <c r="VIQ23" s="21"/>
      <c r="VIR23" s="21"/>
      <c r="VIS23" s="21"/>
      <c r="VIT23" s="21"/>
      <c r="VIU23" s="21"/>
      <c r="VIV23" s="21"/>
      <c r="VIW23" s="21"/>
      <c r="VIX23" s="21"/>
      <c r="VIY23" s="21"/>
      <c r="VIZ23" s="21"/>
      <c r="VJA23" s="21"/>
      <c r="VJB23" s="21"/>
      <c r="VJC23" s="21"/>
      <c r="VJD23" s="21"/>
      <c r="VJE23" s="21"/>
      <c r="VJF23" s="21"/>
      <c r="VJG23" s="21"/>
      <c r="VJH23" s="21"/>
      <c r="VJI23" s="21"/>
      <c r="VJJ23" s="21"/>
      <c r="VJK23" s="21"/>
      <c r="VJL23" s="21"/>
      <c r="VJM23" s="21"/>
      <c r="VJN23" s="21"/>
      <c r="VJO23" s="21"/>
      <c r="VJP23" s="21"/>
      <c r="VJQ23" s="21"/>
      <c r="VJR23" s="21"/>
      <c r="VJS23" s="21"/>
      <c r="VJT23" s="21"/>
      <c r="VJU23" s="21"/>
      <c r="VJV23" s="21"/>
      <c r="VJW23" s="21"/>
      <c r="VJX23" s="21"/>
      <c r="VJY23" s="21"/>
      <c r="VJZ23" s="21"/>
      <c r="VKA23" s="21"/>
      <c r="VKB23" s="21"/>
      <c r="VKC23" s="21"/>
      <c r="VKD23" s="21"/>
      <c r="VKE23" s="21"/>
      <c r="VKF23" s="21"/>
      <c r="VKG23" s="21"/>
      <c r="VKH23" s="21"/>
      <c r="VKI23" s="21"/>
      <c r="VKJ23" s="21"/>
      <c r="VKK23" s="21"/>
      <c r="VKL23" s="21"/>
      <c r="VKM23" s="21"/>
      <c r="VKN23" s="21"/>
      <c r="VKO23" s="21"/>
      <c r="VKP23" s="21"/>
      <c r="VKQ23" s="21"/>
      <c r="VKR23" s="21"/>
      <c r="VKS23" s="21"/>
      <c r="VKT23" s="21"/>
      <c r="VKU23" s="21"/>
      <c r="VKV23" s="21"/>
      <c r="VKW23" s="21"/>
      <c r="VKX23" s="21"/>
      <c r="VKY23" s="21"/>
      <c r="VKZ23" s="21"/>
      <c r="VLA23" s="21"/>
      <c r="VLB23" s="21"/>
      <c r="VLC23" s="21"/>
      <c r="VLD23" s="21"/>
      <c r="VLE23" s="21"/>
      <c r="VLF23" s="21"/>
      <c r="VLG23" s="21"/>
      <c r="VLH23" s="21"/>
      <c r="VLI23" s="21"/>
      <c r="VLJ23" s="21"/>
      <c r="VLK23" s="21"/>
      <c r="VLL23" s="21"/>
      <c r="VLM23" s="21"/>
      <c r="VLN23" s="21"/>
      <c r="VLO23" s="21"/>
      <c r="VLP23" s="21"/>
      <c r="VLQ23" s="21"/>
      <c r="VLR23" s="21"/>
      <c r="VLS23" s="21"/>
      <c r="VLT23" s="21"/>
      <c r="VLU23" s="21"/>
      <c r="VLV23" s="21"/>
      <c r="VLW23" s="21"/>
      <c r="VLX23" s="21"/>
      <c r="VLY23" s="21"/>
      <c r="VLZ23" s="21"/>
      <c r="VMA23" s="21"/>
      <c r="VMB23" s="21"/>
      <c r="VMC23" s="21"/>
      <c r="VMD23" s="21"/>
      <c r="VME23" s="21"/>
      <c r="VMF23" s="21"/>
      <c r="VMG23" s="21"/>
      <c r="VMH23" s="21"/>
      <c r="VMI23" s="21"/>
      <c r="VMJ23" s="21"/>
      <c r="VMK23" s="21"/>
      <c r="VML23" s="21"/>
      <c r="VMM23" s="21"/>
      <c r="VMN23" s="21"/>
      <c r="VMO23" s="21"/>
      <c r="VMP23" s="21"/>
      <c r="VMQ23" s="21"/>
      <c r="VMR23" s="21"/>
      <c r="VMS23" s="21"/>
      <c r="VMT23" s="21"/>
      <c r="VMU23" s="21"/>
      <c r="VMV23" s="21"/>
      <c r="VMW23" s="21"/>
      <c r="VMX23" s="21"/>
      <c r="VMY23" s="21"/>
      <c r="VMZ23" s="21"/>
      <c r="VNA23" s="21"/>
      <c r="VNB23" s="21"/>
      <c r="VNC23" s="21"/>
      <c r="VND23" s="21"/>
      <c r="VNE23" s="21"/>
      <c r="VNF23" s="21"/>
      <c r="VNG23" s="21"/>
      <c r="VNH23" s="21"/>
      <c r="VNI23" s="21"/>
      <c r="VNJ23" s="21"/>
      <c r="VNK23" s="21"/>
      <c r="VNL23" s="21"/>
      <c r="VNM23" s="21"/>
      <c r="VNN23" s="21"/>
      <c r="VNO23" s="21"/>
      <c r="VNP23" s="21"/>
      <c r="VNQ23" s="21"/>
      <c r="VNR23" s="21"/>
      <c r="VNS23" s="21"/>
      <c r="VNT23" s="21"/>
      <c r="VNU23" s="21"/>
      <c r="VNV23" s="21"/>
      <c r="VNW23" s="21"/>
      <c r="VNX23" s="21"/>
      <c r="VNY23" s="21"/>
      <c r="VNZ23" s="21"/>
      <c r="VOA23" s="21"/>
      <c r="VOB23" s="21"/>
      <c r="VOC23" s="21"/>
      <c r="VOD23" s="21"/>
      <c r="VOE23" s="21"/>
      <c r="VOF23" s="21"/>
      <c r="VOG23" s="21"/>
      <c r="VOH23" s="21"/>
      <c r="VOI23" s="21"/>
      <c r="VOJ23" s="21"/>
      <c r="VOK23" s="21"/>
      <c r="VOL23" s="21"/>
      <c r="VOM23" s="21"/>
      <c r="VON23" s="21"/>
      <c r="VOO23" s="21"/>
      <c r="VOP23" s="21"/>
      <c r="VOQ23" s="21"/>
      <c r="VOR23" s="21"/>
      <c r="VOS23" s="21"/>
      <c r="VOT23" s="21"/>
      <c r="VOU23" s="21"/>
      <c r="VOV23" s="21"/>
      <c r="VOW23" s="21"/>
      <c r="VOX23" s="21"/>
      <c r="VOY23" s="21"/>
      <c r="VOZ23" s="21"/>
      <c r="VPA23" s="21"/>
      <c r="VPB23" s="21"/>
      <c r="VPC23" s="21"/>
      <c r="VPD23" s="21"/>
      <c r="VPE23" s="21"/>
      <c r="VPF23" s="21"/>
      <c r="VPG23" s="21"/>
      <c r="VPH23" s="21"/>
      <c r="VPI23" s="21"/>
      <c r="VPJ23" s="21"/>
      <c r="VPK23" s="21"/>
      <c r="VPL23" s="21"/>
      <c r="VPM23" s="21"/>
      <c r="VPN23" s="21"/>
      <c r="VPO23" s="21"/>
      <c r="VPP23" s="21"/>
      <c r="VPQ23" s="21"/>
      <c r="VPR23" s="21"/>
      <c r="VPS23" s="21"/>
      <c r="VPT23" s="21"/>
      <c r="VPU23" s="21"/>
      <c r="VPV23" s="21"/>
      <c r="VPW23" s="21"/>
      <c r="VPX23" s="21"/>
      <c r="VPY23" s="21"/>
      <c r="VPZ23" s="21"/>
      <c r="VQA23" s="21"/>
      <c r="VQB23" s="21"/>
      <c r="VQC23" s="21"/>
      <c r="VQD23" s="21"/>
      <c r="VQE23" s="21"/>
      <c r="VQF23" s="21"/>
      <c r="VQG23" s="21"/>
      <c r="VQH23" s="21"/>
      <c r="VQI23" s="21"/>
      <c r="VQJ23" s="21"/>
      <c r="VQK23" s="21"/>
      <c r="VQL23" s="21"/>
      <c r="VQM23" s="21"/>
      <c r="VQN23" s="21"/>
      <c r="VQO23" s="21"/>
      <c r="VQP23" s="21"/>
      <c r="VQQ23" s="21"/>
      <c r="VQR23" s="21"/>
      <c r="VQS23" s="21"/>
      <c r="VQT23" s="21"/>
      <c r="VQU23" s="21"/>
      <c r="VQV23" s="21"/>
      <c r="VQW23" s="21"/>
      <c r="VQX23" s="21"/>
      <c r="VQY23" s="21"/>
      <c r="VQZ23" s="21"/>
      <c r="VRA23" s="21"/>
      <c r="VRB23" s="21"/>
      <c r="VRC23" s="21"/>
      <c r="VRD23" s="21"/>
      <c r="VRE23" s="21"/>
      <c r="VRF23" s="21"/>
      <c r="VRG23" s="21"/>
      <c r="VRH23" s="21"/>
      <c r="VRI23" s="21"/>
      <c r="VRJ23" s="21"/>
      <c r="VRK23" s="21"/>
      <c r="VRL23" s="21"/>
      <c r="VRM23" s="21"/>
      <c r="VRN23" s="21"/>
      <c r="VRO23" s="21"/>
      <c r="VRP23" s="21"/>
      <c r="VRQ23" s="21"/>
      <c r="VRR23" s="21"/>
      <c r="VRS23" s="21"/>
      <c r="VRT23" s="21"/>
      <c r="VRU23" s="21"/>
      <c r="VRV23" s="21"/>
      <c r="VRW23" s="21"/>
      <c r="VRX23" s="21"/>
      <c r="VRY23" s="21"/>
      <c r="VRZ23" s="21"/>
      <c r="VSA23" s="21"/>
      <c r="VSB23" s="21"/>
      <c r="VSC23" s="21"/>
      <c r="VSD23" s="21"/>
      <c r="VSE23" s="21"/>
      <c r="VSF23" s="21"/>
      <c r="VSG23" s="21"/>
      <c r="VSH23" s="21"/>
      <c r="VSI23" s="21"/>
      <c r="VSJ23" s="21"/>
      <c r="VSK23" s="21"/>
      <c r="VSL23" s="21"/>
      <c r="VSM23" s="21"/>
      <c r="VSN23" s="21"/>
      <c r="VSO23" s="21"/>
      <c r="VSP23" s="21"/>
      <c r="VSQ23" s="21"/>
      <c r="VSR23" s="21"/>
      <c r="VSS23" s="21"/>
      <c r="VST23" s="21"/>
      <c r="VSU23" s="21"/>
      <c r="VSV23" s="21"/>
      <c r="VSW23" s="21"/>
      <c r="VSX23" s="21"/>
      <c r="VSY23" s="21"/>
      <c r="VSZ23" s="21"/>
      <c r="VTA23" s="21"/>
      <c r="VTB23" s="21"/>
      <c r="VTC23" s="21"/>
      <c r="VTD23" s="21"/>
      <c r="VTE23" s="21"/>
      <c r="VTF23" s="21"/>
      <c r="VTG23" s="21"/>
      <c r="VTH23" s="21"/>
      <c r="VTI23" s="21"/>
      <c r="VTJ23" s="21"/>
      <c r="VTK23" s="21"/>
      <c r="VTL23" s="21"/>
      <c r="VTM23" s="21"/>
      <c r="VTN23" s="21"/>
      <c r="VTO23" s="21"/>
      <c r="VTP23" s="21"/>
      <c r="VTQ23" s="21"/>
      <c r="VTR23" s="21"/>
      <c r="VTS23" s="21"/>
      <c r="VTT23" s="21"/>
      <c r="VTU23" s="21"/>
      <c r="VTV23" s="21"/>
      <c r="VTW23" s="21"/>
      <c r="VTX23" s="21"/>
      <c r="VTY23" s="21"/>
      <c r="VTZ23" s="21"/>
      <c r="VUA23" s="21"/>
      <c r="VUB23" s="21"/>
      <c r="VUC23" s="21"/>
      <c r="VUD23" s="21"/>
      <c r="VUE23" s="21"/>
      <c r="VUF23" s="21"/>
      <c r="VUG23" s="21"/>
      <c r="VUH23" s="21"/>
      <c r="VUI23" s="21"/>
      <c r="VUJ23" s="21"/>
      <c r="VUK23" s="21"/>
      <c r="VUL23" s="21"/>
      <c r="VUM23" s="21"/>
      <c r="VUN23" s="21"/>
      <c r="VUO23" s="21"/>
      <c r="VUP23" s="21"/>
      <c r="VUQ23" s="21"/>
      <c r="VUR23" s="21"/>
      <c r="VUS23" s="21"/>
      <c r="VUT23" s="21"/>
      <c r="VUU23" s="21"/>
      <c r="VUV23" s="21"/>
      <c r="VUW23" s="21"/>
      <c r="VUX23" s="21"/>
      <c r="VUY23" s="21"/>
      <c r="VUZ23" s="21"/>
      <c r="VVA23" s="21"/>
      <c r="VVB23" s="21"/>
      <c r="VVC23" s="21"/>
      <c r="VVD23" s="21"/>
      <c r="VVE23" s="21"/>
      <c r="VVF23" s="21"/>
      <c r="VVG23" s="21"/>
      <c r="VVH23" s="21"/>
      <c r="VVI23" s="21"/>
      <c r="VVJ23" s="21"/>
      <c r="VVK23" s="21"/>
      <c r="VVL23" s="21"/>
      <c r="VVM23" s="21"/>
      <c r="VVN23" s="21"/>
      <c r="VVO23" s="21"/>
      <c r="VVP23" s="21"/>
      <c r="VVQ23" s="21"/>
      <c r="VVR23" s="21"/>
      <c r="VVS23" s="21"/>
      <c r="VVT23" s="21"/>
      <c r="VVU23" s="21"/>
      <c r="VVV23" s="21"/>
      <c r="VVW23" s="21"/>
      <c r="VVX23" s="21"/>
      <c r="VVY23" s="21"/>
      <c r="VVZ23" s="21"/>
      <c r="VWA23" s="21"/>
      <c r="VWB23" s="21"/>
      <c r="VWC23" s="21"/>
      <c r="VWD23" s="21"/>
      <c r="VWE23" s="21"/>
      <c r="VWF23" s="21"/>
      <c r="VWG23" s="21"/>
      <c r="VWH23" s="21"/>
      <c r="VWI23" s="21"/>
      <c r="VWJ23" s="21"/>
      <c r="VWK23" s="21"/>
      <c r="VWL23" s="21"/>
      <c r="VWM23" s="21"/>
      <c r="VWN23" s="21"/>
      <c r="VWO23" s="21"/>
      <c r="VWP23" s="21"/>
      <c r="VWQ23" s="21"/>
      <c r="VWR23" s="21"/>
      <c r="VWS23" s="21"/>
      <c r="VWT23" s="21"/>
      <c r="VWU23" s="21"/>
      <c r="VWV23" s="21"/>
      <c r="VWW23" s="21"/>
      <c r="VWX23" s="21"/>
      <c r="VWY23" s="21"/>
      <c r="VWZ23" s="21"/>
      <c r="VXA23" s="21"/>
      <c r="VXB23" s="21"/>
      <c r="VXC23" s="21"/>
      <c r="VXD23" s="21"/>
      <c r="VXE23" s="21"/>
      <c r="VXF23" s="21"/>
      <c r="VXG23" s="21"/>
      <c r="VXH23" s="21"/>
      <c r="VXI23" s="21"/>
      <c r="VXJ23" s="21"/>
      <c r="VXK23" s="21"/>
      <c r="VXL23" s="21"/>
      <c r="VXM23" s="21"/>
      <c r="VXN23" s="21"/>
      <c r="VXO23" s="21"/>
      <c r="VXP23" s="21"/>
      <c r="VXQ23" s="21"/>
      <c r="VXR23" s="21"/>
      <c r="VXS23" s="21"/>
      <c r="VXT23" s="21"/>
      <c r="VXU23" s="21"/>
      <c r="VXV23" s="21"/>
      <c r="VXW23" s="21"/>
      <c r="VXX23" s="21"/>
      <c r="VXY23" s="21"/>
      <c r="VXZ23" s="21"/>
      <c r="VYA23" s="21"/>
      <c r="VYB23" s="21"/>
      <c r="VYC23" s="21"/>
      <c r="VYD23" s="21"/>
      <c r="VYE23" s="21"/>
      <c r="VYF23" s="21"/>
      <c r="VYG23" s="21"/>
      <c r="VYH23" s="21"/>
      <c r="VYI23" s="21"/>
      <c r="VYJ23" s="21"/>
      <c r="VYK23" s="21"/>
      <c r="VYL23" s="21"/>
      <c r="VYM23" s="21"/>
      <c r="VYN23" s="21"/>
      <c r="VYO23" s="21"/>
      <c r="VYP23" s="21"/>
      <c r="VYQ23" s="21"/>
      <c r="VYR23" s="21"/>
      <c r="VYS23" s="21"/>
      <c r="VYT23" s="21"/>
      <c r="VYU23" s="21"/>
      <c r="VYV23" s="21"/>
      <c r="VYW23" s="21"/>
      <c r="VYX23" s="21"/>
      <c r="VYY23" s="21"/>
      <c r="VYZ23" s="21"/>
      <c r="VZA23" s="21"/>
      <c r="VZB23" s="21"/>
      <c r="VZC23" s="21"/>
      <c r="VZD23" s="21"/>
      <c r="VZE23" s="21"/>
      <c r="VZF23" s="21"/>
      <c r="VZG23" s="21"/>
      <c r="VZH23" s="21"/>
      <c r="VZI23" s="21"/>
      <c r="VZJ23" s="21"/>
      <c r="VZK23" s="21"/>
      <c r="VZL23" s="21"/>
      <c r="VZM23" s="21"/>
      <c r="VZN23" s="21"/>
      <c r="VZO23" s="21"/>
      <c r="VZP23" s="21"/>
      <c r="VZQ23" s="21"/>
      <c r="VZR23" s="21"/>
      <c r="VZS23" s="21"/>
      <c r="VZT23" s="21"/>
      <c r="VZU23" s="21"/>
      <c r="VZV23" s="21"/>
      <c r="VZW23" s="21"/>
      <c r="VZX23" s="21"/>
      <c r="VZY23" s="21"/>
      <c r="VZZ23" s="21"/>
      <c r="WAA23" s="21"/>
      <c r="WAB23" s="21"/>
      <c r="WAC23" s="21"/>
      <c r="WAD23" s="21"/>
      <c r="WAE23" s="21"/>
      <c r="WAF23" s="21"/>
      <c r="WAG23" s="21"/>
      <c r="WAH23" s="21"/>
      <c r="WAI23" s="21"/>
      <c r="WAJ23" s="21"/>
      <c r="WAK23" s="21"/>
      <c r="WAL23" s="21"/>
      <c r="WAM23" s="21"/>
      <c r="WAN23" s="21"/>
      <c r="WAO23" s="21"/>
      <c r="WAP23" s="21"/>
      <c r="WAQ23" s="21"/>
      <c r="WAR23" s="21"/>
      <c r="WAS23" s="21"/>
      <c r="WAT23" s="21"/>
      <c r="WAU23" s="21"/>
      <c r="WAV23" s="21"/>
      <c r="WAW23" s="21"/>
      <c r="WAX23" s="21"/>
      <c r="WAY23" s="21"/>
      <c r="WAZ23" s="21"/>
      <c r="WBA23" s="21"/>
      <c r="WBB23" s="21"/>
      <c r="WBC23" s="21"/>
      <c r="WBD23" s="21"/>
      <c r="WBE23" s="21"/>
      <c r="WBF23" s="21"/>
      <c r="WBG23" s="21"/>
      <c r="WBH23" s="21"/>
      <c r="WBI23" s="21"/>
      <c r="WBJ23" s="21"/>
      <c r="WBK23" s="21"/>
      <c r="WBL23" s="21"/>
      <c r="WBM23" s="21"/>
      <c r="WBN23" s="21"/>
      <c r="WBO23" s="21"/>
      <c r="WBP23" s="21"/>
      <c r="WBQ23" s="21"/>
      <c r="WBR23" s="21"/>
      <c r="WBS23" s="21"/>
      <c r="WBT23" s="21"/>
      <c r="WBU23" s="21"/>
      <c r="WBV23" s="21"/>
      <c r="WBW23" s="21"/>
      <c r="WBX23" s="21"/>
      <c r="WBY23" s="21"/>
      <c r="WBZ23" s="21"/>
      <c r="WCA23" s="21"/>
      <c r="WCB23" s="21"/>
      <c r="WCC23" s="21"/>
      <c r="WCD23" s="21"/>
      <c r="WCE23" s="21"/>
      <c r="WCF23" s="21"/>
      <c r="WCG23" s="21"/>
      <c r="WCH23" s="21"/>
      <c r="WCI23" s="21"/>
      <c r="WCJ23" s="21"/>
      <c r="WCK23" s="21"/>
      <c r="WCL23" s="21"/>
      <c r="WCM23" s="21"/>
      <c r="WCN23" s="21"/>
      <c r="WCO23" s="21"/>
      <c r="WCP23" s="21"/>
      <c r="WCQ23" s="21"/>
      <c r="WCR23" s="21"/>
      <c r="WCS23" s="21"/>
      <c r="WCT23" s="21"/>
      <c r="WCU23" s="21"/>
      <c r="WCV23" s="21"/>
      <c r="WCW23" s="21"/>
      <c r="WCX23" s="21"/>
      <c r="WCY23" s="21"/>
      <c r="WCZ23" s="21"/>
      <c r="WDA23" s="21"/>
      <c r="WDB23" s="21"/>
      <c r="WDC23" s="21"/>
      <c r="WDD23" s="21"/>
      <c r="WDE23" s="21"/>
      <c r="WDF23" s="21"/>
      <c r="WDG23" s="21"/>
      <c r="WDH23" s="21"/>
      <c r="WDI23" s="21"/>
      <c r="WDJ23" s="21"/>
      <c r="WDK23" s="21"/>
      <c r="WDL23" s="21"/>
      <c r="WDM23" s="21"/>
      <c r="WDN23" s="21"/>
      <c r="WDO23" s="21"/>
      <c r="WDP23" s="21"/>
      <c r="WDQ23" s="21"/>
      <c r="WDR23" s="21"/>
      <c r="WDS23" s="21"/>
      <c r="WDT23" s="21"/>
      <c r="WDU23" s="21"/>
      <c r="WDV23" s="21"/>
      <c r="WDW23" s="21"/>
      <c r="WDX23" s="21"/>
      <c r="WDY23" s="21"/>
      <c r="WDZ23" s="21"/>
      <c r="WEA23" s="21"/>
      <c r="WEB23" s="21"/>
      <c r="WEC23" s="21"/>
      <c r="WED23" s="21"/>
      <c r="WEE23" s="21"/>
      <c r="WEF23" s="21"/>
      <c r="WEG23" s="21"/>
      <c r="WEH23" s="21"/>
      <c r="WEI23" s="21"/>
      <c r="WEJ23" s="21"/>
      <c r="WEK23" s="21"/>
      <c r="WEL23" s="21"/>
      <c r="WEM23" s="21"/>
      <c r="WEN23" s="21"/>
      <c r="WEO23" s="21"/>
      <c r="WEP23" s="21"/>
      <c r="WEQ23" s="21"/>
      <c r="WER23" s="21"/>
      <c r="WES23" s="21"/>
      <c r="WET23" s="21"/>
      <c r="WEU23" s="21"/>
      <c r="WEV23" s="21"/>
      <c r="WEW23" s="21"/>
      <c r="WEX23" s="21"/>
      <c r="WEY23" s="21"/>
      <c r="WEZ23" s="21"/>
      <c r="WFA23" s="21"/>
      <c r="WFB23" s="21"/>
      <c r="WFC23" s="21"/>
      <c r="WFD23" s="21"/>
      <c r="WFE23" s="21"/>
      <c r="WFF23" s="21"/>
      <c r="WFG23" s="21"/>
      <c r="WFH23" s="21"/>
      <c r="WFI23" s="21"/>
      <c r="WFJ23" s="21"/>
      <c r="WFK23" s="21"/>
      <c r="WFL23" s="21"/>
      <c r="WFM23" s="21"/>
      <c r="WFN23" s="21"/>
      <c r="WFO23" s="21"/>
      <c r="WFP23" s="21"/>
      <c r="WFQ23" s="21"/>
      <c r="WFR23" s="21"/>
      <c r="WFS23" s="21"/>
      <c r="WFT23" s="21"/>
      <c r="WFU23" s="21"/>
      <c r="WFV23" s="21"/>
      <c r="WFW23" s="21"/>
      <c r="WFX23" s="21"/>
      <c r="WFY23" s="21"/>
      <c r="WFZ23" s="21"/>
      <c r="WGA23" s="21"/>
      <c r="WGB23" s="21"/>
      <c r="WGC23" s="21"/>
      <c r="WGD23" s="21"/>
      <c r="WGE23" s="21"/>
      <c r="WGF23" s="21"/>
      <c r="WGG23" s="21"/>
      <c r="WGH23" s="21"/>
      <c r="WGI23" s="21"/>
      <c r="WGJ23" s="21"/>
      <c r="WGK23" s="21"/>
      <c r="WGL23" s="21"/>
      <c r="WGM23" s="21"/>
      <c r="WGN23" s="21"/>
      <c r="WGO23" s="21"/>
      <c r="WGP23" s="21"/>
      <c r="WGQ23" s="21"/>
      <c r="WGR23" s="21"/>
      <c r="WGS23" s="21"/>
      <c r="WGT23" s="21"/>
      <c r="WGU23" s="21"/>
      <c r="WGV23" s="21"/>
      <c r="WGW23" s="21"/>
      <c r="WGX23" s="21"/>
      <c r="WGY23" s="21"/>
      <c r="WGZ23" s="21"/>
      <c r="WHA23" s="21"/>
      <c r="WHB23" s="21"/>
      <c r="WHC23" s="21"/>
      <c r="WHD23" s="21"/>
      <c r="WHE23" s="21"/>
      <c r="WHF23" s="21"/>
      <c r="WHG23" s="21"/>
      <c r="WHH23" s="21"/>
      <c r="WHI23" s="21"/>
      <c r="WHJ23" s="21"/>
      <c r="WHK23" s="21"/>
      <c r="WHL23" s="21"/>
      <c r="WHM23" s="21"/>
      <c r="WHN23" s="21"/>
      <c r="WHO23" s="21"/>
      <c r="WHP23" s="21"/>
      <c r="WHQ23" s="21"/>
      <c r="WHR23" s="21"/>
      <c r="WHS23" s="21"/>
      <c r="WHT23" s="21"/>
      <c r="WHU23" s="21"/>
      <c r="WHV23" s="21"/>
      <c r="WHW23" s="21"/>
      <c r="WHX23" s="21"/>
      <c r="WHY23" s="21"/>
      <c r="WHZ23" s="21"/>
      <c r="WIA23" s="21"/>
      <c r="WIB23" s="21"/>
      <c r="WIC23" s="21"/>
      <c r="WID23" s="21"/>
      <c r="WIE23" s="21"/>
      <c r="WIF23" s="21"/>
      <c r="WIG23" s="21"/>
      <c r="WIH23" s="21"/>
      <c r="WII23" s="21"/>
      <c r="WIJ23" s="21"/>
      <c r="WIK23" s="21"/>
      <c r="WIL23" s="21"/>
      <c r="WIM23" s="21"/>
      <c r="WIN23" s="21"/>
      <c r="WIO23" s="21"/>
      <c r="WIP23" s="21"/>
      <c r="WIQ23" s="21"/>
      <c r="WIR23" s="21"/>
      <c r="WIS23" s="21"/>
      <c r="WIT23" s="21"/>
      <c r="WIU23" s="21"/>
      <c r="WIV23" s="21"/>
      <c r="WIW23" s="21"/>
      <c r="WIX23" s="21"/>
      <c r="WIY23" s="21"/>
      <c r="WIZ23" s="21"/>
      <c r="WJA23" s="21"/>
      <c r="WJB23" s="21"/>
      <c r="WJC23" s="21"/>
      <c r="WJD23" s="21"/>
      <c r="WJE23" s="21"/>
      <c r="WJF23" s="21"/>
      <c r="WJG23" s="21"/>
      <c r="WJH23" s="21"/>
      <c r="WJI23" s="21"/>
      <c r="WJJ23" s="21"/>
      <c r="WJK23" s="21"/>
      <c r="WJL23" s="21"/>
      <c r="WJM23" s="21"/>
      <c r="WJN23" s="21"/>
      <c r="WJO23" s="21"/>
      <c r="WJP23" s="21"/>
      <c r="WJQ23" s="21"/>
      <c r="WJR23" s="21"/>
      <c r="WJS23" s="21"/>
      <c r="WJT23" s="21"/>
      <c r="WJU23" s="21"/>
      <c r="WJV23" s="21"/>
      <c r="WJW23" s="21"/>
      <c r="WJX23" s="21"/>
      <c r="WJY23" s="21"/>
      <c r="WJZ23" s="21"/>
      <c r="WKA23" s="21"/>
      <c r="WKB23" s="21"/>
      <c r="WKC23" s="21"/>
      <c r="WKD23" s="21"/>
      <c r="WKE23" s="21"/>
      <c r="WKF23" s="21"/>
      <c r="WKG23" s="21"/>
      <c r="WKH23" s="21"/>
      <c r="WKI23" s="21"/>
      <c r="WKJ23" s="21"/>
      <c r="WKK23" s="21"/>
      <c r="WKL23" s="21"/>
      <c r="WKM23" s="21"/>
      <c r="WKN23" s="21"/>
      <c r="WKO23" s="21"/>
      <c r="WKP23" s="21"/>
      <c r="WKQ23" s="21"/>
      <c r="WKR23" s="21"/>
      <c r="WKS23" s="21"/>
      <c r="WKT23" s="21"/>
      <c r="WKU23" s="21"/>
      <c r="WKV23" s="21"/>
      <c r="WKW23" s="21"/>
      <c r="WKX23" s="21"/>
      <c r="WKY23" s="21"/>
      <c r="WKZ23" s="21"/>
      <c r="WLA23" s="21"/>
      <c r="WLB23" s="21"/>
      <c r="WLC23" s="21"/>
      <c r="WLD23" s="21"/>
      <c r="WLE23" s="21"/>
      <c r="WLF23" s="21"/>
      <c r="WLG23" s="21"/>
      <c r="WLH23" s="21"/>
      <c r="WLI23" s="21"/>
      <c r="WLJ23" s="21"/>
      <c r="WLK23" s="21"/>
      <c r="WLL23" s="21"/>
      <c r="WLM23" s="21"/>
      <c r="WLN23" s="21"/>
      <c r="WLO23" s="21"/>
      <c r="WLP23" s="21"/>
      <c r="WLQ23" s="21"/>
      <c r="WLR23" s="21"/>
      <c r="WLS23" s="21"/>
      <c r="WLT23" s="21"/>
      <c r="WLU23" s="21"/>
      <c r="WLV23" s="21"/>
      <c r="WLW23" s="21"/>
      <c r="WLX23" s="21"/>
      <c r="WLY23" s="21"/>
      <c r="WLZ23" s="21"/>
      <c r="WMA23" s="21"/>
      <c r="WMB23" s="21"/>
      <c r="WMC23" s="21"/>
      <c r="WMD23" s="21"/>
      <c r="WME23" s="21"/>
      <c r="WMF23" s="21"/>
      <c r="WMG23" s="21"/>
      <c r="WMH23" s="21"/>
      <c r="WMI23" s="21"/>
      <c r="WMJ23" s="21"/>
      <c r="WMK23" s="21"/>
      <c r="WML23" s="21"/>
      <c r="WMM23" s="21"/>
      <c r="WMN23" s="21"/>
      <c r="WMO23" s="21"/>
      <c r="WMP23" s="21"/>
      <c r="WMQ23" s="21"/>
      <c r="WMR23" s="21"/>
      <c r="WMS23" s="21"/>
      <c r="WMT23" s="21"/>
      <c r="WMU23" s="21"/>
      <c r="WMV23" s="21"/>
      <c r="WMW23" s="21"/>
      <c r="WMX23" s="21"/>
      <c r="WMY23" s="21"/>
      <c r="WMZ23" s="21"/>
      <c r="WNA23" s="21"/>
      <c r="WNB23" s="21"/>
      <c r="WNC23" s="21"/>
      <c r="WND23" s="21"/>
      <c r="WNE23" s="21"/>
      <c r="WNF23" s="21"/>
      <c r="WNG23" s="21"/>
      <c r="WNH23" s="21"/>
      <c r="WNI23" s="21"/>
      <c r="WNJ23" s="21"/>
      <c r="WNK23" s="21"/>
      <c r="WNL23" s="21"/>
      <c r="WNM23" s="21"/>
      <c r="WNN23" s="21"/>
      <c r="WNO23" s="21"/>
      <c r="WNP23" s="21"/>
      <c r="WNQ23" s="21"/>
      <c r="WNR23" s="21"/>
      <c r="WNS23" s="21"/>
      <c r="WNT23" s="21"/>
      <c r="WNU23" s="21"/>
      <c r="WNV23" s="21"/>
      <c r="WNW23" s="21"/>
      <c r="WNX23" s="21"/>
      <c r="WNY23" s="21"/>
      <c r="WNZ23" s="21"/>
      <c r="WOA23" s="21"/>
      <c r="WOB23" s="21"/>
      <c r="WOC23" s="21"/>
      <c r="WOD23" s="21"/>
      <c r="WOE23" s="21"/>
      <c r="WOF23" s="21"/>
      <c r="WOG23" s="21"/>
      <c r="WOH23" s="21"/>
      <c r="WOI23" s="21"/>
      <c r="WOJ23" s="21"/>
      <c r="WOK23" s="21"/>
      <c r="WOL23" s="21"/>
      <c r="WOM23" s="21"/>
      <c r="WON23" s="21"/>
      <c r="WOO23" s="21"/>
      <c r="WOP23" s="21"/>
      <c r="WOQ23" s="21"/>
      <c r="WOR23" s="21"/>
      <c r="WOS23" s="21"/>
      <c r="WOT23" s="21"/>
      <c r="WOU23" s="21"/>
      <c r="WOV23" s="21"/>
      <c r="WOW23" s="21"/>
      <c r="WOX23" s="21"/>
      <c r="WOY23" s="21"/>
      <c r="WOZ23" s="21"/>
      <c r="WPA23" s="21"/>
      <c r="WPB23" s="21"/>
      <c r="WPC23" s="21"/>
      <c r="WPD23" s="21"/>
      <c r="WPE23" s="21"/>
      <c r="WPF23" s="21"/>
      <c r="WPG23" s="21"/>
      <c r="WPH23" s="21"/>
      <c r="WPI23" s="21"/>
      <c r="WPJ23" s="21"/>
      <c r="WPK23" s="21"/>
      <c r="WPL23" s="21"/>
      <c r="WPM23" s="21"/>
      <c r="WPN23" s="21"/>
      <c r="WPO23" s="21"/>
      <c r="WPP23" s="21"/>
      <c r="WPQ23" s="21"/>
      <c r="WPR23" s="21"/>
      <c r="WPS23" s="21"/>
      <c r="WPT23" s="21"/>
      <c r="WPU23" s="21"/>
      <c r="WPV23" s="21"/>
      <c r="WPW23" s="21"/>
      <c r="WPX23" s="21"/>
      <c r="WPY23" s="21"/>
      <c r="WPZ23" s="21"/>
      <c r="WQA23" s="21"/>
      <c r="WQB23" s="21"/>
      <c r="WQC23" s="21"/>
      <c r="WQD23" s="21"/>
      <c r="WQE23" s="21"/>
      <c r="WQF23" s="21"/>
      <c r="WQG23" s="21"/>
      <c r="WQH23" s="21"/>
      <c r="WQI23" s="21"/>
      <c r="WQJ23" s="21"/>
      <c r="WQK23" s="21"/>
      <c r="WQL23" s="21"/>
      <c r="WQM23" s="21"/>
      <c r="WQN23" s="21"/>
      <c r="WQO23" s="21"/>
      <c r="WQP23" s="21"/>
      <c r="WQQ23" s="21"/>
      <c r="WQR23" s="21"/>
      <c r="WQS23" s="21"/>
      <c r="WQT23" s="21"/>
      <c r="WQU23" s="21"/>
      <c r="WQV23" s="21"/>
      <c r="WQW23" s="21"/>
      <c r="WQX23" s="21"/>
      <c r="WQY23" s="21"/>
      <c r="WQZ23" s="21"/>
      <c r="WRA23" s="21"/>
      <c r="WRB23" s="21"/>
      <c r="WRC23" s="21"/>
      <c r="WRD23" s="21"/>
      <c r="WRE23" s="21"/>
      <c r="WRF23" s="21"/>
      <c r="WRG23" s="21"/>
      <c r="WRH23" s="21"/>
      <c r="WRI23" s="21"/>
      <c r="WRJ23" s="21"/>
      <c r="WRK23" s="21"/>
      <c r="WRL23" s="21"/>
      <c r="WRM23" s="21"/>
      <c r="WRN23" s="21"/>
      <c r="WRO23" s="21"/>
      <c r="WRP23" s="21"/>
      <c r="WRQ23" s="21"/>
      <c r="WRR23" s="21"/>
      <c r="WRS23" s="21"/>
      <c r="WRT23" s="21"/>
      <c r="WRU23" s="21"/>
      <c r="WRV23" s="21"/>
      <c r="WRW23" s="21"/>
      <c r="WRX23" s="21"/>
      <c r="WRY23" s="21"/>
      <c r="WRZ23" s="21"/>
      <c r="WSA23" s="21"/>
      <c r="WSB23" s="21"/>
      <c r="WSC23" s="21"/>
      <c r="WSD23" s="21"/>
      <c r="WSE23" s="21"/>
      <c r="WSF23" s="21"/>
      <c r="WSG23" s="21"/>
      <c r="WSH23" s="21"/>
      <c r="WSI23" s="21"/>
      <c r="WSJ23" s="21"/>
      <c r="WSK23" s="21"/>
      <c r="WSL23" s="21"/>
      <c r="WSM23" s="21"/>
      <c r="WSN23" s="21"/>
      <c r="WSO23" s="21"/>
    </row>
    <row r="24" spans="1:16384" s="1" customFormat="1" ht="14.25"/>
    <row r="25" spans="1:16384" s="1" customFormat="1">
      <c r="A25" s="3"/>
      <c r="B25" s="309" t="s">
        <v>130</v>
      </c>
      <c r="C25" s="310"/>
      <c r="D25" s="311"/>
      <c r="E25" s="312" t="s">
        <v>131</v>
      </c>
      <c r="F25" s="312"/>
      <c r="G25" s="312" t="s">
        <v>132</v>
      </c>
      <c r="H25" s="3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3"/>
      <c r="CCI25" s="3"/>
      <c r="CCJ25" s="3"/>
      <c r="CCK25" s="3"/>
      <c r="CCL25" s="3"/>
      <c r="CCM25" s="3"/>
      <c r="CCN25" s="3"/>
      <c r="CCO25" s="3"/>
      <c r="CCP25" s="3"/>
      <c r="CCQ25" s="3"/>
      <c r="CCR25" s="3"/>
      <c r="CCS25" s="3"/>
      <c r="CCT25" s="3"/>
      <c r="CCU25" s="3"/>
      <c r="CCV25" s="3"/>
      <c r="CCW25" s="3"/>
      <c r="CCX25" s="3"/>
      <c r="CCY25" s="3"/>
      <c r="CCZ25" s="3"/>
      <c r="CDA25" s="3"/>
      <c r="CDB25" s="3"/>
      <c r="CDC25" s="3"/>
      <c r="CDD25" s="3"/>
      <c r="CDE25" s="3"/>
      <c r="CDF25" s="3"/>
      <c r="CDG25" s="3"/>
      <c r="CDH25" s="3"/>
      <c r="CDI25" s="3"/>
      <c r="CDJ25" s="3"/>
      <c r="CDK25" s="3"/>
      <c r="CDL25" s="3"/>
      <c r="CDM25" s="3"/>
      <c r="CDN25" s="3"/>
      <c r="CDO25" s="3"/>
      <c r="CDP25" s="3"/>
      <c r="CDQ25" s="3"/>
      <c r="CDR25" s="3"/>
      <c r="CDS25" s="3"/>
      <c r="CDT25" s="3"/>
      <c r="CDU25" s="3"/>
      <c r="CDV25" s="3"/>
      <c r="CDW25" s="3"/>
      <c r="CDX25" s="3"/>
      <c r="CDY25" s="3"/>
      <c r="CDZ25" s="3"/>
      <c r="CEA25" s="3"/>
      <c r="CEB25" s="3"/>
      <c r="CEC25" s="3"/>
      <c r="CED25" s="3"/>
      <c r="CEE25" s="3"/>
      <c r="CEF25" s="3"/>
      <c r="CEG25" s="3"/>
      <c r="CEH25" s="3"/>
      <c r="CEI25" s="3"/>
      <c r="CEJ25" s="3"/>
      <c r="CEK25" s="3"/>
      <c r="CEL25" s="3"/>
      <c r="CEM25" s="3"/>
      <c r="CEN25" s="3"/>
      <c r="CEO25" s="3"/>
      <c r="CEP25" s="3"/>
      <c r="CEQ25" s="3"/>
      <c r="CER25" s="3"/>
      <c r="CES25" s="3"/>
      <c r="CET25" s="3"/>
      <c r="CEU25" s="3"/>
      <c r="CEV25" s="3"/>
      <c r="CEW25" s="3"/>
      <c r="CEX25" s="3"/>
      <c r="CEY25" s="3"/>
      <c r="CEZ25" s="3"/>
      <c r="CFA25" s="3"/>
      <c r="CFB25" s="3"/>
      <c r="CFC25" s="3"/>
      <c r="CFD25" s="3"/>
      <c r="CFE25" s="3"/>
      <c r="CFF25" s="3"/>
      <c r="CFG25" s="3"/>
      <c r="CFH25" s="3"/>
      <c r="CFI25" s="3"/>
      <c r="CFJ25" s="3"/>
      <c r="CFK25" s="3"/>
      <c r="CFL25" s="3"/>
      <c r="CFM25" s="3"/>
      <c r="CFN25" s="3"/>
      <c r="CFO25" s="3"/>
      <c r="CFP25" s="3"/>
      <c r="CFQ25" s="3"/>
      <c r="CFR25" s="3"/>
      <c r="CFS25" s="3"/>
      <c r="CFT25" s="3"/>
      <c r="CFU25" s="3"/>
      <c r="CFV25" s="3"/>
      <c r="CFW25" s="3"/>
      <c r="CFX25" s="3"/>
      <c r="CFY25" s="3"/>
      <c r="CFZ25" s="3"/>
      <c r="CGA25" s="3"/>
      <c r="CGB25" s="3"/>
      <c r="CGC25" s="3"/>
      <c r="CGD25" s="3"/>
      <c r="CGE25" s="3"/>
      <c r="CGF25" s="3"/>
      <c r="CGG25" s="3"/>
      <c r="CGH25" s="3"/>
      <c r="CGI25" s="3"/>
      <c r="CGJ25" s="3"/>
      <c r="CGK25" s="3"/>
      <c r="CGL25" s="3"/>
      <c r="CGM25" s="3"/>
      <c r="CGN25" s="3"/>
      <c r="CGO25" s="3"/>
      <c r="CGP25" s="3"/>
      <c r="CGQ25" s="3"/>
      <c r="CGR25" s="3"/>
      <c r="CGS25" s="3"/>
      <c r="CGT25" s="3"/>
      <c r="CGU25" s="3"/>
      <c r="CGV25" s="3"/>
      <c r="CGW25" s="3"/>
      <c r="CGX25" s="3"/>
      <c r="CGY25" s="3"/>
      <c r="CGZ25" s="3"/>
      <c r="CHA25" s="3"/>
      <c r="CHB25" s="3"/>
      <c r="CHC25" s="3"/>
      <c r="CHD25" s="3"/>
      <c r="CHE25" s="3"/>
      <c r="CHF25" s="3"/>
      <c r="CHG25" s="3"/>
      <c r="CHH25" s="3"/>
      <c r="CHI25" s="3"/>
      <c r="CHJ25" s="3"/>
      <c r="CHK25" s="3"/>
      <c r="CHL25" s="3"/>
      <c r="CHM25" s="3"/>
      <c r="CHN25" s="3"/>
      <c r="CHO25" s="3"/>
      <c r="CHP25" s="3"/>
      <c r="CHQ25" s="3"/>
      <c r="CHR25" s="3"/>
      <c r="CHS25" s="3"/>
      <c r="CHT25" s="3"/>
      <c r="CHU25" s="3"/>
      <c r="CHV25" s="3"/>
      <c r="CHW25" s="3"/>
      <c r="CHX25" s="3"/>
      <c r="CHY25" s="3"/>
      <c r="CHZ25" s="3"/>
      <c r="CIA25" s="3"/>
      <c r="CIB25" s="3"/>
      <c r="CIC25" s="3"/>
      <c r="CID25" s="3"/>
      <c r="CIE25" s="3"/>
      <c r="CIF25" s="3"/>
      <c r="CIG25" s="3"/>
      <c r="CIH25" s="3"/>
      <c r="CII25" s="3"/>
      <c r="CIJ25" s="3"/>
      <c r="CIK25" s="3"/>
      <c r="CIL25" s="3"/>
      <c r="CIM25" s="3"/>
      <c r="CIN25" s="3"/>
      <c r="CIO25" s="3"/>
      <c r="CIP25" s="3"/>
      <c r="CIQ25" s="3"/>
      <c r="CIR25" s="3"/>
      <c r="CIS25" s="3"/>
      <c r="CIT25" s="3"/>
      <c r="CIU25" s="3"/>
      <c r="CIV25" s="3"/>
      <c r="CIW25" s="3"/>
      <c r="CIX25" s="3"/>
      <c r="CIY25" s="3"/>
      <c r="CIZ25" s="3"/>
      <c r="CJA25" s="3"/>
      <c r="CJB25" s="3"/>
      <c r="CJC25" s="3"/>
      <c r="CJD25" s="3"/>
      <c r="CJE25" s="3"/>
      <c r="CJF25" s="3"/>
      <c r="CJG25" s="3"/>
      <c r="CJH25" s="3"/>
      <c r="CJI25" s="3"/>
      <c r="CJJ25" s="3"/>
      <c r="CJK25" s="3"/>
      <c r="CJL25" s="3"/>
      <c r="CJM25" s="3"/>
      <c r="CJN25" s="3"/>
      <c r="CJO25" s="3"/>
      <c r="CJP25" s="3"/>
      <c r="CJQ25" s="3"/>
      <c r="CJR25" s="3"/>
      <c r="CJS25" s="3"/>
      <c r="CJT25" s="3"/>
      <c r="CJU25" s="3"/>
      <c r="CJV25" s="3"/>
      <c r="CJW25" s="3"/>
      <c r="CJX25" s="3"/>
      <c r="CJY25" s="3"/>
      <c r="CJZ25" s="3"/>
      <c r="CKA25" s="3"/>
      <c r="CKB25" s="3"/>
      <c r="CKC25" s="3"/>
      <c r="CKD25" s="3"/>
      <c r="CKE25" s="3"/>
      <c r="CKF25" s="3"/>
      <c r="CKG25" s="3"/>
      <c r="CKH25" s="3"/>
      <c r="CKI25" s="3"/>
      <c r="CKJ25" s="3"/>
      <c r="CKK25" s="3"/>
      <c r="CKL25" s="3"/>
      <c r="CKM25" s="3"/>
      <c r="CKN25" s="3"/>
      <c r="CKO25" s="3"/>
      <c r="CKP25" s="3"/>
      <c r="CKQ25" s="3"/>
      <c r="CKR25" s="3"/>
      <c r="CKS25" s="3"/>
      <c r="CKT25" s="3"/>
      <c r="CKU25" s="3"/>
      <c r="CKV25" s="3"/>
      <c r="CKW25" s="3"/>
      <c r="CKX25" s="3"/>
      <c r="CKY25" s="3"/>
      <c r="CKZ25" s="3"/>
      <c r="CLA25" s="3"/>
      <c r="CLB25" s="3"/>
      <c r="CLC25" s="3"/>
      <c r="CLD25" s="3"/>
      <c r="CLE25" s="3"/>
      <c r="CLF25" s="3"/>
      <c r="CLG25" s="3"/>
      <c r="CLH25" s="3"/>
      <c r="CLI25" s="3"/>
      <c r="CLJ25" s="3"/>
      <c r="CLK25" s="3"/>
      <c r="CLL25" s="3"/>
      <c r="CLM25" s="3"/>
      <c r="CLN25" s="3"/>
      <c r="CLO25" s="3"/>
      <c r="CLP25" s="3"/>
      <c r="CLQ25" s="3"/>
      <c r="CLR25" s="3"/>
      <c r="CLS25" s="3"/>
      <c r="CLT25" s="3"/>
      <c r="CLU25" s="3"/>
      <c r="CLV25" s="3"/>
      <c r="CLW25" s="3"/>
      <c r="CLX25" s="3"/>
      <c r="CLY25" s="3"/>
      <c r="CLZ25" s="3"/>
      <c r="CMA25" s="3"/>
      <c r="CMB25" s="3"/>
      <c r="CMC25" s="3"/>
      <c r="CMD25" s="3"/>
      <c r="CME25" s="3"/>
      <c r="CMF25" s="3"/>
      <c r="CMG25" s="3"/>
      <c r="CMH25" s="3"/>
      <c r="CMI25" s="3"/>
      <c r="CMJ25" s="3"/>
      <c r="CMK25" s="3"/>
      <c r="CML25" s="3"/>
      <c r="CMM25" s="3"/>
      <c r="CMN25" s="3"/>
      <c r="CMO25" s="3"/>
      <c r="CMP25" s="3"/>
      <c r="CMQ25" s="3"/>
      <c r="CMR25" s="3"/>
      <c r="CMS25" s="3"/>
      <c r="CMT25" s="3"/>
      <c r="CMU25" s="3"/>
      <c r="CMV25" s="3"/>
      <c r="CMW25" s="3"/>
      <c r="CMX25" s="3"/>
      <c r="CMY25" s="3"/>
      <c r="CMZ25" s="3"/>
      <c r="CNA25" s="3"/>
      <c r="CNB25" s="3"/>
      <c r="CNC25" s="3"/>
      <c r="CND25" s="3"/>
      <c r="CNE25" s="3"/>
      <c r="CNF25" s="3"/>
      <c r="CNG25" s="3"/>
      <c r="CNH25" s="3"/>
      <c r="CNI25" s="3"/>
      <c r="CNJ25" s="3"/>
      <c r="CNK25" s="3"/>
      <c r="CNL25" s="3"/>
      <c r="CNM25" s="3"/>
      <c r="CNN25" s="3"/>
      <c r="CNO25" s="3"/>
      <c r="CNP25" s="3"/>
      <c r="CNQ25" s="3"/>
      <c r="CNR25" s="3"/>
      <c r="CNS25" s="3"/>
      <c r="CNT25" s="3"/>
      <c r="CNU25" s="3"/>
      <c r="CNV25" s="3"/>
      <c r="CNW25" s="3"/>
      <c r="CNX25" s="3"/>
      <c r="CNY25" s="3"/>
      <c r="CNZ25" s="3"/>
      <c r="COA25" s="3"/>
      <c r="COB25" s="3"/>
      <c r="COC25" s="3"/>
      <c r="COD25" s="3"/>
      <c r="COE25" s="3"/>
      <c r="COF25" s="3"/>
      <c r="COG25" s="3"/>
      <c r="COH25" s="3"/>
      <c r="COI25" s="3"/>
      <c r="COJ25" s="3"/>
      <c r="COK25" s="3"/>
      <c r="COL25" s="3"/>
      <c r="COM25" s="3"/>
      <c r="CON25" s="3"/>
      <c r="COO25" s="3"/>
      <c r="COP25" s="3"/>
      <c r="COQ25" s="3"/>
      <c r="COR25" s="3"/>
      <c r="COS25" s="3"/>
      <c r="COT25" s="3"/>
      <c r="COU25" s="3"/>
      <c r="COV25" s="3"/>
      <c r="COW25" s="3"/>
      <c r="COX25" s="3"/>
      <c r="COY25" s="3"/>
      <c r="COZ25" s="3"/>
      <c r="CPA25" s="3"/>
      <c r="CPB25" s="3"/>
      <c r="CPC25" s="3"/>
      <c r="CPD25" s="3"/>
      <c r="CPE25" s="3"/>
      <c r="CPF25" s="3"/>
      <c r="CPG25" s="3"/>
      <c r="CPH25" s="3"/>
      <c r="CPI25" s="3"/>
      <c r="CPJ25" s="3"/>
      <c r="CPK25" s="3"/>
      <c r="CPL25" s="3"/>
      <c r="CPM25" s="3"/>
      <c r="CPN25" s="3"/>
      <c r="CPO25" s="3"/>
      <c r="CPP25" s="3"/>
      <c r="CPQ25" s="3"/>
      <c r="CPR25" s="3"/>
      <c r="CPS25" s="3"/>
      <c r="CPT25" s="3"/>
      <c r="CPU25" s="3"/>
      <c r="CPV25" s="3"/>
      <c r="CPW25" s="3"/>
      <c r="CPX25" s="3"/>
      <c r="CPY25" s="3"/>
      <c r="CPZ25" s="3"/>
      <c r="CQA25" s="3"/>
      <c r="CQB25" s="3"/>
      <c r="CQC25" s="3"/>
      <c r="CQD25" s="3"/>
      <c r="CQE25" s="3"/>
      <c r="CQF25" s="3"/>
      <c r="CQG25" s="3"/>
      <c r="CQH25" s="3"/>
      <c r="CQI25" s="3"/>
      <c r="CQJ25" s="3"/>
      <c r="CQK25" s="3"/>
      <c r="CQL25" s="3"/>
      <c r="CQM25" s="3"/>
      <c r="CQN25" s="3"/>
      <c r="CQO25" s="3"/>
      <c r="CQP25" s="3"/>
      <c r="CQQ25" s="3"/>
      <c r="CQR25" s="3"/>
      <c r="CQS25" s="3"/>
      <c r="CQT25" s="3"/>
      <c r="CQU25" s="3"/>
      <c r="CQV25" s="3"/>
      <c r="CQW25" s="3"/>
      <c r="CQX25" s="3"/>
      <c r="CQY25" s="3"/>
      <c r="CQZ25" s="3"/>
      <c r="CRA25" s="3"/>
      <c r="CRB25" s="3"/>
      <c r="CRC25" s="3"/>
      <c r="CRD25" s="3"/>
      <c r="CRE25" s="3"/>
      <c r="CRF25" s="3"/>
      <c r="CRG25" s="3"/>
      <c r="CRH25" s="3"/>
      <c r="CRI25" s="3"/>
      <c r="CRJ25" s="3"/>
      <c r="CRK25" s="3"/>
      <c r="CRL25" s="3"/>
      <c r="CRM25" s="3"/>
      <c r="CRN25" s="3"/>
      <c r="CRO25" s="3"/>
      <c r="CRP25" s="3"/>
      <c r="CRQ25" s="3"/>
      <c r="CRR25" s="3"/>
      <c r="CRS25" s="3"/>
      <c r="CRT25" s="3"/>
      <c r="CRU25" s="3"/>
      <c r="CRV25" s="3"/>
      <c r="CRW25" s="3"/>
      <c r="CRX25" s="3"/>
      <c r="CRY25" s="3"/>
      <c r="CRZ25" s="3"/>
      <c r="CSA25" s="3"/>
      <c r="CSB25" s="3"/>
      <c r="CSC25" s="3"/>
      <c r="CSD25" s="3"/>
      <c r="CSE25" s="3"/>
      <c r="CSF25" s="3"/>
      <c r="CSG25" s="3"/>
      <c r="CSH25" s="3"/>
      <c r="CSI25" s="3"/>
      <c r="CSJ25" s="3"/>
      <c r="CSK25" s="3"/>
      <c r="CSL25" s="3"/>
      <c r="CSM25" s="3"/>
      <c r="CSN25" s="3"/>
      <c r="CSO25" s="3"/>
      <c r="CSP25" s="3"/>
      <c r="CSQ25" s="3"/>
      <c r="CSR25" s="3"/>
      <c r="CSS25" s="3"/>
      <c r="CST25" s="3"/>
      <c r="CSU25" s="3"/>
      <c r="CSV25" s="3"/>
      <c r="CSW25" s="3"/>
      <c r="CSX25" s="3"/>
      <c r="CSY25" s="3"/>
      <c r="CSZ25" s="3"/>
      <c r="CTA25" s="3"/>
      <c r="CTB25" s="3"/>
      <c r="CTC25" s="3"/>
      <c r="CTD25" s="3"/>
      <c r="CTE25" s="3"/>
      <c r="CTF25" s="3"/>
      <c r="CTG25" s="3"/>
      <c r="CTH25" s="3"/>
      <c r="CTI25" s="3"/>
      <c r="CTJ25" s="3"/>
      <c r="CTK25" s="3"/>
      <c r="CTL25" s="3"/>
      <c r="CTM25" s="3"/>
      <c r="CTN25" s="3"/>
      <c r="CTO25" s="3"/>
      <c r="CTP25" s="3"/>
      <c r="CTQ25" s="3"/>
      <c r="CTR25" s="3"/>
      <c r="CTS25" s="3"/>
      <c r="CTT25" s="3"/>
      <c r="CTU25" s="3"/>
      <c r="CTV25" s="3"/>
      <c r="CTW25" s="3"/>
      <c r="CTX25" s="3"/>
      <c r="CTY25" s="3"/>
      <c r="CTZ25" s="3"/>
      <c r="CUA25" s="3"/>
      <c r="CUB25" s="3"/>
      <c r="CUC25" s="3"/>
      <c r="CUD25" s="3"/>
      <c r="CUE25" s="3"/>
      <c r="CUF25" s="3"/>
      <c r="CUG25" s="3"/>
      <c r="CUH25" s="3"/>
      <c r="CUI25" s="3"/>
      <c r="CUJ25" s="3"/>
      <c r="CUK25" s="3"/>
      <c r="CUL25" s="3"/>
      <c r="CUM25" s="3"/>
      <c r="CUN25" s="3"/>
      <c r="CUO25" s="3"/>
      <c r="CUP25" s="3"/>
      <c r="CUQ25" s="3"/>
      <c r="CUR25" s="3"/>
      <c r="CUS25" s="3"/>
      <c r="CUT25" s="3"/>
      <c r="CUU25" s="3"/>
      <c r="CUV25" s="3"/>
      <c r="CUW25" s="3"/>
      <c r="CUX25" s="3"/>
      <c r="CUY25" s="3"/>
      <c r="CUZ25" s="3"/>
      <c r="CVA25" s="3"/>
      <c r="CVB25" s="3"/>
      <c r="CVC25" s="3"/>
      <c r="CVD25" s="3"/>
      <c r="CVE25" s="3"/>
      <c r="CVF25" s="3"/>
      <c r="CVG25" s="3"/>
      <c r="CVH25" s="3"/>
      <c r="CVI25" s="3"/>
      <c r="CVJ25" s="3"/>
      <c r="CVK25" s="3"/>
      <c r="CVL25" s="3"/>
      <c r="CVM25" s="3"/>
      <c r="CVN25" s="3"/>
      <c r="CVO25" s="3"/>
      <c r="CVP25" s="3"/>
      <c r="CVQ25" s="3"/>
      <c r="CVR25" s="3"/>
      <c r="CVS25" s="3"/>
      <c r="CVT25" s="3"/>
      <c r="CVU25" s="3"/>
      <c r="CVV25" s="3"/>
      <c r="CVW25" s="3"/>
      <c r="CVX25" s="3"/>
      <c r="CVY25" s="3"/>
      <c r="CVZ25" s="3"/>
      <c r="CWA25" s="3"/>
      <c r="CWB25" s="3"/>
      <c r="CWC25" s="3"/>
      <c r="CWD25" s="3"/>
      <c r="CWE25" s="3"/>
      <c r="CWF25" s="3"/>
      <c r="CWG25" s="3"/>
      <c r="CWH25" s="3"/>
      <c r="CWI25" s="3"/>
      <c r="CWJ25" s="3"/>
      <c r="CWK25" s="3"/>
      <c r="CWL25" s="3"/>
      <c r="CWM25" s="3"/>
      <c r="CWN25" s="3"/>
      <c r="CWO25" s="3"/>
      <c r="CWP25" s="3"/>
      <c r="CWQ25" s="3"/>
      <c r="CWR25" s="3"/>
      <c r="CWS25" s="3"/>
      <c r="CWT25" s="3"/>
      <c r="CWU25" s="3"/>
      <c r="CWV25" s="3"/>
      <c r="CWW25" s="3"/>
      <c r="CWX25" s="3"/>
      <c r="CWY25" s="3"/>
      <c r="CWZ25" s="3"/>
      <c r="CXA25" s="3"/>
      <c r="CXB25" s="3"/>
      <c r="CXC25" s="3"/>
      <c r="CXD25" s="3"/>
      <c r="CXE25" s="3"/>
      <c r="CXF25" s="3"/>
      <c r="CXG25" s="3"/>
      <c r="CXH25" s="3"/>
      <c r="CXI25" s="3"/>
      <c r="CXJ25" s="3"/>
      <c r="CXK25" s="3"/>
      <c r="CXL25" s="3"/>
      <c r="CXM25" s="3"/>
      <c r="CXN25" s="3"/>
      <c r="CXO25" s="3"/>
      <c r="CXP25" s="3"/>
      <c r="CXQ25" s="3"/>
      <c r="CXR25" s="3"/>
      <c r="CXS25" s="3"/>
      <c r="CXT25" s="3"/>
      <c r="CXU25" s="3"/>
      <c r="CXV25" s="3"/>
      <c r="CXW25" s="3"/>
      <c r="CXX25" s="3"/>
      <c r="CXY25" s="3"/>
      <c r="CXZ25" s="3"/>
      <c r="CYA25" s="3"/>
      <c r="CYB25" s="3"/>
      <c r="CYC25" s="3"/>
      <c r="CYD25" s="3"/>
      <c r="CYE25" s="3"/>
      <c r="CYF25" s="3"/>
      <c r="CYG25" s="3"/>
      <c r="CYH25" s="3"/>
      <c r="CYI25" s="3"/>
      <c r="CYJ25" s="3"/>
      <c r="CYK25" s="3"/>
      <c r="CYL25" s="3"/>
      <c r="CYM25" s="3"/>
      <c r="CYN25" s="3"/>
      <c r="CYO25" s="3"/>
      <c r="CYP25" s="3"/>
      <c r="CYQ25" s="3"/>
      <c r="CYR25" s="3"/>
      <c r="CYS25" s="3"/>
      <c r="CYT25" s="3"/>
      <c r="CYU25" s="3"/>
      <c r="CYV25" s="3"/>
      <c r="CYW25" s="3"/>
      <c r="CYX25" s="3"/>
      <c r="CYY25" s="3"/>
      <c r="CYZ25" s="3"/>
      <c r="CZA25" s="3"/>
      <c r="CZB25" s="3"/>
      <c r="CZC25" s="3"/>
      <c r="CZD25" s="3"/>
      <c r="CZE25" s="3"/>
      <c r="CZF25" s="3"/>
      <c r="CZG25" s="3"/>
      <c r="CZH25" s="3"/>
      <c r="CZI25" s="3"/>
      <c r="CZJ25" s="3"/>
      <c r="CZK25" s="3"/>
      <c r="CZL25" s="3"/>
      <c r="CZM25" s="3"/>
      <c r="CZN25" s="3"/>
      <c r="CZO25" s="3"/>
      <c r="CZP25" s="3"/>
      <c r="CZQ25" s="3"/>
      <c r="CZR25" s="3"/>
      <c r="CZS25" s="3"/>
      <c r="CZT25" s="3"/>
      <c r="CZU25" s="3"/>
      <c r="CZV25" s="3"/>
      <c r="CZW25" s="3"/>
      <c r="CZX25" s="3"/>
      <c r="CZY25" s="3"/>
      <c r="CZZ25" s="3"/>
      <c r="DAA25" s="3"/>
      <c r="DAB25" s="3"/>
      <c r="DAC25" s="3"/>
      <c r="DAD25" s="3"/>
      <c r="DAE25" s="3"/>
      <c r="DAF25" s="3"/>
      <c r="DAG25" s="3"/>
      <c r="DAH25" s="3"/>
      <c r="DAI25" s="3"/>
      <c r="DAJ25" s="3"/>
      <c r="DAK25" s="3"/>
      <c r="DAL25" s="3"/>
      <c r="DAM25" s="3"/>
      <c r="DAN25" s="3"/>
      <c r="DAO25" s="3"/>
      <c r="DAP25" s="3"/>
      <c r="DAQ25" s="3"/>
      <c r="DAR25" s="3"/>
      <c r="DAS25" s="3"/>
      <c r="DAT25" s="3"/>
      <c r="DAU25" s="3"/>
      <c r="DAV25" s="3"/>
      <c r="DAW25" s="3"/>
      <c r="DAX25" s="3"/>
      <c r="DAY25" s="3"/>
      <c r="DAZ25" s="3"/>
      <c r="DBA25" s="3"/>
      <c r="DBB25" s="3"/>
      <c r="DBC25" s="3"/>
      <c r="DBD25" s="3"/>
      <c r="DBE25" s="3"/>
      <c r="DBF25" s="3"/>
      <c r="DBG25" s="3"/>
      <c r="DBH25" s="3"/>
      <c r="DBI25" s="3"/>
      <c r="DBJ25" s="3"/>
      <c r="DBK25" s="3"/>
      <c r="DBL25" s="3"/>
      <c r="DBM25" s="3"/>
      <c r="DBN25" s="3"/>
      <c r="DBO25" s="3"/>
      <c r="DBP25" s="3"/>
      <c r="DBQ25" s="3"/>
      <c r="DBR25" s="3"/>
      <c r="DBS25" s="3"/>
      <c r="DBT25" s="3"/>
      <c r="DBU25" s="3"/>
      <c r="DBV25" s="3"/>
      <c r="DBW25" s="3"/>
      <c r="DBX25" s="3"/>
      <c r="DBY25" s="3"/>
      <c r="DBZ25" s="3"/>
      <c r="DCA25" s="3"/>
      <c r="DCB25" s="3"/>
      <c r="DCC25" s="3"/>
      <c r="DCD25" s="3"/>
      <c r="DCE25" s="3"/>
      <c r="DCF25" s="3"/>
      <c r="DCG25" s="3"/>
      <c r="DCH25" s="3"/>
      <c r="DCI25" s="3"/>
      <c r="DCJ25" s="3"/>
      <c r="DCK25" s="3"/>
      <c r="DCL25" s="3"/>
      <c r="DCM25" s="3"/>
      <c r="DCN25" s="3"/>
      <c r="DCO25" s="3"/>
      <c r="DCP25" s="3"/>
      <c r="DCQ25" s="3"/>
      <c r="DCR25" s="3"/>
      <c r="DCS25" s="3"/>
      <c r="DCT25" s="3"/>
      <c r="DCU25" s="3"/>
      <c r="DCV25" s="3"/>
      <c r="DCW25" s="3"/>
      <c r="DCX25" s="3"/>
      <c r="DCY25" s="3"/>
      <c r="DCZ25" s="3"/>
      <c r="DDA25" s="3"/>
      <c r="DDB25" s="3"/>
      <c r="DDC25" s="3"/>
      <c r="DDD25" s="3"/>
      <c r="DDE25" s="3"/>
      <c r="DDF25" s="3"/>
      <c r="DDG25" s="3"/>
      <c r="DDH25" s="3"/>
      <c r="DDI25" s="3"/>
      <c r="DDJ25" s="3"/>
      <c r="DDK25" s="3"/>
      <c r="DDL25" s="3"/>
      <c r="DDM25" s="3"/>
      <c r="DDN25" s="3"/>
      <c r="DDO25" s="3"/>
      <c r="DDP25" s="3"/>
      <c r="DDQ25" s="3"/>
      <c r="DDR25" s="3"/>
      <c r="DDS25" s="3"/>
      <c r="DDT25" s="3"/>
      <c r="DDU25" s="3"/>
      <c r="DDV25" s="3"/>
      <c r="DDW25" s="3"/>
      <c r="DDX25" s="3"/>
      <c r="DDY25" s="3"/>
      <c r="DDZ25" s="3"/>
      <c r="DEA25" s="3"/>
      <c r="DEB25" s="3"/>
      <c r="DEC25" s="3"/>
      <c r="DED25" s="3"/>
      <c r="DEE25" s="3"/>
      <c r="DEF25" s="3"/>
      <c r="DEG25" s="3"/>
      <c r="DEH25" s="3"/>
      <c r="DEI25" s="3"/>
      <c r="DEJ25" s="3"/>
      <c r="DEK25" s="3"/>
      <c r="DEL25" s="3"/>
      <c r="DEM25" s="3"/>
      <c r="DEN25" s="3"/>
      <c r="DEO25" s="3"/>
      <c r="DEP25" s="3"/>
      <c r="DEQ25" s="3"/>
      <c r="DER25" s="3"/>
      <c r="DES25" s="3"/>
      <c r="DET25" s="3"/>
      <c r="DEU25" s="3"/>
      <c r="DEV25" s="3"/>
      <c r="DEW25" s="3"/>
      <c r="DEX25" s="3"/>
      <c r="DEY25" s="3"/>
      <c r="DEZ25" s="3"/>
      <c r="DFA25" s="3"/>
      <c r="DFB25" s="3"/>
      <c r="DFC25" s="3"/>
      <c r="DFD25" s="3"/>
      <c r="DFE25" s="3"/>
      <c r="DFF25" s="3"/>
      <c r="DFG25" s="3"/>
      <c r="DFH25" s="3"/>
      <c r="DFI25" s="3"/>
      <c r="DFJ25" s="3"/>
      <c r="DFK25" s="3"/>
      <c r="DFL25" s="3"/>
      <c r="DFM25" s="3"/>
      <c r="DFN25" s="3"/>
      <c r="DFO25" s="3"/>
      <c r="DFP25" s="3"/>
      <c r="DFQ25" s="3"/>
      <c r="DFR25" s="3"/>
      <c r="DFS25" s="3"/>
      <c r="DFT25" s="3"/>
      <c r="DFU25" s="3"/>
      <c r="DFV25" s="3"/>
      <c r="DFW25" s="3"/>
      <c r="DFX25" s="3"/>
      <c r="DFY25" s="3"/>
      <c r="DFZ25" s="3"/>
      <c r="DGA25" s="3"/>
      <c r="DGB25" s="3"/>
      <c r="DGC25" s="3"/>
      <c r="DGD25" s="3"/>
      <c r="DGE25" s="3"/>
      <c r="DGF25" s="3"/>
      <c r="DGG25" s="3"/>
      <c r="DGH25" s="3"/>
      <c r="DGI25" s="3"/>
      <c r="DGJ25" s="3"/>
      <c r="DGK25" s="3"/>
      <c r="DGL25" s="3"/>
      <c r="DGM25" s="3"/>
      <c r="DGN25" s="3"/>
      <c r="DGO25" s="3"/>
      <c r="DGP25" s="3"/>
      <c r="DGQ25" s="3"/>
      <c r="DGR25" s="3"/>
      <c r="DGS25" s="3"/>
      <c r="DGT25" s="3"/>
      <c r="DGU25" s="3"/>
      <c r="DGV25" s="3"/>
      <c r="DGW25" s="3"/>
      <c r="DGX25" s="3"/>
      <c r="DGY25" s="3"/>
      <c r="DGZ25" s="3"/>
      <c r="DHA25" s="3"/>
      <c r="DHB25" s="3"/>
      <c r="DHC25" s="3"/>
      <c r="DHD25" s="3"/>
      <c r="DHE25" s="3"/>
      <c r="DHF25" s="3"/>
      <c r="DHG25" s="3"/>
      <c r="DHH25" s="3"/>
      <c r="DHI25" s="3"/>
      <c r="DHJ25" s="3"/>
      <c r="DHK25" s="3"/>
      <c r="DHL25" s="3"/>
      <c r="DHM25" s="3"/>
      <c r="DHN25" s="3"/>
      <c r="DHO25" s="3"/>
      <c r="DHP25" s="3"/>
      <c r="DHQ25" s="3"/>
      <c r="DHR25" s="3"/>
      <c r="DHS25" s="3"/>
      <c r="DHT25" s="3"/>
      <c r="DHU25" s="3"/>
      <c r="DHV25" s="3"/>
      <c r="DHW25" s="3"/>
      <c r="DHX25" s="3"/>
      <c r="DHY25" s="3"/>
      <c r="DHZ25" s="3"/>
      <c r="DIA25" s="3"/>
      <c r="DIB25" s="3"/>
      <c r="DIC25" s="3"/>
      <c r="DID25" s="3"/>
      <c r="DIE25" s="3"/>
      <c r="DIF25" s="3"/>
      <c r="DIG25" s="3"/>
      <c r="DIH25" s="3"/>
      <c r="DII25" s="3"/>
      <c r="DIJ25" s="3"/>
      <c r="DIK25" s="3"/>
      <c r="DIL25" s="3"/>
      <c r="DIM25" s="3"/>
      <c r="DIN25" s="3"/>
      <c r="DIO25" s="3"/>
      <c r="DIP25" s="3"/>
      <c r="DIQ25" s="3"/>
      <c r="DIR25" s="3"/>
      <c r="DIS25" s="3"/>
      <c r="DIT25" s="3"/>
      <c r="DIU25" s="3"/>
      <c r="DIV25" s="3"/>
      <c r="DIW25" s="3"/>
      <c r="DIX25" s="3"/>
      <c r="DIY25" s="3"/>
      <c r="DIZ25" s="3"/>
      <c r="DJA25" s="3"/>
      <c r="DJB25" s="3"/>
      <c r="DJC25" s="3"/>
      <c r="DJD25" s="3"/>
      <c r="DJE25" s="3"/>
      <c r="DJF25" s="3"/>
      <c r="DJG25" s="3"/>
      <c r="DJH25" s="3"/>
      <c r="DJI25" s="3"/>
      <c r="DJJ25" s="3"/>
      <c r="DJK25" s="3"/>
      <c r="DJL25" s="3"/>
      <c r="DJM25" s="3"/>
      <c r="DJN25" s="3"/>
      <c r="DJO25" s="3"/>
      <c r="DJP25" s="3"/>
      <c r="DJQ25" s="3"/>
      <c r="DJR25" s="3"/>
      <c r="DJS25" s="3"/>
      <c r="DJT25" s="3"/>
      <c r="DJU25" s="3"/>
      <c r="DJV25" s="3"/>
      <c r="DJW25" s="3"/>
      <c r="DJX25" s="3"/>
      <c r="DJY25" s="3"/>
      <c r="DJZ25" s="3"/>
      <c r="DKA25" s="3"/>
      <c r="DKB25" s="3"/>
      <c r="DKC25" s="3"/>
      <c r="DKD25" s="3"/>
      <c r="DKE25" s="3"/>
      <c r="DKF25" s="3"/>
      <c r="DKG25" s="3"/>
      <c r="DKH25" s="3"/>
      <c r="DKI25" s="3"/>
      <c r="DKJ25" s="3"/>
      <c r="DKK25" s="3"/>
      <c r="DKL25" s="3"/>
      <c r="DKM25" s="3"/>
      <c r="DKN25" s="3"/>
      <c r="DKO25" s="3"/>
      <c r="DKP25" s="3"/>
      <c r="DKQ25" s="3"/>
      <c r="DKR25" s="3"/>
      <c r="DKS25" s="3"/>
      <c r="DKT25" s="3"/>
      <c r="DKU25" s="3"/>
      <c r="DKV25" s="3"/>
      <c r="DKW25" s="3"/>
      <c r="DKX25" s="3"/>
      <c r="DKY25" s="3"/>
      <c r="DKZ25" s="3"/>
      <c r="DLA25" s="3"/>
      <c r="DLB25" s="3"/>
      <c r="DLC25" s="3"/>
      <c r="DLD25" s="3"/>
      <c r="DLE25" s="3"/>
      <c r="DLF25" s="3"/>
      <c r="DLG25" s="3"/>
      <c r="DLH25" s="3"/>
      <c r="DLI25" s="3"/>
      <c r="DLJ25" s="3"/>
      <c r="DLK25" s="3"/>
      <c r="DLL25" s="3"/>
      <c r="DLM25" s="3"/>
      <c r="DLN25" s="3"/>
      <c r="DLO25" s="3"/>
      <c r="DLP25" s="3"/>
      <c r="DLQ25" s="3"/>
      <c r="DLR25" s="3"/>
      <c r="DLS25" s="3"/>
      <c r="DLT25" s="3"/>
      <c r="DLU25" s="3"/>
      <c r="DLV25" s="3"/>
      <c r="DLW25" s="3"/>
      <c r="DLX25" s="3"/>
      <c r="DLY25" s="3"/>
      <c r="DLZ25" s="3"/>
      <c r="DMA25" s="3"/>
      <c r="DMB25" s="3"/>
      <c r="DMC25" s="3"/>
      <c r="DMD25" s="3"/>
      <c r="DME25" s="3"/>
      <c r="DMF25" s="3"/>
      <c r="DMG25" s="3"/>
      <c r="DMH25" s="3"/>
      <c r="DMI25" s="3"/>
      <c r="DMJ25" s="3"/>
      <c r="DMK25" s="3"/>
      <c r="DML25" s="3"/>
      <c r="DMM25" s="3"/>
      <c r="DMN25" s="3"/>
      <c r="DMO25" s="3"/>
      <c r="DMP25" s="3"/>
      <c r="DMQ25" s="3"/>
      <c r="DMR25" s="3"/>
      <c r="DMS25" s="3"/>
      <c r="DMT25" s="3"/>
      <c r="DMU25" s="3"/>
      <c r="DMV25" s="3"/>
      <c r="DMW25" s="3"/>
      <c r="DMX25" s="3"/>
      <c r="DMY25" s="3"/>
      <c r="DMZ25" s="3"/>
      <c r="DNA25" s="3"/>
      <c r="DNB25" s="3"/>
      <c r="DNC25" s="3"/>
      <c r="DND25" s="3"/>
      <c r="DNE25" s="3"/>
      <c r="DNF25" s="3"/>
      <c r="DNG25" s="3"/>
      <c r="DNH25" s="3"/>
      <c r="DNI25" s="3"/>
      <c r="DNJ25" s="3"/>
      <c r="DNK25" s="3"/>
      <c r="DNL25" s="3"/>
      <c r="DNM25" s="3"/>
      <c r="DNN25" s="3"/>
      <c r="DNO25" s="3"/>
      <c r="DNP25" s="3"/>
      <c r="DNQ25" s="3"/>
      <c r="DNR25" s="3"/>
      <c r="DNS25" s="3"/>
      <c r="DNT25" s="3"/>
      <c r="DNU25" s="3"/>
      <c r="DNV25" s="3"/>
      <c r="DNW25" s="3"/>
      <c r="DNX25" s="3"/>
      <c r="DNY25" s="3"/>
      <c r="DNZ25" s="3"/>
      <c r="DOA25" s="3"/>
      <c r="DOB25" s="3"/>
      <c r="DOC25" s="3"/>
      <c r="DOD25" s="3"/>
      <c r="DOE25" s="3"/>
      <c r="DOF25" s="3"/>
      <c r="DOG25" s="3"/>
      <c r="DOH25" s="3"/>
      <c r="DOI25" s="3"/>
      <c r="DOJ25" s="3"/>
      <c r="DOK25" s="3"/>
      <c r="DOL25" s="3"/>
      <c r="DOM25" s="3"/>
      <c r="DON25" s="3"/>
      <c r="DOO25" s="3"/>
      <c r="DOP25" s="3"/>
      <c r="DOQ25" s="3"/>
      <c r="DOR25" s="3"/>
      <c r="DOS25" s="3"/>
      <c r="DOT25" s="3"/>
      <c r="DOU25" s="3"/>
      <c r="DOV25" s="3"/>
      <c r="DOW25" s="3"/>
      <c r="DOX25" s="3"/>
      <c r="DOY25" s="3"/>
      <c r="DOZ25" s="3"/>
      <c r="DPA25" s="3"/>
      <c r="DPB25" s="3"/>
      <c r="DPC25" s="3"/>
      <c r="DPD25" s="3"/>
      <c r="DPE25" s="3"/>
      <c r="DPF25" s="3"/>
      <c r="DPG25" s="3"/>
      <c r="DPH25" s="3"/>
      <c r="DPI25" s="3"/>
      <c r="DPJ25" s="3"/>
      <c r="DPK25" s="3"/>
      <c r="DPL25" s="3"/>
      <c r="DPM25" s="3"/>
      <c r="DPN25" s="3"/>
      <c r="DPO25" s="3"/>
      <c r="DPP25" s="3"/>
      <c r="DPQ25" s="3"/>
      <c r="DPR25" s="3"/>
      <c r="DPS25" s="3"/>
      <c r="DPT25" s="3"/>
      <c r="DPU25" s="3"/>
      <c r="DPV25" s="3"/>
      <c r="DPW25" s="3"/>
      <c r="DPX25" s="3"/>
      <c r="DPY25" s="3"/>
      <c r="DPZ25" s="3"/>
      <c r="DQA25" s="3"/>
      <c r="DQB25" s="3"/>
      <c r="DQC25" s="3"/>
      <c r="DQD25" s="3"/>
      <c r="DQE25" s="3"/>
      <c r="DQF25" s="3"/>
      <c r="DQG25" s="3"/>
      <c r="DQH25" s="3"/>
      <c r="DQI25" s="3"/>
      <c r="DQJ25" s="3"/>
      <c r="DQK25" s="3"/>
      <c r="DQL25" s="3"/>
      <c r="DQM25" s="3"/>
      <c r="DQN25" s="3"/>
      <c r="DQO25" s="3"/>
      <c r="DQP25" s="3"/>
      <c r="DQQ25" s="3"/>
      <c r="DQR25" s="3"/>
      <c r="DQS25" s="3"/>
      <c r="DQT25" s="3"/>
      <c r="DQU25" s="3"/>
      <c r="DQV25" s="3"/>
      <c r="DQW25" s="3"/>
      <c r="DQX25" s="3"/>
      <c r="DQY25" s="3"/>
      <c r="DQZ25" s="3"/>
      <c r="DRA25" s="3"/>
      <c r="DRB25" s="3"/>
      <c r="DRC25" s="3"/>
      <c r="DRD25" s="3"/>
      <c r="DRE25" s="3"/>
      <c r="DRF25" s="3"/>
      <c r="DRG25" s="3"/>
      <c r="DRH25" s="3"/>
      <c r="DRI25" s="3"/>
      <c r="DRJ25" s="3"/>
      <c r="DRK25" s="3"/>
      <c r="DRL25" s="3"/>
      <c r="DRM25" s="3"/>
      <c r="DRN25" s="3"/>
      <c r="DRO25" s="3"/>
      <c r="DRP25" s="3"/>
      <c r="DRQ25" s="3"/>
      <c r="DRR25" s="3"/>
      <c r="DRS25" s="3"/>
      <c r="DRT25" s="3"/>
      <c r="DRU25" s="3"/>
      <c r="DRV25" s="3"/>
      <c r="DRW25" s="3"/>
      <c r="DRX25" s="3"/>
      <c r="DRY25" s="3"/>
      <c r="DRZ25" s="3"/>
      <c r="DSA25" s="3"/>
      <c r="DSB25" s="3"/>
      <c r="DSC25" s="3"/>
      <c r="DSD25" s="3"/>
      <c r="DSE25" s="3"/>
      <c r="DSF25" s="3"/>
      <c r="DSG25" s="3"/>
      <c r="DSH25" s="3"/>
      <c r="DSI25" s="3"/>
      <c r="DSJ25" s="3"/>
      <c r="DSK25" s="3"/>
      <c r="DSL25" s="3"/>
      <c r="DSM25" s="3"/>
      <c r="DSN25" s="3"/>
      <c r="DSO25" s="3"/>
      <c r="DSP25" s="3"/>
      <c r="DSQ25" s="3"/>
      <c r="DSR25" s="3"/>
      <c r="DSS25" s="3"/>
      <c r="DST25" s="3"/>
      <c r="DSU25" s="3"/>
      <c r="DSV25" s="3"/>
      <c r="DSW25" s="3"/>
      <c r="DSX25" s="3"/>
      <c r="DSY25" s="3"/>
      <c r="DSZ25" s="3"/>
      <c r="DTA25" s="3"/>
      <c r="DTB25" s="3"/>
      <c r="DTC25" s="3"/>
      <c r="DTD25" s="3"/>
      <c r="DTE25" s="3"/>
      <c r="DTF25" s="3"/>
      <c r="DTG25" s="3"/>
      <c r="DTH25" s="3"/>
      <c r="DTI25" s="3"/>
      <c r="DTJ25" s="3"/>
      <c r="DTK25" s="3"/>
      <c r="DTL25" s="3"/>
      <c r="DTM25" s="3"/>
      <c r="DTN25" s="3"/>
      <c r="DTO25" s="3"/>
      <c r="DTP25" s="3"/>
      <c r="DTQ25" s="3"/>
      <c r="DTR25" s="3"/>
      <c r="DTS25" s="3"/>
      <c r="DTT25" s="3"/>
      <c r="DTU25" s="3"/>
      <c r="DTV25" s="3"/>
      <c r="DTW25" s="3"/>
      <c r="DTX25" s="3"/>
      <c r="DTY25" s="3"/>
      <c r="DTZ25" s="3"/>
      <c r="DUA25" s="3"/>
      <c r="DUB25" s="3"/>
      <c r="DUC25" s="3"/>
      <c r="DUD25" s="3"/>
      <c r="DUE25" s="3"/>
      <c r="DUF25" s="3"/>
      <c r="DUG25" s="3"/>
      <c r="DUH25" s="3"/>
      <c r="DUI25" s="3"/>
      <c r="DUJ25" s="3"/>
      <c r="DUK25" s="3"/>
      <c r="DUL25" s="3"/>
      <c r="DUM25" s="3"/>
      <c r="DUN25" s="3"/>
      <c r="DUO25" s="3"/>
      <c r="DUP25" s="3"/>
      <c r="DUQ25" s="3"/>
      <c r="DUR25" s="3"/>
      <c r="DUS25" s="3"/>
      <c r="DUT25" s="3"/>
      <c r="DUU25" s="3"/>
      <c r="DUV25" s="3"/>
      <c r="DUW25" s="3"/>
      <c r="DUX25" s="3"/>
      <c r="DUY25" s="3"/>
      <c r="DUZ25" s="3"/>
      <c r="DVA25" s="3"/>
      <c r="DVB25" s="3"/>
      <c r="DVC25" s="3"/>
      <c r="DVD25" s="3"/>
      <c r="DVE25" s="3"/>
      <c r="DVF25" s="3"/>
      <c r="DVG25" s="3"/>
      <c r="DVH25" s="3"/>
      <c r="DVI25" s="3"/>
      <c r="DVJ25" s="3"/>
      <c r="DVK25" s="3"/>
      <c r="DVL25" s="3"/>
      <c r="DVM25" s="3"/>
      <c r="DVN25" s="3"/>
      <c r="DVO25" s="3"/>
      <c r="DVP25" s="3"/>
      <c r="DVQ25" s="3"/>
      <c r="DVR25" s="3"/>
      <c r="DVS25" s="3"/>
      <c r="DVT25" s="3"/>
      <c r="DVU25" s="3"/>
      <c r="DVV25" s="3"/>
      <c r="DVW25" s="3"/>
      <c r="DVX25" s="3"/>
      <c r="DVY25" s="3"/>
      <c r="DVZ25" s="3"/>
      <c r="DWA25" s="3"/>
      <c r="DWB25" s="3"/>
      <c r="DWC25" s="3"/>
      <c r="DWD25" s="3"/>
      <c r="DWE25" s="3"/>
      <c r="DWF25" s="3"/>
      <c r="DWG25" s="3"/>
      <c r="DWH25" s="3"/>
      <c r="DWI25" s="3"/>
      <c r="DWJ25" s="3"/>
      <c r="DWK25" s="3"/>
      <c r="DWL25" s="3"/>
      <c r="DWM25" s="3"/>
      <c r="DWN25" s="3"/>
      <c r="DWO25" s="3"/>
      <c r="DWP25" s="3"/>
      <c r="DWQ25" s="3"/>
      <c r="DWR25" s="3"/>
      <c r="DWS25" s="3"/>
      <c r="DWT25" s="3"/>
      <c r="DWU25" s="3"/>
      <c r="DWV25" s="3"/>
      <c r="DWW25" s="3"/>
      <c r="DWX25" s="3"/>
      <c r="DWY25" s="3"/>
      <c r="DWZ25" s="3"/>
      <c r="DXA25" s="3"/>
      <c r="DXB25" s="3"/>
      <c r="DXC25" s="3"/>
      <c r="DXD25" s="3"/>
      <c r="DXE25" s="3"/>
      <c r="DXF25" s="3"/>
      <c r="DXG25" s="3"/>
      <c r="DXH25" s="3"/>
      <c r="DXI25" s="3"/>
      <c r="DXJ25" s="3"/>
      <c r="DXK25" s="3"/>
      <c r="DXL25" s="3"/>
      <c r="DXM25" s="3"/>
      <c r="DXN25" s="3"/>
      <c r="DXO25" s="3"/>
      <c r="DXP25" s="3"/>
      <c r="DXQ25" s="3"/>
      <c r="DXR25" s="3"/>
      <c r="DXS25" s="3"/>
      <c r="DXT25" s="3"/>
      <c r="DXU25" s="3"/>
      <c r="DXV25" s="3"/>
      <c r="DXW25" s="3"/>
      <c r="DXX25" s="3"/>
      <c r="DXY25" s="3"/>
      <c r="DXZ25" s="3"/>
      <c r="DYA25" s="3"/>
      <c r="DYB25" s="3"/>
      <c r="DYC25" s="3"/>
      <c r="DYD25" s="3"/>
      <c r="DYE25" s="3"/>
      <c r="DYF25" s="3"/>
      <c r="DYG25" s="3"/>
      <c r="DYH25" s="3"/>
      <c r="DYI25" s="3"/>
      <c r="DYJ25" s="3"/>
      <c r="DYK25" s="3"/>
      <c r="DYL25" s="3"/>
      <c r="DYM25" s="3"/>
      <c r="DYN25" s="3"/>
      <c r="DYO25" s="3"/>
      <c r="DYP25" s="3"/>
      <c r="DYQ25" s="3"/>
      <c r="DYR25" s="3"/>
      <c r="DYS25" s="3"/>
      <c r="DYT25" s="3"/>
      <c r="DYU25" s="3"/>
      <c r="DYV25" s="3"/>
      <c r="DYW25" s="3"/>
      <c r="DYX25" s="3"/>
      <c r="DYY25" s="3"/>
      <c r="DYZ25" s="3"/>
      <c r="DZA25" s="3"/>
      <c r="DZB25" s="3"/>
      <c r="DZC25" s="3"/>
      <c r="DZD25" s="3"/>
      <c r="DZE25" s="3"/>
      <c r="DZF25" s="3"/>
      <c r="DZG25" s="3"/>
      <c r="DZH25" s="3"/>
      <c r="DZI25" s="3"/>
      <c r="DZJ25" s="3"/>
      <c r="DZK25" s="3"/>
      <c r="DZL25" s="3"/>
      <c r="DZM25" s="3"/>
      <c r="DZN25" s="3"/>
      <c r="DZO25" s="3"/>
      <c r="DZP25" s="3"/>
      <c r="DZQ25" s="3"/>
      <c r="DZR25" s="3"/>
      <c r="DZS25" s="3"/>
      <c r="DZT25" s="3"/>
      <c r="DZU25" s="3"/>
      <c r="DZV25" s="3"/>
      <c r="DZW25" s="3"/>
      <c r="DZX25" s="3"/>
      <c r="DZY25" s="3"/>
      <c r="DZZ25" s="3"/>
      <c r="EAA25" s="3"/>
      <c r="EAB25" s="3"/>
      <c r="EAC25" s="3"/>
      <c r="EAD25" s="3"/>
      <c r="EAE25" s="3"/>
      <c r="EAF25" s="3"/>
      <c r="EAG25" s="3"/>
      <c r="EAH25" s="3"/>
      <c r="EAI25" s="3"/>
      <c r="EAJ25" s="3"/>
      <c r="EAK25" s="3"/>
      <c r="EAL25" s="3"/>
      <c r="EAM25" s="3"/>
      <c r="EAN25" s="3"/>
      <c r="EAO25" s="3"/>
      <c r="EAP25" s="3"/>
      <c r="EAQ25" s="3"/>
      <c r="EAR25" s="3"/>
      <c r="EAS25" s="3"/>
      <c r="EAT25" s="3"/>
      <c r="EAU25" s="3"/>
      <c r="EAV25" s="3"/>
      <c r="EAW25" s="3"/>
      <c r="EAX25" s="3"/>
      <c r="EAY25" s="3"/>
      <c r="EAZ25" s="3"/>
      <c r="EBA25" s="3"/>
      <c r="EBB25" s="3"/>
      <c r="EBC25" s="3"/>
      <c r="EBD25" s="3"/>
      <c r="EBE25" s="3"/>
      <c r="EBF25" s="3"/>
      <c r="EBG25" s="3"/>
      <c r="EBH25" s="3"/>
      <c r="EBI25" s="3"/>
      <c r="EBJ25" s="3"/>
      <c r="EBK25" s="3"/>
      <c r="EBL25" s="3"/>
      <c r="EBM25" s="3"/>
      <c r="EBN25" s="3"/>
      <c r="EBO25" s="3"/>
      <c r="EBP25" s="3"/>
      <c r="EBQ25" s="3"/>
      <c r="EBR25" s="3"/>
      <c r="EBS25" s="3"/>
      <c r="EBT25" s="3"/>
      <c r="EBU25" s="3"/>
      <c r="EBV25" s="3"/>
      <c r="EBW25" s="3"/>
      <c r="EBX25" s="3"/>
      <c r="EBY25" s="3"/>
      <c r="EBZ25" s="3"/>
      <c r="ECA25" s="3"/>
      <c r="ECB25" s="3"/>
      <c r="ECC25" s="3"/>
      <c r="ECD25" s="3"/>
      <c r="ECE25" s="3"/>
      <c r="ECF25" s="3"/>
      <c r="ECG25" s="3"/>
      <c r="ECH25" s="3"/>
      <c r="ECI25" s="3"/>
      <c r="ECJ25" s="3"/>
      <c r="ECK25" s="3"/>
      <c r="ECL25" s="3"/>
      <c r="ECM25" s="3"/>
      <c r="ECN25" s="3"/>
      <c r="ECO25" s="3"/>
      <c r="ECP25" s="3"/>
      <c r="ECQ25" s="3"/>
      <c r="ECR25" s="3"/>
      <c r="ECS25" s="3"/>
      <c r="ECT25" s="3"/>
      <c r="ECU25" s="3"/>
      <c r="ECV25" s="3"/>
      <c r="ECW25" s="3"/>
      <c r="ECX25" s="3"/>
      <c r="ECY25" s="3"/>
      <c r="ECZ25" s="3"/>
      <c r="EDA25" s="3"/>
      <c r="EDB25" s="3"/>
      <c r="EDC25" s="3"/>
      <c r="EDD25" s="3"/>
      <c r="EDE25" s="3"/>
      <c r="EDF25" s="3"/>
      <c r="EDG25" s="3"/>
      <c r="EDH25" s="3"/>
      <c r="EDI25" s="3"/>
      <c r="EDJ25" s="3"/>
      <c r="EDK25" s="3"/>
      <c r="EDL25" s="3"/>
      <c r="EDM25" s="3"/>
      <c r="EDN25" s="3"/>
      <c r="EDO25" s="3"/>
      <c r="EDP25" s="3"/>
      <c r="EDQ25" s="3"/>
      <c r="EDR25" s="3"/>
      <c r="EDS25" s="3"/>
      <c r="EDT25" s="3"/>
      <c r="EDU25" s="3"/>
      <c r="EDV25" s="3"/>
      <c r="EDW25" s="3"/>
      <c r="EDX25" s="3"/>
      <c r="EDY25" s="3"/>
      <c r="EDZ25" s="3"/>
      <c r="EEA25" s="3"/>
      <c r="EEB25" s="3"/>
      <c r="EEC25" s="3"/>
      <c r="EED25" s="3"/>
      <c r="EEE25" s="3"/>
      <c r="EEF25" s="3"/>
      <c r="EEG25" s="3"/>
      <c r="EEH25" s="3"/>
      <c r="EEI25" s="3"/>
      <c r="EEJ25" s="3"/>
      <c r="EEK25" s="3"/>
      <c r="EEL25" s="3"/>
      <c r="EEM25" s="3"/>
      <c r="EEN25" s="3"/>
      <c r="EEO25" s="3"/>
      <c r="EEP25" s="3"/>
      <c r="EEQ25" s="3"/>
      <c r="EER25" s="3"/>
      <c r="EES25" s="3"/>
      <c r="EET25" s="3"/>
      <c r="EEU25" s="3"/>
      <c r="EEV25" s="3"/>
      <c r="EEW25" s="3"/>
      <c r="EEX25" s="3"/>
      <c r="EEY25" s="3"/>
      <c r="EEZ25" s="3"/>
      <c r="EFA25" s="3"/>
      <c r="EFB25" s="3"/>
      <c r="EFC25" s="3"/>
      <c r="EFD25" s="3"/>
      <c r="EFE25" s="3"/>
      <c r="EFF25" s="3"/>
      <c r="EFG25" s="3"/>
      <c r="EFH25" s="3"/>
      <c r="EFI25" s="3"/>
      <c r="EFJ25" s="3"/>
      <c r="EFK25" s="3"/>
      <c r="EFL25" s="3"/>
      <c r="EFM25" s="3"/>
      <c r="EFN25" s="3"/>
      <c r="EFO25" s="3"/>
      <c r="EFP25" s="3"/>
      <c r="EFQ25" s="3"/>
      <c r="EFR25" s="3"/>
      <c r="EFS25" s="3"/>
      <c r="EFT25" s="3"/>
      <c r="EFU25" s="3"/>
      <c r="EFV25" s="3"/>
      <c r="EFW25" s="3"/>
      <c r="EFX25" s="3"/>
      <c r="EFY25" s="3"/>
      <c r="EFZ25" s="3"/>
      <c r="EGA25" s="3"/>
      <c r="EGB25" s="3"/>
      <c r="EGC25" s="3"/>
      <c r="EGD25" s="3"/>
      <c r="EGE25" s="3"/>
      <c r="EGF25" s="3"/>
      <c r="EGG25" s="3"/>
      <c r="EGH25" s="3"/>
      <c r="EGI25" s="3"/>
      <c r="EGJ25" s="3"/>
      <c r="EGK25" s="3"/>
      <c r="EGL25" s="3"/>
      <c r="EGM25" s="3"/>
      <c r="EGN25" s="3"/>
      <c r="EGO25" s="3"/>
      <c r="EGP25" s="3"/>
      <c r="EGQ25" s="3"/>
      <c r="EGR25" s="3"/>
      <c r="EGS25" s="3"/>
      <c r="EGT25" s="3"/>
      <c r="EGU25" s="3"/>
      <c r="EGV25" s="3"/>
      <c r="EGW25" s="3"/>
      <c r="EGX25" s="3"/>
      <c r="EGY25" s="3"/>
      <c r="EGZ25" s="3"/>
      <c r="EHA25" s="3"/>
      <c r="EHB25" s="3"/>
      <c r="EHC25" s="3"/>
      <c r="EHD25" s="3"/>
      <c r="EHE25" s="3"/>
      <c r="EHF25" s="3"/>
      <c r="EHG25" s="3"/>
      <c r="EHH25" s="3"/>
      <c r="EHI25" s="3"/>
      <c r="EHJ25" s="3"/>
      <c r="EHK25" s="3"/>
      <c r="EHL25" s="3"/>
      <c r="EHM25" s="3"/>
      <c r="EHN25" s="3"/>
      <c r="EHO25" s="3"/>
      <c r="EHP25" s="3"/>
      <c r="EHQ25" s="3"/>
      <c r="EHR25" s="3"/>
      <c r="EHS25" s="3"/>
      <c r="EHT25" s="3"/>
      <c r="EHU25" s="3"/>
      <c r="EHV25" s="3"/>
      <c r="EHW25" s="3"/>
      <c r="EHX25" s="3"/>
      <c r="EHY25" s="3"/>
      <c r="EHZ25" s="3"/>
      <c r="EIA25" s="3"/>
      <c r="EIB25" s="3"/>
      <c r="EIC25" s="3"/>
      <c r="EID25" s="3"/>
      <c r="EIE25" s="3"/>
      <c r="EIF25" s="3"/>
      <c r="EIG25" s="3"/>
      <c r="EIH25" s="3"/>
      <c r="EII25" s="3"/>
      <c r="EIJ25" s="3"/>
      <c r="EIK25" s="3"/>
      <c r="EIL25" s="3"/>
      <c r="EIM25" s="3"/>
      <c r="EIN25" s="3"/>
      <c r="EIO25" s="3"/>
      <c r="EIP25" s="3"/>
      <c r="EIQ25" s="3"/>
      <c r="EIR25" s="3"/>
      <c r="EIS25" s="3"/>
      <c r="EIT25" s="3"/>
      <c r="EIU25" s="3"/>
      <c r="EIV25" s="3"/>
      <c r="EIW25" s="3"/>
      <c r="EIX25" s="3"/>
      <c r="EIY25" s="3"/>
      <c r="EIZ25" s="3"/>
      <c r="EJA25" s="3"/>
      <c r="EJB25" s="3"/>
      <c r="EJC25" s="3"/>
      <c r="EJD25" s="3"/>
      <c r="EJE25" s="3"/>
      <c r="EJF25" s="3"/>
      <c r="EJG25" s="3"/>
      <c r="EJH25" s="3"/>
      <c r="EJI25" s="3"/>
      <c r="EJJ25" s="3"/>
      <c r="EJK25" s="3"/>
      <c r="EJL25" s="3"/>
      <c r="EJM25" s="3"/>
      <c r="EJN25" s="3"/>
      <c r="EJO25" s="3"/>
      <c r="EJP25" s="3"/>
      <c r="EJQ25" s="3"/>
      <c r="EJR25" s="3"/>
      <c r="EJS25" s="3"/>
      <c r="EJT25" s="3"/>
      <c r="EJU25" s="3"/>
      <c r="EJV25" s="3"/>
      <c r="EJW25" s="3"/>
      <c r="EJX25" s="3"/>
      <c r="EJY25" s="3"/>
      <c r="EJZ25" s="3"/>
      <c r="EKA25" s="3"/>
      <c r="EKB25" s="3"/>
      <c r="EKC25" s="3"/>
      <c r="EKD25" s="3"/>
      <c r="EKE25" s="3"/>
      <c r="EKF25" s="3"/>
      <c r="EKG25" s="3"/>
      <c r="EKH25" s="3"/>
      <c r="EKI25" s="3"/>
      <c r="EKJ25" s="3"/>
      <c r="EKK25" s="3"/>
      <c r="EKL25" s="3"/>
      <c r="EKM25" s="3"/>
      <c r="EKN25" s="3"/>
      <c r="EKO25" s="3"/>
      <c r="EKP25" s="3"/>
      <c r="EKQ25" s="3"/>
      <c r="EKR25" s="3"/>
      <c r="EKS25" s="3"/>
      <c r="EKT25" s="3"/>
      <c r="EKU25" s="3"/>
      <c r="EKV25" s="3"/>
      <c r="EKW25" s="3"/>
      <c r="EKX25" s="3"/>
      <c r="EKY25" s="3"/>
      <c r="EKZ25" s="3"/>
      <c r="ELA25" s="3"/>
      <c r="ELB25" s="3"/>
      <c r="ELC25" s="3"/>
      <c r="ELD25" s="3"/>
      <c r="ELE25" s="3"/>
      <c r="ELF25" s="3"/>
      <c r="ELG25" s="3"/>
      <c r="ELH25" s="3"/>
      <c r="ELI25" s="3"/>
      <c r="ELJ25" s="3"/>
      <c r="ELK25" s="3"/>
      <c r="ELL25" s="3"/>
      <c r="ELM25" s="3"/>
      <c r="ELN25" s="3"/>
      <c r="ELO25" s="3"/>
      <c r="ELP25" s="3"/>
      <c r="ELQ25" s="3"/>
      <c r="ELR25" s="3"/>
      <c r="ELS25" s="3"/>
      <c r="ELT25" s="3"/>
      <c r="ELU25" s="3"/>
      <c r="ELV25" s="3"/>
      <c r="ELW25" s="3"/>
      <c r="ELX25" s="3"/>
      <c r="ELY25" s="3"/>
      <c r="ELZ25" s="3"/>
      <c r="EMA25" s="3"/>
      <c r="EMB25" s="3"/>
      <c r="EMC25" s="3"/>
      <c r="EMD25" s="3"/>
      <c r="EME25" s="3"/>
      <c r="EMF25" s="3"/>
      <c r="EMG25" s="3"/>
      <c r="EMH25" s="3"/>
      <c r="EMI25" s="3"/>
      <c r="EMJ25" s="3"/>
      <c r="EMK25" s="3"/>
      <c r="EML25" s="3"/>
      <c r="EMM25" s="3"/>
      <c r="EMN25" s="3"/>
      <c r="EMO25" s="3"/>
      <c r="EMP25" s="3"/>
      <c r="EMQ25" s="3"/>
      <c r="EMR25" s="3"/>
      <c r="EMS25" s="3"/>
      <c r="EMT25" s="3"/>
      <c r="EMU25" s="3"/>
      <c r="EMV25" s="3"/>
      <c r="EMW25" s="3"/>
      <c r="EMX25" s="3"/>
      <c r="EMY25" s="3"/>
      <c r="EMZ25" s="3"/>
      <c r="ENA25" s="3"/>
      <c r="ENB25" s="3"/>
      <c r="ENC25" s="3"/>
      <c r="END25" s="3"/>
      <c r="ENE25" s="3"/>
      <c r="ENF25" s="3"/>
      <c r="ENG25" s="3"/>
      <c r="ENH25" s="3"/>
      <c r="ENI25" s="3"/>
      <c r="ENJ25" s="3"/>
      <c r="ENK25" s="3"/>
      <c r="ENL25" s="3"/>
      <c r="ENM25" s="3"/>
      <c r="ENN25" s="3"/>
      <c r="ENO25" s="3"/>
      <c r="ENP25" s="3"/>
      <c r="ENQ25" s="3"/>
      <c r="ENR25" s="3"/>
      <c r="ENS25" s="3"/>
      <c r="ENT25" s="3"/>
      <c r="ENU25" s="3"/>
      <c r="ENV25" s="3"/>
      <c r="ENW25" s="3"/>
      <c r="ENX25" s="3"/>
      <c r="ENY25" s="3"/>
      <c r="ENZ25" s="3"/>
      <c r="EOA25" s="3"/>
      <c r="EOB25" s="3"/>
      <c r="EOC25" s="3"/>
      <c r="EOD25" s="3"/>
      <c r="EOE25" s="3"/>
      <c r="EOF25" s="3"/>
      <c r="EOG25" s="3"/>
      <c r="EOH25" s="3"/>
      <c r="EOI25" s="3"/>
      <c r="EOJ25" s="3"/>
      <c r="EOK25" s="3"/>
      <c r="EOL25" s="3"/>
      <c r="EOM25" s="3"/>
      <c r="EON25" s="3"/>
      <c r="EOO25" s="3"/>
      <c r="EOP25" s="3"/>
      <c r="EOQ25" s="3"/>
      <c r="EOR25" s="3"/>
      <c r="EOS25" s="3"/>
      <c r="EOT25" s="3"/>
      <c r="EOU25" s="3"/>
      <c r="EOV25" s="3"/>
      <c r="EOW25" s="3"/>
      <c r="EOX25" s="3"/>
      <c r="EOY25" s="3"/>
      <c r="EOZ25" s="3"/>
      <c r="EPA25" s="3"/>
      <c r="EPB25" s="3"/>
      <c r="EPC25" s="3"/>
      <c r="EPD25" s="3"/>
      <c r="EPE25" s="3"/>
      <c r="EPF25" s="3"/>
      <c r="EPG25" s="3"/>
      <c r="EPH25" s="3"/>
      <c r="EPI25" s="3"/>
      <c r="EPJ25" s="3"/>
      <c r="EPK25" s="3"/>
      <c r="EPL25" s="3"/>
      <c r="EPM25" s="3"/>
      <c r="EPN25" s="3"/>
      <c r="EPO25" s="3"/>
      <c r="EPP25" s="3"/>
      <c r="EPQ25" s="3"/>
      <c r="EPR25" s="3"/>
      <c r="EPS25" s="3"/>
      <c r="EPT25" s="3"/>
      <c r="EPU25" s="3"/>
      <c r="EPV25" s="3"/>
      <c r="EPW25" s="3"/>
      <c r="EPX25" s="3"/>
      <c r="EPY25" s="3"/>
      <c r="EPZ25" s="3"/>
      <c r="EQA25" s="3"/>
      <c r="EQB25" s="3"/>
      <c r="EQC25" s="3"/>
      <c r="EQD25" s="3"/>
      <c r="EQE25" s="3"/>
      <c r="EQF25" s="3"/>
      <c r="EQG25" s="3"/>
      <c r="EQH25" s="3"/>
      <c r="EQI25" s="3"/>
      <c r="EQJ25" s="3"/>
      <c r="EQK25" s="3"/>
      <c r="EQL25" s="3"/>
      <c r="EQM25" s="3"/>
      <c r="EQN25" s="3"/>
      <c r="EQO25" s="3"/>
      <c r="EQP25" s="3"/>
      <c r="EQQ25" s="3"/>
      <c r="EQR25" s="3"/>
      <c r="EQS25" s="3"/>
      <c r="EQT25" s="3"/>
      <c r="EQU25" s="3"/>
      <c r="EQV25" s="3"/>
      <c r="EQW25" s="3"/>
      <c r="EQX25" s="3"/>
      <c r="EQY25" s="3"/>
      <c r="EQZ25" s="3"/>
      <c r="ERA25" s="3"/>
      <c r="ERB25" s="3"/>
      <c r="ERC25" s="3"/>
      <c r="ERD25" s="3"/>
      <c r="ERE25" s="3"/>
      <c r="ERF25" s="3"/>
      <c r="ERG25" s="3"/>
      <c r="ERH25" s="3"/>
      <c r="ERI25" s="3"/>
      <c r="ERJ25" s="3"/>
      <c r="ERK25" s="3"/>
      <c r="ERL25" s="3"/>
      <c r="ERM25" s="3"/>
      <c r="ERN25" s="3"/>
      <c r="ERO25" s="3"/>
      <c r="ERP25" s="3"/>
      <c r="ERQ25" s="3"/>
      <c r="ERR25" s="3"/>
      <c r="ERS25" s="3"/>
      <c r="ERT25" s="3"/>
      <c r="ERU25" s="3"/>
      <c r="ERV25" s="3"/>
      <c r="ERW25" s="3"/>
      <c r="ERX25" s="3"/>
      <c r="ERY25" s="3"/>
      <c r="ERZ25" s="3"/>
      <c r="ESA25" s="3"/>
      <c r="ESB25" s="3"/>
      <c r="ESC25" s="3"/>
      <c r="ESD25" s="3"/>
      <c r="ESE25" s="3"/>
      <c r="ESF25" s="3"/>
      <c r="ESG25" s="3"/>
      <c r="ESH25" s="3"/>
      <c r="ESI25" s="3"/>
      <c r="ESJ25" s="3"/>
      <c r="ESK25" s="3"/>
      <c r="ESL25" s="3"/>
      <c r="ESM25" s="3"/>
      <c r="ESN25" s="3"/>
      <c r="ESO25" s="3"/>
      <c r="ESP25" s="3"/>
      <c r="ESQ25" s="3"/>
      <c r="ESR25" s="3"/>
      <c r="ESS25" s="3"/>
      <c r="EST25" s="3"/>
      <c r="ESU25" s="3"/>
      <c r="ESV25" s="3"/>
      <c r="ESW25" s="3"/>
      <c r="ESX25" s="3"/>
      <c r="ESY25" s="3"/>
      <c r="ESZ25" s="3"/>
      <c r="ETA25" s="3"/>
      <c r="ETB25" s="3"/>
      <c r="ETC25" s="3"/>
      <c r="ETD25" s="3"/>
      <c r="ETE25" s="3"/>
      <c r="ETF25" s="3"/>
      <c r="ETG25" s="3"/>
      <c r="ETH25" s="3"/>
      <c r="ETI25" s="3"/>
      <c r="ETJ25" s="3"/>
      <c r="ETK25" s="3"/>
      <c r="ETL25" s="3"/>
      <c r="ETM25" s="3"/>
      <c r="ETN25" s="3"/>
      <c r="ETO25" s="3"/>
      <c r="ETP25" s="3"/>
      <c r="ETQ25" s="3"/>
      <c r="ETR25" s="3"/>
      <c r="ETS25" s="3"/>
      <c r="ETT25" s="3"/>
      <c r="ETU25" s="3"/>
      <c r="ETV25" s="3"/>
      <c r="ETW25" s="3"/>
      <c r="ETX25" s="3"/>
      <c r="ETY25" s="3"/>
      <c r="ETZ25" s="3"/>
      <c r="EUA25" s="3"/>
      <c r="EUB25" s="3"/>
      <c r="EUC25" s="3"/>
      <c r="EUD25" s="3"/>
      <c r="EUE25" s="3"/>
      <c r="EUF25" s="3"/>
      <c r="EUG25" s="3"/>
      <c r="EUH25" s="3"/>
      <c r="EUI25" s="3"/>
      <c r="EUJ25" s="3"/>
      <c r="EUK25" s="3"/>
      <c r="EUL25" s="3"/>
      <c r="EUM25" s="3"/>
      <c r="EUN25" s="3"/>
      <c r="EUO25" s="3"/>
      <c r="EUP25" s="3"/>
      <c r="EUQ25" s="3"/>
      <c r="EUR25" s="3"/>
      <c r="EUS25" s="3"/>
      <c r="EUT25" s="3"/>
      <c r="EUU25" s="3"/>
      <c r="EUV25" s="3"/>
      <c r="EUW25" s="3"/>
      <c r="EUX25" s="3"/>
      <c r="EUY25" s="3"/>
      <c r="EUZ25" s="3"/>
      <c r="EVA25" s="3"/>
      <c r="EVB25" s="3"/>
      <c r="EVC25" s="3"/>
      <c r="EVD25" s="3"/>
      <c r="EVE25" s="3"/>
      <c r="EVF25" s="3"/>
      <c r="EVG25" s="3"/>
      <c r="EVH25" s="3"/>
      <c r="EVI25" s="3"/>
      <c r="EVJ25" s="3"/>
      <c r="EVK25" s="3"/>
      <c r="EVL25" s="3"/>
      <c r="EVM25" s="3"/>
      <c r="EVN25" s="3"/>
      <c r="EVO25" s="3"/>
      <c r="EVP25" s="3"/>
      <c r="EVQ25" s="3"/>
      <c r="EVR25" s="3"/>
      <c r="EVS25" s="3"/>
      <c r="EVT25" s="3"/>
      <c r="EVU25" s="3"/>
      <c r="EVV25" s="3"/>
      <c r="EVW25" s="3"/>
      <c r="EVX25" s="3"/>
      <c r="EVY25" s="3"/>
      <c r="EVZ25" s="3"/>
      <c r="EWA25" s="3"/>
      <c r="EWB25" s="3"/>
      <c r="EWC25" s="3"/>
      <c r="EWD25" s="3"/>
      <c r="EWE25" s="3"/>
      <c r="EWF25" s="3"/>
      <c r="EWG25" s="3"/>
      <c r="EWH25" s="3"/>
      <c r="EWI25" s="3"/>
      <c r="EWJ25" s="3"/>
      <c r="EWK25" s="3"/>
      <c r="EWL25" s="3"/>
      <c r="EWM25" s="3"/>
      <c r="EWN25" s="3"/>
      <c r="EWO25" s="3"/>
      <c r="EWP25" s="3"/>
      <c r="EWQ25" s="3"/>
      <c r="EWR25" s="3"/>
      <c r="EWS25" s="3"/>
      <c r="EWT25" s="3"/>
      <c r="EWU25" s="3"/>
      <c r="EWV25" s="3"/>
      <c r="EWW25" s="3"/>
      <c r="EWX25" s="3"/>
      <c r="EWY25" s="3"/>
      <c r="EWZ25" s="3"/>
      <c r="EXA25" s="3"/>
      <c r="EXB25" s="3"/>
      <c r="EXC25" s="3"/>
      <c r="EXD25" s="3"/>
      <c r="EXE25" s="3"/>
      <c r="EXF25" s="3"/>
      <c r="EXG25" s="3"/>
      <c r="EXH25" s="3"/>
      <c r="EXI25" s="3"/>
      <c r="EXJ25" s="3"/>
      <c r="EXK25" s="3"/>
      <c r="EXL25" s="3"/>
      <c r="EXM25" s="3"/>
      <c r="EXN25" s="3"/>
      <c r="EXO25" s="3"/>
      <c r="EXP25" s="3"/>
      <c r="EXQ25" s="3"/>
      <c r="EXR25" s="3"/>
      <c r="EXS25" s="3"/>
      <c r="EXT25" s="3"/>
      <c r="EXU25" s="3"/>
      <c r="EXV25" s="3"/>
      <c r="EXW25" s="3"/>
      <c r="EXX25" s="3"/>
      <c r="EXY25" s="3"/>
      <c r="EXZ25" s="3"/>
      <c r="EYA25" s="3"/>
      <c r="EYB25" s="3"/>
      <c r="EYC25" s="3"/>
      <c r="EYD25" s="3"/>
      <c r="EYE25" s="3"/>
      <c r="EYF25" s="3"/>
      <c r="EYG25" s="3"/>
      <c r="EYH25" s="3"/>
      <c r="EYI25" s="3"/>
      <c r="EYJ25" s="3"/>
      <c r="EYK25" s="3"/>
      <c r="EYL25" s="3"/>
      <c r="EYM25" s="3"/>
      <c r="EYN25" s="3"/>
      <c r="EYO25" s="3"/>
      <c r="EYP25" s="3"/>
      <c r="EYQ25" s="3"/>
      <c r="EYR25" s="3"/>
      <c r="EYS25" s="3"/>
      <c r="EYT25" s="3"/>
      <c r="EYU25" s="3"/>
      <c r="EYV25" s="3"/>
      <c r="EYW25" s="3"/>
      <c r="EYX25" s="3"/>
      <c r="EYY25" s="3"/>
      <c r="EYZ25" s="3"/>
      <c r="EZA25" s="3"/>
      <c r="EZB25" s="3"/>
      <c r="EZC25" s="3"/>
      <c r="EZD25" s="3"/>
      <c r="EZE25" s="3"/>
      <c r="EZF25" s="3"/>
      <c r="EZG25" s="3"/>
      <c r="EZH25" s="3"/>
      <c r="EZI25" s="3"/>
      <c r="EZJ25" s="3"/>
      <c r="EZK25" s="3"/>
      <c r="EZL25" s="3"/>
      <c r="EZM25" s="3"/>
      <c r="EZN25" s="3"/>
      <c r="EZO25" s="3"/>
      <c r="EZP25" s="3"/>
      <c r="EZQ25" s="3"/>
      <c r="EZR25" s="3"/>
      <c r="EZS25" s="3"/>
      <c r="EZT25" s="3"/>
      <c r="EZU25" s="3"/>
      <c r="EZV25" s="3"/>
      <c r="EZW25" s="3"/>
      <c r="EZX25" s="3"/>
      <c r="EZY25" s="3"/>
      <c r="EZZ25" s="3"/>
      <c r="FAA25" s="3"/>
      <c r="FAB25" s="3"/>
      <c r="FAC25" s="3"/>
      <c r="FAD25" s="3"/>
      <c r="FAE25" s="3"/>
      <c r="FAF25" s="3"/>
      <c r="FAG25" s="3"/>
      <c r="FAH25" s="3"/>
      <c r="FAI25" s="3"/>
      <c r="FAJ25" s="3"/>
      <c r="FAK25" s="3"/>
      <c r="FAL25" s="3"/>
      <c r="FAM25" s="3"/>
      <c r="FAN25" s="3"/>
      <c r="FAO25" s="3"/>
      <c r="FAP25" s="3"/>
      <c r="FAQ25" s="3"/>
      <c r="FAR25" s="3"/>
      <c r="FAS25" s="3"/>
      <c r="FAT25" s="3"/>
      <c r="FAU25" s="3"/>
      <c r="FAV25" s="3"/>
      <c r="FAW25" s="3"/>
      <c r="FAX25" s="3"/>
      <c r="FAY25" s="3"/>
      <c r="FAZ25" s="3"/>
      <c r="FBA25" s="3"/>
      <c r="FBB25" s="3"/>
      <c r="FBC25" s="3"/>
      <c r="FBD25" s="3"/>
      <c r="FBE25" s="3"/>
      <c r="FBF25" s="3"/>
      <c r="FBG25" s="3"/>
      <c r="FBH25" s="3"/>
      <c r="FBI25" s="3"/>
      <c r="FBJ25" s="3"/>
      <c r="FBK25" s="3"/>
      <c r="FBL25" s="3"/>
      <c r="FBM25" s="3"/>
      <c r="FBN25" s="3"/>
      <c r="FBO25" s="3"/>
      <c r="FBP25" s="3"/>
      <c r="FBQ25" s="3"/>
      <c r="FBR25" s="3"/>
      <c r="FBS25" s="3"/>
      <c r="FBT25" s="3"/>
      <c r="FBU25" s="3"/>
      <c r="FBV25" s="3"/>
      <c r="FBW25" s="3"/>
      <c r="FBX25" s="3"/>
      <c r="FBY25" s="3"/>
      <c r="FBZ25" s="3"/>
      <c r="FCA25" s="3"/>
      <c r="FCB25" s="3"/>
      <c r="FCC25" s="3"/>
      <c r="FCD25" s="3"/>
      <c r="FCE25" s="3"/>
      <c r="FCF25" s="3"/>
      <c r="FCG25" s="3"/>
      <c r="FCH25" s="3"/>
      <c r="FCI25" s="3"/>
      <c r="FCJ25" s="3"/>
      <c r="FCK25" s="3"/>
      <c r="FCL25" s="3"/>
      <c r="FCM25" s="3"/>
      <c r="FCN25" s="3"/>
      <c r="FCO25" s="3"/>
      <c r="FCP25" s="3"/>
      <c r="FCQ25" s="3"/>
      <c r="FCR25" s="3"/>
      <c r="FCS25" s="3"/>
      <c r="FCT25" s="3"/>
      <c r="FCU25" s="3"/>
      <c r="FCV25" s="3"/>
      <c r="FCW25" s="3"/>
      <c r="FCX25" s="3"/>
      <c r="FCY25" s="3"/>
      <c r="FCZ25" s="3"/>
      <c r="FDA25" s="3"/>
      <c r="FDB25" s="3"/>
      <c r="FDC25" s="3"/>
      <c r="FDD25" s="3"/>
      <c r="FDE25" s="3"/>
      <c r="FDF25" s="3"/>
      <c r="FDG25" s="3"/>
      <c r="FDH25" s="3"/>
      <c r="FDI25" s="3"/>
      <c r="FDJ25" s="3"/>
      <c r="FDK25" s="3"/>
      <c r="FDL25" s="3"/>
      <c r="FDM25" s="3"/>
      <c r="FDN25" s="3"/>
      <c r="FDO25" s="3"/>
      <c r="FDP25" s="3"/>
      <c r="FDQ25" s="3"/>
      <c r="FDR25" s="3"/>
      <c r="FDS25" s="3"/>
      <c r="FDT25" s="3"/>
      <c r="FDU25" s="3"/>
      <c r="FDV25" s="3"/>
      <c r="FDW25" s="3"/>
      <c r="FDX25" s="3"/>
      <c r="FDY25" s="3"/>
      <c r="FDZ25" s="3"/>
      <c r="FEA25" s="3"/>
      <c r="FEB25" s="3"/>
      <c r="FEC25" s="3"/>
      <c r="FED25" s="3"/>
      <c r="FEE25" s="3"/>
      <c r="FEF25" s="3"/>
      <c r="FEG25" s="3"/>
      <c r="FEH25" s="3"/>
      <c r="FEI25" s="3"/>
      <c r="FEJ25" s="3"/>
      <c r="FEK25" s="3"/>
      <c r="FEL25" s="3"/>
      <c r="FEM25" s="3"/>
      <c r="FEN25" s="3"/>
      <c r="FEO25" s="3"/>
      <c r="FEP25" s="3"/>
      <c r="FEQ25" s="3"/>
      <c r="FER25" s="3"/>
      <c r="FES25" s="3"/>
      <c r="FET25" s="3"/>
      <c r="FEU25" s="3"/>
      <c r="FEV25" s="3"/>
      <c r="FEW25" s="3"/>
      <c r="FEX25" s="3"/>
      <c r="FEY25" s="3"/>
      <c r="FEZ25" s="3"/>
      <c r="FFA25" s="3"/>
      <c r="FFB25" s="3"/>
      <c r="FFC25" s="3"/>
      <c r="FFD25" s="3"/>
      <c r="FFE25" s="3"/>
      <c r="FFF25" s="3"/>
      <c r="FFG25" s="3"/>
      <c r="FFH25" s="3"/>
      <c r="FFI25" s="3"/>
      <c r="FFJ25" s="3"/>
      <c r="FFK25" s="3"/>
      <c r="FFL25" s="3"/>
      <c r="FFM25" s="3"/>
      <c r="FFN25" s="3"/>
      <c r="FFO25" s="3"/>
      <c r="FFP25" s="3"/>
      <c r="FFQ25" s="3"/>
      <c r="FFR25" s="3"/>
      <c r="FFS25" s="3"/>
      <c r="FFT25" s="3"/>
      <c r="FFU25" s="3"/>
      <c r="FFV25" s="3"/>
      <c r="FFW25" s="3"/>
      <c r="FFX25" s="3"/>
      <c r="FFY25" s="3"/>
      <c r="FFZ25" s="3"/>
      <c r="FGA25" s="3"/>
      <c r="FGB25" s="3"/>
      <c r="FGC25" s="3"/>
      <c r="FGD25" s="3"/>
      <c r="FGE25" s="3"/>
      <c r="FGF25" s="3"/>
      <c r="FGG25" s="3"/>
      <c r="FGH25" s="3"/>
      <c r="FGI25" s="3"/>
      <c r="FGJ25" s="3"/>
      <c r="FGK25" s="3"/>
      <c r="FGL25" s="3"/>
      <c r="FGM25" s="3"/>
      <c r="FGN25" s="3"/>
      <c r="FGO25" s="3"/>
      <c r="FGP25" s="3"/>
      <c r="FGQ25" s="3"/>
      <c r="FGR25" s="3"/>
      <c r="FGS25" s="3"/>
      <c r="FGT25" s="3"/>
      <c r="FGU25" s="3"/>
      <c r="FGV25" s="3"/>
      <c r="FGW25" s="3"/>
      <c r="FGX25" s="3"/>
      <c r="FGY25" s="3"/>
      <c r="FGZ25" s="3"/>
      <c r="FHA25" s="3"/>
      <c r="FHB25" s="3"/>
      <c r="FHC25" s="3"/>
      <c r="FHD25" s="3"/>
      <c r="FHE25" s="3"/>
      <c r="FHF25" s="3"/>
      <c r="FHG25" s="3"/>
      <c r="FHH25" s="3"/>
      <c r="FHI25" s="3"/>
      <c r="FHJ25" s="3"/>
      <c r="FHK25" s="3"/>
      <c r="FHL25" s="3"/>
      <c r="FHM25" s="3"/>
      <c r="FHN25" s="3"/>
      <c r="FHO25" s="3"/>
      <c r="FHP25" s="3"/>
      <c r="FHQ25" s="3"/>
      <c r="FHR25" s="3"/>
      <c r="FHS25" s="3"/>
      <c r="FHT25" s="3"/>
      <c r="FHU25" s="3"/>
      <c r="FHV25" s="3"/>
      <c r="FHW25" s="3"/>
      <c r="FHX25" s="3"/>
      <c r="FHY25" s="3"/>
      <c r="FHZ25" s="3"/>
      <c r="FIA25" s="3"/>
      <c r="FIB25" s="3"/>
      <c r="FIC25" s="3"/>
      <c r="FID25" s="3"/>
      <c r="FIE25" s="3"/>
      <c r="FIF25" s="3"/>
      <c r="FIG25" s="3"/>
      <c r="FIH25" s="3"/>
      <c r="FII25" s="3"/>
      <c r="FIJ25" s="3"/>
      <c r="FIK25" s="3"/>
      <c r="FIL25" s="3"/>
      <c r="FIM25" s="3"/>
      <c r="FIN25" s="3"/>
      <c r="FIO25" s="3"/>
      <c r="FIP25" s="3"/>
      <c r="FIQ25" s="3"/>
      <c r="FIR25" s="3"/>
      <c r="FIS25" s="3"/>
      <c r="FIT25" s="3"/>
      <c r="FIU25" s="3"/>
      <c r="FIV25" s="3"/>
      <c r="FIW25" s="3"/>
      <c r="FIX25" s="3"/>
      <c r="FIY25" s="3"/>
      <c r="FIZ25" s="3"/>
      <c r="FJA25" s="3"/>
      <c r="FJB25" s="3"/>
      <c r="FJC25" s="3"/>
      <c r="FJD25" s="3"/>
      <c r="FJE25" s="3"/>
      <c r="FJF25" s="3"/>
      <c r="FJG25" s="3"/>
      <c r="FJH25" s="3"/>
      <c r="FJI25" s="3"/>
      <c r="FJJ25" s="3"/>
      <c r="FJK25" s="3"/>
      <c r="FJL25" s="3"/>
      <c r="FJM25" s="3"/>
      <c r="FJN25" s="3"/>
      <c r="FJO25" s="3"/>
      <c r="FJP25" s="3"/>
      <c r="FJQ25" s="3"/>
      <c r="FJR25" s="3"/>
      <c r="FJS25" s="3"/>
      <c r="FJT25" s="3"/>
      <c r="FJU25" s="3"/>
      <c r="FJV25" s="3"/>
      <c r="FJW25" s="3"/>
      <c r="FJX25" s="3"/>
      <c r="FJY25" s="3"/>
      <c r="FJZ25" s="3"/>
      <c r="FKA25" s="3"/>
      <c r="FKB25" s="3"/>
      <c r="FKC25" s="3"/>
      <c r="FKD25" s="3"/>
      <c r="FKE25" s="3"/>
      <c r="FKF25" s="3"/>
      <c r="FKG25" s="3"/>
      <c r="FKH25" s="3"/>
      <c r="FKI25" s="3"/>
      <c r="FKJ25" s="3"/>
      <c r="FKK25" s="3"/>
      <c r="FKL25" s="3"/>
      <c r="FKM25" s="3"/>
      <c r="FKN25" s="3"/>
      <c r="FKO25" s="3"/>
      <c r="FKP25" s="3"/>
      <c r="FKQ25" s="3"/>
      <c r="FKR25" s="3"/>
      <c r="FKS25" s="3"/>
      <c r="FKT25" s="3"/>
      <c r="FKU25" s="3"/>
      <c r="FKV25" s="3"/>
      <c r="FKW25" s="3"/>
      <c r="FKX25" s="3"/>
      <c r="FKY25" s="3"/>
      <c r="FKZ25" s="3"/>
      <c r="FLA25" s="3"/>
      <c r="FLB25" s="3"/>
      <c r="FLC25" s="3"/>
      <c r="FLD25" s="3"/>
      <c r="FLE25" s="3"/>
      <c r="FLF25" s="3"/>
      <c r="FLG25" s="3"/>
      <c r="FLH25" s="3"/>
      <c r="FLI25" s="3"/>
      <c r="FLJ25" s="3"/>
      <c r="FLK25" s="3"/>
      <c r="FLL25" s="3"/>
      <c r="FLM25" s="3"/>
      <c r="FLN25" s="3"/>
      <c r="FLO25" s="3"/>
      <c r="FLP25" s="3"/>
      <c r="FLQ25" s="3"/>
      <c r="FLR25" s="3"/>
      <c r="FLS25" s="3"/>
      <c r="FLT25" s="3"/>
      <c r="FLU25" s="3"/>
      <c r="FLV25" s="3"/>
      <c r="FLW25" s="3"/>
      <c r="FLX25" s="3"/>
      <c r="FLY25" s="3"/>
      <c r="FLZ25" s="3"/>
      <c r="FMA25" s="3"/>
      <c r="FMB25" s="3"/>
      <c r="FMC25" s="3"/>
      <c r="FMD25" s="3"/>
      <c r="FME25" s="3"/>
      <c r="FMF25" s="3"/>
      <c r="FMG25" s="3"/>
      <c r="FMH25" s="3"/>
      <c r="FMI25" s="3"/>
      <c r="FMJ25" s="3"/>
      <c r="FMK25" s="3"/>
      <c r="FML25" s="3"/>
      <c r="FMM25" s="3"/>
      <c r="FMN25" s="3"/>
      <c r="FMO25" s="3"/>
      <c r="FMP25" s="3"/>
      <c r="FMQ25" s="3"/>
      <c r="FMR25" s="3"/>
      <c r="FMS25" s="3"/>
      <c r="FMT25" s="3"/>
      <c r="FMU25" s="3"/>
      <c r="FMV25" s="3"/>
      <c r="FMW25" s="3"/>
      <c r="FMX25" s="3"/>
      <c r="FMY25" s="3"/>
      <c r="FMZ25" s="3"/>
      <c r="FNA25" s="3"/>
      <c r="FNB25" s="3"/>
      <c r="FNC25" s="3"/>
      <c r="FND25" s="3"/>
      <c r="FNE25" s="3"/>
      <c r="FNF25" s="3"/>
      <c r="FNG25" s="3"/>
      <c r="FNH25" s="3"/>
      <c r="FNI25" s="3"/>
      <c r="FNJ25" s="3"/>
      <c r="FNK25" s="3"/>
      <c r="FNL25" s="3"/>
      <c r="FNM25" s="3"/>
      <c r="FNN25" s="3"/>
      <c r="FNO25" s="3"/>
      <c r="FNP25" s="3"/>
      <c r="FNQ25" s="3"/>
      <c r="FNR25" s="3"/>
      <c r="FNS25" s="3"/>
      <c r="FNT25" s="3"/>
      <c r="FNU25" s="3"/>
      <c r="FNV25" s="3"/>
      <c r="FNW25" s="3"/>
      <c r="FNX25" s="3"/>
      <c r="FNY25" s="3"/>
      <c r="FNZ25" s="3"/>
      <c r="FOA25" s="3"/>
      <c r="FOB25" s="3"/>
      <c r="FOC25" s="3"/>
      <c r="FOD25" s="3"/>
      <c r="FOE25" s="3"/>
      <c r="FOF25" s="3"/>
      <c r="FOG25" s="3"/>
      <c r="FOH25" s="3"/>
      <c r="FOI25" s="3"/>
      <c r="FOJ25" s="3"/>
      <c r="FOK25" s="3"/>
      <c r="FOL25" s="3"/>
      <c r="FOM25" s="3"/>
      <c r="FON25" s="3"/>
      <c r="FOO25" s="3"/>
      <c r="FOP25" s="3"/>
      <c r="FOQ25" s="3"/>
      <c r="FOR25" s="3"/>
      <c r="FOS25" s="3"/>
      <c r="FOT25" s="3"/>
      <c r="FOU25" s="3"/>
      <c r="FOV25" s="3"/>
      <c r="FOW25" s="3"/>
      <c r="FOX25" s="3"/>
      <c r="FOY25" s="3"/>
      <c r="FOZ25" s="3"/>
      <c r="FPA25" s="3"/>
      <c r="FPB25" s="3"/>
      <c r="FPC25" s="3"/>
      <c r="FPD25" s="3"/>
      <c r="FPE25" s="3"/>
      <c r="FPF25" s="3"/>
      <c r="FPG25" s="3"/>
      <c r="FPH25" s="3"/>
      <c r="FPI25" s="3"/>
      <c r="FPJ25" s="3"/>
      <c r="FPK25" s="3"/>
      <c r="FPL25" s="3"/>
      <c r="FPM25" s="3"/>
      <c r="FPN25" s="3"/>
      <c r="FPO25" s="3"/>
      <c r="FPP25" s="3"/>
      <c r="FPQ25" s="3"/>
      <c r="FPR25" s="3"/>
      <c r="FPS25" s="3"/>
      <c r="FPT25" s="3"/>
      <c r="FPU25" s="3"/>
      <c r="FPV25" s="3"/>
      <c r="FPW25" s="3"/>
      <c r="FPX25" s="3"/>
      <c r="FPY25" s="3"/>
      <c r="FPZ25" s="3"/>
      <c r="FQA25" s="3"/>
      <c r="FQB25" s="3"/>
      <c r="FQC25" s="3"/>
      <c r="FQD25" s="3"/>
      <c r="FQE25" s="3"/>
      <c r="FQF25" s="3"/>
      <c r="FQG25" s="3"/>
      <c r="FQH25" s="3"/>
      <c r="FQI25" s="3"/>
      <c r="FQJ25" s="3"/>
      <c r="FQK25" s="3"/>
      <c r="FQL25" s="3"/>
      <c r="FQM25" s="3"/>
      <c r="FQN25" s="3"/>
      <c r="FQO25" s="3"/>
      <c r="FQP25" s="3"/>
      <c r="FQQ25" s="3"/>
      <c r="FQR25" s="3"/>
      <c r="FQS25" s="3"/>
      <c r="FQT25" s="3"/>
      <c r="FQU25" s="3"/>
      <c r="FQV25" s="3"/>
      <c r="FQW25" s="3"/>
      <c r="FQX25" s="3"/>
      <c r="FQY25" s="3"/>
      <c r="FQZ25" s="3"/>
      <c r="FRA25" s="3"/>
      <c r="FRB25" s="3"/>
      <c r="FRC25" s="3"/>
      <c r="FRD25" s="3"/>
      <c r="FRE25" s="3"/>
      <c r="FRF25" s="3"/>
      <c r="FRG25" s="3"/>
      <c r="FRH25" s="3"/>
      <c r="FRI25" s="3"/>
      <c r="FRJ25" s="3"/>
      <c r="FRK25" s="3"/>
      <c r="FRL25" s="3"/>
      <c r="FRM25" s="3"/>
      <c r="FRN25" s="3"/>
      <c r="FRO25" s="3"/>
      <c r="FRP25" s="3"/>
      <c r="FRQ25" s="3"/>
      <c r="FRR25" s="3"/>
      <c r="FRS25" s="3"/>
      <c r="FRT25" s="3"/>
      <c r="FRU25" s="3"/>
      <c r="FRV25" s="3"/>
      <c r="FRW25" s="3"/>
      <c r="FRX25" s="3"/>
      <c r="FRY25" s="3"/>
      <c r="FRZ25" s="3"/>
      <c r="FSA25" s="3"/>
      <c r="FSB25" s="3"/>
      <c r="FSC25" s="3"/>
      <c r="FSD25" s="3"/>
      <c r="FSE25" s="3"/>
      <c r="FSF25" s="3"/>
      <c r="FSG25" s="3"/>
      <c r="FSH25" s="3"/>
      <c r="FSI25" s="3"/>
      <c r="FSJ25" s="3"/>
      <c r="FSK25" s="3"/>
      <c r="FSL25" s="3"/>
      <c r="FSM25" s="3"/>
      <c r="FSN25" s="3"/>
      <c r="FSO25" s="3"/>
      <c r="FSP25" s="3"/>
      <c r="FSQ25" s="3"/>
      <c r="FSR25" s="3"/>
      <c r="FSS25" s="3"/>
      <c r="FST25" s="3"/>
      <c r="FSU25" s="3"/>
      <c r="FSV25" s="3"/>
      <c r="FSW25" s="3"/>
      <c r="FSX25" s="3"/>
      <c r="FSY25" s="3"/>
      <c r="FSZ25" s="3"/>
      <c r="FTA25" s="3"/>
      <c r="FTB25" s="3"/>
      <c r="FTC25" s="3"/>
      <c r="FTD25" s="3"/>
      <c r="FTE25" s="3"/>
      <c r="FTF25" s="3"/>
      <c r="FTG25" s="3"/>
      <c r="FTH25" s="3"/>
      <c r="FTI25" s="3"/>
      <c r="FTJ25" s="3"/>
      <c r="FTK25" s="3"/>
      <c r="FTL25" s="3"/>
      <c r="FTM25" s="3"/>
      <c r="FTN25" s="3"/>
      <c r="FTO25" s="3"/>
      <c r="FTP25" s="3"/>
      <c r="FTQ25" s="3"/>
      <c r="FTR25" s="3"/>
      <c r="FTS25" s="3"/>
      <c r="FTT25" s="3"/>
      <c r="FTU25" s="3"/>
      <c r="FTV25" s="3"/>
      <c r="FTW25" s="3"/>
      <c r="FTX25" s="3"/>
      <c r="FTY25" s="3"/>
      <c r="FTZ25" s="3"/>
      <c r="FUA25" s="3"/>
      <c r="FUB25" s="3"/>
      <c r="FUC25" s="3"/>
      <c r="FUD25" s="3"/>
      <c r="FUE25" s="3"/>
      <c r="FUF25" s="3"/>
      <c r="FUG25" s="3"/>
      <c r="FUH25" s="3"/>
      <c r="FUI25" s="3"/>
      <c r="FUJ25" s="3"/>
      <c r="FUK25" s="3"/>
      <c r="FUL25" s="3"/>
      <c r="FUM25" s="3"/>
      <c r="FUN25" s="3"/>
      <c r="FUO25" s="3"/>
      <c r="FUP25" s="3"/>
      <c r="FUQ25" s="3"/>
      <c r="FUR25" s="3"/>
      <c r="FUS25" s="3"/>
      <c r="FUT25" s="3"/>
      <c r="FUU25" s="3"/>
      <c r="FUV25" s="3"/>
      <c r="FUW25" s="3"/>
      <c r="FUX25" s="3"/>
      <c r="FUY25" s="3"/>
      <c r="FUZ25" s="3"/>
      <c r="FVA25" s="3"/>
      <c r="FVB25" s="3"/>
      <c r="FVC25" s="3"/>
      <c r="FVD25" s="3"/>
      <c r="FVE25" s="3"/>
      <c r="FVF25" s="3"/>
      <c r="FVG25" s="3"/>
      <c r="FVH25" s="3"/>
      <c r="FVI25" s="3"/>
      <c r="FVJ25" s="3"/>
      <c r="FVK25" s="3"/>
      <c r="FVL25" s="3"/>
      <c r="FVM25" s="3"/>
      <c r="FVN25" s="3"/>
      <c r="FVO25" s="3"/>
      <c r="FVP25" s="3"/>
      <c r="FVQ25" s="3"/>
      <c r="FVR25" s="3"/>
      <c r="FVS25" s="3"/>
      <c r="FVT25" s="3"/>
      <c r="FVU25" s="3"/>
      <c r="FVV25" s="3"/>
      <c r="FVW25" s="3"/>
      <c r="FVX25" s="3"/>
      <c r="FVY25" s="3"/>
      <c r="FVZ25" s="3"/>
      <c r="FWA25" s="3"/>
      <c r="FWB25" s="3"/>
      <c r="FWC25" s="3"/>
      <c r="FWD25" s="3"/>
      <c r="FWE25" s="3"/>
      <c r="FWF25" s="3"/>
      <c r="FWG25" s="3"/>
      <c r="FWH25" s="3"/>
      <c r="FWI25" s="3"/>
      <c r="FWJ25" s="3"/>
      <c r="FWK25" s="3"/>
      <c r="FWL25" s="3"/>
      <c r="FWM25" s="3"/>
      <c r="FWN25" s="3"/>
      <c r="FWO25" s="3"/>
      <c r="FWP25" s="3"/>
      <c r="FWQ25" s="3"/>
      <c r="FWR25" s="3"/>
      <c r="FWS25" s="3"/>
      <c r="FWT25" s="3"/>
      <c r="FWU25" s="3"/>
      <c r="FWV25" s="3"/>
      <c r="FWW25" s="3"/>
      <c r="FWX25" s="3"/>
      <c r="FWY25" s="3"/>
      <c r="FWZ25" s="3"/>
      <c r="FXA25" s="3"/>
      <c r="FXB25" s="3"/>
      <c r="FXC25" s="3"/>
      <c r="FXD25" s="3"/>
      <c r="FXE25" s="3"/>
      <c r="FXF25" s="3"/>
      <c r="FXG25" s="3"/>
      <c r="FXH25" s="3"/>
      <c r="FXI25" s="3"/>
      <c r="FXJ25" s="3"/>
      <c r="FXK25" s="3"/>
      <c r="FXL25" s="3"/>
      <c r="FXM25" s="3"/>
      <c r="FXN25" s="3"/>
      <c r="FXO25" s="3"/>
      <c r="FXP25" s="3"/>
      <c r="FXQ25" s="3"/>
      <c r="FXR25" s="3"/>
      <c r="FXS25" s="3"/>
      <c r="FXT25" s="3"/>
      <c r="FXU25" s="3"/>
      <c r="FXV25" s="3"/>
      <c r="FXW25" s="3"/>
      <c r="FXX25" s="3"/>
      <c r="FXY25" s="3"/>
      <c r="FXZ25" s="3"/>
      <c r="FYA25" s="3"/>
      <c r="FYB25" s="3"/>
      <c r="FYC25" s="3"/>
      <c r="FYD25" s="3"/>
      <c r="FYE25" s="3"/>
      <c r="FYF25" s="3"/>
      <c r="FYG25" s="3"/>
      <c r="FYH25" s="3"/>
      <c r="FYI25" s="3"/>
      <c r="FYJ25" s="3"/>
      <c r="FYK25" s="3"/>
      <c r="FYL25" s="3"/>
      <c r="FYM25" s="3"/>
      <c r="FYN25" s="3"/>
      <c r="FYO25" s="3"/>
      <c r="FYP25" s="3"/>
      <c r="FYQ25" s="3"/>
      <c r="FYR25" s="3"/>
      <c r="FYS25" s="3"/>
      <c r="FYT25" s="3"/>
      <c r="FYU25" s="3"/>
      <c r="FYV25" s="3"/>
      <c r="FYW25" s="3"/>
      <c r="FYX25" s="3"/>
      <c r="FYY25" s="3"/>
      <c r="FYZ25" s="3"/>
      <c r="FZA25" s="3"/>
      <c r="FZB25" s="3"/>
      <c r="FZC25" s="3"/>
      <c r="FZD25" s="3"/>
      <c r="FZE25" s="3"/>
      <c r="FZF25" s="3"/>
      <c r="FZG25" s="3"/>
      <c r="FZH25" s="3"/>
      <c r="FZI25" s="3"/>
      <c r="FZJ25" s="3"/>
      <c r="FZK25" s="3"/>
      <c r="FZL25" s="3"/>
      <c r="FZM25" s="3"/>
      <c r="FZN25" s="3"/>
      <c r="FZO25" s="3"/>
      <c r="FZP25" s="3"/>
      <c r="FZQ25" s="3"/>
      <c r="FZR25" s="3"/>
      <c r="FZS25" s="3"/>
      <c r="FZT25" s="3"/>
      <c r="FZU25" s="3"/>
      <c r="FZV25" s="3"/>
      <c r="FZW25" s="3"/>
      <c r="FZX25" s="3"/>
      <c r="FZY25" s="3"/>
      <c r="FZZ25" s="3"/>
      <c r="GAA25" s="3"/>
      <c r="GAB25" s="3"/>
      <c r="GAC25" s="3"/>
      <c r="GAD25" s="3"/>
      <c r="GAE25" s="3"/>
      <c r="GAF25" s="3"/>
      <c r="GAG25" s="3"/>
      <c r="GAH25" s="3"/>
      <c r="GAI25" s="3"/>
      <c r="GAJ25" s="3"/>
      <c r="GAK25" s="3"/>
      <c r="GAL25" s="3"/>
      <c r="GAM25" s="3"/>
      <c r="GAN25" s="3"/>
      <c r="GAO25" s="3"/>
      <c r="GAP25" s="3"/>
      <c r="GAQ25" s="3"/>
      <c r="GAR25" s="3"/>
      <c r="GAS25" s="3"/>
      <c r="GAT25" s="3"/>
      <c r="GAU25" s="3"/>
      <c r="GAV25" s="3"/>
      <c r="GAW25" s="3"/>
      <c r="GAX25" s="3"/>
      <c r="GAY25" s="3"/>
      <c r="GAZ25" s="3"/>
      <c r="GBA25" s="3"/>
      <c r="GBB25" s="3"/>
      <c r="GBC25" s="3"/>
      <c r="GBD25" s="3"/>
      <c r="GBE25" s="3"/>
      <c r="GBF25" s="3"/>
      <c r="GBG25" s="3"/>
      <c r="GBH25" s="3"/>
      <c r="GBI25" s="3"/>
      <c r="GBJ25" s="3"/>
      <c r="GBK25" s="3"/>
      <c r="GBL25" s="3"/>
      <c r="GBM25" s="3"/>
      <c r="GBN25" s="3"/>
      <c r="GBO25" s="3"/>
      <c r="GBP25" s="3"/>
      <c r="GBQ25" s="3"/>
      <c r="GBR25" s="3"/>
      <c r="GBS25" s="3"/>
      <c r="GBT25" s="3"/>
      <c r="GBU25" s="3"/>
      <c r="GBV25" s="3"/>
      <c r="GBW25" s="3"/>
      <c r="GBX25" s="3"/>
      <c r="GBY25" s="3"/>
      <c r="GBZ25" s="3"/>
      <c r="GCA25" s="3"/>
      <c r="GCB25" s="3"/>
      <c r="GCC25" s="3"/>
      <c r="GCD25" s="3"/>
      <c r="GCE25" s="3"/>
      <c r="GCF25" s="3"/>
      <c r="GCG25" s="3"/>
      <c r="GCH25" s="3"/>
      <c r="GCI25" s="3"/>
      <c r="GCJ25" s="3"/>
      <c r="GCK25" s="3"/>
      <c r="GCL25" s="3"/>
      <c r="GCM25" s="3"/>
      <c r="GCN25" s="3"/>
      <c r="GCO25" s="3"/>
      <c r="GCP25" s="3"/>
      <c r="GCQ25" s="3"/>
      <c r="GCR25" s="3"/>
      <c r="GCS25" s="3"/>
      <c r="GCT25" s="3"/>
      <c r="GCU25" s="3"/>
      <c r="GCV25" s="3"/>
      <c r="GCW25" s="3"/>
      <c r="GCX25" s="3"/>
      <c r="GCY25" s="3"/>
      <c r="GCZ25" s="3"/>
      <c r="GDA25" s="3"/>
      <c r="GDB25" s="3"/>
      <c r="GDC25" s="3"/>
      <c r="GDD25" s="3"/>
      <c r="GDE25" s="3"/>
      <c r="GDF25" s="3"/>
      <c r="GDG25" s="3"/>
      <c r="GDH25" s="3"/>
      <c r="GDI25" s="3"/>
      <c r="GDJ25" s="3"/>
      <c r="GDK25" s="3"/>
      <c r="GDL25" s="3"/>
      <c r="GDM25" s="3"/>
      <c r="GDN25" s="3"/>
      <c r="GDO25" s="3"/>
      <c r="GDP25" s="3"/>
      <c r="GDQ25" s="3"/>
      <c r="GDR25" s="3"/>
      <c r="GDS25" s="3"/>
      <c r="GDT25" s="3"/>
      <c r="GDU25" s="3"/>
      <c r="GDV25" s="3"/>
      <c r="GDW25" s="3"/>
      <c r="GDX25" s="3"/>
      <c r="GDY25" s="3"/>
      <c r="GDZ25" s="3"/>
      <c r="GEA25" s="3"/>
      <c r="GEB25" s="3"/>
      <c r="GEC25" s="3"/>
      <c r="GED25" s="3"/>
      <c r="GEE25" s="3"/>
      <c r="GEF25" s="3"/>
      <c r="GEG25" s="3"/>
      <c r="GEH25" s="3"/>
      <c r="GEI25" s="3"/>
      <c r="GEJ25" s="3"/>
      <c r="GEK25" s="3"/>
      <c r="GEL25" s="3"/>
      <c r="GEM25" s="3"/>
      <c r="GEN25" s="3"/>
      <c r="GEO25" s="3"/>
      <c r="GEP25" s="3"/>
      <c r="GEQ25" s="3"/>
      <c r="GER25" s="3"/>
      <c r="GES25" s="3"/>
      <c r="GET25" s="3"/>
      <c r="GEU25" s="3"/>
      <c r="GEV25" s="3"/>
      <c r="GEW25" s="3"/>
      <c r="GEX25" s="3"/>
      <c r="GEY25" s="3"/>
      <c r="GEZ25" s="3"/>
      <c r="GFA25" s="3"/>
      <c r="GFB25" s="3"/>
      <c r="GFC25" s="3"/>
      <c r="GFD25" s="3"/>
      <c r="GFE25" s="3"/>
      <c r="GFF25" s="3"/>
      <c r="GFG25" s="3"/>
      <c r="GFH25" s="3"/>
      <c r="GFI25" s="3"/>
      <c r="GFJ25" s="3"/>
      <c r="GFK25" s="3"/>
      <c r="GFL25" s="3"/>
      <c r="GFM25" s="3"/>
      <c r="GFN25" s="3"/>
      <c r="GFO25" s="3"/>
      <c r="GFP25" s="3"/>
      <c r="GFQ25" s="3"/>
      <c r="GFR25" s="3"/>
      <c r="GFS25" s="3"/>
      <c r="GFT25" s="3"/>
      <c r="GFU25" s="3"/>
      <c r="GFV25" s="3"/>
      <c r="GFW25" s="3"/>
      <c r="GFX25" s="3"/>
      <c r="GFY25" s="3"/>
      <c r="GFZ25" s="3"/>
      <c r="GGA25" s="3"/>
      <c r="GGB25" s="3"/>
      <c r="GGC25" s="3"/>
      <c r="GGD25" s="3"/>
      <c r="GGE25" s="3"/>
      <c r="GGF25" s="3"/>
      <c r="GGG25" s="3"/>
      <c r="GGH25" s="3"/>
      <c r="GGI25" s="3"/>
      <c r="GGJ25" s="3"/>
      <c r="GGK25" s="3"/>
      <c r="GGL25" s="3"/>
      <c r="GGM25" s="3"/>
      <c r="GGN25" s="3"/>
      <c r="GGO25" s="3"/>
      <c r="GGP25" s="3"/>
      <c r="GGQ25" s="3"/>
      <c r="GGR25" s="3"/>
      <c r="GGS25" s="3"/>
      <c r="GGT25" s="3"/>
      <c r="GGU25" s="3"/>
      <c r="GGV25" s="3"/>
      <c r="GGW25" s="3"/>
      <c r="GGX25" s="3"/>
      <c r="GGY25" s="3"/>
      <c r="GGZ25" s="3"/>
      <c r="GHA25" s="3"/>
      <c r="GHB25" s="3"/>
      <c r="GHC25" s="3"/>
      <c r="GHD25" s="3"/>
      <c r="GHE25" s="3"/>
      <c r="GHF25" s="3"/>
      <c r="GHG25" s="3"/>
      <c r="GHH25" s="3"/>
      <c r="GHI25" s="3"/>
      <c r="GHJ25" s="3"/>
      <c r="GHK25" s="3"/>
      <c r="GHL25" s="3"/>
      <c r="GHM25" s="3"/>
      <c r="GHN25" s="3"/>
      <c r="GHO25" s="3"/>
      <c r="GHP25" s="3"/>
      <c r="GHQ25" s="3"/>
      <c r="GHR25" s="3"/>
      <c r="GHS25" s="3"/>
      <c r="GHT25" s="3"/>
      <c r="GHU25" s="3"/>
      <c r="GHV25" s="3"/>
      <c r="GHW25" s="3"/>
      <c r="GHX25" s="3"/>
      <c r="GHY25" s="3"/>
      <c r="GHZ25" s="3"/>
      <c r="GIA25" s="3"/>
      <c r="GIB25" s="3"/>
      <c r="GIC25" s="3"/>
      <c r="GID25" s="3"/>
      <c r="GIE25" s="3"/>
      <c r="GIF25" s="3"/>
      <c r="GIG25" s="3"/>
      <c r="GIH25" s="3"/>
      <c r="GII25" s="3"/>
      <c r="GIJ25" s="3"/>
      <c r="GIK25" s="3"/>
      <c r="GIL25" s="3"/>
      <c r="GIM25" s="3"/>
      <c r="GIN25" s="3"/>
      <c r="GIO25" s="3"/>
      <c r="GIP25" s="3"/>
      <c r="GIQ25" s="3"/>
      <c r="GIR25" s="3"/>
      <c r="GIS25" s="3"/>
      <c r="GIT25" s="3"/>
      <c r="GIU25" s="3"/>
      <c r="GIV25" s="3"/>
      <c r="GIW25" s="3"/>
      <c r="GIX25" s="3"/>
      <c r="GIY25" s="3"/>
      <c r="GIZ25" s="3"/>
      <c r="GJA25" s="3"/>
      <c r="GJB25" s="3"/>
      <c r="GJC25" s="3"/>
      <c r="GJD25" s="3"/>
      <c r="GJE25" s="3"/>
      <c r="GJF25" s="3"/>
      <c r="GJG25" s="3"/>
      <c r="GJH25" s="3"/>
      <c r="GJI25" s="3"/>
      <c r="GJJ25" s="3"/>
      <c r="GJK25" s="3"/>
      <c r="GJL25" s="3"/>
      <c r="GJM25" s="3"/>
      <c r="GJN25" s="3"/>
      <c r="GJO25" s="3"/>
      <c r="GJP25" s="3"/>
      <c r="GJQ25" s="3"/>
      <c r="GJR25" s="3"/>
      <c r="GJS25" s="3"/>
      <c r="GJT25" s="3"/>
      <c r="GJU25" s="3"/>
      <c r="GJV25" s="3"/>
      <c r="GJW25" s="3"/>
      <c r="GJX25" s="3"/>
      <c r="GJY25" s="3"/>
      <c r="GJZ25" s="3"/>
      <c r="GKA25" s="3"/>
      <c r="GKB25" s="3"/>
      <c r="GKC25" s="3"/>
      <c r="GKD25" s="3"/>
      <c r="GKE25" s="3"/>
      <c r="GKF25" s="3"/>
      <c r="GKG25" s="3"/>
      <c r="GKH25" s="3"/>
      <c r="GKI25" s="3"/>
      <c r="GKJ25" s="3"/>
      <c r="GKK25" s="3"/>
      <c r="GKL25" s="3"/>
      <c r="GKM25" s="3"/>
      <c r="GKN25" s="3"/>
      <c r="GKO25" s="3"/>
      <c r="GKP25" s="3"/>
      <c r="GKQ25" s="3"/>
      <c r="GKR25" s="3"/>
      <c r="GKS25" s="3"/>
      <c r="GKT25" s="3"/>
      <c r="GKU25" s="3"/>
      <c r="GKV25" s="3"/>
      <c r="GKW25" s="3"/>
      <c r="GKX25" s="3"/>
      <c r="GKY25" s="3"/>
      <c r="GKZ25" s="3"/>
      <c r="GLA25" s="3"/>
      <c r="GLB25" s="3"/>
      <c r="GLC25" s="3"/>
      <c r="GLD25" s="3"/>
      <c r="GLE25" s="3"/>
      <c r="GLF25" s="3"/>
      <c r="GLG25" s="3"/>
      <c r="GLH25" s="3"/>
      <c r="GLI25" s="3"/>
      <c r="GLJ25" s="3"/>
      <c r="GLK25" s="3"/>
      <c r="GLL25" s="3"/>
      <c r="GLM25" s="3"/>
      <c r="GLN25" s="3"/>
      <c r="GLO25" s="3"/>
      <c r="GLP25" s="3"/>
      <c r="GLQ25" s="3"/>
      <c r="GLR25" s="3"/>
      <c r="GLS25" s="3"/>
      <c r="GLT25" s="3"/>
      <c r="GLU25" s="3"/>
      <c r="GLV25" s="3"/>
      <c r="GLW25" s="3"/>
      <c r="GLX25" s="3"/>
      <c r="GLY25" s="3"/>
      <c r="GLZ25" s="3"/>
      <c r="GMA25" s="3"/>
      <c r="GMB25" s="3"/>
      <c r="GMC25" s="3"/>
      <c r="GMD25" s="3"/>
      <c r="GME25" s="3"/>
      <c r="GMF25" s="3"/>
      <c r="GMG25" s="3"/>
      <c r="GMH25" s="3"/>
      <c r="GMI25" s="3"/>
      <c r="GMJ25" s="3"/>
      <c r="GMK25" s="3"/>
      <c r="GML25" s="3"/>
      <c r="GMM25" s="3"/>
      <c r="GMN25" s="3"/>
      <c r="GMO25" s="3"/>
      <c r="GMP25" s="3"/>
      <c r="GMQ25" s="3"/>
      <c r="GMR25" s="3"/>
      <c r="GMS25" s="3"/>
      <c r="GMT25" s="3"/>
      <c r="GMU25" s="3"/>
      <c r="GMV25" s="3"/>
      <c r="GMW25" s="3"/>
      <c r="GMX25" s="3"/>
      <c r="GMY25" s="3"/>
      <c r="GMZ25" s="3"/>
      <c r="GNA25" s="3"/>
      <c r="GNB25" s="3"/>
      <c r="GNC25" s="3"/>
      <c r="GND25" s="3"/>
      <c r="GNE25" s="3"/>
      <c r="GNF25" s="3"/>
      <c r="GNG25" s="3"/>
      <c r="GNH25" s="3"/>
      <c r="GNI25" s="3"/>
      <c r="GNJ25" s="3"/>
      <c r="GNK25" s="3"/>
      <c r="GNL25" s="3"/>
      <c r="GNM25" s="3"/>
      <c r="GNN25" s="3"/>
      <c r="GNO25" s="3"/>
      <c r="GNP25" s="3"/>
      <c r="GNQ25" s="3"/>
      <c r="GNR25" s="3"/>
      <c r="GNS25" s="3"/>
      <c r="GNT25" s="3"/>
      <c r="GNU25" s="3"/>
      <c r="GNV25" s="3"/>
      <c r="GNW25" s="3"/>
      <c r="GNX25" s="3"/>
      <c r="GNY25" s="3"/>
      <c r="GNZ25" s="3"/>
      <c r="GOA25" s="3"/>
      <c r="GOB25" s="3"/>
      <c r="GOC25" s="3"/>
      <c r="GOD25" s="3"/>
      <c r="GOE25" s="3"/>
      <c r="GOF25" s="3"/>
      <c r="GOG25" s="3"/>
      <c r="GOH25" s="3"/>
      <c r="GOI25" s="3"/>
      <c r="GOJ25" s="3"/>
      <c r="GOK25" s="3"/>
      <c r="GOL25" s="3"/>
      <c r="GOM25" s="3"/>
      <c r="GON25" s="3"/>
      <c r="GOO25" s="3"/>
      <c r="GOP25" s="3"/>
      <c r="GOQ25" s="3"/>
      <c r="GOR25" s="3"/>
      <c r="GOS25" s="3"/>
      <c r="GOT25" s="3"/>
      <c r="GOU25" s="3"/>
      <c r="GOV25" s="3"/>
      <c r="GOW25" s="3"/>
      <c r="GOX25" s="3"/>
      <c r="GOY25" s="3"/>
      <c r="GOZ25" s="3"/>
      <c r="GPA25" s="3"/>
      <c r="GPB25" s="3"/>
      <c r="GPC25" s="3"/>
      <c r="GPD25" s="3"/>
      <c r="GPE25" s="3"/>
      <c r="GPF25" s="3"/>
      <c r="GPG25" s="3"/>
      <c r="GPH25" s="3"/>
      <c r="GPI25" s="3"/>
      <c r="GPJ25" s="3"/>
      <c r="GPK25" s="3"/>
      <c r="GPL25" s="3"/>
      <c r="GPM25" s="3"/>
      <c r="GPN25" s="3"/>
      <c r="GPO25" s="3"/>
      <c r="GPP25" s="3"/>
      <c r="GPQ25" s="3"/>
      <c r="GPR25" s="3"/>
      <c r="GPS25" s="3"/>
      <c r="GPT25" s="3"/>
      <c r="GPU25" s="3"/>
      <c r="GPV25" s="3"/>
      <c r="GPW25" s="3"/>
      <c r="GPX25" s="3"/>
      <c r="GPY25" s="3"/>
      <c r="GPZ25" s="3"/>
      <c r="GQA25" s="3"/>
      <c r="GQB25" s="3"/>
      <c r="GQC25" s="3"/>
      <c r="GQD25" s="3"/>
      <c r="GQE25" s="3"/>
      <c r="GQF25" s="3"/>
      <c r="GQG25" s="3"/>
      <c r="GQH25" s="3"/>
      <c r="GQI25" s="3"/>
      <c r="GQJ25" s="3"/>
      <c r="GQK25" s="3"/>
      <c r="GQL25" s="3"/>
      <c r="GQM25" s="3"/>
      <c r="GQN25" s="3"/>
      <c r="GQO25" s="3"/>
      <c r="GQP25" s="3"/>
      <c r="GQQ25" s="3"/>
      <c r="GQR25" s="3"/>
      <c r="GQS25" s="3"/>
      <c r="GQT25" s="3"/>
      <c r="GQU25" s="3"/>
      <c r="GQV25" s="3"/>
      <c r="GQW25" s="3"/>
      <c r="GQX25" s="3"/>
      <c r="GQY25" s="3"/>
      <c r="GQZ25" s="3"/>
      <c r="GRA25" s="3"/>
      <c r="GRB25" s="3"/>
      <c r="GRC25" s="3"/>
      <c r="GRD25" s="3"/>
      <c r="GRE25" s="3"/>
      <c r="GRF25" s="3"/>
      <c r="GRG25" s="3"/>
      <c r="GRH25" s="3"/>
      <c r="GRI25" s="3"/>
      <c r="GRJ25" s="3"/>
      <c r="GRK25" s="3"/>
      <c r="GRL25" s="3"/>
      <c r="GRM25" s="3"/>
      <c r="GRN25" s="3"/>
      <c r="GRO25" s="3"/>
      <c r="GRP25" s="3"/>
      <c r="GRQ25" s="3"/>
      <c r="GRR25" s="3"/>
      <c r="GRS25" s="3"/>
      <c r="GRT25" s="3"/>
      <c r="GRU25" s="3"/>
      <c r="GRV25" s="3"/>
      <c r="GRW25" s="3"/>
      <c r="GRX25" s="3"/>
      <c r="GRY25" s="3"/>
      <c r="GRZ25" s="3"/>
      <c r="GSA25" s="3"/>
      <c r="GSB25" s="3"/>
      <c r="GSC25" s="3"/>
      <c r="GSD25" s="3"/>
      <c r="GSE25" s="3"/>
      <c r="GSF25" s="3"/>
      <c r="GSG25" s="3"/>
      <c r="GSH25" s="3"/>
      <c r="GSI25" s="3"/>
      <c r="GSJ25" s="3"/>
      <c r="GSK25" s="3"/>
      <c r="GSL25" s="3"/>
      <c r="GSM25" s="3"/>
      <c r="GSN25" s="3"/>
      <c r="GSO25" s="3"/>
      <c r="GSP25" s="3"/>
      <c r="GSQ25" s="3"/>
      <c r="GSR25" s="3"/>
      <c r="GSS25" s="3"/>
      <c r="GST25" s="3"/>
      <c r="GSU25" s="3"/>
      <c r="GSV25" s="3"/>
      <c r="GSW25" s="3"/>
      <c r="GSX25" s="3"/>
      <c r="GSY25" s="3"/>
      <c r="GSZ25" s="3"/>
      <c r="GTA25" s="3"/>
      <c r="GTB25" s="3"/>
      <c r="GTC25" s="3"/>
      <c r="GTD25" s="3"/>
      <c r="GTE25" s="3"/>
      <c r="GTF25" s="3"/>
      <c r="GTG25" s="3"/>
      <c r="GTH25" s="3"/>
      <c r="GTI25" s="3"/>
      <c r="GTJ25" s="3"/>
      <c r="GTK25" s="3"/>
      <c r="GTL25" s="3"/>
      <c r="GTM25" s="3"/>
      <c r="GTN25" s="3"/>
      <c r="GTO25" s="3"/>
      <c r="GTP25" s="3"/>
      <c r="GTQ25" s="3"/>
      <c r="GTR25" s="3"/>
      <c r="GTS25" s="3"/>
      <c r="GTT25" s="3"/>
      <c r="GTU25" s="3"/>
      <c r="GTV25" s="3"/>
      <c r="GTW25" s="3"/>
      <c r="GTX25" s="3"/>
      <c r="GTY25" s="3"/>
      <c r="GTZ25" s="3"/>
      <c r="GUA25" s="3"/>
      <c r="GUB25" s="3"/>
      <c r="GUC25" s="3"/>
      <c r="GUD25" s="3"/>
      <c r="GUE25" s="3"/>
      <c r="GUF25" s="3"/>
      <c r="GUG25" s="3"/>
      <c r="GUH25" s="3"/>
      <c r="GUI25" s="3"/>
      <c r="GUJ25" s="3"/>
      <c r="GUK25" s="3"/>
      <c r="GUL25" s="3"/>
      <c r="GUM25" s="3"/>
      <c r="GUN25" s="3"/>
      <c r="GUO25" s="3"/>
      <c r="GUP25" s="3"/>
      <c r="GUQ25" s="3"/>
      <c r="GUR25" s="3"/>
      <c r="GUS25" s="3"/>
      <c r="GUT25" s="3"/>
      <c r="GUU25" s="3"/>
      <c r="GUV25" s="3"/>
      <c r="GUW25" s="3"/>
      <c r="GUX25" s="3"/>
      <c r="GUY25" s="3"/>
      <c r="GUZ25" s="3"/>
      <c r="GVA25" s="3"/>
      <c r="GVB25" s="3"/>
      <c r="GVC25" s="3"/>
      <c r="GVD25" s="3"/>
      <c r="GVE25" s="3"/>
      <c r="GVF25" s="3"/>
      <c r="GVG25" s="3"/>
      <c r="GVH25" s="3"/>
      <c r="GVI25" s="3"/>
      <c r="GVJ25" s="3"/>
      <c r="GVK25" s="3"/>
      <c r="GVL25" s="3"/>
      <c r="GVM25" s="3"/>
      <c r="GVN25" s="3"/>
      <c r="GVO25" s="3"/>
      <c r="GVP25" s="3"/>
      <c r="GVQ25" s="3"/>
      <c r="GVR25" s="3"/>
      <c r="GVS25" s="3"/>
      <c r="GVT25" s="3"/>
      <c r="GVU25" s="3"/>
      <c r="GVV25" s="3"/>
      <c r="GVW25" s="3"/>
      <c r="GVX25" s="3"/>
      <c r="GVY25" s="3"/>
      <c r="GVZ25" s="3"/>
      <c r="GWA25" s="3"/>
      <c r="GWB25" s="3"/>
      <c r="GWC25" s="3"/>
      <c r="GWD25" s="3"/>
      <c r="GWE25" s="3"/>
      <c r="GWF25" s="3"/>
      <c r="GWG25" s="3"/>
      <c r="GWH25" s="3"/>
      <c r="GWI25" s="3"/>
      <c r="GWJ25" s="3"/>
      <c r="GWK25" s="3"/>
      <c r="GWL25" s="3"/>
      <c r="GWM25" s="3"/>
      <c r="GWN25" s="3"/>
      <c r="GWO25" s="3"/>
      <c r="GWP25" s="3"/>
      <c r="GWQ25" s="3"/>
      <c r="GWR25" s="3"/>
      <c r="GWS25" s="3"/>
      <c r="GWT25" s="3"/>
      <c r="GWU25" s="3"/>
      <c r="GWV25" s="3"/>
      <c r="GWW25" s="3"/>
      <c r="GWX25" s="3"/>
      <c r="GWY25" s="3"/>
      <c r="GWZ25" s="3"/>
      <c r="GXA25" s="3"/>
      <c r="GXB25" s="3"/>
      <c r="GXC25" s="3"/>
      <c r="GXD25" s="3"/>
      <c r="GXE25" s="3"/>
      <c r="GXF25" s="3"/>
      <c r="GXG25" s="3"/>
      <c r="GXH25" s="3"/>
      <c r="GXI25" s="3"/>
      <c r="GXJ25" s="3"/>
      <c r="GXK25" s="3"/>
      <c r="GXL25" s="3"/>
      <c r="GXM25" s="3"/>
      <c r="GXN25" s="3"/>
      <c r="GXO25" s="3"/>
      <c r="GXP25" s="3"/>
      <c r="GXQ25" s="3"/>
      <c r="GXR25" s="3"/>
      <c r="GXS25" s="3"/>
      <c r="GXT25" s="3"/>
      <c r="GXU25" s="3"/>
      <c r="GXV25" s="3"/>
      <c r="GXW25" s="3"/>
      <c r="GXX25" s="3"/>
      <c r="GXY25" s="3"/>
      <c r="GXZ25" s="3"/>
      <c r="GYA25" s="3"/>
      <c r="GYB25" s="3"/>
      <c r="GYC25" s="3"/>
      <c r="GYD25" s="3"/>
      <c r="GYE25" s="3"/>
      <c r="GYF25" s="3"/>
      <c r="GYG25" s="3"/>
      <c r="GYH25" s="3"/>
      <c r="GYI25" s="3"/>
      <c r="GYJ25" s="3"/>
      <c r="GYK25" s="3"/>
      <c r="GYL25" s="3"/>
      <c r="GYM25" s="3"/>
      <c r="GYN25" s="3"/>
      <c r="GYO25" s="3"/>
      <c r="GYP25" s="3"/>
      <c r="GYQ25" s="3"/>
      <c r="GYR25" s="3"/>
      <c r="GYS25" s="3"/>
      <c r="GYT25" s="3"/>
      <c r="GYU25" s="3"/>
      <c r="GYV25" s="3"/>
      <c r="GYW25" s="3"/>
      <c r="GYX25" s="3"/>
      <c r="GYY25" s="3"/>
      <c r="GYZ25" s="3"/>
      <c r="GZA25" s="3"/>
      <c r="GZB25" s="3"/>
      <c r="GZC25" s="3"/>
      <c r="GZD25" s="3"/>
      <c r="GZE25" s="3"/>
      <c r="GZF25" s="3"/>
      <c r="GZG25" s="3"/>
      <c r="GZH25" s="3"/>
      <c r="GZI25" s="3"/>
      <c r="GZJ25" s="3"/>
      <c r="GZK25" s="3"/>
      <c r="GZL25" s="3"/>
      <c r="GZM25" s="3"/>
      <c r="GZN25" s="3"/>
      <c r="GZO25" s="3"/>
      <c r="GZP25" s="3"/>
      <c r="GZQ25" s="3"/>
      <c r="GZR25" s="3"/>
      <c r="GZS25" s="3"/>
      <c r="GZT25" s="3"/>
      <c r="GZU25" s="3"/>
      <c r="GZV25" s="3"/>
      <c r="GZW25" s="3"/>
      <c r="GZX25" s="3"/>
      <c r="GZY25" s="3"/>
      <c r="GZZ25" s="3"/>
      <c r="HAA25" s="3"/>
      <c r="HAB25" s="3"/>
      <c r="HAC25" s="3"/>
      <c r="HAD25" s="3"/>
      <c r="HAE25" s="3"/>
      <c r="HAF25" s="3"/>
      <c r="HAG25" s="3"/>
      <c r="HAH25" s="3"/>
      <c r="HAI25" s="3"/>
      <c r="HAJ25" s="3"/>
      <c r="HAK25" s="3"/>
      <c r="HAL25" s="3"/>
      <c r="HAM25" s="3"/>
      <c r="HAN25" s="3"/>
      <c r="HAO25" s="3"/>
      <c r="HAP25" s="3"/>
      <c r="HAQ25" s="3"/>
      <c r="HAR25" s="3"/>
      <c r="HAS25" s="3"/>
      <c r="HAT25" s="3"/>
      <c r="HAU25" s="3"/>
      <c r="HAV25" s="3"/>
      <c r="HAW25" s="3"/>
      <c r="HAX25" s="3"/>
      <c r="HAY25" s="3"/>
      <c r="HAZ25" s="3"/>
      <c r="HBA25" s="3"/>
      <c r="HBB25" s="3"/>
      <c r="HBC25" s="3"/>
      <c r="HBD25" s="3"/>
      <c r="HBE25" s="3"/>
      <c r="HBF25" s="3"/>
      <c r="HBG25" s="3"/>
      <c r="HBH25" s="3"/>
      <c r="HBI25" s="3"/>
      <c r="HBJ25" s="3"/>
      <c r="HBK25" s="3"/>
      <c r="HBL25" s="3"/>
      <c r="HBM25" s="3"/>
      <c r="HBN25" s="3"/>
      <c r="HBO25" s="3"/>
      <c r="HBP25" s="3"/>
      <c r="HBQ25" s="3"/>
      <c r="HBR25" s="3"/>
      <c r="HBS25" s="3"/>
      <c r="HBT25" s="3"/>
      <c r="HBU25" s="3"/>
      <c r="HBV25" s="3"/>
      <c r="HBW25" s="3"/>
      <c r="HBX25" s="3"/>
      <c r="HBY25" s="3"/>
      <c r="HBZ25" s="3"/>
      <c r="HCA25" s="3"/>
      <c r="HCB25" s="3"/>
      <c r="HCC25" s="3"/>
      <c r="HCD25" s="3"/>
      <c r="HCE25" s="3"/>
      <c r="HCF25" s="3"/>
      <c r="HCG25" s="3"/>
      <c r="HCH25" s="3"/>
      <c r="HCI25" s="3"/>
      <c r="HCJ25" s="3"/>
      <c r="HCK25" s="3"/>
      <c r="HCL25" s="3"/>
      <c r="HCM25" s="3"/>
      <c r="HCN25" s="3"/>
      <c r="HCO25" s="3"/>
      <c r="HCP25" s="3"/>
      <c r="HCQ25" s="3"/>
      <c r="HCR25" s="3"/>
      <c r="HCS25" s="3"/>
      <c r="HCT25" s="3"/>
      <c r="HCU25" s="3"/>
      <c r="HCV25" s="3"/>
      <c r="HCW25" s="3"/>
      <c r="HCX25" s="3"/>
      <c r="HCY25" s="3"/>
      <c r="HCZ25" s="3"/>
      <c r="HDA25" s="3"/>
      <c r="HDB25" s="3"/>
      <c r="HDC25" s="3"/>
      <c r="HDD25" s="3"/>
      <c r="HDE25" s="3"/>
      <c r="HDF25" s="3"/>
      <c r="HDG25" s="3"/>
      <c r="HDH25" s="3"/>
      <c r="HDI25" s="3"/>
      <c r="HDJ25" s="3"/>
      <c r="HDK25" s="3"/>
      <c r="HDL25" s="3"/>
      <c r="HDM25" s="3"/>
      <c r="HDN25" s="3"/>
      <c r="HDO25" s="3"/>
      <c r="HDP25" s="3"/>
      <c r="HDQ25" s="3"/>
      <c r="HDR25" s="3"/>
      <c r="HDS25" s="3"/>
      <c r="HDT25" s="3"/>
      <c r="HDU25" s="3"/>
      <c r="HDV25" s="3"/>
      <c r="HDW25" s="3"/>
      <c r="HDX25" s="3"/>
      <c r="HDY25" s="3"/>
      <c r="HDZ25" s="3"/>
      <c r="HEA25" s="3"/>
      <c r="HEB25" s="3"/>
      <c r="HEC25" s="3"/>
      <c r="HED25" s="3"/>
      <c r="HEE25" s="3"/>
      <c r="HEF25" s="3"/>
      <c r="HEG25" s="3"/>
      <c r="HEH25" s="3"/>
      <c r="HEI25" s="3"/>
      <c r="HEJ25" s="3"/>
      <c r="HEK25" s="3"/>
      <c r="HEL25" s="3"/>
      <c r="HEM25" s="3"/>
      <c r="HEN25" s="3"/>
      <c r="HEO25" s="3"/>
      <c r="HEP25" s="3"/>
      <c r="HEQ25" s="3"/>
      <c r="HER25" s="3"/>
      <c r="HES25" s="3"/>
      <c r="HET25" s="3"/>
      <c r="HEU25" s="3"/>
      <c r="HEV25" s="3"/>
      <c r="HEW25" s="3"/>
      <c r="HEX25" s="3"/>
      <c r="HEY25" s="3"/>
      <c r="HEZ25" s="3"/>
      <c r="HFA25" s="3"/>
      <c r="HFB25" s="3"/>
      <c r="HFC25" s="3"/>
      <c r="HFD25" s="3"/>
      <c r="HFE25" s="3"/>
      <c r="HFF25" s="3"/>
      <c r="HFG25" s="3"/>
      <c r="HFH25" s="3"/>
      <c r="HFI25" s="3"/>
      <c r="HFJ25" s="3"/>
      <c r="HFK25" s="3"/>
      <c r="HFL25" s="3"/>
      <c r="HFM25" s="3"/>
      <c r="HFN25" s="3"/>
      <c r="HFO25" s="3"/>
      <c r="HFP25" s="3"/>
      <c r="HFQ25" s="3"/>
      <c r="HFR25" s="3"/>
      <c r="HFS25" s="3"/>
      <c r="HFT25" s="3"/>
      <c r="HFU25" s="3"/>
      <c r="HFV25" s="3"/>
      <c r="HFW25" s="3"/>
      <c r="HFX25" s="3"/>
      <c r="HFY25" s="3"/>
      <c r="HFZ25" s="3"/>
      <c r="HGA25" s="3"/>
      <c r="HGB25" s="3"/>
      <c r="HGC25" s="3"/>
      <c r="HGD25" s="3"/>
      <c r="HGE25" s="3"/>
      <c r="HGF25" s="3"/>
      <c r="HGG25" s="3"/>
      <c r="HGH25" s="3"/>
      <c r="HGI25" s="3"/>
      <c r="HGJ25" s="3"/>
      <c r="HGK25" s="3"/>
      <c r="HGL25" s="3"/>
      <c r="HGM25" s="3"/>
      <c r="HGN25" s="3"/>
      <c r="HGO25" s="3"/>
      <c r="HGP25" s="3"/>
      <c r="HGQ25" s="3"/>
      <c r="HGR25" s="3"/>
      <c r="HGS25" s="3"/>
      <c r="HGT25" s="3"/>
      <c r="HGU25" s="3"/>
      <c r="HGV25" s="3"/>
      <c r="HGW25" s="3"/>
      <c r="HGX25" s="3"/>
      <c r="HGY25" s="3"/>
      <c r="HGZ25" s="3"/>
      <c r="HHA25" s="3"/>
      <c r="HHB25" s="3"/>
      <c r="HHC25" s="3"/>
      <c r="HHD25" s="3"/>
      <c r="HHE25" s="3"/>
      <c r="HHF25" s="3"/>
      <c r="HHG25" s="3"/>
      <c r="HHH25" s="3"/>
      <c r="HHI25" s="3"/>
      <c r="HHJ25" s="3"/>
      <c r="HHK25" s="3"/>
      <c r="HHL25" s="3"/>
      <c r="HHM25" s="3"/>
      <c r="HHN25" s="3"/>
      <c r="HHO25" s="3"/>
      <c r="HHP25" s="3"/>
      <c r="HHQ25" s="3"/>
      <c r="HHR25" s="3"/>
      <c r="HHS25" s="3"/>
      <c r="HHT25" s="3"/>
      <c r="HHU25" s="3"/>
      <c r="HHV25" s="3"/>
      <c r="HHW25" s="3"/>
      <c r="HHX25" s="3"/>
      <c r="HHY25" s="3"/>
      <c r="HHZ25" s="3"/>
      <c r="HIA25" s="3"/>
      <c r="HIB25" s="3"/>
      <c r="HIC25" s="3"/>
      <c r="HID25" s="3"/>
      <c r="HIE25" s="3"/>
      <c r="HIF25" s="3"/>
      <c r="HIG25" s="3"/>
      <c r="HIH25" s="3"/>
      <c r="HII25" s="3"/>
      <c r="HIJ25" s="3"/>
      <c r="HIK25" s="3"/>
      <c r="HIL25" s="3"/>
      <c r="HIM25" s="3"/>
      <c r="HIN25" s="3"/>
      <c r="HIO25" s="3"/>
      <c r="HIP25" s="3"/>
      <c r="HIQ25" s="3"/>
      <c r="HIR25" s="3"/>
      <c r="HIS25" s="3"/>
      <c r="HIT25" s="3"/>
      <c r="HIU25" s="3"/>
      <c r="HIV25" s="3"/>
      <c r="HIW25" s="3"/>
      <c r="HIX25" s="3"/>
      <c r="HIY25" s="3"/>
      <c r="HIZ25" s="3"/>
      <c r="HJA25" s="3"/>
      <c r="HJB25" s="3"/>
      <c r="HJC25" s="3"/>
      <c r="HJD25" s="3"/>
      <c r="HJE25" s="3"/>
      <c r="HJF25" s="3"/>
      <c r="HJG25" s="3"/>
      <c r="HJH25" s="3"/>
      <c r="HJI25" s="3"/>
      <c r="HJJ25" s="3"/>
      <c r="HJK25" s="3"/>
      <c r="HJL25" s="3"/>
      <c r="HJM25" s="3"/>
      <c r="HJN25" s="3"/>
      <c r="HJO25" s="3"/>
      <c r="HJP25" s="3"/>
      <c r="HJQ25" s="3"/>
      <c r="HJR25" s="3"/>
      <c r="HJS25" s="3"/>
      <c r="HJT25" s="3"/>
      <c r="HJU25" s="3"/>
      <c r="HJV25" s="3"/>
      <c r="HJW25" s="3"/>
      <c r="HJX25" s="3"/>
      <c r="HJY25" s="3"/>
      <c r="HJZ25" s="3"/>
      <c r="HKA25" s="3"/>
      <c r="HKB25" s="3"/>
      <c r="HKC25" s="3"/>
      <c r="HKD25" s="3"/>
      <c r="HKE25" s="3"/>
      <c r="HKF25" s="3"/>
      <c r="HKG25" s="3"/>
      <c r="HKH25" s="3"/>
      <c r="HKI25" s="3"/>
      <c r="HKJ25" s="3"/>
      <c r="HKK25" s="3"/>
      <c r="HKL25" s="3"/>
      <c r="HKM25" s="3"/>
      <c r="HKN25" s="3"/>
      <c r="HKO25" s="3"/>
      <c r="HKP25" s="3"/>
      <c r="HKQ25" s="3"/>
      <c r="HKR25" s="3"/>
      <c r="HKS25" s="3"/>
      <c r="HKT25" s="3"/>
      <c r="HKU25" s="3"/>
      <c r="HKV25" s="3"/>
      <c r="HKW25" s="3"/>
      <c r="HKX25" s="3"/>
      <c r="HKY25" s="3"/>
      <c r="HKZ25" s="3"/>
      <c r="HLA25" s="3"/>
      <c r="HLB25" s="3"/>
      <c r="HLC25" s="3"/>
      <c r="HLD25" s="3"/>
      <c r="HLE25" s="3"/>
      <c r="HLF25" s="3"/>
      <c r="HLG25" s="3"/>
      <c r="HLH25" s="3"/>
      <c r="HLI25" s="3"/>
      <c r="HLJ25" s="3"/>
      <c r="HLK25" s="3"/>
      <c r="HLL25" s="3"/>
      <c r="HLM25" s="3"/>
      <c r="HLN25" s="3"/>
      <c r="HLO25" s="3"/>
      <c r="HLP25" s="3"/>
      <c r="HLQ25" s="3"/>
      <c r="HLR25" s="3"/>
      <c r="HLS25" s="3"/>
      <c r="HLT25" s="3"/>
      <c r="HLU25" s="3"/>
      <c r="HLV25" s="3"/>
      <c r="HLW25" s="3"/>
      <c r="HLX25" s="3"/>
      <c r="HLY25" s="3"/>
      <c r="HLZ25" s="3"/>
      <c r="HMA25" s="3"/>
      <c r="HMB25" s="3"/>
      <c r="HMC25" s="3"/>
      <c r="HMD25" s="3"/>
      <c r="HME25" s="3"/>
      <c r="HMF25" s="3"/>
      <c r="HMG25" s="3"/>
      <c r="HMH25" s="3"/>
      <c r="HMI25" s="3"/>
      <c r="HMJ25" s="3"/>
      <c r="HMK25" s="3"/>
      <c r="HML25" s="3"/>
      <c r="HMM25" s="3"/>
      <c r="HMN25" s="3"/>
      <c r="HMO25" s="3"/>
      <c r="HMP25" s="3"/>
      <c r="HMQ25" s="3"/>
      <c r="HMR25" s="3"/>
      <c r="HMS25" s="3"/>
      <c r="HMT25" s="3"/>
      <c r="HMU25" s="3"/>
      <c r="HMV25" s="3"/>
      <c r="HMW25" s="3"/>
      <c r="HMX25" s="3"/>
      <c r="HMY25" s="3"/>
      <c r="HMZ25" s="3"/>
      <c r="HNA25" s="3"/>
      <c r="HNB25" s="3"/>
      <c r="HNC25" s="3"/>
      <c r="HND25" s="3"/>
      <c r="HNE25" s="3"/>
      <c r="HNF25" s="3"/>
      <c r="HNG25" s="3"/>
      <c r="HNH25" s="3"/>
      <c r="HNI25" s="3"/>
      <c r="HNJ25" s="3"/>
      <c r="HNK25" s="3"/>
      <c r="HNL25" s="3"/>
      <c r="HNM25" s="3"/>
      <c r="HNN25" s="3"/>
      <c r="HNO25" s="3"/>
      <c r="HNP25" s="3"/>
      <c r="HNQ25" s="3"/>
      <c r="HNR25" s="3"/>
      <c r="HNS25" s="3"/>
      <c r="HNT25" s="3"/>
      <c r="HNU25" s="3"/>
      <c r="HNV25" s="3"/>
      <c r="HNW25" s="3"/>
      <c r="HNX25" s="3"/>
      <c r="HNY25" s="3"/>
      <c r="HNZ25" s="3"/>
      <c r="HOA25" s="3"/>
      <c r="HOB25" s="3"/>
      <c r="HOC25" s="3"/>
      <c r="HOD25" s="3"/>
      <c r="HOE25" s="3"/>
      <c r="HOF25" s="3"/>
      <c r="HOG25" s="3"/>
      <c r="HOH25" s="3"/>
      <c r="HOI25" s="3"/>
      <c r="HOJ25" s="3"/>
      <c r="HOK25" s="3"/>
      <c r="HOL25" s="3"/>
      <c r="HOM25" s="3"/>
      <c r="HON25" s="3"/>
      <c r="HOO25" s="3"/>
      <c r="HOP25" s="3"/>
      <c r="HOQ25" s="3"/>
      <c r="HOR25" s="3"/>
      <c r="HOS25" s="3"/>
      <c r="HOT25" s="3"/>
      <c r="HOU25" s="3"/>
      <c r="HOV25" s="3"/>
      <c r="HOW25" s="3"/>
      <c r="HOX25" s="3"/>
      <c r="HOY25" s="3"/>
      <c r="HOZ25" s="3"/>
      <c r="HPA25" s="3"/>
      <c r="HPB25" s="3"/>
      <c r="HPC25" s="3"/>
      <c r="HPD25" s="3"/>
      <c r="HPE25" s="3"/>
      <c r="HPF25" s="3"/>
      <c r="HPG25" s="3"/>
      <c r="HPH25" s="3"/>
      <c r="HPI25" s="3"/>
      <c r="HPJ25" s="3"/>
      <c r="HPK25" s="3"/>
      <c r="HPL25" s="3"/>
      <c r="HPM25" s="3"/>
      <c r="HPN25" s="3"/>
      <c r="HPO25" s="3"/>
      <c r="HPP25" s="3"/>
      <c r="HPQ25" s="3"/>
      <c r="HPR25" s="3"/>
      <c r="HPS25" s="3"/>
      <c r="HPT25" s="3"/>
      <c r="HPU25" s="3"/>
      <c r="HPV25" s="3"/>
      <c r="HPW25" s="3"/>
      <c r="HPX25" s="3"/>
      <c r="HPY25" s="3"/>
      <c r="HPZ25" s="3"/>
      <c r="HQA25" s="3"/>
      <c r="HQB25" s="3"/>
      <c r="HQC25" s="3"/>
      <c r="HQD25" s="3"/>
      <c r="HQE25" s="3"/>
      <c r="HQF25" s="3"/>
      <c r="HQG25" s="3"/>
      <c r="HQH25" s="3"/>
      <c r="HQI25" s="3"/>
      <c r="HQJ25" s="3"/>
      <c r="HQK25" s="3"/>
      <c r="HQL25" s="3"/>
      <c r="HQM25" s="3"/>
      <c r="HQN25" s="3"/>
      <c r="HQO25" s="3"/>
      <c r="HQP25" s="3"/>
      <c r="HQQ25" s="3"/>
      <c r="HQR25" s="3"/>
      <c r="HQS25" s="3"/>
      <c r="HQT25" s="3"/>
      <c r="HQU25" s="3"/>
      <c r="HQV25" s="3"/>
      <c r="HQW25" s="3"/>
      <c r="HQX25" s="3"/>
      <c r="HQY25" s="3"/>
      <c r="HQZ25" s="3"/>
      <c r="HRA25" s="3"/>
      <c r="HRB25" s="3"/>
      <c r="HRC25" s="3"/>
      <c r="HRD25" s="3"/>
      <c r="HRE25" s="3"/>
      <c r="HRF25" s="3"/>
      <c r="HRG25" s="3"/>
      <c r="HRH25" s="3"/>
      <c r="HRI25" s="3"/>
      <c r="HRJ25" s="3"/>
      <c r="HRK25" s="3"/>
      <c r="HRL25" s="3"/>
      <c r="HRM25" s="3"/>
      <c r="HRN25" s="3"/>
      <c r="HRO25" s="3"/>
      <c r="HRP25" s="3"/>
      <c r="HRQ25" s="3"/>
      <c r="HRR25" s="3"/>
      <c r="HRS25" s="3"/>
      <c r="HRT25" s="3"/>
      <c r="HRU25" s="3"/>
      <c r="HRV25" s="3"/>
      <c r="HRW25" s="3"/>
      <c r="HRX25" s="3"/>
      <c r="HRY25" s="3"/>
      <c r="HRZ25" s="3"/>
      <c r="HSA25" s="3"/>
      <c r="HSB25" s="3"/>
      <c r="HSC25" s="3"/>
      <c r="HSD25" s="3"/>
      <c r="HSE25" s="3"/>
      <c r="HSF25" s="3"/>
      <c r="HSG25" s="3"/>
      <c r="HSH25" s="3"/>
      <c r="HSI25" s="3"/>
      <c r="HSJ25" s="3"/>
      <c r="HSK25" s="3"/>
      <c r="HSL25" s="3"/>
      <c r="HSM25" s="3"/>
      <c r="HSN25" s="3"/>
      <c r="HSO25" s="3"/>
      <c r="HSP25" s="3"/>
      <c r="HSQ25" s="3"/>
      <c r="HSR25" s="3"/>
      <c r="HSS25" s="3"/>
      <c r="HST25" s="3"/>
      <c r="HSU25" s="3"/>
      <c r="HSV25" s="3"/>
      <c r="HSW25" s="3"/>
      <c r="HSX25" s="3"/>
      <c r="HSY25" s="3"/>
      <c r="HSZ25" s="3"/>
      <c r="HTA25" s="3"/>
      <c r="HTB25" s="3"/>
      <c r="HTC25" s="3"/>
      <c r="HTD25" s="3"/>
      <c r="HTE25" s="3"/>
      <c r="HTF25" s="3"/>
      <c r="HTG25" s="3"/>
      <c r="HTH25" s="3"/>
      <c r="HTI25" s="3"/>
      <c r="HTJ25" s="3"/>
      <c r="HTK25" s="3"/>
      <c r="HTL25" s="3"/>
      <c r="HTM25" s="3"/>
      <c r="HTN25" s="3"/>
      <c r="HTO25" s="3"/>
      <c r="HTP25" s="3"/>
      <c r="HTQ25" s="3"/>
      <c r="HTR25" s="3"/>
      <c r="HTS25" s="3"/>
      <c r="HTT25" s="3"/>
      <c r="HTU25" s="3"/>
      <c r="HTV25" s="3"/>
      <c r="HTW25" s="3"/>
      <c r="HTX25" s="3"/>
      <c r="HTY25" s="3"/>
      <c r="HTZ25" s="3"/>
      <c r="HUA25" s="3"/>
      <c r="HUB25" s="3"/>
      <c r="HUC25" s="3"/>
      <c r="HUD25" s="3"/>
      <c r="HUE25" s="3"/>
      <c r="HUF25" s="3"/>
      <c r="HUG25" s="3"/>
      <c r="HUH25" s="3"/>
      <c r="HUI25" s="3"/>
      <c r="HUJ25" s="3"/>
      <c r="HUK25" s="3"/>
      <c r="HUL25" s="3"/>
      <c r="HUM25" s="3"/>
      <c r="HUN25" s="3"/>
      <c r="HUO25" s="3"/>
      <c r="HUP25" s="3"/>
      <c r="HUQ25" s="3"/>
      <c r="HUR25" s="3"/>
      <c r="HUS25" s="3"/>
      <c r="HUT25" s="3"/>
      <c r="HUU25" s="3"/>
      <c r="HUV25" s="3"/>
      <c r="HUW25" s="3"/>
      <c r="HUX25" s="3"/>
      <c r="HUY25" s="3"/>
      <c r="HUZ25" s="3"/>
      <c r="HVA25" s="3"/>
      <c r="HVB25" s="3"/>
      <c r="HVC25" s="3"/>
      <c r="HVD25" s="3"/>
      <c r="HVE25" s="3"/>
      <c r="HVF25" s="3"/>
      <c r="HVG25" s="3"/>
      <c r="HVH25" s="3"/>
      <c r="HVI25" s="3"/>
      <c r="HVJ25" s="3"/>
      <c r="HVK25" s="3"/>
      <c r="HVL25" s="3"/>
      <c r="HVM25" s="3"/>
      <c r="HVN25" s="3"/>
      <c r="HVO25" s="3"/>
      <c r="HVP25" s="3"/>
      <c r="HVQ25" s="3"/>
      <c r="HVR25" s="3"/>
      <c r="HVS25" s="3"/>
      <c r="HVT25" s="3"/>
      <c r="HVU25" s="3"/>
      <c r="HVV25" s="3"/>
      <c r="HVW25" s="3"/>
      <c r="HVX25" s="3"/>
      <c r="HVY25" s="3"/>
      <c r="HVZ25" s="3"/>
      <c r="HWA25" s="3"/>
      <c r="HWB25" s="3"/>
      <c r="HWC25" s="3"/>
      <c r="HWD25" s="3"/>
      <c r="HWE25" s="3"/>
      <c r="HWF25" s="3"/>
      <c r="HWG25" s="3"/>
      <c r="HWH25" s="3"/>
      <c r="HWI25" s="3"/>
      <c r="HWJ25" s="3"/>
      <c r="HWK25" s="3"/>
      <c r="HWL25" s="3"/>
      <c r="HWM25" s="3"/>
      <c r="HWN25" s="3"/>
      <c r="HWO25" s="3"/>
      <c r="HWP25" s="3"/>
      <c r="HWQ25" s="3"/>
      <c r="HWR25" s="3"/>
      <c r="HWS25" s="3"/>
      <c r="HWT25" s="3"/>
      <c r="HWU25" s="3"/>
      <c r="HWV25" s="3"/>
      <c r="HWW25" s="3"/>
      <c r="HWX25" s="3"/>
      <c r="HWY25" s="3"/>
      <c r="HWZ25" s="3"/>
      <c r="HXA25" s="3"/>
      <c r="HXB25" s="3"/>
      <c r="HXC25" s="3"/>
      <c r="HXD25" s="3"/>
      <c r="HXE25" s="3"/>
      <c r="HXF25" s="3"/>
      <c r="HXG25" s="3"/>
      <c r="HXH25" s="3"/>
      <c r="HXI25" s="3"/>
      <c r="HXJ25" s="3"/>
      <c r="HXK25" s="3"/>
      <c r="HXL25" s="3"/>
      <c r="HXM25" s="3"/>
      <c r="HXN25" s="3"/>
      <c r="HXO25" s="3"/>
      <c r="HXP25" s="3"/>
      <c r="HXQ25" s="3"/>
      <c r="HXR25" s="3"/>
      <c r="HXS25" s="3"/>
      <c r="HXT25" s="3"/>
      <c r="HXU25" s="3"/>
      <c r="HXV25" s="3"/>
      <c r="HXW25" s="3"/>
      <c r="HXX25" s="3"/>
      <c r="HXY25" s="3"/>
      <c r="HXZ25" s="3"/>
      <c r="HYA25" s="3"/>
      <c r="HYB25" s="3"/>
      <c r="HYC25" s="3"/>
      <c r="HYD25" s="3"/>
      <c r="HYE25" s="3"/>
      <c r="HYF25" s="3"/>
      <c r="HYG25" s="3"/>
      <c r="HYH25" s="3"/>
      <c r="HYI25" s="3"/>
      <c r="HYJ25" s="3"/>
      <c r="HYK25" s="3"/>
      <c r="HYL25" s="3"/>
      <c r="HYM25" s="3"/>
      <c r="HYN25" s="3"/>
      <c r="HYO25" s="3"/>
      <c r="HYP25" s="3"/>
      <c r="HYQ25" s="3"/>
      <c r="HYR25" s="3"/>
      <c r="HYS25" s="3"/>
      <c r="HYT25" s="3"/>
      <c r="HYU25" s="3"/>
      <c r="HYV25" s="3"/>
      <c r="HYW25" s="3"/>
      <c r="HYX25" s="3"/>
      <c r="HYY25" s="3"/>
      <c r="HYZ25" s="3"/>
      <c r="HZA25" s="3"/>
      <c r="HZB25" s="3"/>
      <c r="HZC25" s="3"/>
      <c r="HZD25" s="3"/>
      <c r="HZE25" s="3"/>
      <c r="HZF25" s="3"/>
      <c r="HZG25" s="3"/>
      <c r="HZH25" s="3"/>
      <c r="HZI25" s="3"/>
      <c r="HZJ25" s="3"/>
      <c r="HZK25" s="3"/>
      <c r="HZL25" s="3"/>
      <c r="HZM25" s="3"/>
      <c r="HZN25" s="3"/>
      <c r="HZO25" s="3"/>
      <c r="HZP25" s="3"/>
      <c r="HZQ25" s="3"/>
      <c r="HZR25" s="3"/>
      <c r="HZS25" s="3"/>
      <c r="HZT25" s="3"/>
      <c r="HZU25" s="3"/>
      <c r="HZV25" s="3"/>
      <c r="HZW25" s="3"/>
      <c r="HZX25" s="3"/>
      <c r="HZY25" s="3"/>
      <c r="HZZ25" s="3"/>
      <c r="IAA25" s="3"/>
      <c r="IAB25" s="3"/>
      <c r="IAC25" s="3"/>
      <c r="IAD25" s="3"/>
      <c r="IAE25" s="3"/>
      <c r="IAF25" s="3"/>
      <c r="IAG25" s="3"/>
      <c r="IAH25" s="3"/>
      <c r="IAI25" s="3"/>
      <c r="IAJ25" s="3"/>
      <c r="IAK25" s="3"/>
      <c r="IAL25" s="3"/>
      <c r="IAM25" s="3"/>
      <c r="IAN25" s="3"/>
      <c r="IAO25" s="3"/>
      <c r="IAP25" s="3"/>
      <c r="IAQ25" s="3"/>
      <c r="IAR25" s="3"/>
      <c r="IAS25" s="3"/>
      <c r="IAT25" s="3"/>
      <c r="IAU25" s="3"/>
      <c r="IAV25" s="3"/>
      <c r="IAW25" s="3"/>
      <c r="IAX25" s="3"/>
      <c r="IAY25" s="3"/>
      <c r="IAZ25" s="3"/>
      <c r="IBA25" s="3"/>
      <c r="IBB25" s="3"/>
      <c r="IBC25" s="3"/>
      <c r="IBD25" s="3"/>
      <c r="IBE25" s="3"/>
      <c r="IBF25" s="3"/>
      <c r="IBG25" s="3"/>
      <c r="IBH25" s="3"/>
      <c r="IBI25" s="3"/>
      <c r="IBJ25" s="3"/>
      <c r="IBK25" s="3"/>
      <c r="IBL25" s="3"/>
      <c r="IBM25" s="3"/>
      <c r="IBN25" s="3"/>
      <c r="IBO25" s="3"/>
      <c r="IBP25" s="3"/>
      <c r="IBQ25" s="3"/>
      <c r="IBR25" s="3"/>
      <c r="IBS25" s="3"/>
      <c r="IBT25" s="3"/>
      <c r="IBU25" s="3"/>
      <c r="IBV25" s="3"/>
      <c r="IBW25" s="3"/>
      <c r="IBX25" s="3"/>
      <c r="IBY25" s="3"/>
      <c r="IBZ25" s="3"/>
      <c r="ICA25" s="3"/>
      <c r="ICB25" s="3"/>
      <c r="ICC25" s="3"/>
      <c r="ICD25" s="3"/>
      <c r="ICE25" s="3"/>
      <c r="ICF25" s="3"/>
      <c r="ICG25" s="3"/>
      <c r="ICH25" s="3"/>
      <c r="ICI25" s="3"/>
      <c r="ICJ25" s="3"/>
      <c r="ICK25" s="3"/>
      <c r="ICL25" s="3"/>
      <c r="ICM25" s="3"/>
      <c r="ICN25" s="3"/>
      <c r="ICO25" s="3"/>
      <c r="ICP25" s="3"/>
      <c r="ICQ25" s="3"/>
      <c r="ICR25" s="3"/>
      <c r="ICS25" s="3"/>
      <c r="ICT25" s="3"/>
      <c r="ICU25" s="3"/>
      <c r="ICV25" s="3"/>
      <c r="ICW25" s="3"/>
      <c r="ICX25" s="3"/>
      <c r="ICY25" s="3"/>
      <c r="ICZ25" s="3"/>
      <c r="IDA25" s="3"/>
      <c r="IDB25" s="3"/>
      <c r="IDC25" s="3"/>
      <c r="IDD25" s="3"/>
      <c r="IDE25" s="3"/>
      <c r="IDF25" s="3"/>
      <c r="IDG25" s="3"/>
      <c r="IDH25" s="3"/>
      <c r="IDI25" s="3"/>
      <c r="IDJ25" s="3"/>
      <c r="IDK25" s="3"/>
      <c r="IDL25" s="3"/>
      <c r="IDM25" s="3"/>
      <c r="IDN25" s="3"/>
      <c r="IDO25" s="3"/>
      <c r="IDP25" s="3"/>
      <c r="IDQ25" s="3"/>
      <c r="IDR25" s="3"/>
      <c r="IDS25" s="3"/>
      <c r="IDT25" s="3"/>
      <c r="IDU25" s="3"/>
      <c r="IDV25" s="3"/>
      <c r="IDW25" s="3"/>
      <c r="IDX25" s="3"/>
      <c r="IDY25" s="3"/>
      <c r="IDZ25" s="3"/>
      <c r="IEA25" s="3"/>
      <c r="IEB25" s="3"/>
      <c r="IEC25" s="3"/>
      <c r="IED25" s="3"/>
      <c r="IEE25" s="3"/>
      <c r="IEF25" s="3"/>
      <c r="IEG25" s="3"/>
      <c r="IEH25" s="3"/>
      <c r="IEI25" s="3"/>
      <c r="IEJ25" s="3"/>
      <c r="IEK25" s="3"/>
      <c r="IEL25" s="3"/>
      <c r="IEM25" s="3"/>
      <c r="IEN25" s="3"/>
      <c r="IEO25" s="3"/>
      <c r="IEP25" s="3"/>
      <c r="IEQ25" s="3"/>
      <c r="IER25" s="3"/>
      <c r="IES25" s="3"/>
      <c r="IET25" s="3"/>
      <c r="IEU25" s="3"/>
      <c r="IEV25" s="3"/>
      <c r="IEW25" s="3"/>
      <c r="IEX25" s="3"/>
      <c r="IEY25" s="3"/>
      <c r="IEZ25" s="3"/>
      <c r="IFA25" s="3"/>
      <c r="IFB25" s="3"/>
      <c r="IFC25" s="3"/>
      <c r="IFD25" s="3"/>
      <c r="IFE25" s="3"/>
      <c r="IFF25" s="3"/>
      <c r="IFG25" s="3"/>
      <c r="IFH25" s="3"/>
      <c r="IFI25" s="3"/>
      <c r="IFJ25" s="3"/>
      <c r="IFK25" s="3"/>
      <c r="IFL25" s="3"/>
      <c r="IFM25" s="3"/>
      <c r="IFN25" s="3"/>
      <c r="IFO25" s="3"/>
      <c r="IFP25" s="3"/>
      <c r="IFQ25" s="3"/>
      <c r="IFR25" s="3"/>
      <c r="IFS25" s="3"/>
      <c r="IFT25" s="3"/>
      <c r="IFU25" s="3"/>
      <c r="IFV25" s="3"/>
      <c r="IFW25" s="3"/>
      <c r="IFX25" s="3"/>
      <c r="IFY25" s="3"/>
      <c r="IFZ25" s="3"/>
      <c r="IGA25" s="3"/>
      <c r="IGB25" s="3"/>
      <c r="IGC25" s="3"/>
      <c r="IGD25" s="3"/>
      <c r="IGE25" s="3"/>
      <c r="IGF25" s="3"/>
      <c r="IGG25" s="3"/>
      <c r="IGH25" s="3"/>
      <c r="IGI25" s="3"/>
      <c r="IGJ25" s="3"/>
      <c r="IGK25" s="3"/>
      <c r="IGL25" s="3"/>
      <c r="IGM25" s="3"/>
      <c r="IGN25" s="3"/>
      <c r="IGO25" s="3"/>
      <c r="IGP25" s="3"/>
      <c r="IGQ25" s="3"/>
      <c r="IGR25" s="3"/>
      <c r="IGS25" s="3"/>
      <c r="IGT25" s="3"/>
      <c r="IGU25" s="3"/>
      <c r="IGV25" s="3"/>
      <c r="IGW25" s="3"/>
      <c r="IGX25" s="3"/>
      <c r="IGY25" s="3"/>
      <c r="IGZ25" s="3"/>
      <c r="IHA25" s="3"/>
      <c r="IHB25" s="3"/>
      <c r="IHC25" s="3"/>
      <c r="IHD25" s="3"/>
      <c r="IHE25" s="3"/>
      <c r="IHF25" s="3"/>
      <c r="IHG25" s="3"/>
      <c r="IHH25" s="3"/>
      <c r="IHI25" s="3"/>
      <c r="IHJ25" s="3"/>
      <c r="IHK25" s="3"/>
      <c r="IHL25" s="3"/>
      <c r="IHM25" s="3"/>
      <c r="IHN25" s="3"/>
      <c r="IHO25" s="3"/>
      <c r="IHP25" s="3"/>
      <c r="IHQ25" s="3"/>
      <c r="IHR25" s="3"/>
      <c r="IHS25" s="3"/>
      <c r="IHT25" s="3"/>
      <c r="IHU25" s="3"/>
      <c r="IHV25" s="3"/>
      <c r="IHW25" s="3"/>
      <c r="IHX25" s="3"/>
      <c r="IHY25" s="3"/>
      <c r="IHZ25" s="3"/>
      <c r="IIA25" s="3"/>
      <c r="IIB25" s="3"/>
      <c r="IIC25" s="3"/>
      <c r="IID25" s="3"/>
      <c r="IIE25" s="3"/>
      <c r="IIF25" s="3"/>
      <c r="IIG25" s="3"/>
      <c r="IIH25" s="3"/>
      <c r="III25" s="3"/>
      <c r="IIJ25" s="3"/>
      <c r="IIK25" s="3"/>
      <c r="IIL25" s="3"/>
      <c r="IIM25" s="3"/>
      <c r="IIN25" s="3"/>
      <c r="IIO25" s="3"/>
      <c r="IIP25" s="3"/>
      <c r="IIQ25" s="3"/>
      <c r="IIR25" s="3"/>
      <c r="IIS25" s="3"/>
      <c r="IIT25" s="3"/>
      <c r="IIU25" s="3"/>
      <c r="IIV25" s="3"/>
      <c r="IIW25" s="3"/>
      <c r="IIX25" s="3"/>
      <c r="IIY25" s="3"/>
      <c r="IIZ25" s="3"/>
      <c r="IJA25" s="3"/>
      <c r="IJB25" s="3"/>
      <c r="IJC25" s="3"/>
      <c r="IJD25" s="3"/>
      <c r="IJE25" s="3"/>
      <c r="IJF25" s="3"/>
      <c r="IJG25" s="3"/>
      <c r="IJH25" s="3"/>
      <c r="IJI25" s="3"/>
      <c r="IJJ25" s="3"/>
      <c r="IJK25" s="3"/>
      <c r="IJL25" s="3"/>
      <c r="IJM25" s="3"/>
      <c r="IJN25" s="3"/>
      <c r="IJO25" s="3"/>
      <c r="IJP25" s="3"/>
      <c r="IJQ25" s="3"/>
      <c r="IJR25" s="3"/>
      <c r="IJS25" s="3"/>
      <c r="IJT25" s="3"/>
      <c r="IJU25" s="3"/>
      <c r="IJV25" s="3"/>
      <c r="IJW25" s="3"/>
      <c r="IJX25" s="3"/>
      <c r="IJY25" s="3"/>
      <c r="IJZ25" s="3"/>
      <c r="IKA25" s="3"/>
      <c r="IKB25" s="3"/>
      <c r="IKC25" s="3"/>
      <c r="IKD25" s="3"/>
      <c r="IKE25" s="3"/>
      <c r="IKF25" s="3"/>
      <c r="IKG25" s="3"/>
      <c r="IKH25" s="3"/>
      <c r="IKI25" s="3"/>
      <c r="IKJ25" s="3"/>
      <c r="IKK25" s="3"/>
      <c r="IKL25" s="3"/>
      <c r="IKM25" s="3"/>
      <c r="IKN25" s="3"/>
      <c r="IKO25" s="3"/>
      <c r="IKP25" s="3"/>
      <c r="IKQ25" s="3"/>
      <c r="IKR25" s="3"/>
      <c r="IKS25" s="3"/>
      <c r="IKT25" s="3"/>
      <c r="IKU25" s="3"/>
      <c r="IKV25" s="3"/>
      <c r="IKW25" s="3"/>
      <c r="IKX25" s="3"/>
      <c r="IKY25" s="3"/>
      <c r="IKZ25" s="3"/>
      <c r="ILA25" s="3"/>
      <c r="ILB25" s="3"/>
      <c r="ILC25" s="3"/>
      <c r="ILD25" s="3"/>
      <c r="ILE25" s="3"/>
      <c r="ILF25" s="3"/>
      <c r="ILG25" s="3"/>
      <c r="ILH25" s="3"/>
      <c r="ILI25" s="3"/>
      <c r="ILJ25" s="3"/>
      <c r="ILK25" s="3"/>
      <c r="ILL25" s="3"/>
      <c r="ILM25" s="3"/>
      <c r="ILN25" s="3"/>
      <c r="ILO25" s="3"/>
      <c r="ILP25" s="3"/>
      <c r="ILQ25" s="3"/>
      <c r="ILR25" s="3"/>
      <c r="ILS25" s="3"/>
      <c r="ILT25" s="3"/>
      <c r="ILU25" s="3"/>
      <c r="ILV25" s="3"/>
      <c r="ILW25" s="3"/>
      <c r="ILX25" s="3"/>
      <c r="ILY25" s="3"/>
      <c r="ILZ25" s="3"/>
      <c r="IMA25" s="3"/>
      <c r="IMB25" s="3"/>
      <c r="IMC25" s="3"/>
      <c r="IMD25" s="3"/>
      <c r="IME25" s="3"/>
      <c r="IMF25" s="3"/>
      <c r="IMG25" s="3"/>
      <c r="IMH25" s="3"/>
      <c r="IMI25" s="3"/>
      <c r="IMJ25" s="3"/>
      <c r="IMK25" s="3"/>
      <c r="IML25" s="3"/>
      <c r="IMM25" s="3"/>
      <c r="IMN25" s="3"/>
      <c r="IMO25" s="3"/>
      <c r="IMP25" s="3"/>
      <c r="IMQ25" s="3"/>
      <c r="IMR25" s="3"/>
      <c r="IMS25" s="3"/>
      <c r="IMT25" s="3"/>
      <c r="IMU25" s="3"/>
      <c r="IMV25" s="3"/>
      <c r="IMW25" s="3"/>
      <c r="IMX25" s="3"/>
      <c r="IMY25" s="3"/>
      <c r="IMZ25" s="3"/>
      <c r="INA25" s="3"/>
      <c r="INB25" s="3"/>
      <c r="INC25" s="3"/>
      <c r="IND25" s="3"/>
      <c r="INE25" s="3"/>
      <c r="INF25" s="3"/>
      <c r="ING25" s="3"/>
      <c r="INH25" s="3"/>
      <c r="INI25" s="3"/>
      <c r="INJ25" s="3"/>
      <c r="INK25" s="3"/>
      <c r="INL25" s="3"/>
      <c r="INM25" s="3"/>
      <c r="INN25" s="3"/>
      <c r="INO25" s="3"/>
      <c r="INP25" s="3"/>
      <c r="INQ25" s="3"/>
      <c r="INR25" s="3"/>
      <c r="INS25" s="3"/>
      <c r="INT25" s="3"/>
      <c r="INU25" s="3"/>
      <c r="INV25" s="3"/>
      <c r="INW25" s="3"/>
      <c r="INX25" s="3"/>
      <c r="INY25" s="3"/>
      <c r="INZ25" s="3"/>
      <c r="IOA25" s="3"/>
      <c r="IOB25" s="3"/>
      <c r="IOC25" s="3"/>
      <c r="IOD25" s="3"/>
      <c r="IOE25" s="3"/>
      <c r="IOF25" s="3"/>
      <c r="IOG25" s="3"/>
      <c r="IOH25" s="3"/>
      <c r="IOI25" s="3"/>
      <c r="IOJ25" s="3"/>
      <c r="IOK25" s="3"/>
      <c r="IOL25" s="3"/>
      <c r="IOM25" s="3"/>
      <c r="ION25" s="3"/>
      <c r="IOO25" s="3"/>
      <c r="IOP25" s="3"/>
      <c r="IOQ25" s="3"/>
      <c r="IOR25" s="3"/>
      <c r="IOS25" s="3"/>
      <c r="IOT25" s="3"/>
      <c r="IOU25" s="3"/>
      <c r="IOV25" s="3"/>
      <c r="IOW25" s="3"/>
      <c r="IOX25" s="3"/>
      <c r="IOY25" s="3"/>
      <c r="IOZ25" s="3"/>
      <c r="IPA25" s="3"/>
      <c r="IPB25" s="3"/>
      <c r="IPC25" s="3"/>
      <c r="IPD25" s="3"/>
      <c r="IPE25" s="3"/>
      <c r="IPF25" s="3"/>
      <c r="IPG25" s="3"/>
      <c r="IPH25" s="3"/>
      <c r="IPI25" s="3"/>
      <c r="IPJ25" s="3"/>
      <c r="IPK25" s="3"/>
      <c r="IPL25" s="3"/>
      <c r="IPM25" s="3"/>
      <c r="IPN25" s="3"/>
      <c r="IPO25" s="3"/>
      <c r="IPP25" s="3"/>
      <c r="IPQ25" s="3"/>
      <c r="IPR25" s="3"/>
      <c r="IPS25" s="3"/>
      <c r="IPT25" s="3"/>
      <c r="IPU25" s="3"/>
      <c r="IPV25" s="3"/>
      <c r="IPW25" s="3"/>
      <c r="IPX25" s="3"/>
      <c r="IPY25" s="3"/>
      <c r="IPZ25" s="3"/>
      <c r="IQA25" s="3"/>
      <c r="IQB25" s="3"/>
      <c r="IQC25" s="3"/>
      <c r="IQD25" s="3"/>
      <c r="IQE25" s="3"/>
      <c r="IQF25" s="3"/>
      <c r="IQG25" s="3"/>
      <c r="IQH25" s="3"/>
      <c r="IQI25" s="3"/>
      <c r="IQJ25" s="3"/>
      <c r="IQK25" s="3"/>
      <c r="IQL25" s="3"/>
      <c r="IQM25" s="3"/>
      <c r="IQN25" s="3"/>
      <c r="IQO25" s="3"/>
      <c r="IQP25" s="3"/>
      <c r="IQQ25" s="3"/>
      <c r="IQR25" s="3"/>
      <c r="IQS25" s="3"/>
      <c r="IQT25" s="3"/>
      <c r="IQU25" s="3"/>
      <c r="IQV25" s="3"/>
      <c r="IQW25" s="3"/>
      <c r="IQX25" s="3"/>
      <c r="IQY25" s="3"/>
      <c r="IQZ25" s="3"/>
      <c r="IRA25" s="3"/>
      <c r="IRB25" s="3"/>
      <c r="IRC25" s="3"/>
      <c r="IRD25" s="3"/>
      <c r="IRE25" s="3"/>
      <c r="IRF25" s="3"/>
      <c r="IRG25" s="3"/>
      <c r="IRH25" s="3"/>
      <c r="IRI25" s="3"/>
      <c r="IRJ25" s="3"/>
      <c r="IRK25" s="3"/>
      <c r="IRL25" s="3"/>
      <c r="IRM25" s="3"/>
      <c r="IRN25" s="3"/>
      <c r="IRO25" s="3"/>
      <c r="IRP25" s="3"/>
      <c r="IRQ25" s="3"/>
      <c r="IRR25" s="3"/>
      <c r="IRS25" s="3"/>
      <c r="IRT25" s="3"/>
      <c r="IRU25" s="3"/>
      <c r="IRV25" s="3"/>
      <c r="IRW25" s="3"/>
      <c r="IRX25" s="3"/>
      <c r="IRY25" s="3"/>
      <c r="IRZ25" s="3"/>
      <c r="ISA25" s="3"/>
      <c r="ISB25" s="3"/>
      <c r="ISC25" s="3"/>
      <c r="ISD25" s="3"/>
      <c r="ISE25" s="3"/>
      <c r="ISF25" s="3"/>
      <c r="ISG25" s="3"/>
      <c r="ISH25" s="3"/>
      <c r="ISI25" s="3"/>
      <c r="ISJ25" s="3"/>
      <c r="ISK25" s="3"/>
      <c r="ISL25" s="3"/>
      <c r="ISM25" s="3"/>
      <c r="ISN25" s="3"/>
      <c r="ISO25" s="3"/>
      <c r="ISP25" s="3"/>
      <c r="ISQ25" s="3"/>
      <c r="ISR25" s="3"/>
      <c r="ISS25" s="3"/>
      <c r="IST25" s="3"/>
      <c r="ISU25" s="3"/>
      <c r="ISV25" s="3"/>
      <c r="ISW25" s="3"/>
      <c r="ISX25" s="3"/>
      <c r="ISY25" s="3"/>
      <c r="ISZ25" s="3"/>
      <c r="ITA25" s="3"/>
      <c r="ITB25" s="3"/>
      <c r="ITC25" s="3"/>
      <c r="ITD25" s="3"/>
      <c r="ITE25" s="3"/>
      <c r="ITF25" s="3"/>
      <c r="ITG25" s="3"/>
      <c r="ITH25" s="3"/>
      <c r="ITI25" s="3"/>
      <c r="ITJ25" s="3"/>
      <c r="ITK25" s="3"/>
      <c r="ITL25" s="3"/>
      <c r="ITM25" s="3"/>
      <c r="ITN25" s="3"/>
      <c r="ITO25" s="3"/>
      <c r="ITP25" s="3"/>
      <c r="ITQ25" s="3"/>
      <c r="ITR25" s="3"/>
      <c r="ITS25" s="3"/>
      <c r="ITT25" s="3"/>
      <c r="ITU25" s="3"/>
      <c r="ITV25" s="3"/>
      <c r="ITW25" s="3"/>
      <c r="ITX25" s="3"/>
      <c r="ITY25" s="3"/>
      <c r="ITZ25" s="3"/>
      <c r="IUA25" s="3"/>
      <c r="IUB25" s="3"/>
      <c r="IUC25" s="3"/>
      <c r="IUD25" s="3"/>
      <c r="IUE25" s="3"/>
      <c r="IUF25" s="3"/>
      <c r="IUG25" s="3"/>
      <c r="IUH25" s="3"/>
      <c r="IUI25" s="3"/>
      <c r="IUJ25" s="3"/>
      <c r="IUK25" s="3"/>
      <c r="IUL25" s="3"/>
      <c r="IUM25" s="3"/>
      <c r="IUN25" s="3"/>
      <c r="IUO25" s="3"/>
      <c r="IUP25" s="3"/>
      <c r="IUQ25" s="3"/>
      <c r="IUR25" s="3"/>
      <c r="IUS25" s="3"/>
      <c r="IUT25" s="3"/>
      <c r="IUU25" s="3"/>
      <c r="IUV25" s="3"/>
      <c r="IUW25" s="3"/>
      <c r="IUX25" s="3"/>
      <c r="IUY25" s="3"/>
      <c r="IUZ25" s="3"/>
      <c r="IVA25" s="3"/>
      <c r="IVB25" s="3"/>
      <c r="IVC25" s="3"/>
      <c r="IVD25" s="3"/>
      <c r="IVE25" s="3"/>
      <c r="IVF25" s="3"/>
      <c r="IVG25" s="3"/>
      <c r="IVH25" s="3"/>
      <c r="IVI25" s="3"/>
      <c r="IVJ25" s="3"/>
      <c r="IVK25" s="3"/>
      <c r="IVL25" s="3"/>
      <c r="IVM25" s="3"/>
      <c r="IVN25" s="3"/>
      <c r="IVO25" s="3"/>
      <c r="IVP25" s="3"/>
      <c r="IVQ25" s="3"/>
      <c r="IVR25" s="3"/>
      <c r="IVS25" s="3"/>
      <c r="IVT25" s="3"/>
      <c r="IVU25" s="3"/>
      <c r="IVV25" s="3"/>
      <c r="IVW25" s="3"/>
      <c r="IVX25" s="3"/>
      <c r="IVY25" s="3"/>
      <c r="IVZ25" s="3"/>
      <c r="IWA25" s="3"/>
      <c r="IWB25" s="3"/>
      <c r="IWC25" s="3"/>
      <c r="IWD25" s="3"/>
      <c r="IWE25" s="3"/>
      <c r="IWF25" s="3"/>
      <c r="IWG25" s="3"/>
      <c r="IWH25" s="3"/>
      <c r="IWI25" s="3"/>
      <c r="IWJ25" s="3"/>
      <c r="IWK25" s="3"/>
      <c r="IWL25" s="3"/>
      <c r="IWM25" s="3"/>
      <c r="IWN25" s="3"/>
      <c r="IWO25" s="3"/>
      <c r="IWP25" s="3"/>
      <c r="IWQ25" s="3"/>
      <c r="IWR25" s="3"/>
      <c r="IWS25" s="3"/>
      <c r="IWT25" s="3"/>
      <c r="IWU25" s="3"/>
      <c r="IWV25" s="3"/>
      <c r="IWW25" s="3"/>
      <c r="IWX25" s="3"/>
      <c r="IWY25" s="3"/>
      <c r="IWZ25" s="3"/>
      <c r="IXA25" s="3"/>
      <c r="IXB25" s="3"/>
      <c r="IXC25" s="3"/>
      <c r="IXD25" s="3"/>
      <c r="IXE25" s="3"/>
      <c r="IXF25" s="3"/>
      <c r="IXG25" s="3"/>
      <c r="IXH25" s="3"/>
      <c r="IXI25" s="3"/>
      <c r="IXJ25" s="3"/>
      <c r="IXK25" s="3"/>
      <c r="IXL25" s="3"/>
      <c r="IXM25" s="3"/>
      <c r="IXN25" s="3"/>
      <c r="IXO25" s="3"/>
      <c r="IXP25" s="3"/>
      <c r="IXQ25" s="3"/>
      <c r="IXR25" s="3"/>
      <c r="IXS25" s="3"/>
      <c r="IXT25" s="3"/>
      <c r="IXU25" s="3"/>
      <c r="IXV25" s="3"/>
      <c r="IXW25" s="3"/>
      <c r="IXX25" s="3"/>
      <c r="IXY25" s="3"/>
      <c r="IXZ25" s="3"/>
      <c r="IYA25" s="3"/>
      <c r="IYB25" s="3"/>
      <c r="IYC25" s="3"/>
      <c r="IYD25" s="3"/>
      <c r="IYE25" s="3"/>
      <c r="IYF25" s="3"/>
      <c r="IYG25" s="3"/>
      <c r="IYH25" s="3"/>
      <c r="IYI25" s="3"/>
      <c r="IYJ25" s="3"/>
      <c r="IYK25" s="3"/>
      <c r="IYL25" s="3"/>
      <c r="IYM25" s="3"/>
      <c r="IYN25" s="3"/>
      <c r="IYO25" s="3"/>
      <c r="IYP25" s="3"/>
      <c r="IYQ25" s="3"/>
      <c r="IYR25" s="3"/>
      <c r="IYS25" s="3"/>
      <c r="IYT25" s="3"/>
      <c r="IYU25" s="3"/>
      <c r="IYV25" s="3"/>
      <c r="IYW25" s="3"/>
      <c r="IYX25" s="3"/>
      <c r="IYY25" s="3"/>
      <c r="IYZ25" s="3"/>
      <c r="IZA25" s="3"/>
      <c r="IZB25" s="3"/>
      <c r="IZC25" s="3"/>
      <c r="IZD25" s="3"/>
      <c r="IZE25" s="3"/>
      <c r="IZF25" s="3"/>
      <c r="IZG25" s="3"/>
      <c r="IZH25" s="3"/>
      <c r="IZI25" s="3"/>
      <c r="IZJ25" s="3"/>
      <c r="IZK25" s="3"/>
      <c r="IZL25" s="3"/>
      <c r="IZM25" s="3"/>
      <c r="IZN25" s="3"/>
      <c r="IZO25" s="3"/>
      <c r="IZP25" s="3"/>
      <c r="IZQ25" s="3"/>
      <c r="IZR25" s="3"/>
      <c r="IZS25" s="3"/>
      <c r="IZT25" s="3"/>
      <c r="IZU25" s="3"/>
      <c r="IZV25" s="3"/>
      <c r="IZW25" s="3"/>
      <c r="IZX25" s="3"/>
      <c r="IZY25" s="3"/>
      <c r="IZZ25" s="3"/>
      <c r="JAA25" s="3"/>
      <c r="JAB25" s="3"/>
      <c r="JAC25" s="3"/>
      <c r="JAD25" s="3"/>
      <c r="JAE25" s="3"/>
      <c r="JAF25" s="3"/>
      <c r="JAG25" s="3"/>
      <c r="JAH25" s="3"/>
      <c r="JAI25" s="3"/>
      <c r="JAJ25" s="3"/>
      <c r="JAK25" s="3"/>
      <c r="JAL25" s="3"/>
      <c r="JAM25" s="3"/>
      <c r="JAN25" s="3"/>
      <c r="JAO25" s="3"/>
      <c r="JAP25" s="3"/>
      <c r="JAQ25" s="3"/>
      <c r="JAR25" s="3"/>
      <c r="JAS25" s="3"/>
      <c r="JAT25" s="3"/>
      <c r="JAU25" s="3"/>
      <c r="JAV25" s="3"/>
      <c r="JAW25" s="3"/>
      <c r="JAX25" s="3"/>
      <c r="JAY25" s="3"/>
      <c r="JAZ25" s="3"/>
      <c r="JBA25" s="3"/>
      <c r="JBB25" s="3"/>
      <c r="JBC25" s="3"/>
      <c r="JBD25" s="3"/>
      <c r="JBE25" s="3"/>
      <c r="JBF25" s="3"/>
      <c r="JBG25" s="3"/>
      <c r="JBH25" s="3"/>
      <c r="JBI25" s="3"/>
      <c r="JBJ25" s="3"/>
      <c r="JBK25" s="3"/>
      <c r="JBL25" s="3"/>
      <c r="JBM25" s="3"/>
      <c r="JBN25" s="3"/>
      <c r="JBO25" s="3"/>
      <c r="JBP25" s="3"/>
      <c r="JBQ25" s="3"/>
      <c r="JBR25" s="3"/>
      <c r="JBS25" s="3"/>
      <c r="JBT25" s="3"/>
      <c r="JBU25" s="3"/>
      <c r="JBV25" s="3"/>
      <c r="JBW25" s="3"/>
      <c r="JBX25" s="3"/>
      <c r="JBY25" s="3"/>
      <c r="JBZ25" s="3"/>
      <c r="JCA25" s="3"/>
      <c r="JCB25" s="3"/>
      <c r="JCC25" s="3"/>
      <c r="JCD25" s="3"/>
      <c r="JCE25" s="3"/>
      <c r="JCF25" s="3"/>
      <c r="JCG25" s="3"/>
      <c r="JCH25" s="3"/>
      <c r="JCI25" s="3"/>
      <c r="JCJ25" s="3"/>
      <c r="JCK25" s="3"/>
      <c r="JCL25" s="3"/>
      <c r="JCM25" s="3"/>
      <c r="JCN25" s="3"/>
      <c r="JCO25" s="3"/>
      <c r="JCP25" s="3"/>
      <c r="JCQ25" s="3"/>
      <c r="JCR25" s="3"/>
      <c r="JCS25" s="3"/>
      <c r="JCT25" s="3"/>
      <c r="JCU25" s="3"/>
      <c r="JCV25" s="3"/>
      <c r="JCW25" s="3"/>
      <c r="JCX25" s="3"/>
      <c r="JCY25" s="3"/>
      <c r="JCZ25" s="3"/>
      <c r="JDA25" s="3"/>
      <c r="JDB25" s="3"/>
      <c r="JDC25" s="3"/>
      <c r="JDD25" s="3"/>
      <c r="JDE25" s="3"/>
      <c r="JDF25" s="3"/>
      <c r="JDG25" s="3"/>
      <c r="JDH25" s="3"/>
      <c r="JDI25" s="3"/>
      <c r="JDJ25" s="3"/>
      <c r="JDK25" s="3"/>
      <c r="JDL25" s="3"/>
      <c r="JDM25" s="3"/>
      <c r="JDN25" s="3"/>
      <c r="JDO25" s="3"/>
      <c r="JDP25" s="3"/>
      <c r="JDQ25" s="3"/>
      <c r="JDR25" s="3"/>
      <c r="JDS25" s="3"/>
      <c r="JDT25" s="3"/>
      <c r="JDU25" s="3"/>
      <c r="JDV25" s="3"/>
      <c r="JDW25" s="3"/>
      <c r="JDX25" s="3"/>
      <c r="JDY25" s="3"/>
      <c r="JDZ25" s="3"/>
      <c r="JEA25" s="3"/>
      <c r="JEB25" s="3"/>
      <c r="JEC25" s="3"/>
      <c r="JED25" s="3"/>
      <c r="JEE25" s="3"/>
      <c r="JEF25" s="3"/>
      <c r="JEG25" s="3"/>
      <c r="JEH25" s="3"/>
      <c r="JEI25" s="3"/>
      <c r="JEJ25" s="3"/>
      <c r="JEK25" s="3"/>
      <c r="JEL25" s="3"/>
      <c r="JEM25" s="3"/>
      <c r="JEN25" s="3"/>
      <c r="JEO25" s="3"/>
      <c r="JEP25" s="3"/>
      <c r="JEQ25" s="3"/>
      <c r="JER25" s="3"/>
      <c r="JES25" s="3"/>
      <c r="JET25" s="3"/>
      <c r="JEU25" s="3"/>
      <c r="JEV25" s="3"/>
      <c r="JEW25" s="3"/>
      <c r="JEX25" s="3"/>
      <c r="JEY25" s="3"/>
      <c r="JEZ25" s="3"/>
      <c r="JFA25" s="3"/>
      <c r="JFB25" s="3"/>
      <c r="JFC25" s="3"/>
      <c r="JFD25" s="3"/>
      <c r="JFE25" s="3"/>
      <c r="JFF25" s="3"/>
      <c r="JFG25" s="3"/>
      <c r="JFH25" s="3"/>
      <c r="JFI25" s="3"/>
      <c r="JFJ25" s="3"/>
      <c r="JFK25" s="3"/>
      <c r="JFL25" s="3"/>
      <c r="JFM25" s="3"/>
      <c r="JFN25" s="3"/>
      <c r="JFO25" s="3"/>
      <c r="JFP25" s="3"/>
      <c r="JFQ25" s="3"/>
      <c r="JFR25" s="3"/>
      <c r="JFS25" s="3"/>
      <c r="JFT25" s="3"/>
      <c r="JFU25" s="3"/>
      <c r="JFV25" s="3"/>
      <c r="JFW25" s="3"/>
      <c r="JFX25" s="3"/>
      <c r="JFY25" s="3"/>
      <c r="JFZ25" s="3"/>
      <c r="JGA25" s="3"/>
      <c r="JGB25" s="3"/>
      <c r="JGC25" s="3"/>
      <c r="JGD25" s="3"/>
      <c r="JGE25" s="3"/>
      <c r="JGF25" s="3"/>
      <c r="JGG25" s="3"/>
      <c r="JGH25" s="3"/>
      <c r="JGI25" s="3"/>
      <c r="JGJ25" s="3"/>
      <c r="JGK25" s="3"/>
      <c r="JGL25" s="3"/>
      <c r="JGM25" s="3"/>
      <c r="JGN25" s="3"/>
      <c r="JGO25" s="3"/>
      <c r="JGP25" s="3"/>
      <c r="JGQ25" s="3"/>
      <c r="JGR25" s="3"/>
      <c r="JGS25" s="3"/>
      <c r="JGT25" s="3"/>
      <c r="JGU25" s="3"/>
      <c r="JGV25" s="3"/>
      <c r="JGW25" s="3"/>
      <c r="JGX25" s="3"/>
      <c r="JGY25" s="3"/>
      <c r="JGZ25" s="3"/>
      <c r="JHA25" s="3"/>
      <c r="JHB25" s="3"/>
      <c r="JHC25" s="3"/>
      <c r="JHD25" s="3"/>
      <c r="JHE25" s="3"/>
      <c r="JHF25" s="3"/>
      <c r="JHG25" s="3"/>
      <c r="JHH25" s="3"/>
      <c r="JHI25" s="3"/>
      <c r="JHJ25" s="3"/>
      <c r="JHK25" s="3"/>
      <c r="JHL25" s="3"/>
      <c r="JHM25" s="3"/>
      <c r="JHN25" s="3"/>
      <c r="JHO25" s="3"/>
      <c r="JHP25" s="3"/>
      <c r="JHQ25" s="3"/>
      <c r="JHR25" s="3"/>
      <c r="JHS25" s="3"/>
      <c r="JHT25" s="3"/>
      <c r="JHU25" s="3"/>
      <c r="JHV25" s="3"/>
      <c r="JHW25" s="3"/>
      <c r="JHX25" s="3"/>
      <c r="JHY25" s="3"/>
      <c r="JHZ25" s="3"/>
      <c r="JIA25" s="3"/>
      <c r="JIB25" s="3"/>
      <c r="JIC25" s="3"/>
      <c r="JID25" s="3"/>
      <c r="JIE25" s="3"/>
      <c r="JIF25" s="3"/>
      <c r="JIG25" s="3"/>
      <c r="JIH25" s="3"/>
      <c r="JII25" s="3"/>
      <c r="JIJ25" s="3"/>
      <c r="JIK25" s="3"/>
      <c r="JIL25" s="3"/>
      <c r="JIM25" s="3"/>
      <c r="JIN25" s="3"/>
      <c r="JIO25" s="3"/>
      <c r="JIP25" s="3"/>
      <c r="JIQ25" s="3"/>
      <c r="JIR25" s="3"/>
      <c r="JIS25" s="3"/>
      <c r="JIT25" s="3"/>
      <c r="JIU25" s="3"/>
      <c r="JIV25" s="3"/>
      <c r="JIW25" s="3"/>
      <c r="JIX25" s="3"/>
      <c r="JIY25" s="3"/>
      <c r="JIZ25" s="3"/>
      <c r="JJA25" s="3"/>
      <c r="JJB25" s="3"/>
      <c r="JJC25" s="3"/>
      <c r="JJD25" s="3"/>
      <c r="JJE25" s="3"/>
      <c r="JJF25" s="3"/>
      <c r="JJG25" s="3"/>
      <c r="JJH25" s="3"/>
      <c r="JJI25" s="3"/>
      <c r="JJJ25" s="3"/>
      <c r="JJK25" s="3"/>
      <c r="JJL25" s="3"/>
      <c r="JJM25" s="3"/>
      <c r="JJN25" s="3"/>
      <c r="JJO25" s="3"/>
      <c r="JJP25" s="3"/>
      <c r="JJQ25" s="3"/>
      <c r="JJR25" s="3"/>
      <c r="JJS25" s="3"/>
      <c r="JJT25" s="3"/>
      <c r="JJU25" s="3"/>
      <c r="JJV25" s="3"/>
      <c r="JJW25" s="3"/>
      <c r="JJX25" s="3"/>
      <c r="JJY25" s="3"/>
      <c r="JJZ25" s="3"/>
      <c r="JKA25" s="3"/>
      <c r="JKB25" s="3"/>
      <c r="JKC25" s="3"/>
      <c r="JKD25" s="3"/>
      <c r="JKE25" s="3"/>
      <c r="JKF25" s="3"/>
      <c r="JKG25" s="3"/>
      <c r="JKH25" s="3"/>
      <c r="JKI25" s="3"/>
      <c r="JKJ25" s="3"/>
      <c r="JKK25" s="3"/>
      <c r="JKL25" s="3"/>
      <c r="JKM25" s="3"/>
      <c r="JKN25" s="3"/>
      <c r="JKO25" s="3"/>
      <c r="JKP25" s="3"/>
      <c r="JKQ25" s="3"/>
      <c r="JKR25" s="3"/>
      <c r="JKS25" s="3"/>
      <c r="JKT25" s="3"/>
      <c r="JKU25" s="3"/>
      <c r="JKV25" s="3"/>
      <c r="JKW25" s="3"/>
      <c r="JKX25" s="3"/>
      <c r="JKY25" s="3"/>
      <c r="JKZ25" s="3"/>
      <c r="JLA25" s="3"/>
      <c r="JLB25" s="3"/>
      <c r="JLC25" s="3"/>
      <c r="JLD25" s="3"/>
      <c r="JLE25" s="3"/>
      <c r="JLF25" s="3"/>
      <c r="JLG25" s="3"/>
      <c r="JLH25" s="3"/>
      <c r="JLI25" s="3"/>
      <c r="JLJ25" s="3"/>
      <c r="JLK25" s="3"/>
      <c r="JLL25" s="3"/>
      <c r="JLM25" s="3"/>
      <c r="JLN25" s="3"/>
      <c r="JLO25" s="3"/>
      <c r="JLP25" s="3"/>
      <c r="JLQ25" s="3"/>
      <c r="JLR25" s="3"/>
      <c r="JLS25" s="3"/>
      <c r="JLT25" s="3"/>
      <c r="JLU25" s="3"/>
      <c r="JLV25" s="3"/>
      <c r="JLW25" s="3"/>
      <c r="JLX25" s="3"/>
      <c r="JLY25" s="3"/>
      <c r="JLZ25" s="3"/>
      <c r="JMA25" s="3"/>
      <c r="JMB25" s="3"/>
      <c r="JMC25" s="3"/>
      <c r="JMD25" s="3"/>
      <c r="JME25" s="3"/>
      <c r="JMF25" s="3"/>
      <c r="JMG25" s="3"/>
      <c r="JMH25" s="3"/>
      <c r="JMI25" s="3"/>
      <c r="JMJ25" s="3"/>
      <c r="JMK25" s="3"/>
      <c r="JML25" s="3"/>
      <c r="JMM25" s="3"/>
      <c r="JMN25" s="3"/>
      <c r="JMO25" s="3"/>
      <c r="JMP25" s="3"/>
      <c r="JMQ25" s="3"/>
      <c r="JMR25" s="3"/>
      <c r="JMS25" s="3"/>
      <c r="JMT25" s="3"/>
      <c r="JMU25" s="3"/>
      <c r="JMV25" s="3"/>
      <c r="JMW25" s="3"/>
      <c r="JMX25" s="3"/>
      <c r="JMY25" s="3"/>
      <c r="JMZ25" s="3"/>
      <c r="JNA25" s="3"/>
      <c r="JNB25" s="3"/>
      <c r="JNC25" s="3"/>
      <c r="JND25" s="3"/>
      <c r="JNE25" s="3"/>
      <c r="JNF25" s="3"/>
      <c r="JNG25" s="3"/>
      <c r="JNH25" s="3"/>
      <c r="JNI25" s="3"/>
      <c r="JNJ25" s="3"/>
      <c r="JNK25" s="3"/>
      <c r="JNL25" s="3"/>
      <c r="JNM25" s="3"/>
      <c r="JNN25" s="3"/>
      <c r="JNO25" s="3"/>
      <c r="JNP25" s="3"/>
      <c r="JNQ25" s="3"/>
      <c r="JNR25" s="3"/>
      <c r="JNS25" s="3"/>
      <c r="JNT25" s="3"/>
      <c r="JNU25" s="3"/>
      <c r="JNV25" s="3"/>
      <c r="JNW25" s="3"/>
      <c r="JNX25" s="3"/>
      <c r="JNY25" s="3"/>
      <c r="JNZ25" s="3"/>
      <c r="JOA25" s="3"/>
      <c r="JOB25" s="3"/>
      <c r="JOC25" s="3"/>
      <c r="JOD25" s="3"/>
      <c r="JOE25" s="3"/>
      <c r="JOF25" s="3"/>
      <c r="JOG25" s="3"/>
      <c r="JOH25" s="3"/>
      <c r="JOI25" s="3"/>
      <c r="JOJ25" s="3"/>
      <c r="JOK25" s="3"/>
      <c r="JOL25" s="3"/>
      <c r="JOM25" s="3"/>
      <c r="JON25" s="3"/>
      <c r="JOO25" s="3"/>
      <c r="JOP25" s="3"/>
      <c r="JOQ25" s="3"/>
      <c r="JOR25" s="3"/>
      <c r="JOS25" s="3"/>
      <c r="JOT25" s="3"/>
      <c r="JOU25" s="3"/>
      <c r="JOV25" s="3"/>
      <c r="JOW25" s="3"/>
      <c r="JOX25" s="3"/>
      <c r="JOY25" s="3"/>
      <c r="JOZ25" s="3"/>
      <c r="JPA25" s="3"/>
      <c r="JPB25" s="3"/>
      <c r="JPC25" s="3"/>
      <c r="JPD25" s="3"/>
      <c r="JPE25" s="3"/>
      <c r="JPF25" s="3"/>
      <c r="JPG25" s="3"/>
      <c r="JPH25" s="3"/>
      <c r="JPI25" s="3"/>
      <c r="JPJ25" s="3"/>
      <c r="JPK25" s="3"/>
      <c r="JPL25" s="3"/>
      <c r="JPM25" s="3"/>
      <c r="JPN25" s="3"/>
      <c r="JPO25" s="3"/>
      <c r="JPP25" s="3"/>
      <c r="JPQ25" s="3"/>
      <c r="JPR25" s="3"/>
      <c r="JPS25" s="3"/>
      <c r="JPT25" s="3"/>
      <c r="JPU25" s="3"/>
      <c r="JPV25" s="3"/>
      <c r="JPW25" s="3"/>
      <c r="JPX25" s="3"/>
      <c r="JPY25" s="3"/>
      <c r="JPZ25" s="3"/>
      <c r="JQA25" s="3"/>
      <c r="JQB25" s="3"/>
      <c r="JQC25" s="3"/>
      <c r="JQD25" s="3"/>
      <c r="JQE25" s="3"/>
      <c r="JQF25" s="3"/>
      <c r="JQG25" s="3"/>
      <c r="JQH25" s="3"/>
      <c r="JQI25" s="3"/>
      <c r="JQJ25" s="3"/>
      <c r="JQK25" s="3"/>
      <c r="JQL25" s="3"/>
      <c r="JQM25" s="3"/>
      <c r="JQN25" s="3"/>
      <c r="JQO25" s="3"/>
      <c r="JQP25" s="3"/>
      <c r="JQQ25" s="3"/>
      <c r="JQR25" s="3"/>
      <c r="JQS25" s="3"/>
      <c r="JQT25" s="3"/>
      <c r="JQU25" s="3"/>
      <c r="JQV25" s="3"/>
      <c r="JQW25" s="3"/>
      <c r="JQX25" s="3"/>
      <c r="JQY25" s="3"/>
      <c r="JQZ25" s="3"/>
      <c r="JRA25" s="3"/>
      <c r="JRB25" s="3"/>
      <c r="JRC25" s="3"/>
      <c r="JRD25" s="3"/>
      <c r="JRE25" s="3"/>
      <c r="JRF25" s="3"/>
      <c r="JRG25" s="3"/>
      <c r="JRH25" s="3"/>
      <c r="JRI25" s="3"/>
      <c r="JRJ25" s="3"/>
      <c r="JRK25" s="3"/>
      <c r="JRL25" s="3"/>
      <c r="JRM25" s="3"/>
      <c r="JRN25" s="3"/>
      <c r="JRO25" s="3"/>
      <c r="JRP25" s="3"/>
      <c r="JRQ25" s="3"/>
      <c r="JRR25" s="3"/>
      <c r="JRS25" s="3"/>
      <c r="JRT25" s="3"/>
      <c r="JRU25" s="3"/>
      <c r="JRV25" s="3"/>
      <c r="JRW25" s="3"/>
      <c r="JRX25" s="3"/>
      <c r="JRY25" s="3"/>
      <c r="JRZ25" s="3"/>
      <c r="JSA25" s="3"/>
      <c r="JSB25" s="3"/>
      <c r="JSC25" s="3"/>
      <c r="JSD25" s="3"/>
      <c r="JSE25" s="3"/>
      <c r="JSF25" s="3"/>
      <c r="JSG25" s="3"/>
      <c r="JSH25" s="3"/>
      <c r="JSI25" s="3"/>
      <c r="JSJ25" s="3"/>
      <c r="JSK25" s="3"/>
      <c r="JSL25" s="3"/>
      <c r="JSM25" s="3"/>
      <c r="JSN25" s="3"/>
      <c r="JSO25" s="3"/>
      <c r="JSP25" s="3"/>
      <c r="JSQ25" s="3"/>
      <c r="JSR25" s="3"/>
      <c r="JSS25" s="3"/>
      <c r="JST25" s="3"/>
      <c r="JSU25" s="3"/>
      <c r="JSV25" s="3"/>
      <c r="JSW25" s="3"/>
      <c r="JSX25" s="3"/>
      <c r="JSY25" s="3"/>
      <c r="JSZ25" s="3"/>
      <c r="JTA25" s="3"/>
      <c r="JTB25" s="3"/>
      <c r="JTC25" s="3"/>
      <c r="JTD25" s="3"/>
      <c r="JTE25" s="3"/>
      <c r="JTF25" s="3"/>
      <c r="JTG25" s="3"/>
      <c r="JTH25" s="3"/>
      <c r="JTI25" s="3"/>
      <c r="JTJ25" s="3"/>
      <c r="JTK25" s="3"/>
      <c r="JTL25" s="3"/>
      <c r="JTM25" s="3"/>
      <c r="JTN25" s="3"/>
      <c r="JTO25" s="3"/>
      <c r="JTP25" s="3"/>
      <c r="JTQ25" s="3"/>
      <c r="JTR25" s="3"/>
      <c r="JTS25" s="3"/>
      <c r="JTT25" s="3"/>
      <c r="JTU25" s="3"/>
      <c r="JTV25" s="3"/>
      <c r="JTW25" s="3"/>
      <c r="JTX25" s="3"/>
      <c r="JTY25" s="3"/>
      <c r="JTZ25" s="3"/>
      <c r="JUA25" s="3"/>
      <c r="JUB25" s="3"/>
      <c r="JUC25" s="3"/>
      <c r="JUD25" s="3"/>
      <c r="JUE25" s="3"/>
      <c r="JUF25" s="3"/>
      <c r="JUG25" s="3"/>
      <c r="JUH25" s="3"/>
      <c r="JUI25" s="3"/>
      <c r="JUJ25" s="3"/>
      <c r="JUK25" s="3"/>
      <c r="JUL25" s="3"/>
      <c r="JUM25" s="3"/>
      <c r="JUN25" s="3"/>
      <c r="JUO25" s="3"/>
      <c r="JUP25" s="3"/>
      <c r="JUQ25" s="3"/>
      <c r="JUR25" s="3"/>
      <c r="JUS25" s="3"/>
      <c r="JUT25" s="3"/>
      <c r="JUU25" s="3"/>
      <c r="JUV25" s="3"/>
      <c r="JUW25" s="3"/>
      <c r="JUX25" s="3"/>
      <c r="JUY25" s="3"/>
      <c r="JUZ25" s="3"/>
      <c r="JVA25" s="3"/>
      <c r="JVB25" s="3"/>
      <c r="JVC25" s="3"/>
      <c r="JVD25" s="3"/>
      <c r="JVE25" s="3"/>
      <c r="JVF25" s="3"/>
      <c r="JVG25" s="3"/>
      <c r="JVH25" s="3"/>
      <c r="JVI25" s="3"/>
      <c r="JVJ25" s="3"/>
      <c r="JVK25" s="3"/>
      <c r="JVL25" s="3"/>
      <c r="JVM25" s="3"/>
      <c r="JVN25" s="3"/>
      <c r="JVO25" s="3"/>
      <c r="JVP25" s="3"/>
      <c r="JVQ25" s="3"/>
      <c r="JVR25" s="3"/>
      <c r="JVS25" s="3"/>
      <c r="JVT25" s="3"/>
      <c r="JVU25" s="3"/>
      <c r="JVV25" s="3"/>
      <c r="JVW25" s="3"/>
      <c r="JVX25" s="3"/>
      <c r="JVY25" s="3"/>
      <c r="JVZ25" s="3"/>
      <c r="JWA25" s="3"/>
      <c r="JWB25" s="3"/>
      <c r="JWC25" s="3"/>
      <c r="JWD25" s="3"/>
      <c r="JWE25" s="3"/>
      <c r="JWF25" s="3"/>
      <c r="JWG25" s="3"/>
      <c r="JWH25" s="3"/>
      <c r="JWI25" s="3"/>
      <c r="JWJ25" s="3"/>
      <c r="JWK25" s="3"/>
      <c r="JWL25" s="3"/>
      <c r="JWM25" s="3"/>
      <c r="JWN25" s="3"/>
      <c r="JWO25" s="3"/>
      <c r="JWP25" s="3"/>
      <c r="JWQ25" s="3"/>
      <c r="JWR25" s="3"/>
      <c r="JWS25" s="3"/>
      <c r="JWT25" s="3"/>
      <c r="JWU25" s="3"/>
      <c r="JWV25" s="3"/>
      <c r="JWW25" s="3"/>
      <c r="JWX25" s="3"/>
      <c r="JWY25" s="3"/>
      <c r="JWZ25" s="3"/>
      <c r="JXA25" s="3"/>
      <c r="JXB25" s="3"/>
      <c r="JXC25" s="3"/>
      <c r="JXD25" s="3"/>
      <c r="JXE25" s="3"/>
      <c r="JXF25" s="3"/>
      <c r="JXG25" s="3"/>
      <c r="JXH25" s="3"/>
      <c r="JXI25" s="3"/>
      <c r="JXJ25" s="3"/>
      <c r="JXK25" s="3"/>
      <c r="JXL25" s="3"/>
      <c r="JXM25" s="3"/>
      <c r="JXN25" s="3"/>
      <c r="JXO25" s="3"/>
      <c r="JXP25" s="3"/>
      <c r="JXQ25" s="3"/>
      <c r="JXR25" s="3"/>
      <c r="JXS25" s="3"/>
      <c r="JXT25" s="3"/>
      <c r="JXU25" s="3"/>
      <c r="JXV25" s="3"/>
      <c r="JXW25" s="3"/>
      <c r="JXX25" s="3"/>
      <c r="JXY25" s="3"/>
      <c r="JXZ25" s="3"/>
      <c r="JYA25" s="3"/>
      <c r="JYB25" s="3"/>
      <c r="JYC25" s="3"/>
      <c r="JYD25" s="3"/>
      <c r="JYE25" s="3"/>
      <c r="JYF25" s="3"/>
      <c r="JYG25" s="3"/>
      <c r="JYH25" s="3"/>
      <c r="JYI25" s="3"/>
      <c r="JYJ25" s="3"/>
      <c r="JYK25" s="3"/>
      <c r="JYL25" s="3"/>
      <c r="JYM25" s="3"/>
      <c r="JYN25" s="3"/>
      <c r="JYO25" s="3"/>
      <c r="JYP25" s="3"/>
      <c r="JYQ25" s="3"/>
      <c r="JYR25" s="3"/>
      <c r="JYS25" s="3"/>
      <c r="JYT25" s="3"/>
      <c r="JYU25" s="3"/>
      <c r="JYV25" s="3"/>
      <c r="JYW25" s="3"/>
      <c r="JYX25" s="3"/>
      <c r="JYY25" s="3"/>
      <c r="JYZ25" s="3"/>
      <c r="JZA25" s="3"/>
      <c r="JZB25" s="3"/>
      <c r="JZC25" s="3"/>
      <c r="JZD25" s="3"/>
      <c r="JZE25" s="3"/>
      <c r="JZF25" s="3"/>
      <c r="JZG25" s="3"/>
      <c r="JZH25" s="3"/>
      <c r="JZI25" s="3"/>
      <c r="JZJ25" s="3"/>
      <c r="JZK25" s="3"/>
      <c r="JZL25" s="3"/>
      <c r="JZM25" s="3"/>
      <c r="JZN25" s="3"/>
      <c r="JZO25" s="3"/>
      <c r="JZP25" s="3"/>
      <c r="JZQ25" s="3"/>
      <c r="JZR25" s="3"/>
      <c r="JZS25" s="3"/>
      <c r="JZT25" s="3"/>
      <c r="JZU25" s="3"/>
      <c r="JZV25" s="3"/>
      <c r="JZW25" s="3"/>
      <c r="JZX25" s="3"/>
      <c r="JZY25" s="3"/>
      <c r="JZZ25" s="3"/>
      <c r="KAA25" s="3"/>
      <c r="KAB25" s="3"/>
      <c r="KAC25" s="3"/>
      <c r="KAD25" s="3"/>
      <c r="KAE25" s="3"/>
      <c r="KAF25" s="3"/>
      <c r="KAG25" s="3"/>
      <c r="KAH25" s="3"/>
      <c r="KAI25" s="3"/>
      <c r="KAJ25" s="3"/>
      <c r="KAK25" s="3"/>
      <c r="KAL25" s="3"/>
      <c r="KAM25" s="3"/>
      <c r="KAN25" s="3"/>
      <c r="KAO25" s="3"/>
      <c r="KAP25" s="3"/>
      <c r="KAQ25" s="3"/>
      <c r="KAR25" s="3"/>
      <c r="KAS25" s="3"/>
      <c r="KAT25" s="3"/>
      <c r="KAU25" s="3"/>
      <c r="KAV25" s="3"/>
      <c r="KAW25" s="3"/>
      <c r="KAX25" s="3"/>
      <c r="KAY25" s="3"/>
      <c r="KAZ25" s="3"/>
      <c r="KBA25" s="3"/>
      <c r="KBB25" s="3"/>
      <c r="KBC25" s="3"/>
      <c r="KBD25" s="3"/>
      <c r="KBE25" s="3"/>
      <c r="KBF25" s="3"/>
      <c r="KBG25" s="3"/>
      <c r="KBH25" s="3"/>
      <c r="KBI25" s="3"/>
      <c r="KBJ25" s="3"/>
      <c r="KBK25" s="3"/>
      <c r="KBL25" s="3"/>
      <c r="KBM25" s="3"/>
      <c r="KBN25" s="3"/>
      <c r="KBO25" s="3"/>
      <c r="KBP25" s="3"/>
      <c r="KBQ25" s="3"/>
      <c r="KBR25" s="3"/>
      <c r="KBS25" s="3"/>
      <c r="KBT25" s="3"/>
      <c r="KBU25" s="3"/>
      <c r="KBV25" s="3"/>
      <c r="KBW25" s="3"/>
      <c r="KBX25" s="3"/>
      <c r="KBY25" s="3"/>
      <c r="KBZ25" s="3"/>
      <c r="KCA25" s="3"/>
      <c r="KCB25" s="3"/>
      <c r="KCC25" s="3"/>
      <c r="KCD25" s="3"/>
      <c r="KCE25" s="3"/>
      <c r="KCF25" s="3"/>
      <c r="KCG25" s="3"/>
      <c r="KCH25" s="3"/>
      <c r="KCI25" s="3"/>
      <c r="KCJ25" s="3"/>
      <c r="KCK25" s="3"/>
      <c r="KCL25" s="3"/>
      <c r="KCM25" s="3"/>
      <c r="KCN25" s="3"/>
      <c r="KCO25" s="3"/>
      <c r="KCP25" s="3"/>
      <c r="KCQ25" s="3"/>
      <c r="KCR25" s="3"/>
      <c r="KCS25" s="3"/>
      <c r="KCT25" s="3"/>
      <c r="KCU25" s="3"/>
      <c r="KCV25" s="3"/>
      <c r="KCW25" s="3"/>
      <c r="KCX25" s="3"/>
      <c r="KCY25" s="3"/>
      <c r="KCZ25" s="3"/>
      <c r="KDA25" s="3"/>
      <c r="KDB25" s="3"/>
      <c r="KDC25" s="3"/>
      <c r="KDD25" s="3"/>
      <c r="KDE25" s="3"/>
      <c r="KDF25" s="3"/>
      <c r="KDG25" s="3"/>
      <c r="KDH25" s="3"/>
      <c r="KDI25" s="3"/>
      <c r="KDJ25" s="3"/>
      <c r="KDK25" s="3"/>
      <c r="KDL25" s="3"/>
      <c r="KDM25" s="3"/>
      <c r="KDN25" s="3"/>
      <c r="KDO25" s="3"/>
      <c r="KDP25" s="3"/>
      <c r="KDQ25" s="3"/>
      <c r="KDR25" s="3"/>
      <c r="KDS25" s="3"/>
      <c r="KDT25" s="3"/>
      <c r="KDU25" s="3"/>
      <c r="KDV25" s="3"/>
      <c r="KDW25" s="3"/>
      <c r="KDX25" s="3"/>
      <c r="KDY25" s="3"/>
      <c r="KDZ25" s="3"/>
      <c r="KEA25" s="3"/>
      <c r="KEB25" s="3"/>
      <c r="KEC25" s="3"/>
      <c r="KED25" s="3"/>
      <c r="KEE25" s="3"/>
      <c r="KEF25" s="3"/>
      <c r="KEG25" s="3"/>
      <c r="KEH25" s="3"/>
      <c r="KEI25" s="3"/>
      <c r="KEJ25" s="3"/>
      <c r="KEK25" s="3"/>
      <c r="KEL25" s="3"/>
      <c r="KEM25" s="3"/>
      <c r="KEN25" s="3"/>
      <c r="KEO25" s="3"/>
      <c r="KEP25" s="3"/>
      <c r="KEQ25" s="3"/>
      <c r="KER25" s="3"/>
      <c r="KES25" s="3"/>
      <c r="KET25" s="3"/>
      <c r="KEU25" s="3"/>
      <c r="KEV25" s="3"/>
      <c r="KEW25" s="3"/>
      <c r="KEX25" s="3"/>
      <c r="KEY25" s="3"/>
      <c r="KEZ25" s="3"/>
      <c r="KFA25" s="3"/>
      <c r="KFB25" s="3"/>
      <c r="KFC25" s="3"/>
      <c r="KFD25" s="3"/>
      <c r="KFE25" s="3"/>
      <c r="KFF25" s="3"/>
      <c r="KFG25" s="3"/>
      <c r="KFH25" s="3"/>
      <c r="KFI25" s="3"/>
      <c r="KFJ25" s="3"/>
      <c r="KFK25" s="3"/>
      <c r="KFL25" s="3"/>
      <c r="KFM25" s="3"/>
      <c r="KFN25" s="3"/>
      <c r="KFO25" s="3"/>
      <c r="KFP25" s="3"/>
      <c r="KFQ25" s="3"/>
      <c r="KFR25" s="3"/>
      <c r="KFS25" s="3"/>
      <c r="KFT25" s="3"/>
      <c r="KFU25" s="3"/>
      <c r="KFV25" s="3"/>
      <c r="KFW25" s="3"/>
      <c r="KFX25" s="3"/>
      <c r="KFY25" s="3"/>
      <c r="KFZ25" s="3"/>
      <c r="KGA25" s="3"/>
      <c r="KGB25" s="3"/>
      <c r="KGC25" s="3"/>
      <c r="KGD25" s="3"/>
      <c r="KGE25" s="3"/>
      <c r="KGF25" s="3"/>
      <c r="KGG25" s="3"/>
      <c r="KGH25" s="3"/>
      <c r="KGI25" s="3"/>
      <c r="KGJ25" s="3"/>
      <c r="KGK25" s="3"/>
      <c r="KGL25" s="3"/>
      <c r="KGM25" s="3"/>
      <c r="KGN25" s="3"/>
      <c r="KGO25" s="3"/>
      <c r="KGP25" s="3"/>
      <c r="KGQ25" s="3"/>
      <c r="KGR25" s="3"/>
      <c r="KGS25" s="3"/>
      <c r="KGT25" s="3"/>
      <c r="KGU25" s="3"/>
      <c r="KGV25" s="3"/>
      <c r="KGW25" s="3"/>
      <c r="KGX25" s="3"/>
      <c r="KGY25" s="3"/>
      <c r="KGZ25" s="3"/>
      <c r="KHA25" s="3"/>
      <c r="KHB25" s="3"/>
      <c r="KHC25" s="3"/>
      <c r="KHD25" s="3"/>
      <c r="KHE25" s="3"/>
      <c r="KHF25" s="3"/>
      <c r="KHG25" s="3"/>
      <c r="KHH25" s="3"/>
      <c r="KHI25" s="3"/>
      <c r="KHJ25" s="3"/>
      <c r="KHK25" s="3"/>
      <c r="KHL25" s="3"/>
      <c r="KHM25" s="3"/>
      <c r="KHN25" s="3"/>
      <c r="KHO25" s="3"/>
      <c r="KHP25" s="3"/>
      <c r="KHQ25" s="3"/>
      <c r="KHR25" s="3"/>
      <c r="KHS25" s="3"/>
      <c r="KHT25" s="3"/>
      <c r="KHU25" s="3"/>
      <c r="KHV25" s="3"/>
      <c r="KHW25" s="3"/>
      <c r="KHX25" s="3"/>
      <c r="KHY25" s="3"/>
      <c r="KHZ25" s="3"/>
      <c r="KIA25" s="3"/>
      <c r="KIB25" s="3"/>
      <c r="KIC25" s="3"/>
      <c r="KID25" s="3"/>
      <c r="KIE25" s="3"/>
      <c r="KIF25" s="3"/>
      <c r="KIG25" s="3"/>
      <c r="KIH25" s="3"/>
      <c r="KII25" s="3"/>
      <c r="KIJ25" s="3"/>
      <c r="KIK25" s="3"/>
      <c r="KIL25" s="3"/>
      <c r="KIM25" s="3"/>
      <c r="KIN25" s="3"/>
      <c r="KIO25" s="3"/>
      <c r="KIP25" s="3"/>
      <c r="KIQ25" s="3"/>
      <c r="KIR25" s="3"/>
      <c r="KIS25" s="3"/>
      <c r="KIT25" s="3"/>
      <c r="KIU25" s="3"/>
      <c r="KIV25" s="3"/>
      <c r="KIW25" s="3"/>
      <c r="KIX25" s="3"/>
      <c r="KIY25" s="3"/>
      <c r="KIZ25" s="3"/>
      <c r="KJA25" s="3"/>
      <c r="KJB25" s="3"/>
      <c r="KJC25" s="3"/>
      <c r="KJD25" s="3"/>
      <c r="KJE25" s="3"/>
      <c r="KJF25" s="3"/>
      <c r="KJG25" s="3"/>
      <c r="KJH25" s="3"/>
      <c r="KJI25" s="3"/>
      <c r="KJJ25" s="3"/>
      <c r="KJK25" s="3"/>
      <c r="KJL25" s="3"/>
      <c r="KJM25" s="3"/>
      <c r="KJN25" s="3"/>
      <c r="KJO25" s="3"/>
      <c r="KJP25" s="3"/>
      <c r="KJQ25" s="3"/>
      <c r="KJR25" s="3"/>
      <c r="KJS25" s="3"/>
      <c r="KJT25" s="3"/>
      <c r="KJU25" s="3"/>
      <c r="KJV25" s="3"/>
      <c r="KJW25" s="3"/>
      <c r="KJX25" s="3"/>
      <c r="KJY25" s="3"/>
      <c r="KJZ25" s="3"/>
      <c r="KKA25" s="3"/>
      <c r="KKB25" s="3"/>
      <c r="KKC25" s="3"/>
      <c r="KKD25" s="3"/>
      <c r="KKE25" s="3"/>
      <c r="KKF25" s="3"/>
      <c r="KKG25" s="3"/>
      <c r="KKH25" s="3"/>
      <c r="KKI25" s="3"/>
      <c r="KKJ25" s="3"/>
      <c r="KKK25" s="3"/>
      <c r="KKL25" s="3"/>
      <c r="KKM25" s="3"/>
      <c r="KKN25" s="3"/>
      <c r="KKO25" s="3"/>
      <c r="KKP25" s="3"/>
      <c r="KKQ25" s="3"/>
      <c r="KKR25" s="3"/>
      <c r="KKS25" s="3"/>
      <c r="KKT25" s="3"/>
      <c r="KKU25" s="3"/>
      <c r="KKV25" s="3"/>
      <c r="KKW25" s="3"/>
      <c r="KKX25" s="3"/>
      <c r="KKY25" s="3"/>
      <c r="KKZ25" s="3"/>
      <c r="KLA25" s="3"/>
      <c r="KLB25" s="3"/>
      <c r="KLC25" s="3"/>
      <c r="KLD25" s="3"/>
      <c r="KLE25" s="3"/>
      <c r="KLF25" s="3"/>
      <c r="KLG25" s="3"/>
      <c r="KLH25" s="3"/>
      <c r="KLI25" s="3"/>
      <c r="KLJ25" s="3"/>
      <c r="KLK25" s="3"/>
      <c r="KLL25" s="3"/>
      <c r="KLM25" s="3"/>
      <c r="KLN25" s="3"/>
      <c r="KLO25" s="3"/>
      <c r="KLP25" s="3"/>
      <c r="KLQ25" s="3"/>
      <c r="KLR25" s="3"/>
      <c r="KLS25" s="3"/>
      <c r="KLT25" s="3"/>
      <c r="KLU25" s="3"/>
      <c r="KLV25" s="3"/>
      <c r="KLW25" s="3"/>
      <c r="KLX25" s="3"/>
      <c r="KLY25" s="3"/>
      <c r="KLZ25" s="3"/>
      <c r="KMA25" s="3"/>
      <c r="KMB25" s="3"/>
      <c r="KMC25" s="3"/>
      <c r="KMD25" s="3"/>
      <c r="KME25" s="3"/>
      <c r="KMF25" s="3"/>
      <c r="KMG25" s="3"/>
      <c r="KMH25" s="3"/>
      <c r="KMI25" s="3"/>
      <c r="KMJ25" s="3"/>
      <c r="KMK25" s="3"/>
      <c r="KML25" s="3"/>
      <c r="KMM25" s="3"/>
      <c r="KMN25" s="3"/>
      <c r="KMO25" s="3"/>
      <c r="KMP25" s="3"/>
      <c r="KMQ25" s="3"/>
      <c r="KMR25" s="3"/>
      <c r="KMS25" s="3"/>
      <c r="KMT25" s="3"/>
      <c r="KMU25" s="3"/>
      <c r="KMV25" s="3"/>
      <c r="KMW25" s="3"/>
      <c r="KMX25" s="3"/>
      <c r="KMY25" s="3"/>
      <c r="KMZ25" s="3"/>
      <c r="KNA25" s="3"/>
      <c r="KNB25" s="3"/>
      <c r="KNC25" s="3"/>
      <c r="KND25" s="3"/>
      <c r="KNE25" s="3"/>
      <c r="KNF25" s="3"/>
      <c r="KNG25" s="3"/>
      <c r="KNH25" s="3"/>
      <c r="KNI25" s="3"/>
      <c r="KNJ25" s="3"/>
      <c r="KNK25" s="3"/>
      <c r="KNL25" s="3"/>
      <c r="KNM25" s="3"/>
      <c r="KNN25" s="3"/>
      <c r="KNO25" s="3"/>
      <c r="KNP25" s="3"/>
      <c r="KNQ25" s="3"/>
      <c r="KNR25" s="3"/>
      <c r="KNS25" s="3"/>
      <c r="KNT25" s="3"/>
      <c r="KNU25" s="3"/>
      <c r="KNV25" s="3"/>
      <c r="KNW25" s="3"/>
      <c r="KNX25" s="3"/>
      <c r="KNY25" s="3"/>
      <c r="KNZ25" s="3"/>
      <c r="KOA25" s="3"/>
      <c r="KOB25" s="3"/>
      <c r="KOC25" s="3"/>
      <c r="KOD25" s="3"/>
      <c r="KOE25" s="3"/>
      <c r="KOF25" s="3"/>
      <c r="KOG25" s="3"/>
      <c r="KOH25" s="3"/>
      <c r="KOI25" s="3"/>
      <c r="KOJ25" s="3"/>
      <c r="KOK25" s="3"/>
      <c r="KOL25" s="3"/>
      <c r="KOM25" s="3"/>
      <c r="KON25" s="3"/>
      <c r="KOO25" s="3"/>
      <c r="KOP25" s="3"/>
      <c r="KOQ25" s="3"/>
      <c r="KOR25" s="3"/>
      <c r="KOS25" s="3"/>
      <c r="KOT25" s="3"/>
      <c r="KOU25" s="3"/>
      <c r="KOV25" s="3"/>
      <c r="KOW25" s="3"/>
      <c r="KOX25" s="3"/>
      <c r="KOY25" s="3"/>
      <c r="KOZ25" s="3"/>
      <c r="KPA25" s="3"/>
      <c r="KPB25" s="3"/>
      <c r="KPC25" s="3"/>
      <c r="KPD25" s="3"/>
      <c r="KPE25" s="3"/>
      <c r="KPF25" s="3"/>
      <c r="KPG25" s="3"/>
      <c r="KPH25" s="3"/>
      <c r="KPI25" s="3"/>
      <c r="KPJ25" s="3"/>
      <c r="KPK25" s="3"/>
      <c r="KPL25" s="3"/>
      <c r="KPM25" s="3"/>
      <c r="KPN25" s="3"/>
      <c r="KPO25" s="3"/>
      <c r="KPP25" s="3"/>
      <c r="KPQ25" s="3"/>
      <c r="KPR25" s="3"/>
      <c r="KPS25" s="3"/>
      <c r="KPT25" s="3"/>
      <c r="KPU25" s="3"/>
      <c r="KPV25" s="3"/>
      <c r="KPW25" s="3"/>
      <c r="KPX25" s="3"/>
      <c r="KPY25" s="3"/>
      <c r="KPZ25" s="3"/>
      <c r="KQA25" s="3"/>
      <c r="KQB25" s="3"/>
      <c r="KQC25" s="3"/>
      <c r="KQD25" s="3"/>
      <c r="KQE25" s="3"/>
      <c r="KQF25" s="3"/>
      <c r="KQG25" s="3"/>
      <c r="KQH25" s="3"/>
      <c r="KQI25" s="3"/>
      <c r="KQJ25" s="3"/>
      <c r="KQK25" s="3"/>
      <c r="KQL25" s="3"/>
      <c r="KQM25" s="3"/>
      <c r="KQN25" s="3"/>
      <c r="KQO25" s="3"/>
      <c r="KQP25" s="3"/>
      <c r="KQQ25" s="3"/>
      <c r="KQR25" s="3"/>
      <c r="KQS25" s="3"/>
      <c r="KQT25" s="3"/>
      <c r="KQU25" s="3"/>
      <c r="KQV25" s="3"/>
      <c r="KQW25" s="3"/>
      <c r="KQX25" s="3"/>
      <c r="KQY25" s="3"/>
      <c r="KQZ25" s="3"/>
      <c r="KRA25" s="3"/>
      <c r="KRB25" s="3"/>
      <c r="KRC25" s="3"/>
      <c r="KRD25" s="3"/>
      <c r="KRE25" s="3"/>
      <c r="KRF25" s="3"/>
      <c r="KRG25" s="3"/>
      <c r="KRH25" s="3"/>
      <c r="KRI25" s="3"/>
      <c r="KRJ25" s="3"/>
      <c r="KRK25" s="3"/>
      <c r="KRL25" s="3"/>
      <c r="KRM25" s="3"/>
      <c r="KRN25" s="3"/>
      <c r="KRO25" s="3"/>
      <c r="KRP25" s="3"/>
      <c r="KRQ25" s="3"/>
      <c r="KRR25" s="3"/>
      <c r="KRS25" s="3"/>
      <c r="KRT25" s="3"/>
      <c r="KRU25" s="3"/>
      <c r="KRV25" s="3"/>
      <c r="KRW25" s="3"/>
      <c r="KRX25" s="3"/>
      <c r="KRY25" s="3"/>
      <c r="KRZ25" s="3"/>
      <c r="KSA25" s="3"/>
      <c r="KSB25" s="3"/>
      <c r="KSC25" s="3"/>
      <c r="KSD25" s="3"/>
      <c r="KSE25" s="3"/>
      <c r="KSF25" s="3"/>
      <c r="KSG25" s="3"/>
      <c r="KSH25" s="3"/>
      <c r="KSI25" s="3"/>
      <c r="KSJ25" s="3"/>
      <c r="KSK25" s="3"/>
      <c r="KSL25" s="3"/>
      <c r="KSM25" s="3"/>
      <c r="KSN25" s="3"/>
      <c r="KSO25" s="3"/>
      <c r="KSP25" s="3"/>
      <c r="KSQ25" s="3"/>
      <c r="KSR25" s="3"/>
      <c r="KSS25" s="3"/>
      <c r="KST25" s="3"/>
      <c r="KSU25" s="3"/>
      <c r="KSV25" s="3"/>
      <c r="KSW25" s="3"/>
      <c r="KSX25" s="3"/>
      <c r="KSY25" s="3"/>
      <c r="KSZ25" s="3"/>
      <c r="KTA25" s="3"/>
      <c r="KTB25" s="3"/>
      <c r="KTC25" s="3"/>
      <c r="KTD25" s="3"/>
      <c r="KTE25" s="3"/>
      <c r="KTF25" s="3"/>
      <c r="KTG25" s="3"/>
      <c r="KTH25" s="3"/>
      <c r="KTI25" s="3"/>
      <c r="KTJ25" s="3"/>
      <c r="KTK25" s="3"/>
      <c r="KTL25" s="3"/>
      <c r="KTM25" s="3"/>
      <c r="KTN25" s="3"/>
      <c r="KTO25" s="3"/>
      <c r="KTP25" s="3"/>
      <c r="KTQ25" s="3"/>
      <c r="KTR25" s="3"/>
      <c r="KTS25" s="3"/>
      <c r="KTT25" s="3"/>
      <c r="KTU25" s="3"/>
      <c r="KTV25" s="3"/>
      <c r="KTW25" s="3"/>
      <c r="KTX25" s="3"/>
      <c r="KTY25" s="3"/>
      <c r="KTZ25" s="3"/>
      <c r="KUA25" s="3"/>
      <c r="KUB25" s="3"/>
      <c r="KUC25" s="3"/>
      <c r="KUD25" s="3"/>
      <c r="KUE25" s="3"/>
      <c r="KUF25" s="3"/>
      <c r="KUG25" s="3"/>
      <c r="KUH25" s="3"/>
      <c r="KUI25" s="3"/>
      <c r="KUJ25" s="3"/>
      <c r="KUK25" s="3"/>
      <c r="KUL25" s="3"/>
      <c r="KUM25" s="3"/>
      <c r="KUN25" s="3"/>
      <c r="KUO25" s="3"/>
      <c r="KUP25" s="3"/>
      <c r="KUQ25" s="3"/>
      <c r="KUR25" s="3"/>
      <c r="KUS25" s="3"/>
      <c r="KUT25" s="3"/>
      <c r="KUU25" s="3"/>
      <c r="KUV25" s="3"/>
      <c r="KUW25" s="3"/>
      <c r="KUX25" s="3"/>
      <c r="KUY25" s="3"/>
      <c r="KUZ25" s="3"/>
      <c r="KVA25" s="3"/>
      <c r="KVB25" s="3"/>
      <c r="KVC25" s="3"/>
      <c r="KVD25" s="3"/>
      <c r="KVE25" s="3"/>
      <c r="KVF25" s="3"/>
      <c r="KVG25" s="3"/>
      <c r="KVH25" s="3"/>
      <c r="KVI25" s="3"/>
      <c r="KVJ25" s="3"/>
      <c r="KVK25" s="3"/>
      <c r="KVL25" s="3"/>
      <c r="KVM25" s="3"/>
      <c r="KVN25" s="3"/>
      <c r="KVO25" s="3"/>
      <c r="KVP25" s="3"/>
      <c r="KVQ25" s="3"/>
      <c r="KVR25" s="3"/>
      <c r="KVS25" s="3"/>
      <c r="KVT25" s="3"/>
      <c r="KVU25" s="3"/>
      <c r="KVV25" s="3"/>
      <c r="KVW25" s="3"/>
      <c r="KVX25" s="3"/>
      <c r="KVY25" s="3"/>
      <c r="KVZ25" s="3"/>
      <c r="KWA25" s="3"/>
      <c r="KWB25" s="3"/>
      <c r="KWC25" s="3"/>
      <c r="KWD25" s="3"/>
      <c r="KWE25" s="3"/>
      <c r="KWF25" s="3"/>
      <c r="KWG25" s="3"/>
      <c r="KWH25" s="3"/>
      <c r="KWI25" s="3"/>
      <c r="KWJ25" s="3"/>
      <c r="KWK25" s="3"/>
      <c r="KWL25" s="3"/>
      <c r="KWM25" s="3"/>
      <c r="KWN25" s="3"/>
      <c r="KWO25" s="3"/>
      <c r="KWP25" s="3"/>
      <c r="KWQ25" s="3"/>
      <c r="KWR25" s="3"/>
      <c r="KWS25" s="3"/>
      <c r="KWT25" s="3"/>
      <c r="KWU25" s="3"/>
      <c r="KWV25" s="3"/>
      <c r="KWW25" s="3"/>
      <c r="KWX25" s="3"/>
      <c r="KWY25" s="3"/>
      <c r="KWZ25" s="3"/>
      <c r="KXA25" s="3"/>
      <c r="KXB25" s="3"/>
      <c r="KXC25" s="3"/>
      <c r="KXD25" s="3"/>
      <c r="KXE25" s="3"/>
      <c r="KXF25" s="3"/>
      <c r="KXG25" s="3"/>
      <c r="KXH25" s="3"/>
      <c r="KXI25" s="3"/>
      <c r="KXJ25" s="3"/>
      <c r="KXK25" s="3"/>
      <c r="KXL25" s="3"/>
      <c r="KXM25" s="3"/>
      <c r="KXN25" s="3"/>
      <c r="KXO25" s="3"/>
      <c r="KXP25" s="3"/>
      <c r="KXQ25" s="3"/>
      <c r="KXR25" s="3"/>
      <c r="KXS25" s="3"/>
      <c r="KXT25" s="3"/>
      <c r="KXU25" s="3"/>
      <c r="KXV25" s="3"/>
      <c r="KXW25" s="3"/>
      <c r="KXX25" s="3"/>
      <c r="KXY25" s="3"/>
      <c r="KXZ25" s="3"/>
      <c r="KYA25" s="3"/>
      <c r="KYB25" s="3"/>
      <c r="KYC25" s="3"/>
      <c r="KYD25" s="3"/>
      <c r="KYE25" s="3"/>
      <c r="KYF25" s="3"/>
      <c r="KYG25" s="3"/>
      <c r="KYH25" s="3"/>
      <c r="KYI25" s="3"/>
      <c r="KYJ25" s="3"/>
      <c r="KYK25" s="3"/>
      <c r="KYL25" s="3"/>
      <c r="KYM25" s="3"/>
      <c r="KYN25" s="3"/>
      <c r="KYO25" s="3"/>
      <c r="KYP25" s="3"/>
      <c r="KYQ25" s="3"/>
      <c r="KYR25" s="3"/>
      <c r="KYS25" s="3"/>
      <c r="KYT25" s="3"/>
      <c r="KYU25" s="3"/>
      <c r="KYV25" s="3"/>
      <c r="KYW25" s="3"/>
      <c r="KYX25" s="3"/>
      <c r="KYY25" s="3"/>
      <c r="KYZ25" s="3"/>
      <c r="KZA25" s="3"/>
      <c r="KZB25" s="3"/>
      <c r="KZC25" s="3"/>
      <c r="KZD25" s="3"/>
      <c r="KZE25" s="3"/>
      <c r="KZF25" s="3"/>
      <c r="KZG25" s="3"/>
      <c r="KZH25" s="3"/>
      <c r="KZI25" s="3"/>
      <c r="KZJ25" s="3"/>
      <c r="KZK25" s="3"/>
      <c r="KZL25" s="3"/>
      <c r="KZM25" s="3"/>
      <c r="KZN25" s="3"/>
      <c r="KZO25" s="3"/>
      <c r="KZP25" s="3"/>
      <c r="KZQ25" s="3"/>
      <c r="KZR25" s="3"/>
      <c r="KZS25" s="3"/>
      <c r="KZT25" s="3"/>
      <c r="KZU25" s="3"/>
      <c r="KZV25" s="3"/>
      <c r="KZW25" s="3"/>
      <c r="KZX25" s="3"/>
      <c r="KZY25" s="3"/>
      <c r="KZZ25" s="3"/>
      <c r="LAA25" s="3"/>
      <c r="LAB25" s="3"/>
      <c r="LAC25" s="3"/>
      <c r="LAD25" s="3"/>
      <c r="LAE25" s="3"/>
      <c r="LAF25" s="3"/>
      <c r="LAG25" s="3"/>
      <c r="LAH25" s="3"/>
      <c r="LAI25" s="3"/>
      <c r="LAJ25" s="3"/>
      <c r="LAK25" s="3"/>
      <c r="LAL25" s="3"/>
      <c r="LAM25" s="3"/>
      <c r="LAN25" s="3"/>
      <c r="LAO25" s="3"/>
      <c r="LAP25" s="3"/>
      <c r="LAQ25" s="3"/>
      <c r="LAR25" s="3"/>
      <c r="LAS25" s="3"/>
      <c r="LAT25" s="3"/>
      <c r="LAU25" s="3"/>
      <c r="LAV25" s="3"/>
      <c r="LAW25" s="3"/>
      <c r="LAX25" s="3"/>
      <c r="LAY25" s="3"/>
      <c r="LAZ25" s="3"/>
      <c r="LBA25" s="3"/>
      <c r="LBB25" s="3"/>
      <c r="LBC25" s="3"/>
      <c r="LBD25" s="3"/>
      <c r="LBE25" s="3"/>
      <c r="LBF25" s="3"/>
      <c r="LBG25" s="3"/>
      <c r="LBH25" s="3"/>
      <c r="LBI25" s="3"/>
      <c r="LBJ25" s="3"/>
      <c r="LBK25" s="3"/>
      <c r="LBL25" s="3"/>
      <c r="LBM25" s="3"/>
      <c r="LBN25" s="3"/>
      <c r="LBO25" s="3"/>
      <c r="LBP25" s="3"/>
      <c r="LBQ25" s="3"/>
      <c r="LBR25" s="3"/>
      <c r="LBS25" s="3"/>
      <c r="LBT25" s="3"/>
      <c r="LBU25" s="3"/>
      <c r="LBV25" s="3"/>
      <c r="LBW25" s="3"/>
      <c r="LBX25" s="3"/>
      <c r="LBY25" s="3"/>
      <c r="LBZ25" s="3"/>
      <c r="LCA25" s="3"/>
      <c r="LCB25" s="3"/>
      <c r="LCC25" s="3"/>
      <c r="LCD25" s="3"/>
      <c r="LCE25" s="3"/>
      <c r="LCF25" s="3"/>
      <c r="LCG25" s="3"/>
      <c r="LCH25" s="3"/>
      <c r="LCI25" s="3"/>
      <c r="LCJ25" s="3"/>
      <c r="LCK25" s="3"/>
      <c r="LCL25" s="3"/>
      <c r="LCM25" s="3"/>
      <c r="LCN25" s="3"/>
      <c r="LCO25" s="3"/>
      <c r="LCP25" s="3"/>
      <c r="LCQ25" s="3"/>
      <c r="LCR25" s="3"/>
      <c r="LCS25" s="3"/>
      <c r="LCT25" s="3"/>
      <c r="LCU25" s="3"/>
      <c r="LCV25" s="3"/>
      <c r="LCW25" s="3"/>
      <c r="LCX25" s="3"/>
      <c r="LCY25" s="3"/>
      <c r="LCZ25" s="3"/>
      <c r="LDA25" s="3"/>
      <c r="LDB25" s="3"/>
      <c r="LDC25" s="3"/>
      <c r="LDD25" s="3"/>
      <c r="LDE25" s="3"/>
      <c r="LDF25" s="3"/>
      <c r="LDG25" s="3"/>
      <c r="LDH25" s="3"/>
      <c r="LDI25" s="3"/>
      <c r="LDJ25" s="3"/>
      <c r="LDK25" s="3"/>
      <c r="LDL25" s="3"/>
      <c r="LDM25" s="3"/>
      <c r="LDN25" s="3"/>
      <c r="LDO25" s="3"/>
      <c r="LDP25" s="3"/>
      <c r="LDQ25" s="3"/>
      <c r="LDR25" s="3"/>
      <c r="LDS25" s="3"/>
      <c r="LDT25" s="3"/>
      <c r="LDU25" s="3"/>
      <c r="LDV25" s="3"/>
      <c r="LDW25" s="3"/>
      <c r="LDX25" s="3"/>
      <c r="LDY25" s="3"/>
      <c r="LDZ25" s="3"/>
      <c r="LEA25" s="3"/>
      <c r="LEB25" s="3"/>
      <c r="LEC25" s="3"/>
      <c r="LED25" s="3"/>
      <c r="LEE25" s="3"/>
      <c r="LEF25" s="3"/>
      <c r="LEG25" s="3"/>
      <c r="LEH25" s="3"/>
      <c r="LEI25" s="3"/>
      <c r="LEJ25" s="3"/>
      <c r="LEK25" s="3"/>
      <c r="LEL25" s="3"/>
      <c r="LEM25" s="3"/>
      <c r="LEN25" s="3"/>
      <c r="LEO25" s="3"/>
      <c r="LEP25" s="3"/>
      <c r="LEQ25" s="3"/>
      <c r="LER25" s="3"/>
      <c r="LES25" s="3"/>
      <c r="LET25" s="3"/>
      <c r="LEU25" s="3"/>
      <c r="LEV25" s="3"/>
      <c r="LEW25" s="3"/>
      <c r="LEX25" s="3"/>
      <c r="LEY25" s="3"/>
      <c r="LEZ25" s="3"/>
      <c r="LFA25" s="3"/>
      <c r="LFB25" s="3"/>
      <c r="LFC25" s="3"/>
      <c r="LFD25" s="3"/>
      <c r="LFE25" s="3"/>
      <c r="LFF25" s="3"/>
      <c r="LFG25" s="3"/>
      <c r="LFH25" s="3"/>
      <c r="LFI25" s="3"/>
      <c r="LFJ25" s="3"/>
      <c r="LFK25" s="3"/>
      <c r="LFL25" s="3"/>
      <c r="LFM25" s="3"/>
      <c r="LFN25" s="3"/>
      <c r="LFO25" s="3"/>
      <c r="LFP25" s="3"/>
      <c r="LFQ25" s="3"/>
      <c r="LFR25" s="3"/>
      <c r="LFS25" s="3"/>
      <c r="LFT25" s="3"/>
      <c r="LFU25" s="3"/>
      <c r="LFV25" s="3"/>
      <c r="LFW25" s="3"/>
      <c r="LFX25" s="3"/>
      <c r="LFY25" s="3"/>
      <c r="LFZ25" s="3"/>
      <c r="LGA25" s="3"/>
      <c r="LGB25" s="3"/>
      <c r="LGC25" s="3"/>
      <c r="LGD25" s="3"/>
      <c r="LGE25" s="3"/>
      <c r="LGF25" s="3"/>
      <c r="LGG25" s="3"/>
      <c r="LGH25" s="3"/>
      <c r="LGI25" s="3"/>
      <c r="LGJ25" s="3"/>
      <c r="LGK25" s="3"/>
      <c r="LGL25" s="3"/>
      <c r="LGM25" s="3"/>
      <c r="LGN25" s="3"/>
      <c r="LGO25" s="3"/>
      <c r="LGP25" s="3"/>
      <c r="LGQ25" s="3"/>
      <c r="LGR25" s="3"/>
      <c r="LGS25" s="3"/>
      <c r="LGT25" s="3"/>
      <c r="LGU25" s="3"/>
      <c r="LGV25" s="3"/>
      <c r="LGW25" s="3"/>
      <c r="LGX25" s="3"/>
      <c r="LGY25" s="3"/>
      <c r="LGZ25" s="3"/>
      <c r="LHA25" s="3"/>
      <c r="LHB25" s="3"/>
      <c r="LHC25" s="3"/>
      <c r="LHD25" s="3"/>
      <c r="LHE25" s="3"/>
      <c r="LHF25" s="3"/>
      <c r="LHG25" s="3"/>
      <c r="LHH25" s="3"/>
      <c r="LHI25" s="3"/>
      <c r="LHJ25" s="3"/>
      <c r="LHK25" s="3"/>
      <c r="LHL25" s="3"/>
      <c r="LHM25" s="3"/>
      <c r="LHN25" s="3"/>
      <c r="LHO25" s="3"/>
      <c r="LHP25" s="3"/>
      <c r="LHQ25" s="3"/>
      <c r="LHR25" s="3"/>
      <c r="LHS25" s="3"/>
      <c r="LHT25" s="3"/>
      <c r="LHU25" s="3"/>
      <c r="LHV25" s="3"/>
      <c r="LHW25" s="3"/>
      <c r="LHX25" s="3"/>
      <c r="LHY25" s="3"/>
      <c r="LHZ25" s="3"/>
      <c r="LIA25" s="3"/>
      <c r="LIB25" s="3"/>
      <c r="LIC25" s="3"/>
      <c r="LID25" s="3"/>
      <c r="LIE25" s="3"/>
      <c r="LIF25" s="3"/>
      <c r="LIG25" s="3"/>
      <c r="LIH25" s="3"/>
      <c r="LII25" s="3"/>
      <c r="LIJ25" s="3"/>
      <c r="LIK25" s="3"/>
      <c r="LIL25" s="3"/>
      <c r="LIM25" s="3"/>
      <c r="LIN25" s="3"/>
      <c r="LIO25" s="3"/>
      <c r="LIP25" s="3"/>
      <c r="LIQ25" s="3"/>
      <c r="LIR25" s="3"/>
      <c r="LIS25" s="3"/>
      <c r="LIT25" s="3"/>
      <c r="LIU25" s="3"/>
      <c r="LIV25" s="3"/>
      <c r="LIW25" s="3"/>
      <c r="LIX25" s="3"/>
      <c r="LIY25" s="3"/>
      <c r="LIZ25" s="3"/>
      <c r="LJA25" s="3"/>
      <c r="LJB25" s="3"/>
      <c r="LJC25" s="3"/>
      <c r="LJD25" s="3"/>
      <c r="LJE25" s="3"/>
      <c r="LJF25" s="3"/>
      <c r="LJG25" s="3"/>
      <c r="LJH25" s="3"/>
      <c r="LJI25" s="3"/>
      <c r="LJJ25" s="3"/>
      <c r="LJK25" s="3"/>
      <c r="LJL25" s="3"/>
      <c r="LJM25" s="3"/>
      <c r="LJN25" s="3"/>
      <c r="LJO25" s="3"/>
      <c r="LJP25" s="3"/>
      <c r="LJQ25" s="3"/>
      <c r="LJR25" s="3"/>
      <c r="LJS25" s="3"/>
      <c r="LJT25" s="3"/>
      <c r="LJU25" s="3"/>
      <c r="LJV25" s="3"/>
      <c r="LJW25" s="3"/>
      <c r="LJX25" s="3"/>
      <c r="LJY25" s="3"/>
      <c r="LJZ25" s="3"/>
      <c r="LKA25" s="3"/>
      <c r="LKB25" s="3"/>
      <c r="LKC25" s="3"/>
      <c r="LKD25" s="3"/>
      <c r="LKE25" s="3"/>
      <c r="LKF25" s="3"/>
      <c r="LKG25" s="3"/>
      <c r="LKH25" s="3"/>
      <c r="LKI25" s="3"/>
      <c r="LKJ25" s="3"/>
      <c r="LKK25" s="3"/>
      <c r="LKL25" s="3"/>
      <c r="LKM25" s="3"/>
      <c r="LKN25" s="3"/>
      <c r="LKO25" s="3"/>
      <c r="LKP25" s="3"/>
      <c r="LKQ25" s="3"/>
      <c r="LKR25" s="3"/>
      <c r="LKS25" s="3"/>
      <c r="LKT25" s="3"/>
      <c r="LKU25" s="3"/>
      <c r="LKV25" s="3"/>
      <c r="LKW25" s="3"/>
      <c r="LKX25" s="3"/>
      <c r="LKY25" s="3"/>
      <c r="LKZ25" s="3"/>
      <c r="LLA25" s="3"/>
      <c r="LLB25" s="3"/>
      <c r="LLC25" s="3"/>
      <c r="LLD25" s="3"/>
      <c r="LLE25" s="3"/>
      <c r="LLF25" s="3"/>
      <c r="LLG25" s="3"/>
      <c r="LLH25" s="3"/>
      <c r="LLI25" s="3"/>
      <c r="LLJ25" s="3"/>
      <c r="LLK25" s="3"/>
      <c r="LLL25" s="3"/>
      <c r="LLM25" s="3"/>
      <c r="LLN25" s="3"/>
      <c r="LLO25" s="3"/>
      <c r="LLP25" s="3"/>
      <c r="LLQ25" s="3"/>
      <c r="LLR25" s="3"/>
      <c r="LLS25" s="3"/>
      <c r="LLT25" s="3"/>
      <c r="LLU25" s="3"/>
      <c r="LLV25" s="3"/>
      <c r="LLW25" s="3"/>
      <c r="LLX25" s="3"/>
      <c r="LLY25" s="3"/>
      <c r="LLZ25" s="3"/>
      <c r="LMA25" s="3"/>
      <c r="LMB25" s="3"/>
      <c r="LMC25" s="3"/>
      <c r="LMD25" s="3"/>
      <c r="LME25" s="3"/>
      <c r="LMF25" s="3"/>
      <c r="LMG25" s="3"/>
      <c r="LMH25" s="3"/>
      <c r="LMI25" s="3"/>
      <c r="LMJ25" s="3"/>
      <c r="LMK25" s="3"/>
      <c r="LML25" s="3"/>
      <c r="LMM25" s="3"/>
      <c r="LMN25" s="3"/>
      <c r="LMO25" s="3"/>
      <c r="LMP25" s="3"/>
      <c r="LMQ25" s="3"/>
      <c r="LMR25" s="3"/>
      <c r="LMS25" s="3"/>
      <c r="LMT25" s="3"/>
      <c r="LMU25" s="3"/>
      <c r="LMV25" s="3"/>
      <c r="LMW25" s="3"/>
      <c r="LMX25" s="3"/>
      <c r="LMY25" s="3"/>
      <c r="LMZ25" s="3"/>
      <c r="LNA25" s="3"/>
      <c r="LNB25" s="3"/>
      <c r="LNC25" s="3"/>
      <c r="LND25" s="3"/>
      <c r="LNE25" s="3"/>
      <c r="LNF25" s="3"/>
      <c r="LNG25" s="3"/>
      <c r="LNH25" s="3"/>
      <c r="LNI25" s="3"/>
      <c r="LNJ25" s="3"/>
      <c r="LNK25" s="3"/>
      <c r="LNL25" s="3"/>
      <c r="LNM25" s="3"/>
      <c r="LNN25" s="3"/>
      <c r="LNO25" s="3"/>
      <c r="LNP25" s="3"/>
      <c r="LNQ25" s="3"/>
      <c r="LNR25" s="3"/>
      <c r="LNS25" s="3"/>
      <c r="LNT25" s="3"/>
      <c r="LNU25" s="3"/>
      <c r="LNV25" s="3"/>
      <c r="LNW25" s="3"/>
      <c r="LNX25" s="3"/>
      <c r="LNY25" s="3"/>
      <c r="LNZ25" s="3"/>
      <c r="LOA25" s="3"/>
      <c r="LOB25" s="3"/>
      <c r="LOC25" s="3"/>
      <c r="LOD25" s="3"/>
      <c r="LOE25" s="3"/>
      <c r="LOF25" s="3"/>
      <c r="LOG25" s="3"/>
      <c r="LOH25" s="3"/>
      <c r="LOI25" s="3"/>
      <c r="LOJ25" s="3"/>
      <c r="LOK25" s="3"/>
      <c r="LOL25" s="3"/>
      <c r="LOM25" s="3"/>
      <c r="LON25" s="3"/>
      <c r="LOO25" s="3"/>
      <c r="LOP25" s="3"/>
      <c r="LOQ25" s="3"/>
      <c r="LOR25" s="3"/>
      <c r="LOS25" s="3"/>
      <c r="LOT25" s="3"/>
      <c r="LOU25" s="3"/>
      <c r="LOV25" s="3"/>
      <c r="LOW25" s="3"/>
      <c r="LOX25" s="3"/>
      <c r="LOY25" s="3"/>
      <c r="LOZ25" s="3"/>
      <c r="LPA25" s="3"/>
      <c r="LPB25" s="3"/>
      <c r="LPC25" s="3"/>
      <c r="LPD25" s="3"/>
      <c r="LPE25" s="3"/>
      <c r="LPF25" s="3"/>
      <c r="LPG25" s="3"/>
      <c r="LPH25" s="3"/>
      <c r="LPI25" s="3"/>
      <c r="LPJ25" s="3"/>
      <c r="LPK25" s="3"/>
      <c r="LPL25" s="3"/>
      <c r="LPM25" s="3"/>
      <c r="LPN25" s="3"/>
      <c r="LPO25" s="3"/>
      <c r="LPP25" s="3"/>
      <c r="LPQ25" s="3"/>
      <c r="LPR25" s="3"/>
      <c r="LPS25" s="3"/>
      <c r="LPT25" s="3"/>
      <c r="LPU25" s="3"/>
      <c r="LPV25" s="3"/>
      <c r="LPW25" s="3"/>
      <c r="LPX25" s="3"/>
      <c r="LPY25" s="3"/>
      <c r="LPZ25" s="3"/>
      <c r="LQA25" s="3"/>
      <c r="LQB25" s="3"/>
      <c r="LQC25" s="3"/>
      <c r="LQD25" s="3"/>
      <c r="LQE25" s="3"/>
      <c r="LQF25" s="3"/>
      <c r="LQG25" s="3"/>
      <c r="LQH25" s="3"/>
      <c r="LQI25" s="3"/>
      <c r="LQJ25" s="3"/>
      <c r="LQK25" s="3"/>
      <c r="LQL25" s="3"/>
      <c r="LQM25" s="3"/>
      <c r="LQN25" s="3"/>
      <c r="LQO25" s="3"/>
      <c r="LQP25" s="3"/>
      <c r="LQQ25" s="3"/>
      <c r="LQR25" s="3"/>
      <c r="LQS25" s="3"/>
      <c r="LQT25" s="3"/>
      <c r="LQU25" s="3"/>
      <c r="LQV25" s="3"/>
      <c r="LQW25" s="3"/>
      <c r="LQX25" s="3"/>
      <c r="LQY25" s="3"/>
      <c r="LQZ25" s="3"/>
      <c r="LRA25" s="3"/>
      <c r="LRB25" s="3"/>
      <c r="LRC25" s="3"/>
      <c r="LRD25" s="3"/>
      <c r="LRE25" s="3"/>
      <c r="LRF25" s="3"/>
      <c r="LRG25" s="3"/>
      <c r="LRH25" s="3"/>
      <c r="LRI25" s="3"/>
      <c r="LRJ25" s="3"/>
      <c r="LRK25" s="3"/>
      <c r="LRL25" s="3"/>
      <c r="LRM25" s="3"/>
      <c r="LRN25" s="3"/>
      <c r="LRO25" s="3"/>
      <c r="LRP25" s="3"/>
      <c r="LRQ25" s="3"/>
      <c r="LRR25" s="3"/>
      <c r="LRS25" s="3"/>
      <c r="LRT25" s="3"/>
      <c r="LRU25" s="3"/>
      <c r="LRV25" s="3"/>
      <c r="LRW25" s="3"/>
      <c r="LRX25" s="3"/>
      <c r="LRY25" s="3"/>
      <c r="LRZ25" s="3"/>
      <c r="LSA25" s="3"/>
      <c r="LSB25" s="3"/>
      <c r="LSC25" s="3"/>
      <c r="LSD25" s="3"/>
      <c r="LSE25" s="3"/>
      <c r="LSF25" s="3"/>
      <c r="LSG25" s="3"/>
      <c r="LSH25" s="3"/>
      <c r="LSI25" s="3"/>
      <c r="LSJ25" s="3"/>
      <c r="LSK25" s="3"/>
      <c r="LSL25" s="3"/>
      <c r="LSM25" s="3"/>
      <c r="LSN25" s="3"/>
      <c r="LSO25" s="3"/>
      <c r="LSP25" s="3"/>
      <c r="LSQ25" s="3"/>
      <c r="LSR25" s="3"/>
      <c r="LSS25" s="3"/>
      <c r="LST25" s="3"/>
      <c r="LSU25" s="3"/>
      <c r="LSV25" s="3"/>
      <c r="LSW25" s="3"/>
      <c r="LSX25" s="3"/>
      <c r="LSY25" s="3"/>
      <c r="LSZ25" s="3"/>
      <c r="LTA25" s="3"/>
      <c r="LTB25" s="3"/>
      <c r="LTC25" s="3"/>
      <c r="LTD25" s="3"/>
      <c r="LTE25" s="3"/>
      <c r="LTF25" s="3"/>
      <c r="LTG25" s="3"/>
      <c r="LTH25" s="3"/>
      <c r="LTI25" s="3"/>
      <c r="LTJ25" s="3"/>
      <c r="LTK25" s="3"/>
      <c r="LTL25" s="3"/>
      <c r="LTM25" s="3"/>
      <c r="LTN25" s="3"/>
      <c r="LTO25" s="3"/>
      <c r="LTP25" s="3"/>
      <c r="LTQ25" s="3"/>
      <c r="LTR25" s="3"/>
      <c r="LTS25" s="3"/>
      <c r="LTT25" s="3"/>
      <c r="LTU25" s="3"/>
      <c r="LTV25" s="3"/>
      <c r="LTW25" s="3"/>
      <c r="LTX25" s="3"/>
      <c r="LTY25" s="3"/>
      <c r="LTZ25" s="3"/>
      <c r="LUA25" s="3"/>
      <c r="LUB25" s="3"/>
      <c r="LUC25" s="3"/>
      <c r="LUD25" s="3"/>
      <c r="LUE25" s="3"/>
      <c r="LUF25" s="3"/>
      <c r="LUG25" s="3"/>
      <c r="LUH25" s="3"/>
      <c r="LUI25" s="3"/>
      <c r="LUJ25" s="3"/>
      <c r="LUK25" s="3"/>
      <c r="LUL25" s="3"/>
      <c r="LUM25" s="3"/>
      <c r="LUN25" s="3"/>
      <c r="LUO25" s="3"/>
      <c r="LUP25" s="3"/>
      <c r="LUQ25" s="3"/>
      <c r="LUR25" s="3"/>
      <c r="LUS25" s="3"/>
      <c r="LUT25" s="3"/>
      <c r="LUU25" s="3"/>
      <c r="LUV25" s="3"/>
      <c r="LUW25" s="3"/>
      <c r="LUX25" s="3"/>
      <c r="LUY25" s="3"/>
      <c r="LUZ25" s="3"/>
      <c r="LVA25" s="3"/>
      <c r="LVB25" s="3"/>
      <c r="LVC25" s="3"/>
      <c r="LVD25" s="3"/>
      <c r="LVE25" s="3"/>
      <c r="LVF25" s="3"/>
      <c r="LVG25" s="3"/>
      <c r="LVH25" s="3"/>
      <c r="LVI25" s="3"/>
      <c r="LVJ25" s="3"/>
      <c r="LVK25" s="3"/>
      <c r="LVL25" s="3"/>
      <c r="LVM25" s="3"/>
      <c r="LVN25" s="3"/>
      <c r="LVO25" s="3"/>
      <c r="LVP25" s="3"/>
      <c r="LVQ25" s="3"/>
      <c r="LVR25" s="3"/>
      <c r="LVS25" s="3"/>
      <c r="LVT25" s="3"/>
      <c r="LVU25" s="3"/>
      <c r="LVV25" s="3"/>
      <c r="LVW25" s="3"/>
      <c r="LVX25" s="3"/>
      <c r="LVY25" s="3"/>
      <c r="LVZ25" s="3"/>
      <c r="LWA25" s="3"/>
      <c r="LWB25" s="3"/>
      <c r="LWC25" s="3"/>
      <c r="LWD25" s="3"/>
      <c r="LWE25" s="3"/>
      <c r="LWF25" s="3"/>
      <c r="LWG25" s="3"/>
      <c r="LWH25" s="3"/>
      <c r="LWI25" s="3"/>
      <c r="LWJ25" s="3"/>
      <c r="LWK25" s="3"/>
      <c r="LWL25" s="3"/>
      <c r="LWM25" s="3"/>
      <c r="LWN25" s="3"/>
      <c r="LWO25" s="3"/>
      <c r="LWP25" s="3"/>
      <c r="LWQ25" s="3"/>
      <c r="LWR25" s="3"/>
      <c r="LWS25" s="3"/>
      <c r="LWT25" s="3"/>
      <c r="LWU25" s="3"/>
      <c r="LWV25" s="3"/>
      <c r="LWW25" s="3"/>
      <c r="LWX25" s="3"/>
      <c r="LWY25" s="3"/>
      <c r="LWZ25" s="3"/>
      <c r="LXA25" s="3"/>
      <c r="LXB25" s="3"/>
      <c r="LXC25" s="3"/>
      <c r="LXD25" s="3"/>
      <c r="LXE25" s="3"/>
      <c r="LXF25" s="3"/>
      <c r="LXG25" s="3"/>
      <c r="LXH25" s="3"/>
      <c r="LXI25" s="3"/>
      <c r="LXJ25" s="3"/>
      <c r="LXK25" s="3"/>
      <c r="LXL25" s="3"/>
      <c r="LXM25" s="3"/>
      <c r="LXN25" s="3"/>
      <c r="LXO25" s="3"/>
      <c r="LXP25" s="3"/>
      <c r="LXQ25" s="3"/>
      <c r="LXR25" s="3"/>
      <c r="LXS25" s="3"/>
      <c r="LXT25" s="3"/>
      <c r="LXU25" s="3"/>
      <c r="LXV25" s="3"/>
      <c r="LXW25" s="3"/>
      <c r="LXX25" s="3"/>
      <c r="LXY25" s="3"/>
      <c r="LXZ25" s="3"/>
      <c r="LYA25" s="3"/>
      <c r="LYB25" s="3"/>
      <c r="LYC25" s="3"/>
      <c r="LYD25" s="3"/>
      <c r="LYE25" s="3"/>
      <c r="LYF25" s="3"/>
      <c r="LYG25" s="3"/>
      <c r="LYH25" s="3"/>
      <c r="LYI25" s="3"/>
      <c r="LYJ25" s="3"/>
      <c r="LYK25" s="3"/>
      <c r="LYL25" s="3"/>
      <c r="LYM25" s="3"/>
      <c r="LYN25" s="3"/>
      <c r="LYO25" s="3"/>
      <c r="LYP25" s="3"/>
      <c r="LYQ25" s="3"/>
      <c r="LYR25" s="3"/>
      <c r="LYS25" s="3"/>
      <c r="LYT25" s="3"/>
      <c r="LYU25" s="3"/>
      <c r="LYV25" s="3"/>
      <c r="LYW25" s="3"/>
      <c r="LYX25" s="3"/>
      <c r="LYY25" s="3"/>
      <c r="LYZ25" s="3"/>
      <c r="LZA25" s="3"/>
      <c r="LZB25" s="3"/>
      <c r="LZC25" s="3"/>
      <c r="LZD25" s="3"/>
      <c r="LZE25" s="3"/>
      <c r="LZF25" s="3"/>
      <c r="LZG25" s="3"/>
      <c r="LZH25" s="3"/>
      <c r="LZI25" s="3"/>
      <c r="LZJ25" s="3"/>
      <c r="LZK25" s="3"/>
      <c r="LZL25" s="3"/>
      <c r="LZM25" s="3"/>
      <c r="LZN25" s="3"/>
      <c r="LZO25" s="3"/>
      <c r="LZP25" s="3"/>
      <c r="LZQ25" s="3"/>
      <c r="LZR25" s="3"/>
      <c r="LZS25" s="3"/>
      <c r="LZT25" s="3"/>
      <c r="LZU25" s="3"/>
      <c r="LZV25" s="3"/>
      <c r="LZW25" s="3"/>
      <c r="LZX25" s="3"/>
      <c r="LZY25" s="3"/>
      <c r="LZZ25" s="3"/>
      <c r="MAA25" s="3"/>
      <c r="MAB25" s="3"/>
      <c r="MAC25" s="3"/>
      <c r="MAD25" s="3"/>
      <c r="MAE25" s="3"/>
      <c r="MAF25" s="3"/>
      <c r="MAG25" s="3"/>
      <c r="MAH25" s="3"/>
      <c r="MAI25" s="3"/>
      <c r="MAJ25" s="3"/>
      <c r="MAK25" s="3"/>
      <c r="MAL25" s="3"/>
      <c r="MAM25" s="3"/>
      <c r="MAN25" s="3"/>
      <c r="MAO25" s="3"/>
      <c r="MAP25" s="3"/>
      <c r="MAQ25" s="3"/>
      <c r="MAR25" s="3"/>
      <c r="MAS25" s="3"/>
      <c r="MAT25" s="3"/>
      <c r="MAU25" s="3"/>
      <c r="MAV25" s="3"/>
      <c r="MAW25" s="3"/>
      <c r="MAX25" s="3"/>
      <c r="MAY25" s="3"/>
      <c r="MAZ25" s="3"/>
      <c r="MBA25" s="3"/>
      <c r="MBB25" s="3"/>
      <c r="MBC25" s="3"/>
      <c r="MBD25" s="3"/>
      <c r="MBE25" s="3"/>
      <c r="MBF25" s="3"/>
      <c r="MBG25" s="3"/>
      <c r="MBH25" s="3"/>
      <c r="MBI25" s="3"/>
      <c r="MBJ25" s="3"/>
      <c r="MBK25" s="3"/>
      <c r="MBL25" s="3"/>
      <c r="MBM25" s="3"/>
      <c r="MBN25" s="3"/>
      <c r="MBO25" s="3"/>
      <c r="MBP25" s="3"/>
      <c r="MBQ25" s="3"/>
      <c r="MBR25" s="3"/>
      <c r="MBS25" s="3"/>
      <c r="MBT25" s="3"/>
      <c r="MBU25" s="3"/>
      <c r="MBV25" s="3"/>
      <c r="MBW25" s="3"/>
      <c r="MBX25" s="3"/>
      <c r="MBY25" s="3"/>
      <c r="MBZ25" s="3"/>
      <c r="MCA25" s="3"/>
      <c r="MCB25" s="3"/>
      <c r="MCC25" s="3"/>
      <c r="MCD25" s="3"/>
      <c r="MCE25" s="3"/>
      <c r="MCF25" s="3"/>
      <c r="MCG25" s="3"/>
      <c r="MCH25" s="3"/>
      <c r="MCI25" s="3"/>
      <c r="MCJ25" s="3"/>
      <c r="MCK25" s="3"/>
      <c r="MCL25" s="3"/>
      <c r="MCM25" s="3"/>
      <c r="MCN25" s="3"/>
      <c r="MCO25" s="3"/>
      <c r="MCP25" s="3"/>
      <c r="MCQ25" s="3"/>
      <c r="MCR25" s="3"/>
      <c r="MCS25" s="3"/>
      <c r="MCT25" s="3"/>
      <c r="MCU25" s="3"/>
      <c r="MCV25" s="3"/>
      <c r="MCW25" s="3"/>
      <c r="MCX25" s="3"/>
      <c r="MCY25" s="3"/>
      <c r="MCZ25" s="3"/>
      <c r="MDA25" s="3"/>
      <c r="MDB25" s="3"/>
      <c r="MDC25" s="3"/>
      <c r="MDD25" s="3"/>
      <c r="MDE25" s="3"/>
      <c r="MDF25" s="3"/>
      <c r="MDG25" s="3"/>
      <c r="MDH25" s="3"/>
      <c r="MDI25" s="3"/>
      <c r="MDJ25" s="3"/>
      <c r="MDK25" s="3"/>
      <c r="MDL25" s="3"/>
      <c r="MDM25" s="3"/>
      <c r="MDN25" s="3"/>
      <c r="MDO25" s="3"/>
      <c r="MDP25" s="3"/>
      <c r="MDQ25" s="3"/>
      <c r="MDR25" s="3"/>
      <c r="MDS25" s="3"/>
      <c r="MDT25" s="3"/>
      <c r="MDU25" s="3"/>
      <c r="MDV25" s="3"/>
      <c r="MDW25" s="3"/>
      <c r="MDX25" s="3"/>
      <c r="MDY25" s="3"/>
      <c r="MDZ25" s="3"/>
      <c r="MEA25" s="3"/>
      <c r="MEB25" s="3"/>
      <c r="MEC25" s="3"/>
      <c r="MED25" s="3"/>
      <c r="MEE25" s="3"/>
      <c r="MEF25" s="3"/>
      <c r="MEG25" s="3"/>
      <c r="MEH25" s="3"/>
      <c r="MEI25" s="3"/>
      <c r="MEJ25" s="3"/>
      <c r="MEK25" s="3"/>
      <c r="MEL25" s="3"/>
      <c r="MEM25" s="3"/>
      <c r="MEN25" s="3"/>
      <c r="MEO25" s="3"/>
      <c r="MEP25" s="3"/>
      <c r="MEQ25" s="3"/>
      <c r="MER25" s="3"/>
      <c r="MES25" s="3"/>
      <c r="MET25" s="3"/>
      <c r="MEU25" s="3"/>
      <c r="MEV25" s="3"/>
      <c r="MEW25" s="3"/>
      <c r="MEX25" s="3"/>
      <c r="MEY25" s="3"/>
      <c r="MEZ25" s="3"/>
      <c r="MFA25" s="3"/>
      <c r="MFB25" s="3"/>
      <c r="MFC25" s="3"/>
      <c r="MFD25" s="3"/>
      <c r="MFE25" s="3"/>
      <c r="MFF25" s="3"/>
      <c r="MFG25" s="3"/>
      <c r="MFH25" s="3"/>
      <c r="MFI25" s="3"/>
      <c r="MFJ25" s="3"/>
      <c r="MFK25" s="3"/>
      <c r="MFL25" s="3"/>
      <c r="MFM25" s="3"/>
      <c r="MFN25" s="3"/>
      <c r="MFO25" s="3"/>
      <c r="MFP25" s="3"/>
      <c r="MFQ25" s="3"/>
      <c r="MFR25" s="3"/>
      <c r="MFS25" s="3"/>
      <c r="MFT25" s="3"/>
      <c r="MFU25" s="3"/>
      <c r="MFV25" s="3"/>
      <c r="MFW25" s="3"/>
      <c r="MFX25" s="3"/>
      <c r="MFY25" s="3"/>
      <c r="MFZ25" s="3"/>
      <c r="MGA25" s="3"/>
      <c r="MGB25" s="3"/>
      <c r="MGC25" s="3"/>
      <c r="MGD25" s="3"/>
      <c r="MGE25" s="3"/>
      <c r="MGF25" s="3"/>
      <c r="MGG25" s="3"/>
      <c r="MGH25" s="3"/>
      <c r="MGI25" s="3"/>
      <c r="MGJ25" s="3"/>
      <c r="MGK25" s="3"/>
      <c r="MGL25" s="3"/>
      <c r="MGM25" s="3"/>
      <c r="MGN25" s="3"/>
      <c r="MGO25" s="3"/>
      <c r="MGP25" s="3"/>
      <c r="MGQ25" s="3"/>
      <c r="MGR25" s="3"/>
      <c r="MGS25" s="3"/>
      <c r="MGT25" s="3"/>
      <c r="MGU25" s="3"/>
      <c r="MGV25" s="3"/>
      <c r="MGW25" s="3"/>
      <c r="MGX25" s="3"/>
      <c r="MGY25" s="3"/>
      <c r="MGZ25" s="3"/>
      <c r="MHA25" s="3"/>
      <c r="MHB25" s="3"/>
      <c r="MHC25" s="3"/>
      <c r="MHD25" s="3"/>
      <c r="MHE25" s="3"/>
      <c r="MHF25" s="3"/>
      <c r="MHG25" s="3"/>
      <c r="MHH25" s="3"/>
      <c r="MHI25" s="3"/>
      <c r="MHJ25" s="3"/>
      <c r="MHK25" s="3"/>
      <c r="MHL25" s="3"/>
      <c r="MHM25" s="3"/>
      <c r="MHN25" s="3"/>
      <c r="MHO25" s="3"/>
      <c r="MHP25" s="3"/>
      <c r="MHQ25" s="3"/>
      <c r="MHR25" s="3"/>
      <c r="MHS25" s="3"/>
      <c r="MHT25" s="3"/>
      <c r="MHU25" s="3"/>
      <c r="MHV25" s="3"/>
      <c r="MHW25" s="3"/>
      <c r="MHX25" s="3"/>
      <c r="MHY25" s="3"/>
      <c r="MHZ25" s="3"/>
      <c r="MIA25" s="3"/>
      <c r="MIB25" s="3"/>
      <c r="MIC25" s="3"/>
      <c r="MID25" s="3"/>
      <c r="MIE25" s="3"/>
      <c r="MIF25" s="3"/>
      <c r="MIG25" s="3"/>
      <c r="MIH25" s="3"/>
      <c r="MII25" s="3"/>
      <c r="MIJ25" s="3"/>
      <c r="MIK25" s="3"/>
      <c r="MIL25" s="3"/>
      <c r="MIM25" s="3"/>
      <c r="MIN25" s="3"/>
      <c r="MIO25" s="3"/>
      <c r="MIP25" s="3"/>
      <c r="MIQ25" s="3"/>
      <c r="MIR25" s="3"/>
      <c r="MIS25" s="3"/>
      <c r="MIT25" s="3"/>
      <c r="MIU25" s="3"/>
      <c r="MIV25" s="3"/>
      <c r="MIW25" s="3"/>
      <c r="MIX25" s="3"/>
      <c r="MIY25" s="3"/>
      <c r="MIZ25" s="3"/>
      <c r="MJA25" s="3"/>
      <c r="MJB25" s="3"/>
      <c r="MJC25" s="3"/>
      <c r="MJD25" s="3"/>
      <c r="MJE25" s="3"/>
      <c r="MJF25" s="3"/>
      <c r="MJG25" s="3"/>
      <c r="MJH25" s="3"/>
      <c r="MJI25" s="3"/>
      <c r="MJJ25" s="3"/>
      <c r="MJK25" s="3"/>
      <c r="MJL25" s="3"/>
      <c r="MJM25" s="3"/>
      <c r="MJN25" s="3"/>
      <c r="MJO25" s="3"/>
      <c r="MJP25" s="3"/>
      <c r="MJQ25" s="3"/>
      <c r="MJR25" s="3"/>
      <c r="MJS25" s="3"/>
      <c r="MJT25" s="3"/>
      <c r="MJU25" s="3"/>
      <c r="MJV25" s="3"/>
      <c r="MJW25" s="3"/>
      <c r="MJX25" s="3"/>
      <c r="MJY25" s="3"/>
      <c r="MJZ25" s="3"/>
      <c r="MKA25" s="3"/>
      <c r="MKB25" s="3"/>
      <c r="MKC25" s="3"/>
      <c r="MKD25" s="3"/>
      <c r="MKE25" s="3"/>
      <c r="MKF25" s="3"/>
      <c r="MKG25" s="3"/>
      <c r="MKH25" s="3"/>
      <c r="MKI25" s="3"/>
      <c r="MKJ25" s="3"/>
      <c r="MKK25" s="3"/>
      <c r="MKL25" s="3"/>
      <c r="MKM25" s="3"/>
      <c r="MKN25" s="3"/>
      <c r="MKO25" s="3"/>
      <c r="MKP25" s="3"/>
      <c r="MKQ25" s="3"/>
      <c r="MKR25" s="3"/>
      <c r="MKS25" s="3"/>
      <c r="MKT25" s="3"/>
      <c r="MKU25" s="3"/>
      <c r="MKV25" s="3"/>
      <c r="MKW25" s="3"/>
      <c r="MKX25" s="3"/>
      <c r="MKY25" s="3"/>
      <c r="MKZ25" s="3"/>
      <c r="MLA25" s="3"/>
      <c r="MLB25" s="3"/>
      <c r="MLC25" s="3"/>
      <c r="MLD25" s="3"/>
      <c r="MLE25" s="3"/>
      <c r="MLF25" s="3"/>
      <c r="MLG25" s="3"/>
      <c r="MLH25" s="3"/>
      <c r="MLI25" s="3"/>
      <c r="MLJ25" s="3"/>
      <c r="MLK25" s="3"/>
      <c r="MLL25" s="3"/>
      <c r="MLM25" s="3"/>
      <c r="MLN25" s="3"/>
      <c r="MLO25" s="3"/>
      <c r="MLP25" s="3"/>
      <c r="MLQ25" s="3"/>
      <c r="MLR25" s="3"/>
      <c r="MLS25" s="3"/>
      <c r="MLT25" s="3"/>
      <c r="MLU25" s="3"/>
      <c r="MLV25" s="3"/>
      <c r="MLW25" s="3"/>
      <c r="MLX25" s="3"/>
      <c r="MLY25" s="3"/>
      <c r="MLZ25" s="3"/>
      <c r="MMA25" s="3"/>
      <c r="MMB25" s="3"/>
      <c r="MMC25" s="3"/>
      <c r="MMD25" s="3"/>
      <c r="MME25" s="3"/>
      <c r="MMF25" s="3"/>
      <c r="MMG25" s="3"/>
      <c r="MMH25" s="3"/>
      <c r="MMI25" s="3"/>
      <c r="MMJ25" s="3"/>
      <c r="MMK25" s="3"/>
      <c r="MML25" s="3"/>
      <c r="MMM25" s="3"/>
      <c r="MMN25" s="3"/>
      <c r="MMO25" s="3"/>
      <c r="MMP25" s="3"/>
      <c r="MMQ25" s="3"/>
      <c r="MMR25" s="3"/>
      <c r="MMS25" s="3"/>
      <c r="MMT25" s="3"/>
      <c r="MMU25" s="3"/>
      <c r="MMV25" s="3"/>
      <c r="MMW25" s="3"/>
      <c r="MMX25" s="3"/>
      <c r="MMY25" s="3"/>
      <c r="MMZ25" s="3"/>
      <c r="MNA25" s="3"/>
      <c r="MNB25" s="3"/>
      <c r="MNC25" s="3"/>
      <c r="MND25" s="3"/>
      <c r="MNE25" s="3"/>
      <c r="MNF25" s="3"/>
      <c r="MNG25" s="3"/>
      <c r="MNH25" s="3"/>
      <c r="MNI25" s="3"/>
      <c r="MNJ25" s="3"/>
      <c r="MNK25" s="3"/>
      <c r="MNL25" s="3"/>
      <c r="MNM25" s="3"/>
      <c r="MNN25" s="3"/>
      <c r="MNO25" s="3"/>
      <c r="MNP25" s="3"/>
      <c r="MNQ25" s="3"/>
      <c r="MNR25" s="3"/>
      <c r="MNS25" s="3"/>
      <c r="MNT25" s="3"/>
      <c r="MNU25" s="3"/>
      <c r="MNV25" s="3"/>
      <c r="MNW25" s="3"/>
      <c r="MNX25" s="3"/>
      <c r="MNY25" s="3"/>
      <c r="MNZ25" s="3"/>
      <c r="MOA25" s="3"/>
      <c r="MOB25" s="3"/>
      <c r="MOC25" s="3"/>
      <c r="MOD25" s="3"/>
      <c r="MOE25" s="3"/>
      <c r="MOF25" s="3"/>
      <c r="MOG25" s="3"/>
      <c r="MOH25" s="3"/>
      <c r="MOI25" s="3"/>
      <c r="MOJ25" s="3"/>
      <c r="MOK25" s="3"/>
      <c r="MOL25" s="3"/>
      <c r="MOM25" s="3"/>
      <c r="MON25" s="3"/>
      <c r="MOO25" s="3"/>
      <c r="MOP25" s="3"/>
      <c r="MOQ25" s="3"/>
      <c r="MOR25" s="3"/>
      <c r="MOS25" s="3"/>
      <c r="MOT25" s="3"/>
      <c r="MOU25" s="3"/>
      <c r="MOV25" s="3"/>
      <c r="MOW25" s="3"/>
      <c r="MOX25" s="3"/>
      <c r="MOY25" s="3"/>
      <c r="MOZ25" s="3"/>
      <c r="MPA25" s="3"/>
      <c r="MPB25" s="3"/>
      <c r="MPC25" s="3"/>
      <c r="MPD25" s="3"/>
      <c r="MPE25" s="3"/>
      <c r="MPF25" s="3"/>
      <c r="MPG25" s="3"/>
      <c r="MPH25" s="3"/>
      <c r="MPI25" s="3"/>
      <c r="MPJ25" s="3"/>
      <c r="MPK25" s="3"/>
      <c r="MPL25" s="3"/>
      <c r="MPM25" s="3"/>
      <c r="MPN25" s="3"/>
      <c r="MPO25" s="3"/>
      <c r="MPP25" s="3"/>
      <c r="MPQ25" s="3"/>
      <c r="MPR25" s="3"/>
      <c r="MPS25" s="3"/>
      <c r="MPT25" s="3"/>
      <c r="MPU25" s="3"/>
      <c r="MPV25" s="3"/>
      <c r="MPW25" s="3"/>
      <c r="MPX25" s="3"/>
      <c r="MPY25" s="3"/>
      <c r="MPZ25" s="3"/>
      <c r="MQA25" s="3"/>
      <c r="MQB25" s="3"/>
      <c r="MQC25" s="3"/>
      <c r="MQD25" s="3"/>
      <c r="MQE25" s="3"/>
      <c r="MQF25" s="3"/>
      <c r="MQG25" s="3"/>
      <c r="MQH25" s="3"/>
      <c r="MQI25" s="3"/>
      <c r="MQJ25" s="3"/>
      <c r="MQK25" s="3"/>
      <c r="MQL25" s="3"/>
      <c r="MQM25" s="3"/>
      <c r="MQN25" s="3"/>
      <c r="MQO25" s="3"/>
      <c r="MQP25" s="3"/>
      <c r="MQQ25" s="3"/>
      <c r="MQR25" s="3"/>
      <c r="MQS25" s="3"/>
      <c r="MQT25" s="3"/>
      <c r="MQU25" s="3"/>
      <c r="MQV25" s="3"/>
      <c r="MQW25" s="3"/>
      <c r="MQX25" s="3"/>
      <c r="MQY25" s="3"/>
      <c r="MQZ25" s="3"/>
      <c r="MRA25" s="3"/>
      <c r="MRB25" s="3"/>
      <c r="MRC25" s="3"/>
      <c r="MRD25" s="3"/>
      <c r="MRE25" s="3"/>
      <c r="MRF25" s="3"/>
      <c r="MRG25" s="3"/>
      <c r="MRH25" s="3"/>
      <c r="MRI25" s="3"/>
      <c r="MRJ25" s="3"/>
      <c r="MRK25" s="3"/>
      <c r="MRL25" s="3"/>
      <c r="MRM25" s="3"/>
      <c r="MRN25" s="3"/>
      <c r="MRO25" s="3"/>
      <c r="MRP25" s="3"/>
      <c r="MRQ25" s="3"/>
      <c r="MRR25" s="3"/>
      <c r="MRS25" s="3"/>
      <c r="MRT25" s="3"/>
      <c r="MRU25" s="3"/>
      <c r="MRV25" s="3"/>
      <c r="MRW25" s="3"/>
      <c r="MRX25" s="3"/>
      <c r="MRY25" s="3"/>
      <c r="MRZ25" s="3"/>
      <c r="MSA25" s="3"/>
      <c r="MSB25" s="3"/>
      <c r="MSC25" s="3"/>
      <c r="MSD25" s="3"/>
      <c r="MSE25" s="3"/>
      <c r="MSF25" s="3"/>
      <c r="MSG25" s="3"/>
      <c r="MSH25" s="3"/>
      <c r="MSI25" s="3"/>
      <c r="MSJ25" s="3"/>
      <c r="MSK25" s="3"/>
      <c r="MSL25" s="3"/>
      <c r="MSM25" s="3"/>
      <c r="MSN25" s="3"/>
      <c r="MSO25" s="3"/>
      <c r="MSP25" s="3"/>
      <c r="MSQ25" s="3"/>
      <c r="MSR25" s="3"/>
      <c r="MSS25" s="3"/>
      <c r="MST25" s="3"/>
      <c r="MSU25" s="3"/>
      <c r="MSV25" s="3"/>
      <c r="MSW25" s="3"/>
      <c r="MSX25" s="3"/>
      <c r="MSY25" s="3"/>
      <c r="MSZ25" s="3"/>
      <c r="MTA25" s="3"/>
      <c r="MTB25" s="3"/>
      <c r="MTC25" s="3"/>
      <c r="MTD25" s="3"/>
      <c r="MTE25" s="3"/>
      <c r="MTF25" s="3"/>
      <c r="MTG25" s="3"/>
      <c r="MTH25" s="3"/>
      <c r="MTI25" s="3"/>
      <c r="MTJ25" s="3"/>
      <c r="MTK25" s="3"/>
      <c r="MTL25" s="3"/>
      <c r="MTM25" s="3"/>
      <c r="MTN25" s="3"/>
      <c r="MTO25" s="3"/>
      <c r="MTP25" s="3"/>
      <c r="MTQ25" s="3"/>
      <c r="MTR25" s="3"/>
      <c r="MTS25" s="3"/>
      <c r="MTT25" s="3"/>
      <c r="MTU25" s="3"/>
      <c r="MTV25" s="3"/>
      <c r="MTW25" s="3"/>
      <c r="MTX25" s="3"/>
      <c r="MTY25" s="3"/>
      <c r="MTZ25" s="3"/>
      <c r="MUA25" s="3"/>
      <c r="MUB25" s="3"/>
      <c r="MUC25" s="3"/>
      <c r="MUD25" s="3"/>
      <c r="MUE25" s="3"/>
      <c r="MUF25" s="3"/>
      <c r="MUG25" s="3"/>
      <c r="MUH25" s="3"/>
      <c r="MUI25" s="3"/>
      <c r="MUJ25" s="3"/>
      <c r="MUK25" s="3"/>
      <c r="MUL25" s="3"/>
      <c r="MUM25" s="3"/>
      <c r="MUN25" s="3"/>
      <c r="MUO25" s="3"/>
      <c r="MUP25" s="3"/>
      <c r="MUQ25" s="3"/>
      <c r="MUR25" s="3"/>
      <c r="MUS25" s="3"/>
      <c r="MUT25" s="3"/>
      <c r="MUU25" s="3"/>
      <c r="MUV25" s="3"/>
      <c r="MUW25" s="3"/>
      <c r="MUX25" s="3"/>
      <c r="MUY25" s="3"/>
      <c r="MUZ25" s="3"/>
      <c r="MVA25" s="3"/>
      <c r="MVB25" s="3"/>
      <c r="MVC25" s="3"/>
      <c r="MVD25" s="3"/>
      <c r="MVE25" s="3"/>
      <c r="MVF25" s="3"/>
      <c r="MVG25" s="3"/>
      <c r="MVH25" s="3"/>
      <c r="MVI25" s="3"/>
      <c r="MVJ25" s="3"/>
      <c r="MVK25" s="3"/>
      <c r="MVL25" s="3"/>
      <c r="MVM25" s="3"/>
      <c r="MVN25" s="3"/>
      <c r="MVO25" s="3"/>
      <c r="MVP25" s="3"/>
      <c r="MVQ25" s="3"/>
      <c r="MVR25" s="3"/>
      <c r="MVS25" s="3"/>
      <c r="MVT25" s="3"/>
      <c r="MVU25" s="3"/>
      <c r="MVV25" s="3"/>
      <c r="MVW25" s="3"/>
      <c r="MVX25" s="3"/>
      <c r="MVY25" s="3"/>
      <c r="MVZ25" s="3"/>
      <c r="MWA25" s="3"/>
      <c r="MWB25" s="3"/>
      <c r="MWC25" s="3"/>
      <c r="MWD25" s="3"/>
      <c r="MWE25" s="3"/>
      <c r="MWF25" s="3"/>
      <c r="MWG25" s="3"/>
      <c r="MWH25" s="3"/>
      <c r="MWI25" s="3"/>
      <c r="MWJ25" s="3"/>
      <c r="MWK25" s="3"/>
      <c r="MWL25" s="3"/>
      <c r="MWM25" s="3"/>
      <c r="MWN25" s="3"/>
      <c r="MWO25" s="3"/>
      <c r="MWP25" s="3"/>
      <c r="MWQ25" s="3"/>
      <c r="MWR25" s="3"/>
      <c r="MWS25" s="3"/>
      <c r="MWT25" s="3"/>
      <c r="MWU25" s="3"/>
      <c r="MWV25" s="3"/>
      <c r="MWW25" s="3"/>
      <c r="MWX25" s="3"/>
      <c r="MWY25" s="3"/>
      <c r="MWZ25" s="3"/>
      <c r="MXA25" s="3"/>
      <c r="MXB25" s="3"/>
      <c r="MXC25" s="3"/>
      <c r="MXD25" s="3"/>
      <c r="MXE25" s="3"/>
      <c r="MXF25" s="3"/>
      <c r="MXG25" s="3"/>
      <c r="MXH25" s="3"/>
      <c r="MXI25" s="3"/>
      <c r="MXJ25" s="3"/>
      <c r="MXK25" s="3"/>
      <c r="MXL25" s="3"/>
      <c r="MXM25" s="3"/>
      <c r="MXN25" s="3"/>
      <c r="MXO25" s="3"/>
      <c r="MXP25" s="3"/>
      <c r="MXQ25" s="3"/>
      <c r="MXR25" s="3"/>
      <c r="MXS25" s="3"/>
      <c r="MXT25" s="3"/>
      <c r="MXU25" s="3"/>
      <c r="MXV25" s="3"/>
      <c r="MXW25" s="3"/>
      <c r="MXX25" s="3"/>
      <c r="MXY25" s="3"/>
      <c r="MXZ25" s="3"/>
      <c r="MYA25" s="3"/>
      <c r="MYB25" s="3"/>
      <c r="MYC25" s="3"/>
      <c r="MYD25" s="3"/>
      <c r="MYE25" s="3"/>
      <c r="MYF25" s="3"/>
      <c r="MYG25" s="3"/>
      <c r="MYH25" s="3"/>
      <c r="MYI25" s="3"/>
      <c r="MYJ25" s="3"/>
      <c r="MYK25" s="3"/>
      <c r="MYL25" s="3"/>
      <c r="MYM25" s="3"/>
      <c r="MYN25" s="3"/>
      <c r="MYO25" s="3"/>
      <c r="MYP25" s="3"/>
      <c r="MYQ25" s="3"/>
      <c r="MYR25" s="3"/>
      <c r="MYS25" s="3"/>
      <c r="MYT25" s="3"/>
      <c r="MYU25" s="3"/>
      <c r="MYV25" s="3"/>
      <c r="MYW25" s="3"/>
      <c r="MYX25" s="3"/>
      <c r="MYY25" s="3"/>
      <c r="MYZ25" s="3"/>
      <c r="MZA25" s="3"/>
      <c r="MZB25" s="3"/>
      <c r="MZC25" s="3"/>
      <c r="MZD25" s="3"/>
      <c r="MZE25" s="3"/>
      <c r="MZF25" s="3"/>
      <c r="MZG25" s="3"/>
      <c r="MZH25" s="3"/>
      <c r="MZI25" s="3"/>
      <c r="MZJ25" s="3"/>
      <c r="MZK25" s="3"/>
      <c r="MZL25" s="3"/>
      <c r="MZM25" s="3"/>
      <c r="MZN25" s="3"/>
      <c r="MZO25" s="3"/>
      <c r="MZP25" s="3"/>
      <c r="MZQ25" s="3"/>
      <c r="MZR25" s="3"/>
      <c r="MZS25" s="3"/>
      <c r="MZT25" s="3"/>
      <c r="MZU25" s="3"/>
      <c r="MZV25" s="3"/>
      <c r="MZW25" s="3"/>
      <c r="MZX25" s="3"/>
      <c r="MZY25" s="3"/>
      <c r="MZZ25" s="3"/>
      <c r="NAA25" s="3"/>
      <c r="NAB25" s="3"/>
      <c r="NAC25" s="3"/>
      <c r="NAD25" s="3"/>
      <c r="NAE25" s="3"/>
      <c r="NAF25" s="3"/>
      <c r="NAG25" s="3"/>
      <c r="NAH25" s="3"/>
      <c r="NAI25" s="3"/>
      <c r="NAJ25" s="3"/>
      <c r="NAK25" s="3"/>
      <c r="NAL25" s="3"/>
      <c r="NAM25" s="3"/>
      <c r="NAN25" s="3"/>
      <c r="NAO25" s="3"/>
      <c r="NAP25" s="3"/>
      <c r="NAQ25" s="3"/>
      <c r="NAR25" s="3"/>
      <c r="NAS25" s="3"/>
      <c r="NAT25" s="3"/>
      <c r="NAU25" s="3"/>
      <c r="NAV25" s="3"/>
      <c r="NAW25" s="3"/>
      <c r="NAX25" s="3"/>
      <c r="NAY25" s="3"/>
      <c r="NAZ25" s="3"/>
      <c r="NBA25" s="3"/>
      <c r="NBB25" s="3"/>
      <c r="NBC25" s="3"/>
      <c r="NBD25" s="3"/>
      <c r="NBE25" s="3"/>
      <c r="NBF25" s="3"/>
      <c r="NBG25" s="3"/>
      <c r="NBH25" s="3"/>
      <c r="NBI25" s="3"/>
      <c r="NBJ25" s="3"/>
      <c r="NBK25" s="3"/>
      <c r="NBL25" s="3"/>
      <c r="NBM25" s="3"/>
      <c r="NBN25" s="3"/>
      <c r="NBO25" s="3"/>
      <c r="NBP25" s="3"/>
      <c r="NBQ25" s="3"/>
      <c r="NBR25" s="3"/>
      <c r="NBS25" s="3"/>
      <c r="NBT25" s="3"/>
      <c r="NBU25" s="3"/>
      <c r="NBV25" s="3"/>
      <c r="NBW25" s="3"/>
      <c r="NBX25" s="3"/>
      <c r="NBY25" s="3"/>
      <c r="NBZ25" s="3"/>
      <c r="NCA25" s="3"/>
      <c r="NCB25" s="3"/>
      <c r="NCC25" s="3"/>
      <c r="NCD25" s="3"/>
      <c r="NCE25" s="3"/>
      <c r="NCF25" s="3"/>
      <c r="NCG25" s="3"/>
      <c r="NCH25" s="3"/>
      <c r="NCI25" s="3"/>
      <c r="NCJ25" s="3"/>
      <c r="NCK25" s="3"/>
      <c r="NCL25" s="3"/>
      <c r="NCM25" s="3"/>
      <c r="NCN25" s="3"/>
      <c r="NCO25" s="3"/>
      <c r="NCP25" s="3"/>
      <c r="NCQ25" s="3"/>
      <c r="NCR25" s="3"/>
      <c r="NCS25" s="3"/>
      <c r="NCT25" s="3"/>
      <c r="NCU25" s="3"/>
      <c r="NCV25" s="3"/>
      <c r="NCW25" s="3"/>
      <c r="NCX25" s="3"/>
      <c r="NCY25" s="3"/>
      <c r="NCZ25" s="3"/>
      <c r="NDA25" s="3"/>
      <c r="NDB25" s="3"/>
      <c r="NDC25" s="3"/>
      <c r="NDD25" s="3"/>
      <c r="NDE25" s="3"/>
      <c r="NDF25" s="3"/>
      <c r="NDG25" s="3"/>
      <c r="NDH25" s="3"/>
      <c r="NDI25" s="3"/>
      <c r="NDJ25" s="3"/>
      <c r="NDK25" s="3"/>
      <c r="NDL25" s="3"/>
      <c r="NDM25" s="3"/>
      <c r="NDN25" s="3"/>
      <c r="NDO25" s="3"/>
      <c r="NDP25" s="3"/>
      <c r="NDQ25" s="3"/>
      <c r="NDR25" s="3"/>
      <c r="NDS25" s="3"/>
      <c r="NDT25" s="3"/>
      <c r="NDU25" s="3"/>
      <c r="NDV25" s="3"/>
      <c r="NDW25" s="3"/>
      <c r="NDX25" s="3"/>
      <c r="NDY25" s="3"/>
      <c r="NDZ25" s="3"/>
      <c r="NEA25" s="3"/>
      <c r="NEB25" s="3"/>
      <c r="NEC25" s="3"/>
      <c r="NED25" s="3"/>
      <c r="NEE25" s="3"/>
      <c r="NEF25" s="3"/>
      <c r="NEG25" s="3"/>
      <c r="NEH25" s="3"/>
      <c r="NEI25" s="3"/>
      <c r="NEJ25" s="3"/>
      <c r="NEK25" s="3"/>
      <c r="NEL25" s="3"/>
      <c r="NEM25" s="3"/>
      <c r="NEN25" s="3"/>
      <c r="NEO25" s="3"/>
      <c r="NEP25" s="3"/>
      <c r="NEQ25" s="3"/>
      <c r="NER25" s="3"/>
      <c r="NES25" s="3"/>
      <c r="NET25" s="3"/>
      <c r="NEU25" s="3"/>
      <c r="NEV25" s="3"/>
      <c r="NEW25" s="3"/>
      <c r="NEX25" s="3"/>
      <c r="NEY25" s="3"/>
      <c r="NEZ25" s="3"/>
      <c r="NFA25" s="3"/>
      <c r="NFB25" s="3"/>
      <c r="NFC25" s="3"/>
      <c r="NFD25" s="3"/>
      <c r="NFE25" s="3"/>
      <c r="NFF25" s="3"/>
      <c r="NFG25" s="3"/>
      <c r="NFH25" s="3"/>
      <c r="NFI25" s="3"/>
      <c r="NFJ25" s="3"/>
      <c r="NFK25" s="3"/>
      <c r="NFL25" s="3"/>
      <c r="NFM25" s="3"/>
      <c r="NFN25" s="3"/>
      <c r="NFO25" s="3"/>
      <c r="NFP25" s="3"/>
      <c r="NFQ25" s="3"/>
      <c r="NFR25" s="3"/>
      <c r="NFS25" s="3"/>
      <c r="NFT25" s="3"/>
      <c r="NFU25" s="3"/>
      <c r="NFV25" s="3"/>
      <c r="NFW25" s="3"/>
      <c r="NFX25" s="3"/>
      <c r="NFY25" s="3"/>
      <c r="NFZ25" s="3"/>
      <c r="NGA25" s="3"/>
      <c r="NGB25" s="3"/>
      <c r="NGC25" s="3"/>
      <c r="NGD25" s="3"/>
      <c r="NGE25" s="3"/>
      <c r="NGF25" s="3"/>
      <c r="NGG25" s="3"/>
      <c r="NGH25" s="3"/>
      <c r="NGI25" s="3"/>
      <c r="NGJ25" s="3"/>
      <c r="NGK25" s="3"/>
      <c r="NGL25" s="3"/>
      <c r="NGM25" s="3"/>
      <c r="NGN25" s="3"/>
      <c r="NGO25" s="3"/>
      <c r="NGP25" s="3"/>
      <c r="NGQ25" s="3"/>
      <c r="NGR25" s="3"/>
      <c r="NGS25" s="3"/>
      <c r="NGT25" s="3"/>
      <c r="NGU25" s="3"/>
      <c r="NGV25" s="3"/>
      <c r="NGW25" s="3"/>
      <c r="NGX25" s="3"/>
      <c r="NGY25" s="3"/>
      <c r="NGZ25" s="3"/>
      <c r="NHA25" s="3"/>
      <c r="NHB25" s="3"/>
      <c r="NHC25" s="3"/>
      <c r="NHD25" s="3"/>
      <c r="NHE25" s="3"/>
      <c r="NHF25" s="3"/>
      <c r="NHG25" s="3"/>
      <c r="NHH25" s="3"/>
      <c r="NHI25" s="3"/>
      <c r="NHJ25" s="3"/>
      <c r="NHK25" s="3"/>
      <c r="NHL25" s="3"/>
      <c r="NHM25" s="3"/>
      <c r="NHN25" s="3"/>
      <c r="NHO25" s="3"/>
      <c r="NHP25" s="3"/>
      <c r="NHQ25" s="3"/>
      <c r="NHR25" s="3"/>
      <c r="NHS25" s="3"/>
      <c r="NHT25" s="3"/>
      <c r="NHU25" s="3"/>
      <c r="NHV25" s="3"/>
      <c r="NHW25" s="3"/>
      <c r="NHX25" s="3"/>
      <c r="NHY25" s="3"/>
      <c r="NHZ25" s="3"/>
      <c r="NIA25" s="3"/>
      <c r="NIB25" s="3"/>
      <c r="NIC25" s="3"/>
      <c r="NID25" s="3"/>
      <c r="NIE25" s="3"/>
      <c r="NIF25" s="3"/>
      <c r="NIG25" s="3"/>
      <c r="NIH25" s="3"/>
      <c r="NII25" s="3"/>
      <c r="NIJ25" s="3"/>
      <c r="NIK25" s="3"/>
      <c r="NIL25" s="3"/>
      <c r="NIM25" s="3"/>
      <c r="NIN25" s="3"/>
      <c r="NIO25" s="3"/>
      <c r="NIP25" s="3"/>
      <c r="NIQ25" s="3"/>
      <c r="NIR25" s="3"/>
      <c r="NIS25" s="3"/>
      <c r="NIT25" s="3"/>
      <c r="NIU25" s="3"/>
      <c r="NIV25" s="3"/>
      <c r="NIW25" s="3"/>
      <c r="NIX25" s="3"/>
      <c r="NIY25" s="3"/>
      <c r="NIZ25" s="3"/>
      <c r="NJA25" s="3"/>
      <c r="NJB25" s="3"/>
      <c r="NJC25" s="3"/>
      <c r="NJD25" s="3"/>
      <c r="NJE25" s="3"/>
      <c r="NJF25" s="3"/>
      <c r="NJG25" s="3"/>
      <c r="NJH25" s="3"/>
      <c r="NJI25" s="3"/>
      <c r="NJJ25" s="3"/>
      <c r="NJK25" s="3"/>
      <c r="NJL25" s="3"/>
      <c r="NJM25" s="3"/>
      <c r="NJN25" s="3"/>
      <c r="NJO25" s="3"/>
      <c r="NJP25" s="3"/>
      <c r="NJQ25" s="3"/>
      <c r="NJR25" s="3"/>
      <c r="NJS25" s="3"/>
      <c r="NJT25" s="3"/>
      <c r="NJU25" s="3"/>
      <c r="NJV25" s="3"/>
      <c r="NJW25" s="3"/>
      <c r="NJX25" s="3"/>
      <c r="NJY25" s="3"/>
      <c r="NJZ25" s="3"/>
      <c r="NKA25" s="3"/>
      <c r="NKB25" s="3"/>
      <c r="NKC25" s="3"/>
      <c r="NKD25" s="3"/>
      <c r="NKE25" s="3"/>
      <c r="NKF25" s="3"/>
      <c r="NKG25" s="3"/>
      <c r="NKH25" s="3"/>
      <c r="NKI25" s="3"/>
      <c r="NKJ25" s="3"/>
      <c r="NKK25" s="3"/>
      <c r="NKL25" s="3"/>
      <c r="NKM25" s="3"/>
      <c r="NKN25" s="3"/>
      <c r="NKO25" s="3"/>
      <c r="NKP25" s="3"/>
      <c r="NKQ25" s="3"/>
      <c r="NKR25" s="3"/>
      <c r="NKS25" s="3"/>
      <c r="NKT25" s="3"/>
      <c r="NKU25" s="3"/>
      <c r="NKV25" s="3"/>
      <c r="NKW25" s="3"/>
      <c r="NKX25" s="3"/>
      <c r="NKY25" s="3"/>
      <c r="NKZ25" s="3"/>
      <c r="NLA25" s="3"/>
      <c r="NLB25" s="3"/>
      <c r="NLC25" s="3"/>
      <c r="NLD25" s="3"/>
      <c r="NLE25" s="3"/>
      <c r="NLF25" s="3"/>
      <c r="NLG25" s="3"/>
      <c r="NLH25" s="3"/>
      <c r="NLI25" s="3"/>
      <c r="NLJ25" s="3"/>
      <c r="NLK25" s="3"/>
      <c r="NLL25" s="3"/>
      <c r="NLM25" s="3"/>
      <c r="NLN25" s="3"/>
      <c r="NLO25" s="3"/>
      <c r="NLP25" s="3"/>
      <c r="NLQ25" s="3"/>
      <c r="NLR25" s="3"/>
      <c r="NLS25" s="3"/>
      <c r="NLT25" s="3"/>
      <c r="NLU25" s="3"/>
      <c r="NLV25" s="3"/>
      <c r="NLW25" s="3"/>
      <c r="NLX25" s="3"/>
      <c r="NLY25" s="3"/>
      <c r="NLZ25" s="3"/>
      <c r="NMA25" s="3"/>
      <c r="NMB25" s="3"/>
      <c r="NMC25" s="3"/>
      <c r="NMD25" s="3"/>
      <c r="NME25" s="3"/>
      <c r="NMF25" s="3"/>
      <c r="NMG25" s="3"/>
      <c r="NMH25" s="3"/>
      <c r="NMI25" s="3"/>
      <c r="NMJ25" s="3"/>
      <c r="NMK25" s="3"/>
      <c r="NML25" s="3"/>
      <c r="NMM25" s="3"/>
      <c r="NMN25" s="3"/>
      <c r="NMO25" s="3"/>
      <c r="NMP25" s="3"/>
      <c r="NMQ25" s="3"/>
      <c r="NMR25" s="3"/>
      <c r="NMS25" s="3"/>
      <c r="NMT25" s="3"/>
      <c r="NMU25" s="3"/>
      <c r="NMV25" s="3"/>
      <c r="NMW25" s="3"/>
      <c r="NMX25" s="3"/>
      <c r="NMY25" s="3"/>
      <c r="NMZ25" s="3"/>
      <c r="NNA25" s="3"/>
      <c r="NNB25" s="3"/>
      <c r="NNC25" s="3"/>
      <c r="NND25" s="3"/>
      <c r="NNE25" s="3"/>
      <c r="NNF25" s="3"/>
      <c r="NNG25" s="3"/>
      <c r="NNH25" s="3"/>
      <c r="NNI25" s="3"/>
      <c r="NNJ25" s="3"/>
      <c r="NNK25" s="3"/>
      <c r="NNL25" s="3"/>
      <c r="NNM25" s="3"/>
      <c r="NNN25" s="3"/>
      <c r="NNO25" s="3"/>
      <c r="NNP25" s="3"/>
      <c r="NNQ25" s="3"/>
      <c r="NNR25" s="3"/>
      <c r="NNS25" s="3"/>
      <c r="NNT25" s="3"/>
      <c r="NNU25" s="3"/>
      <c r="NNV25" s="3"/>
      <c r="NNW25" s="3"/>
      <c r="NNX25" s="3"/>
      <c r="NNY25" s="3"/>
      <c r="NNZ25" s="3"/>
      <c r="NOA25" s="3"/>
      <c r="NOB25" s="3"/>
      <c r="NOC25" s="3"/>
      <c r="NOD25" s="3"/>
      <c r="NOE25" s="3"/>
      <c r="NOF25" s="3"/>
      <c r="NOG25" s="3"/>
      <c r="NOH25" s="3"/>
      <c r="NOI25" s="3"/>
      <c r="NOJ25" s="3"/>
      <c r="NOK25" s="3"/>
      <c r="NOL25" s="3"/>
      <c r="NOM25" s="3"/>
      <c r="NON25" s="3"/>
      <c r="NOO25" s="3"/>
      <c r="NOP25" s="3"/>
      <c r="NOQ25" s="3"/>
      <c r="NOR25" s="3"/>
      <c r="NOS25" s="3"/>
      <c r="NOT25" s="3"/>
      <c r="NOU25" s="3"/>
      <c r="NOV25" s="3"/>
      <c r="NOW25" s="3"/>
      <c r="NOX25" s="3"/>
      <c r="NOY25" s="3"/>
      <c r="NOZ25" s="3"/>
      <c r="NPA25" s="3"/>
      <c r="NPB25" s="3"/>
      <c r="NPC25" s="3"/>
      <c r="NPD25" s="3"/>
      <c r="NPE25" s="3"/>
      <c r="NPF25" s="3"/>
      <c r="NPG25" s="3"/>
      <c r="NPH25" s="3"/>
      <c r="NPI25" s="3"/>
      <c r="NPJ25" s="3"/>
      <c r="NPK25" s="3"/>
      <c r="NPL25" s="3"/>
      <c r="NPM25" s="3"/>
      <c r="NPN25" s="3"/>
      <c r="NPO25" s="3"/>
      <c r="NPP25" s="3"/>
      <c r="NPQ25" s="3"/>
      <c r="NPR25" s="3"/>
      <c r="NPS25" s="3"/>
      <c r="NPT25" s="3"/>
      <c r="NPU25" s="3"/>
      <c r="NPV25" s="3"/>
      <c r="NPW25" s="3"/>
      <c r="NPX25" s="3"/>
      <c r="NPY25" s="3"/>
      <c r="NPZ25" s="3"/>
      <c r="NQA25" s="3"/>
      <c r="NQB25" s="3"/>
      <c r="NQC25" s="3"/>
      <c r="NQD25" s="3"/>
      <c r="NQE25" s="3"/>
      <c r="NQF25" s="3"/>
      <c r="NQG25" s="3"/>
      <c r="NQH25" s="3"/>
      <c r="NQI25" s="3"/>
      <c r="NQJ25" s="3"/>
      <c r="NQK25" s="3"/>
      <c r="NQL25" s="3"/>
      <c r="NQM25" s="3"/>
      <c r="NQN25" s="3"/>
      <c r="NQO25" s="3"/>
      <c r="NQP25" s="3"/>
      <c r="NQQ25" s="3"/>
      <c r="NQR25" s="3"/>
      <c r="NQS25" s="3"/>
      <c r="NQT25" s="3"/>
      <c r="NQU25" s="3"/>
      <c r="NQV25" s="3"/>
      <c r="NQW25" s="3"/>
      <c r="NQX25" s="3"/>
      <c r="NQY25" s="3"/>
      <c r="NQZ25" s="3"/>
      <c r="NRA25" s="3"/>
      <c r="NRB25" s="3"/>
      <c r="NRC25" s="3"/>
      <c r="NRD25" s="3"/>
      <c r="NRE25" s="3"/>
      <c r="NRF25" s="3"/>
      <c r="NRG25" s="3"/>
      <c r="NRH25" s="3"/>
      <c r="NRI25" s="3"/>
      <c r="NRJ25" s="3"/>
      <c r="NRK25" s="3"/>
      <c r="NRL25" s="3"/>
      <c r="NRM25" s="3"/>
      <c r="NRN25" s="3"/>
      <c r="NRO25" s="3"/>
      <c r="NRP25" s="3"/>
      <c r="NRQ25" s="3"/>
      <c r="NRR25" s="3"/>
      <c r="NRS25" s="3"/>
      <c r="NRT25" s="3"/>
      <c r="NRU25" s="3"/>
      <c r="NRV25" s="3"/>
      <c r="NRW25" s="3"/>
      <c r="NRX25" s="3"/>
      <c r="NRY25" s="3"/>
      <c r="NRZ25" s="3"/>
      <c r="NSA25" s="3"/>
      <c r="NSB25" s="3"/>
      <c r="NSC25" s="3"/>
      <c r="NSD25" s="3"/>
      <c r="NSE25" s="3"/>
      <c r="NSF25" s="3"/>
      <c r="NSG25" s="3"/>
      <c r="NSH25" s="3"/>
      <c r="NSI25" s="3"/>
      <c r="NSJ25" s="3"/>
      <c r="NSK25" s="3"/>
      <c r="NSL25" s="3"/>
      <c r="NSM25" s="3"/>
      <c r="NSN25" s="3"/>
      <c r="NSO25" s="3"/>
      <c r="NSP25" s="3"/>
      <c r="NSQ25" s="3"/>
      <c r="NSR25" s="3"/>
      <c r="NSS25" s="3"/>
      <c r="NST25" s="3"/>
      <c r="NSU25" s="3"/>
      <c r="NSV25" s="3"/>
      <c r="NSW25" s="3"/>
      <c r="NSX25" s="3"/>
      <c r="NSY25" s="3"/>
      <c r="NSZ25" s="3"/>
      <c r="NTA25" s="3"/>
      <c r="NTB25" s="3"/>
      <c r="NTC25" s="3"/>
      <c r="NTD25" s="3"/>
      <c r="NTE25" s="3"/>
      <c r="NTF25" s="3"/>
      <c r="NTG25" s="3"/>
      <c r="NTH25" s="3"/>
      <c r="NTI25" s="3"/>
      <c r="NTJ25" s="3"/>
      <c r="NTK25" s="3"/>
      <c r="NTL25" s="3"/>
      <c r="NTM25" s="3"/>
      <c r="NTN25" s="3"/>
      <c r="NTO25" s="3"/>
      <c r="NTP25" s="3"/>
      <c r="NTQ25" s="3"/>
      <c r="NTR25" s="3"/>
      <c r="NTS25" s="3"/>
      <c r="NTT25" s="3"/>
      <c r="NTU25" s="3"/>
      <c r="NTV25" s="3"/>
      <c r="NTW25" s="3"/>
      <c r="NTX25" s="3"/>
      <c r="NTY25" s="3"/>
      <c r="NTZ25" s="3"/>
      <c r="NUA25" s="3"/>
      <c r="NUB25" s="3"/>
      <c r="NUC25" s="3"/>
      <c r="NUD25" s="3"/>
      <c r="NUE25" s="3"/>
      <c r="NUF25" s="3"/>
      <c r="NUG25" s="3"/>
      <c r="NUH25" s="3"/>
      <c r="NUI25" s="3"/>
      <c r="NUJ25" s="3"/>
      <c r="NUK25" s="3"/>
      <c r="NUL25" s="3"/>
      <c r="NUM25" s="3"/>
      <c r="NUN25" s="3"/>
      <c r="NUO25" s="3"/>
      <c r="NUP25" s="3"/>
      <c r="NUQ25" s="3"/>
      <c r="NUR25" s="3"/>
      <c r="NUS25" s="3"/>
      <c r="NUT25" s="3"/>
      <c r="NUU25" s="3"/>
      <c r="NUV25" s="3"/>
      <c r="NUW25" s="3"/>
      <c r="NUX25" s="3"/>
      <c r="NUY25" s="3"/>
      <c r="NUZ25" s="3"/>
      <c r="NVA25" s="3"/>
      <c r="NVB25" s="3"/>
      <c r="NVC25" s="3"/>
      <c r="NVD25" s="3"/>
      <c r="NVE25" s="3"/>
      <c r="NVF25" s="3"/>
      <c r="NVG25" s="3"/>
      <c r="NVH25" s="3"/>
      <c r="NVI25" s="3"/>
      <c r="NVJ25" s="3"/>
      <c r="NVK25" s="3"/>
      <c r="NVL25" s="3"/>
      <c r="NVM25" s="3"/>
      <c r="NVN25" s="3"/>
      <c r="NVO25" s="3"/>
      <c r="NVP25" s="3"/>
      <c r="NVQ25" s="3"/>
      <c r="NVR25" s="3"/>
      <c r="NVS25" s="3"/>
      <c r="NVT25" s="3"/>
      <c r="NVU25" s="3"/>
      <c r="NVV25" s="3"/>
      <c r="NVW25" s="3"/>
      <c r="NVX25" s="3"/>
      <c r="NVY25" s="3"/>
      <c r="NVZ25" s="3"/>
      <c r="NWA25" s="3"/>
      <c r="NWB25" s="3"/>
      <c r="NWC25" s="3"/>
      <c r="NWD25" s="3"/>
      <c r="NWE25" s="3"/>
      <c r="NWF25" s="3"/>
      <c r="NWG25" s="3"/>
      <c r="NWH25" s="3"/>
      <c r="NWI25" s="3"/>
      <c r="NWJ25" s="3"/>
      <c r="NWK25" s="3"/>
      <c r="NWL25" s="3"/>
      <c r="NWM25" s="3"/>
      <c r="NWN25" s="3"/>
      <c r="NWO25" s="3"/>
      <c r="NWP25" s="3"/>
      <c r="NWQ25" s="3"/>
      <c r="NWR25" s="3"/>
      <c r="NWS25" s="3"/>
      <c r="NWT25" s="3"/>
      <c r="NWU25" s="3"/>
      <c r="NWV25" s="3"/>
      <c r="NWW25" s="3"/>
      <c r="NWX25" s="3"/>
      <c r="NWY25" s="3"/>
      <c r="NWZ25" s="3"/>
      <c r="NXA25" s="3"/>
      <c r="NXB25" s="3"/>
      <c r="NXC25" s="3"/>
      <c r="NXD25" s="3"/>
      <c r="NXE25" s="3"/>
      <c r="NXF25" s="3"/>
      <c r="NXG25" s="3"/>
      <c r="NXH25" s="3"/>
      <c r="NXI25" s="3"/>
      <c r="NXJ25" s="3"/>
      <c r="NXK25" s="3"/>
      <c r="NXL25" s="3"/>
      <c r="NXM25" s="3"/>
      <c r="NXN25" s="3"/>
      <c r="NXO25" s="3"/>
      <c r="NXP25" s="3"/>
      <c r="NXQ25" s="3"/>
      <c r="NXR25" s="3"/>
      <c r="NXS25" s="3"/>
      <c r="NXT25" s="3"/>
      <c r="NXU25" s="3"/>
      <c r="NXV25" s="3"/>
      <c r="NXW25" s="3"/>
      <c r="NXX25" s="3"/>
      <c r="NXY25" s="3"/>
      <c r="NXZ25" s="3"/>
      <c r="NYA25" s="3"/>
      <c r="NYB25" s="3"/>
      <c r="NYC25" s="3"/>
      <c r="NYD25" s="3"/>
      <c r="NYE25" s="3"/>
      <c r="NYF25" s="3"/>
      <c r="NYG25" s="3"/>
      <c r="NYH25" s="3"/>
      <c r="NYI25" s="3"/>
      <c r="NYJ25" s="3"/>
      <c r="NYK25" s="3"/>
      <c r="NYL25" s="3"/>
      <c r="NYM25" s="3"/>
      <c r="NYN25" s="3"/>
      <c r="NYO25" s="3"/>
      <c r="NYP25" s="3"/>
      <c r="NYQ25" s="3"/>
      <c r="NYR25" s="3"/>
      <c r="NYS25" s="3"/>
      <c r="NYT25" s="3"/>
      <c r="NYU25" s="3"/>
      <c r="NYV25" s="3"/>
      <c r="NYW25" s="3"/>
      <c r="NYX25" s="3"/>
      <c r="NYY25" s="3"/>
      <c r="NYZ25" s="3"/>
      <c r="NZA25" s="3"/>
      <c r="NZB25" s="3"/>
      <c r="NZC25" s="3"/>
      <c r="NZD25" s="3"/>
      <c r="NZE25" s="3"/>
      <c r="NZF25" s="3"/>
      <c r="NZG25" s="3"/>
      <c r="NZH25" s="3"/>
      <c r="NZI25" s="3"/>
      <c r="NZJ25" s="3"/>
      <c r="NZK25" s="3"/>
      <c r="NZL25" s="3"/>
      <c r="NZM25" s="3"/>
      <c r="NZN25" s="3"/>
      <c r="NZO25" s="3"/>
      <c r="NZP25" s="3"/>
      <c r="NZQ25" s="3"/>
      <c r="NZR25" s="3"/>
      <c r="NZS25" s="3"/>
      <c r="NZT25" s="3"/>
      <c r="NZU25" s="3"/>
      <c r="NZV25" s="3"/>
      <c r="NZW25" s="3"/>
      <c r="NZX25" s="3"/>
      <c r="NZY25" s="3"/>
      <c r="NZZ25" s="3"/>
      <c r="OAA25" s="3"/>
      <c r="OAB25" s="3"/>
      <c r="OAC25" s="3"/>
      <c r="OAD25" s="3"/>
      <c r="OAE25" s="3"/>
      <c r="OAF25" s="3"/>
      <c r="OAG25" s="3"/>
      <c r="OAH25" s="3"/>
      <c r="OAI25" s="3"/>
      <c r="OAJ25" s="3"/>
      <c r="OAK25" s="3"/>
      <c r="OAL25" s="3"/>
      <c r="OAM25" s="3"/>
      <c r="OAN25" s="3"/>
      <c r="OAO25" s="3"/>
      <c r="OAP25" s="3"/>
      <c r="OAQ25" s="3"/>
      <c r="OAR25" s="3"/>
      <c r="OAS25" s="3"/>
      <c r="OAT25" s="3"/>
      <c r="OAU25" s="3"/>
      <c r="OAV25" s="3"/>
      <c r="OAW25" s="3"/>
      <c r="OAX25" s="3"/>
      <c r="OAY25" s="3"/>
      <c r="OAZ25" s="3"/>
      <c r="OBA25" s="3"/>
      <c r="OBB25" s="3"/>
      <c r="OBC25" s="3"/>
      <c r="OBD25" s="3"/>
      <c r="OBE25" s="3"/>
      <c r="OBF25" s="3"/>
      <c r="OBG25" s="3"/>
      <c r="OBH25" s="3"/>
      <c r="OBI25" s="3"/>
      <c r="OBJ25" s="3"/>
      <c r="OBK25" s="3"/>
      <c r="OBL25" s="3"/>
      <c r="OBM25" s="3"/>
      <c r="OBN25" s="3"/>
      <c r="OBO25" s="3"/>
      <c r="OBP25" s="3"/>
      <c r="OBQ25" s="3"/>
      <c r="OBR25" s="3"/>
      <c r="OBS25" s="3"/>
      <c r="OBT25" s="3"/>
      <c r="OBU25" s="3"/>
      <c r="OBV25" s="3"/>
      <c r="OBW25" s="3"/>
      <c r="OBX25" s="3"/>
      <c r="OBY25" s="3"/>
      <c r="OBZ25" s="3"/>
      <c r="OCA25" s="3"/>
      <c r="OCB25" s="3"/>
      <c r="OCC25" s="3"/>
      <c r="OCD25" s="3"/>
      <c r="OCE25" s="3"/>
      <c r="OCF25" s="3"/>
      <c r="OCG25" s="3"/>
      <c r="OCH25" s="3"/>
      <c r="OCI25" s="3"/>
      <c r="OCJ25" s="3"/>
      <c r="OCK25" s="3"/>
      <c r="OCL25" s="3"/>
      <c r="OCM25" s="3"/>
      <c r="OCN25" s="3"/>
      <c r="OCO25" s="3"/>
      <c r="OCP25" s="3"/>
      <c r="OCQ25" s="3"/>
      <c r="OCR25" s="3"/>
      <c r="OCS25" s="3"/>
      <c r="OCT25" s="3"/>
      <c r="OCU25" s="3"/>
      <c r="OCV25" s="3"/>
      <c r="OCW25" s="3"/>
      <c r="OCX25" s="3"/>
      <c r="OCY25" s="3"/>
      <c r="OCZ25" s="3"/>
      <c r="ODA25" s="3"/>
      <c r="ODB25" s="3"/>
      <c r="ODC25" s="3"/>
      <c r="ODD25" s="3"/>
      <c r="ODE25" s="3"/>
      <c r="ODF25" s="3"/>
      <c r="ODG25" s="3"/>
      <c r="ODH25" s="3"/>
      <c r="ODI25" s="3"/>
      <c r="ODJ25" s="3"/>
      <c r="ODK25" s="3"/>
      <c r="ODL25" s="3"/>
      <c r="ODM25" s="3"/>
      <c r="ODN25" s="3"/>
      <c r="ODO25" s="3"/>
      <c r="ODP25" s="3"/>
      <c r="ODQ25" s="3"/>
      <c r="ODR25" s="3"/>
      <c r="ODS25" s="3"/>
      <c r="ODT25" s="3"/>
      <c r="ODU25" s="3"/>
      <c r="ODV25" s="3"/>
      <c r="ODW25" s="3"/>
      <c r="ODX25" s="3"/>
      <c r="ODY25" s="3"/>
      <c r="ODZ25" s="3"/>
      <c r="OEA25" s="3"/>
      <c r="OEB25" s="3"/>
      <c r="OEC25" s="3"/>
      <c r="OED25" s="3"/>
      <c r="OEE25" s="3"/>
      <c r="OEF25" s="3"/>
      <c r="OEG25" s="3"/>
      <c r="OEH25" s="3"/>
      <c r="OEI25" s="3"/>
      <c r="OEJ25" s="3"/>
      <c r="OEK25" s="3"/>
      <c r="OEL25" s="3"/>
      <c r="OEM25" s="3"/>
      <c r="OEN25" s="3"/>
      <c r="OEO25" s="3"/>
      <c r="OEP25" s="3"/>
      <c r="OEQ25" s="3"/>
      <c r="OER25" s="3"/>
      <c r="OES25" s="3"/>
      <c r="OET25" s="3"/>
      <c r="OEU25" s="3"/>
      <c r="OEV25" s="3"/>
      <c r="OEW25" s="3"/>
      <c r="OEX25" s="3"/>
      <c r="OEY25" s="3"/>
      <c r="OEZ25" s="3"/>
      <c r="OFA25" s="3"/>
      <c r="OFB25" s="3"/>
      <c r="OFC25" s="3"/>
      <c r="OFD25" s="3"/>
      <c r="OFE25" s="3"/>
      <c r="OFF25" s="3"/>
      <c r="OFG25" s="3"/>
      <c r="OFH25" s="3"/>
      <c r="OFI25" s="3"/>
      <c r="OFJ25" s="3"/>
      <c r="OFK25" s="3"/>
      <c r="OFL25" s="3"/>
      <c r="OFM25" s="3"/>
      <c r="OFN25" s="3"/>
      <c r="OFO25" s="3"/>
      <c r="OFP25" s="3"/>
      <c r="OFQ25" s="3"/>
      <c r="OFR25" s="3"/>
      <c r="OFS25" s="3"/>
      <c r="OFT25" s="3"/>
      <c r="OFU25" s="3"/>
      <c r="OFV25" s="3"/>
      <c r="OFW25" s="3"/>
      <c r="OFX25" s="3"/>
      <c r="OFY25" s="3"/>
      <c r="OFZ25" s="3"/>
      <c r="OGA25" s="3"/>
      <c r="OGB25" s="3"/>
      <c r="OGC25" s="3"/>
      <c r="OGD25" s="3"/>
      <c r="OGE25" s="3"/>
      <c r="OGF25" s="3"/>
      <c r="OGG25" s="3"/>
      <c r="OGH25" s="3"/>
      <c r="OGI25" s="3"/>
      <c r="OGJ25" s="3"/>
      <c r="OGK25" s="3"/>
      <c r="OGL25" s="3"/>
      <c r="OGM25" s="3"/>
      <c r="OGN25" s="3"/>
      <c r="OGO25" s="3"/>
      <c r="OGP25" s="3"/>
      <c r="OGQ25" s="3"/>
      <c r="OGR25" s="3"/>
      <c r="OGS25" s="3"/>
      <c r="OGT25" s="3"/>
      <c r="OGU25" s="3"/>
      <c r="OGV25" s="3"/>
      <c r="OGW25" s="3"/>
      <c r="OGX25" s="3"/>
      <c r="OGY25" s="3"/>
      <c r="OGZ25" s="3"/>
      <c r="OHA25" s="3"/>
      <c r="OHB25" s="3"/>
      <c r="OHC25" s="3"/>
      <c r="OHD25" s="3"/>
      <c r="OHE25" s="3"/>
      <c r="OHF25" s="3"/>
      <c r="OHG25" s="3"/>
      <c r="OHH25" s="3"/>
      <c r="OHI25" s="3"/>
      <c r="OHJ25" s="3"/>
      <c r="OHK25" s="3"/>
      <c r="OHL25" s="3"/>
      <c r="OHM25" s="3"/>
      <c r="OHN25" s="3"/>
      <c r="OHO25" s="3"/>
      <c r="OHP25" s="3"/>
      <c r="OHQ25" s="3"/>
      <c r="OHR25" s="3"/>
      <c r="OHS25" s="3"/>
      <c r="OHT25" s="3"/>
      <c r="OHU25" s="3"/>
      <c r="OHV25" s="3"/>
      <c r="OHW25" s="3"/>
      <c r="OHX25" s="3"/>
      <c r="OHY25" s="3"/>
      <c r="OHZ25" s="3"/>
      <c r="OIA25" s="3"/>
      <c r="OIB25" s="3"/>
      <c r="OIC25" s="3"/>
      <c r="OID25" s="3"/>
      <c r="OIE25" s="3"/>
      <c r="OIF25" s="3"/>
      <c r="OIG25" s="3"/>
      <c r="OIH25" s="3"/>
      <c r="OII25" s="3"/>
      <c r="OIJ25" s="3"/>
      <c r="OIK25" s="3"/>
      <c r="OIL25" s="3"/>
      <c r="OIM25" s="3"/>
      <c r="OIN25" s="3"/>
      <c r="OIO25" s="3"/>
      <c r="OIP25" s="3"/>
      <c r="OIQ25" s="3"/>
      <c r="OIR25" s="3"/>
      <c r="OIS25" s="3"/>
      <c r="OIT25" s="3"/>
      <c r="OIU25" s="3"/>
      <c r="OIV25" s="3"/>
      <c r="OIW25" s="3"/>
      <c r="OIX25" s="3"/>
      <c r="OIY25" s="3"/>
      <c r="OIZ25" s="3"/>
      <c r="OJA25" s="3"/>
      <c r="OJB25" s="3"/>
      <c r="OJC25" s="3"/>
      <c r="OJD25" s="3"/>
      <c r="OJE25" s="3"/>
      <c r="OJF25" s="3"/>
      <c r="OJG25" s="3"/>
      <c r="OJH25" s="3"/>
      <c r="OJI25" s="3"/>
      <c r="OJJ25" s="3"/>
      <c r="OJK25" s="3"/>
      <c r="OJL25" s="3"/>
      <c r="OJM25" s="3"/>
      <c r="OJN25" s="3"/>
      <c r="OJO25" s="3"/>
      <c r="OJP25" s="3"/>
      <c r="OJQ25" s="3"/>
      <c r="OJR25" s="3"/>
      <c r="OJS25" s="3"/>
      <c r="OJT25" s="3"/>
      <c r="OJU25" s="3"/>
      <c r="OJV25" s="3"/>
      <c r="OJW25" s="3"/>
      <c r="OJX25" s="3"/>
      <c r="OJY25" s="3"/>
      <c r="OJZ25" s="3"/>
      <c r="OKA25" s="3"/>
      <c r="OKB25" s="3"/>
      <c r="OKC25" s="3"/>
      <c r="OKD25" s="3"/>
      <c r="OKE25" s="3"/>
      <c r="OKF25" s="3"/>
      <c r="OKG25" s="3"/>
      <c r="OKH25" s="3"/>
      <c r="OKI25" s="3"/>
      <c r="OKJ25" s="3"/>
      <c r="OKK25" s="3"/>
      <c r="OKL25" s="3"/>
      <c r="OKM25" s="3"/>
      <c r="OKN25" s="3"/>
      <c r="OKO25" s="3"/>
      <c r="OKP25" s="3"/>
      <c r="OKQ25" s="3"/>
      <c r="OKR25" s="3"/>
      <c r="OKS25" s="3"/>
      <c r="OKT25" s="3"/>
      <c r="OKU25" s="3"/>
      <c r="OKV25" s="3"/>
      <c r="OKW25" s="3"/>
      <c r="OKX25" s="3"/>
      <c r="OKY25" s="3"/>
      <c r="OKZ25" s="3"/>
      <c r="OLA25" s="3"/>
      <c r="OLB25" s="3"/>
      <c r="OLC25" s="3"/>
      <c r="OLD25" s="3"/>
      <c r="OLE25" s="3"/>
      <c r="OLF25" s="3"/>
      <c r="OLG25" s="3"/>
      <c r="OLH25" s="3"/>
      <c r="OLI25" s="3"/>
      <c r="OLJ25" s="3"/>
      <c r="OLK25" s="3"/>
      <c r="OLL25" s="3"/>
      <c r="OLM25" s="3"/>
      <c r="OLN25" s="3"/>
      <c r="OLO25" s="3"/>
      <c r="OLP25" s="3"/>
      <c r="OLQ25" s="3"/>
      <c r="OLR25" s="3"/>
      <c r="OLS25" s="3"/>
      <c r="OLT25" s="3"/>
      <c r="OLU25" s="3"/>
      <c r="OLV25" s="3"/>
      <c r="OLW25" s="3"/>
      <c r="OLX25" s="3"/>
      <c r="OLY25" s="3"/>
      <c r="OLZ25" s="3"/>
      <c r="OMA25" s="3"/>
      <c r="OMB25" s="3"/>
      <c r="OMC25" s="3"/>
      <c r="OMD25" s="3"/>
      <c r="OME25" s="3"/>
      <c r="OMF25" s="3"/>
      <c r="OMG25" s="3"/>
      <c r="OMH25" s="3"/>
      <c r="OMI25" s="3"/>
      <c r="OMJ25" s="3"/>
      <c r="OMK25" s="3"/>
      <c r="OML25" s="3"/>
      <c r="OMM25" s="3"/>
      <c r="OMN25" s="3"/>
      <c r="OMO25" s="3"/>
      <c r="OMP25" s="3"/>
      <c r="OMQ25" s="3"/>
      <c r="OMR25" s="3"/>
      <c r="OMS25" s="3"/>
      <c r="OMT25" s="3"/>
      <c r="OMU25" s="3"/>
      <c r="OMV25" s="3"/>
      <c r="OMW25" s="3"/>
      <c r="OMX25" s="3"/>
      <c r="OMY25" s="3"/>
      <c r="OMZ25" s="3"/>
      <c r="ONA25" s="3"/>
      <c r="ONB25" s="3"/>
      <c r="ONC25" s="3"/>
      <c r="OND25" s="3"/>
      <c r="ONE25" s="3"/>
      <c r="ONF25" s="3"/>
      <c r="ONG25" s="3"/>
      <c r="ONH25" s="3"/>
      <c r="ONI25" s="3"/>
      <c r="ONJ25" s="3"/>
      <c r="ONK25" s="3"/>
      <c r="ONL25" s="3"/>
      <c r="ONM25" s="3"/>
      <c r="ONN25" s="3"/>
      <c r="ONO25" s="3"/>
      <c r="ONP25" s="3"/>
      <c r="ONQ25" s="3"/>
      <c r="ONR25" s="3"/>
      <c r="ONS25" s="3"/>
      <c r="ONT25" s="3"/>
      <c r="ONU25" s="3"/>
      <c r="ONV25" s="3"/>
      <c r="ONW25" s="3"/>
      <c r="ONX25" s="3"/>
      <c r="ONY25" s="3"/>
      <c r="ONZ25" s="3"/>
      <c r="OOA25" s="3"/>
      <c r="OOB25" s="3"/>
      <c r="OOC25" s="3"/>
      <c r="OOD25" s="3"/>
      <c r="OOE25" s="3"/>
      <c r="OOF25" s="3"/>
      <c r="OOG25" s="3"/>
      <c r="OOH25" s="3"/>
      <c r="OOI25" s="3"/>
      <c r="OOJ25" s="3"/>
      <c r="OOK25" s="3"/>
      <c r="OOL25" s="3"/>
      <c r="OOM25" s="3"/>
      <c r="OON25" s="3"/>
      <c r="OOO25" s="3"/>
      <c r="OOP25" s="3"/>
      <c r="OOQ25" s="3"/>
      <c r="OOR25" s="3"/>
      <c r="OOS25" s="3"/>
      <c r="OOT25" s="3"/>
      <c r="OOU25" s="3"/>
      <c r="OOV25" s="3"/>
      <c r="OOW25" s="3"/>
      <c r="OOX25" s="3"/>
      <c r="OOY25" s="3"/>
      <c r="OOZ25" s="3"/>
      <c r="OPA25" s="3"/>
      <c r="OPB25" s="3"/>
      <c r="OPC25" s="3"/>
      <c r="OPD25" s="3"/>
      <c r="OPE25" s="3"/>
      <c r="OPF25" s="3"/>
      <c r="OPG25" s="3"/>
      <c r="OPH25" s="3"/>
      <c r="OPI25" s="3"/>
      <c r="OPJ25" s="3"/>
      <c r="OPK25" s="3"/>
      <c r="OPL25" s="3"/>
      <c r="OPM25" s="3"/>
      <c r="OPN25" s="3"/>
      <c r="OPO25" s="3"/>
      <c r="OPP25" s="3"/>
      <c r="OPQ25" s="3"/>
      <c r="OPR25" s="3"/>
      <c r="OPS25" s="3"/>
      <c r="OPT25" s="3"/>
      <c r="OPU25" s="3"/>
      <c r="OPV25" s="3"/>
      <c r="OPW25" s="3"/>
      <c r="OPX25" s="3"/>
      <c r="OPY25" s="3"/>
      <c r="OPZ25" s="3"/>
      <c r="OQA25" s="3"/>
      <c r="OQB25" s="3"/>
      <c r="OQC25" s="3"/>
      <c r="OQD25" s="3"/>
      <c r="OQE25" s="3"/>
      <c r="OQF25" s="3"/>
      <c r="OQG25" s="3"/>
      <c r="OQH25" s="3"/>
      <c r="OQI25" s="3"/>
      <c r="OQJ25" s="3"/>
      <c r="OQK25" s="3"/>
      <c r="OQL25" s="3"/>
      <c r="OQM25" s="3"/>
      <c r="OQN25" s="3"/>
      <c r="OQO25" s="3"/>
      <c r="OQP25" s="3"/>
      <c r="OQQ25" s="3"/>
      <c r="OQR25" s="3"/>
      <c r="OQS25" s="3"/>
      <c r="OQT25" s="3"/>
      <c r="OQU25" s="3"/>
      <c r="OQV25" s="3"/>
      <c r="OQW25" s="3"/>
      <c r="OQX25" s="3"/>
      <c r="OQY25" s="3"/>
      <c r="OQZ25" s="3"/>
      <c r="ORA25" s="3"/>
      <c r="ORB25" s="3"/>
      <c r="ORC25" s="3"/>
      <c r="ORD25" s="3"/>
      <c r="ORE25" s="3"/>
      <c r="ORF25" s="3"/>
      <c r="ORG25" s="3"/>
      <c r="ORH25" s="3"/>
      <c r="ORI25" s="3"/>
      <c r="ORJ25" s="3"/>
      <c r="ORK25" s="3"/>
      <c r="ORL25" s="3"/>
      <c r="ORM25" s="3"/>
      <c r="ORN25" s="3"/>
      <c r="ORO25" s="3"/>
      <c r="ORP25" s="3"/>
      <c r="ORQ25" s="3"/>
      <c r="ORR25" s="3"/>
      <c r="ORS25" s="3"/>
      <c r="ORT25" s="3"/>
      <c r="ORU25" s="3"/>
      <c r="ORV25" s="3"/>
      <c r="ORW25" s="3"/>
      <c r="ORX25" s="3"/>
      <c r="ORY25" s="3"/>
      <c r="ORZ25" s="3"/>
      <c r="OSA25" s="3"/>
      <c r="OSB25" s="3"/>
      <c r="OSC25" s="3"/>
      <c r="OSD25" s="3"/>
      <c r="OSE25" s="3"/>
      <c r="OSF25" s="3"/>
      <c r="OSG25" s="3"/>
      <c r="OSH25" s="3"/>
      <c r="OSI25" s="3"/>
      <c r="OSJ25" s="3"/>
      <c r="OSK25" s="3"/>
      <c r="OSL25" s="3"/>
      <c r="OSM25" s="3"/>
      <c r="OSN25" s="3"/>
      <c r="OSO25" s="3"/>
      <c r="OSP25" s="3"/>
      <c r="OSQ25" s="3"/>
      <c r="OSR25" s="3"/>
      <c r="OSS25" s="3"/>
      <c r="OST25" s="3"/>
      <c r="OSU25" s="3"/>
      <c r="OSV25" s="3"/>
      <c r="OSW25" s="3"/>
      <c r="OSX25" s="3"/>
      <c r="OSY25" s="3"/>
      <c r="OSZ25" s="3"/>
      <c r="OTA25" s="3"/>
      <c r="OTB25" s="3"/>
      <c r="OTC25" s="3"/>
      <c r="OTD25" s="3"/>
      <c r="OTE25" s="3"/>
      <c r="OTF25" s="3"/>
      <c r="OTG25" s="3"/>
      <c r="OTH25" s="3"/>
      <c r="OTI25" s="3"/>
      <c r="OTJ25" s="3"/>
      <c r="OTK25" s="3"/>
      <c r="OTL25" s="3"/>
      <c r="OTM25" s="3"/>
      <c r="OTN25" s="3"/>
      <c r="OTO25" s="3"/>
      <c r="OTP25" s="3"/>
      <c r="OTQ25" s="3"/>
      <c r="OTR25" s="3"/>
      <c r="OTS25" s="3"/>
      <c r="OTT25" s="3"/>
      <c r="OTU25" s="3"/>
      <c r="OTV25" s="3"/>
      <c r="OTW25" s="3"/>
      <c r="OTX25" s="3"/>
      <c r="OTY25" s="3"/>
      <c r="OTZ25" s="3"/>
      <c r="OUA25" s="3"/>
      <c r="OUB25" s="3"/>
      <c r="OUC25" s="3"/>
      <c r="OUD25" s="3"/>
      <c r="OUE25" s="3"/>
      <c r="OUF25" s="3"/>
      <c r="OUG25" s="3"/>
      <c r="OUH25" s="3"/>
      <c r="OUI25" s="3"/>
      <c r="OUJ25" s="3"/>
      <c r="OUK25" s="3"/>
      <c r="OUL25" s="3"/>
      <c r="OUM25" s="3"/>
      <c r="OUN25" s="3"/>
      <c r="OUO25" s="3"/>
      <c r="OUP25" s="3"/>
      <c r="OUQ25" s="3"/>
      <c r="OUR25" s="3"/>
      <c r="OUS25" s="3"/>
      <c r="OUT25" s="3"/>
      <c r="OUU25" s="3"/>
      <c r="OUV25" s="3"/>
      <c r="OUW25" s="3"/>
      <c r="OUX25" s="3"/>
      <c r="OUY25" s="3"/>
      <c r="OUZ25" s="3"/>
      <c r="OVA25" s="3"/>
      <c r="OVB25" s="3"/>
      <c r="OVC25" s="3"/>
      <c r="OVD25" s="3"/>
      <c r="OVE25" s="3"/>
      <c r="OVF25" s="3"/>
      <c r="OVG25" s="3"/>
      <c r="OVH25" s="3"/>
      <c r="OVI25" s="3"/>
      <c r="OVJ25" s="3"/>
      <c r="OVK25" s="3"/>
      <c r="OVL25" s="3"/>
      <c r="OVM25" s="3"/>
      <c r="OVN25" s="3"/>
      <c r="OVO25" s="3"/>
      <c r="OVP25" s="3"/>
      <c r="OVQ25" s="3"/>
      <c r="OVR25" s="3"/>
      <c r="OVS25" s="3"/>
      <c r="OVT25" s="3"/>
      <c r="OVU25" s="3"/>
      <c r="OVV25" s="3"/>
      <c r="OVW25" s="3"/>
      <c r="OVX25" s="3"/>
      <c r="OVY25" s="3"/>
      <c r="OVZ25" s="3"/>
      <c r="OWA25" s="3"/>
      <c r="OWB25" s="3"/>
      <c r="OWC25" s="3"/>
      <c r="OWD25" s="3"/>
      <c r="OWE25" s="3"/>
      <c r="OWF25" s="3"/>
      <c r="OWG25" s="3"/>
      <c r="OWH25" s="3"/>
      <c r="OWI25" s="3"/>
      <c r="OWJ25" s="3"/>
      <c r="OWK25" s="3"/>
      <c r="OWL25" s="3"/>
      <c r="OWM25" s="3"/>
      <c r="OWN25" s="3"/>
      <c r="OWO25" s="3"/>
      <c r="OWP25" s="3"/>
      <c r="OWQ25" s="3"/>
      <c r="OWR25" s="3"/>
      <c r="OWS25" s="3"/>
      <c r="OWT25" s="3"/>
      <c r="OWU25" s="3"/>
      <c r="OWV25" s="3"/>
      <c r="OWW25" s="3"/>
      <c r="OWX25" s="3"/>
      <c r="OWY25" s="3"/>
      <c r="OWZ25" s="3"/>
      <c r="OXA25" s="3"/>
      <c r="OXB25" s="3"/>
      <c r="OXC25" s="3"/>
      <c r="OXD25" s="3"/>
      <c r="OXE25" s="3"/>
      <c r="OXF25" s="3"/>
      <c r="OXG25" s="3"/>
      <c r="OXH25" s="3"/>
      <c r="OXI25" s="3"/>
      <c r="OXJ25" s="3"/>
      <c r="OXK25" s="3"/>
      <c r="OXL25" s="3"/>
      <c r="OXM25" s="3"/>
      <c r="OXN25" s="3"/>
      <c r="OXO25" s="3"/>
      <c r="OXP25" s="3"/>
      <c r="OXQ25" s="3"/>
      <c r="OXR25" s="3"/>
      <c r="OXS25" s="3"/>
      <c r="OXT25" s="3"/>
      <c r="OXU25" s="3"/>
      <c r="OXV25" s="3"/>
      <c r="OXW25" s="3"/>
      <c r="OXX25" s="3"/>
      <c r="OXY25" s="3"/>
      <c r="OXZ25" s="3"/>
      <c r="OYA25" s="3"/>
      <c r="OYB25" s="3"/>
      <c r="OYC25" s="3"/>
      <c r="OYD25" s="3"/>
      <c r="OYE25" s="3"/>
      <c r="OYF25" s="3"/>
      <c r="OYG25" s="3"/>
      <c r="OYH25" s="3"/>
      <c r="OYI25" s="3"/>
      <c r="OYJ25" s="3"/>
      <c r="OYK25" s="3"/>
      <c r="OYL25" s="3"/>
      <c r="OYM25" s="3"/>
      <c r="OYN25" s="3"/>
      <c r="OYO25" s="3"/>
      <c r="OYP25" s="3"/>
      <c r="OYQ25" s="3"/>
      <c r="OYR25" s="3"/>
      <c r="OYS25" s="3"/>
      <c r="OYT25" s="3"/>
      <c r="OYU25" s="3"/>
      <c r="OYV25" s="3"/>
      <c r="OYW25" s="3"/>
      <c r="OYX25" s="3"/>
      <c r="OYY25" s="3"/>
      <c r="OYZ25" s="3"/>
      <c r="OZA25" s="3"/>
      <c r="OZB25" s="3"/>
      <c r="OZC25" s="3"/>
      <c r="OZD25" s="3"/>
      <c r="OZE25" s="3"/>
      <c r="OZF25" s="3"/>
      <c r="OZG25" s="3"/>
      <c r="OZH25" s="3"/>
      <c r="OZI25" s="3"/>
      <c r="OZJ25" s="3"/>
      <c r="OZK25" s="3"/>
      <c r="OZL25" s="3"/>
      <c r="OZM25" s="3"/>
      <c r="OZN25" s="3"/>
      <c r="OZO25" s="3"/>
      <c r="OZP25" s="3"/>
      <c r="OZQ25" s="3"/>
      <c r="OZR25" s="3"/>
      <c r="OZS25" s="3"/>
      <c r="OZT25" s="3"/>
      <c r="OZU25" s="3"/>
      <c r="OZV25" s="3"/>
      <c r="OZW25" s="3"/>
      <c r="OZX25" s="3"/>
      <c r="OZY25" s="3"/>
      <c r="OZZ25" s="3"/>
      <c r="PAA25" s="3"/>
      <c r="PAB25" s="3"/>
      <c r="PAC25" s="3"/>
      <c r="PAD25" s="3"/>
      <c r="PAE25" s="3"/>
      <c r="PAF25" s="3"/>
      <c r="PAG25" s="3"/>
      <c r="PAH25" s="3"/>
      <c r="PAI25" s="3"/>
      <c r="PAJ25" s="3"/>
      <c r="PAK25" s="3"/>
      <c r="PAL25" s="3"/>
      <c r="PAM25" s="3"/>
      <c r="PAN25" s="3"/>
      <c r="PAO25" s="3"/>
      <c r="PAP25" s="3"/>
      <c r="PAQ25" s="3"/>
      <c r="PAR25" s="3"/>
      <c r="PAS25" s="3"/>
      <c r="PAT25" s="3"/>
      <c r="PAU25" s="3"/>
      <c r="PAV25" s="3"/>
      <c r="PAW25" s="3"/>
      <c r="PAX25" s="3"/>
      <c r="PAY25" s="3"/>
      <c r="PAZ25" s="3"/>
      <c r="PBA25" s="3"/>
      <c r="PBB25" s="3"/>
      <c r="PBC25" s="3"/>
      <c r="PBD25" s="3"/>
      <c r="PBE25" s="3"/>
      <c r="PBF25" s="3"/>
      <c r="PBG25" s="3"/>
      <c r="PBH25" s="3"/>
      <c r="PBI25" s="3"/>
      <c r="PBJ25" s="3"/>
      <c r="PBK25" s="3"/>
      <c r="PBL25" s="3"/>
      <c r="PBM25" s="3"/>
      <c r="PBN25" s="3"/>
      <c r="PBO25" s="3"/>
      <c r="PBP25" s="3"/>
      <c r="PBQ25" s="3"/>
      <c r="PBR25" s="3"/>
      <c r="PBS25" s="3"/>
      <c r="PBT25" s="3"/>
      <c r="PBU25" s="3"/>
      <c r="PBV25" s="3"/>
      <c r="PBW25" s="3"/>
      <c r="PBX25" s="3"/>
      <c r="PBY25" s="3"/>
      <c r="PBZ25" s="3"/>
      <c r="PCA25" s="3"/>
      <c r="PCB25" s="3"/>
      <c r="PCC25" s="3"/>
      <c r="PCD25" s="3"/>
      <c r="PCE25" s="3"/>
      <c r="PCF25" s="3"/>
      <c r="PCG25" s="3"/>
      <c r="PCH25" s="3"/>
      <c r="PCI25" s="3"/>
      <c r="PCJ25" s="3"/>
      <c r="PCK25" s="3"/>
      <c r="PCL25" s="3"/>
      <c r="PCM25" s="3"/>
      <c r="PCN25" s="3"/>
      <c r="PCO25" s="3"/>
      <c r="PCP25" s="3"/>
      <c r="PCQ25" s="3"/>
      <c r="PCR25" s="3"/>
      <c r="PCS25" s="3"/>
      <c r="PCT25" s="3"/>
      <c r="PCU25" s="3"/>
      <c r="PCV25" s="3"/>
      <c r="PCW25" s="3"/>
      <c r="PCX25" s="3"/>
      <c r="PCY25" s="3"/>
      <c r="PCZ25" s="3"/>
      <c r="PDA25" s="3"/>
      <c r="PDB25" s="3"/>
      <c r="PDC25" s="3"/>
      <c r="PDD25" s="3"/>
      <c r="PDE25" s="3"/>
      <c r="PDF25" s="3"/>
      <c r="PDG25" s="3"/>
      <c r="PDH25" s="3"/>
      <c r="PDI25" s="3"/>
      <c r="PDJ25" s="3"/>
      <c r="PDK25" s="3"/>
      <c r="PDL25" s="3"/>
      <c r="PDM25" s="3"/>
      <c r="PDN25" s="3"/>
      <c r="PDO25" s="3"/>
      <c r="PDP25" s="3"/>
      <c r="PDQ25" s="3"/>
      <c r="PDR25" s="3"/>
      <c r="PDS25" s="3"/>
      <c r="PDT25" s="3"/>
      <c r="PDU25" s="3"/>
      <c r="PDV25" s="3"/>
      <c r="PDW25" s="3"/>
      <c r="PDX25" s="3"/>
      <c r="PDY25" s="3"/>
      <c r="PDZ25" s="3"/>
      <c r="PEA25" s="3"/>
      <c r="PEB25" s="3"/>
      <c r="PEC25" s="3"/>
      <c r="PED25" s="3"/>
      <c r="PEE25" s="3"/>
      <c r="PEF25" s="3"/>
      <c r="PEG25" s="3"/>
      <c r="PEH25" s="3"/>
      <c r="PEI25" s="3"/>
      <c r="PEJ25" s="3"/>
      <c r="PEK25" s="3"/>
      <c r="PEL25" s="3"/>
      <c r="PEM25" s="3"/>
      <c r="PEN25" s="3"/>
      <c r="PEO25" s="3"/>
      <c r="PEP25" s="3"/>
      <c r="PEQ25" s="3"/>
      <c r="PER25" s="3"/>
      <c r="PES25" s="3"/>
      <c r="PET25" s="3"/>
      <c r="PEU25" s="3"/>
      <c r="PEV25" s="3"/>
      <c r="PEW25" s="3"/>
      <c r="PEX25" s="3"/>
      <c r="PEY25" s="3"/>
      <c r="PEZ25" s="3"/>
      <c r="PFA25" s="3"/>
      <c r="PFB25" s="3"/>
      <c r="PFC25" s="3"/>
      <c r="PFD25" s="3"/>
      <c r="PFE25" s="3"/>
      <c r="PFF25" s="3"/>
      <c r="PFG25" s="3"/>
      <c r="PFH25" s="3"/>
      <c r="PFI25" s="3"/>
      <c r="PFJ25" s="3"/>
      <c r="PFK25" s="3"/>
      <c r="PFL25" s="3"/>
      <c r="PFM25" s="3"/>
      <c r="PFN25" s="3"/>
      <c r="PFO25" s="3"/>
      <c r="PFP25" s="3"/>
      <c r="PFQ25" s="3"/>
      <c r="PFR25" s="3"/>
      <c r="PFS25" s="3"/>
      <c r="PFT25" s="3"/>
      <c r="PFU25" s="3"/>
      <c r="PFV25" s="3"/>
      <c r="PFW25" s="3"/>
      <c r="PFX25" s="3"/>
      <c r="PFY25" s="3"/>
      <c r="PFZ25" s="3"/>
      <c r="PGA25" s="3"/>
      <c r="PGB25" s="3"/>
      <c r="PGC25" s="3"/>
      <c r="PGD25" s="3"/>
      <c r="PGE25" s="3"/>
      <c r="PGF25" s="3"/>
      <c r="PGG25" s="3"/>
      <c r="PGH25" s="3"/>
      <c r="PGI25" s="3"/>
      <c r="PGJ25" s="3"/>
      <c r="PGK25" s="3"/>
      <c r="PGL25" s="3"/>
      <c r="PGM25" s="3"/>
      <c r="PGN25" s="3"/>
      <c r="PGO25" s="3"/>
      <c r="PGP25" s="3"/>
      <c r="PGQ25" s="3"/>
      <c r="PGR25" s="3"/>
      <c r="PGS25" s="3"/>
      <c r="PGT25" s="3"/>
      <c r="PGU25" s="3"/>
      <c r="PGV25" s="3"/>
      <c r="PGW25" s="3"/>
      <c r="PGX25" s="3"/>
      <c r="PGY25" s="3"/>
      <c r="PGZ25" s="3"/>
      <c r="PHA25" s="3"/>
      <c r="PHB25" s="3"/>
      <c r="PHC25" s="3"/>
      <c r="PHD25" s="3"/>
      <c r="PHE25" s="3"/>
      <c r="PHF25" s="3"/>
      <c r="PHG25" s="3"/>
      <c r="PHH25" s="3"/>
      <c r="PHI25" s="3"/>
      <c r="PHJ25" s="3"/>
      <c r="PHK25" s="3"/>
      <c r="PHL25" s="3"/>
      <c r="PHM25" s="3"/>
      <c r="PHN25" s="3"/>
      <c r="PHO25" s="3"/>
      <c r="PHP25" s="3"/>
      <c r="PHQ25" s="3"/>
      <c r="PHR25" s="3"/>
      <c r="PHS25" s="3"/>
      <c r="PHT25" s="3"/>
      <c r="PHU25" s="3"/>
      <c r="PHV25" s="3"/>
      <c r="PHW25" s="3"/>
      <c r="PHX25" s="3"/>
      <c r="PHY25" s="3"/>
      <c r="PHZ25" s="3"/>
      <c r="PIA25" s="3"/>
      <c r="PIB25" s="3"/>
      <c r="PIC25" s="3"/>
      <c r="PID25" s="3"/>
      <c r="PIE25" s="3"/>
      <c r="PIF25" s="3"/>
      <c r="PIG25" s="3"/>
      <c r="PIH25" s="3"/>
      <c r="PII25" s="3"/>
      <c r="PIJ25" s="3"/>
      <c r="PIK25" s="3"/>
      <c r="PIL25" s="3"/>
      <c r="PIM25" s="3"/>
      <c r="PIN25" s="3"/>
      <c r="PIO25" s="3"/>
      <c r="PIP25" s="3"/>
      <c r="PIQ25" s="3"/>
      <c r="PIR25" s="3"/>
      <c r="PIS25" s="3"/>
      <c r="PIT25" s="3"/>
      <c r="PIU25" s="3"/>
      <c r="PIV25" s="3"/>
      <c r="PIW25" s="3"/>
      <c r="PIX25" s="3"/>
      <c r="PIY25" s="3"/>
      <c r="PIZ25" s="3"/>
      <c r="PJA25" s="3"/>
      <c r="PJB25" s="3"/>
      <c r="PJC25" s="3"/>
      <c r="PJD25" s="3"/>
      <c r="PJE25" s="3"/>
      <c r="PJF25" s="3"/>
      <c r="PJG25" s="3"/>
      <c r="PJH25" s="3"/>
      <c r="PJI25" s="3"/>
      <c r="PJJ25" s="3"/>
      <c r="PJK25" s="3"/>
      <c r="PJL25" s="3"/>
      <c r="PJM25" s="3"/>
      <c r="PJN25" s="3"/>
      <c r="PJO25" s="3"/>
      <c r="PJP25" s="3"/>
      <c r="PJQ25" s="3"/>
      <c r="PJR25" s="3"/>
      <c r="PJS25" s="3"/>
      <c r="PJT25" s="3"/>
      <c r="PJU25" s="3"/>
      <c r="PJV25" s="3"/>
      <c r="PJW25" s="3"/>
      <c r="PJX25" s="3"/>
      <c r="PJY25" s="3"/>
      <c r="PJZ25" s="3"/>
      <c r="PKA25" s="3"/>
      <c r="PKB25" s="3"/>
      <c r="PKC25" s="3"/>
      <c r="PKD25" s="3"/>
      <c r="PKE25" s="3"/>
      <c r="PKF25" s="3"/>
      <c r="PKG25" s="3"/>
      <c r="PKH25" s="3"/>
      <c r="PKI25" s="3"/>
      <c r="PKJ25" s="3"/>
      <c r="PKK25" s="3"/>
      <c r="PKL25" s="3"/>
      <c r="PKM25" s="3"/>
      <c r="PKN25" s="3"/>
      <c r="PKO25" s="3"/>
      <c r="PKP25" s="3"/>
      <c r="PKQ25" s="3"/>
      <c r="PKR25" s="3"/>
      <c r="PKS25" s="3"/>
      <c r="PKT25" s="3"/>
      <c r="PKU25" s="3"/>
      <c r="PKV25" s="3"/>
      <c r="PKW25" s="3"/>
      <c r="PKX25" s="3"/>
      <c r="PKY25" s="3"/>
      <c r="PKZ25" s="3"/>
      <c r="PLA25" s="3"/>
      <c r="PLB25" s="3"/>
      <c r="PLC25" s="3"/>
      <c r="PLD25" s="3"/>
      <c r="PLE25" s="3"/>
      <c r="PLF25" s="3"/>
      <c r="PLG25" s="3"/>
      <c r="PLH25" s="3"/>
      <c r="PLI25" s="3"/>
      <c r="PLJ25" s="3"/>
      <c r="PLK25" s="3"/>
      <c r="PLL25" s="3"/>
      <c r="PLM25" s="3"/>
      <c r="PLN25" s="3"/>
      <c r="PLO25" s="3"/>
      <c r="PLP25" s="3"/>
      <c r="PLQ25" s="3"/>
      <c r="PLR25" s="3"/>
      <c r="PLS25" s="3"/>
      <c r="PLT25" s="3"/>
      <c r="PLU25" s="3"/>
      <c r="PLV25" s="3"/>
      <c r="PLW25" s="3"/>
      <c r="PLX25" s="3"/>
      <c r="PLY25" s="3"/>
      <c r="PLZ25" s="3"/>
      <c r="PMA25" s="3"/>
      <c r="PMB25" s="3"/>
      <c r="PMC25" s="3"/>
      <c r="PMD25" s="3"/>
      <c r="PME25" s="3"/>
      <c r="PMF25" s="3"/>
      <c r="PMG25" s="3"/>
      <c r="PMH25" s="3"/>
      <c r="PMI25" s="3"/>
      <c r="PMJ25" s="3"/>
      <c r="PMK25" s="3"/>
      <c r="PML25" s="3"/>
      <c r="PMM25" s="3"/>
      <c r="PMN25" s="3"/>
      <c r="PMO25" s="3"/>
      <c r="PMP25" s="3"/>
      <c r="PMQ25" s="3"/>
      <c r="PMR25" s="3"/>
      <c r="PMS25" s="3"/>
      <c r="PMT25" s="3"/>
      <c r="PMU25" s="3"/>
      <c r="PMV25" s="3"/>
      <c r="PMW25" s="3"/>
      <c r="PMX25" s="3"/>
      <c r="PMY25" s="3"/>
      <c r="PMZ25" s="3"/>
      <c r="PNA25" s="3"/>
      <c r="PNB25" s="3"/>
      <c r="PNC25" s="3"/>
      <c r="PND25" s="3"/>
      <c r="PNE25" s="3"/>
      <c r="PNF25" s="3"/>
      <c r="PNG25" s="3"/>
      <c r="PNH25" s="3"/>
      <c r="PNI25" s="3"/>
      <c r="PNJ25" s="3"/>
      <c r="PNK25" s="3"/>
      <c r="PNL25" s="3"/>
      <c r="PNM25" s="3"/>
      <c r="PNN25" s="3"/>
      <c r="PNO25" s="3"/>
      <c r="PNP25" s="3"/>
      <c r="PNQ25" s="3"/>
      <c r="PNR25" s="3"/>
      <c r="PNS25" s="3"/>
      <c r="PNT25" s="3"/>
      <c r="PNU25" s="3"/>
      <c r="PNV25" s="3"/>
      <c r="PNW25" s="3"/>
      <c r="PNX25" s="3"/>
      <c r="PNY25" s="3"/>
      <c r="PNZ25" s="3"/>
      <c r="POA25" s="3"/>
      <c r="POB25" s="3"/>
      <c r="POC25" s="3"/>
      <c r="POD25" s="3"/>
      <c r="POE25" s="3"/>
      <c r="POF25" s="3"/>
      <c r="POG25" s="3"/>
      <c r="POH25" s="3"/>
      <c r="POI25" s="3"/>
      <c r="POJ25" s="3"/>
      <c r="POK25" s="3"/>
      <c r="POL25" s="3"/>
      <c r="POM25" s="3"/>
      <c r="PON25" s="3"/>
      <c r="POO25" s="3"/>
      <c r="POP25" s="3"/>
      <c r="POQ25" s="3"/>
      <c r="POR25" s="3"/>
      <c r="POS25" s="3"/>
      <c r="POT25" s="3"/>
      <c r="POU25" s="3"/>
      <c r="POV25" s="3"/>
      <c r="POW25" s="3"/>
      <c r="POX25" s="3"/>
      <c r="POY25" s="3"/>
      <c r="POZ25" s="3"/>
      <c r="PPA25" s="3"/>
      <c r="PPB25" s="3"/>
      <c r="PPC25" s="3"/>
      <c r="PPD25" s="3"/>
      <c r="PPE25" s="3"/>
      <c r="PPF25" s="3"/>
      <c r="PPG25" s="3"/>
      <c r="PPH25" s="3"/>
      <c r="PPI25" s="3"/>
      <c r="PPJ25" s="3"/>
      <c r="PPK25" s="3"/>
      <c r="PPL25" s="3"/>
      <c r="PPM25" s="3"/>
      <c r="PPN25" s="3"/>
      <c r="PPO25" s="3"/>
      <c r="PPP25" s="3"/>
      <c r="PPQ25" s="3"/>
      <c r="PPR25" s="3"/>
      <c r="PPS25" s="3"/>
      <c r="PPT25" s="3"/>
      <c r="PPU25" s="3"/>
      <c r="PPV25" s="3"/>
      <c r="PPW25" s="3"/>
      <c r="PPX25" s="3"/>
      <c r="PPY25" s="3"/>
      <c r="PPZ25" s="3"/>
      <c r="PQA25" s="3"/>
      <c r="PQB25" s="3"/>
      <c r="PQC25" s="3"/>
      <c r="PQD25" s="3"/>
      <c r="PQE25" s="3"/>
      <c r="PQF25" s="3"/>
      <c r="PQG25" s="3"/>
      <c r="PQH25" s="3"/>
      <c r="PQI25" s="3"/>
      <c r="PQJ25" s="3"/>
      <c r="PQK25" s="3"/>
      <c r="PQL25" s="3"/>
      <c r="PQM25" s="3"/>
      <c r="PQN25" s="3"/>
      <c r="PQO25" s="3"/>
      <c r="PQP25" s="3"/>
      <c r="PQQ25" s="3"/>
      <c r="PQR25" s="3"/>
      <c r="PQS25" s="3"/>
      <c r="PQT25" s="3"/>
      <c r="PQU25" s="3"/>
      <c r="PQV25" s="3"/>
      <c r="PQW25" s="3"/>
      <c r="PQX25" s="3"/>
      <c r="PQY25" s="3"/>
      <c r="PQZ25" s="3"/>
      <c r="PRA25" s="3"/>
      <c r="PRB25" s="3"/>
      <c r="PRC25" s="3"/>
      <c r="PRD25" s="3"/>
      <c r="PRE25" s="3"/>
      <c r="PRF25" s="3"/>
      <c r="PRG25" s="3"/>
      <c r="PRH25" s="3"/>
      <c r="PRI25" s="3"/>
      <c r="PRJ25" s="3"/>
      <c r="PRK25" s="3"/>
      <c r="PRL25" s="3"/>
      <c r="PRM25" s="3"/>
      <c r="PRN25" s="3"/>
      <c r="PRO25" s="3"/>
      <c r="PRP25" s="3"/>
      <c r="PRQ25" s="3"/>
      <c r="PRR25" s="3"/>
      <c r="PRS25" s="3"/>
      <c r="PRT25" s="3"/>
      <c r="PRU25" s="3"/>
      <c r="PRV25" s="3"/>
      <c r="PRW25" s="3"/>
      <c r="PRX25" s="3"/>
      <c r="PRY25" s="3"/>
      <c r="PRZ25" s="3"/>
      <c r="PSA25" s="3"/>
      <c r="PSB25" s="3"/>
      <c r="PSC25" s="3"/>
      <c r="PSD25" s="3"/>
      <c r="PSE25" s="3"/>
      <c r="PSF25" s="3"/>
      <c r="PSG25" s="3"/>
      <c r="PSH25" s="3"/>
      <c r="PSI25" s="3"/>
      <c r="PSJ25" s="3"/>
      <c r="PSK25" s="3"/>
      <c r="PSL25" s="3"/>
      <c r="PSM25" s="3"/>
      <c r="PSN25" s="3"/>
      <c r="PSO25" s="3"/>
      <c r="PSP25" s="3"/>
      <c r="PSQ25" s="3"/>
      <c r="PSR25" s="3"/>
      <c r="PSS25" s="3"/>
      <c r="PST25" s="3"/>
      <c r="PSU25" s="3"/>
      <c r="PSV25" s="3"/>
      <c r="PSW25" s="3"/>
      <c r="PSX25" s="3"/>
      <c r="PSY25" s="3"/>
      <c r="PSZ25" s="3"/>
      <c r="PTA25" s="3"/>
      <c r="PTB25" s="3"/>
      <c r="PTC25" s="3"/>
      <c r="PTD25" s="3"/>
      <c r="PTE25" s="3"/>
      <c r="PTF25" s="3"/>
      <c r="PTG25" s="3"/>
      <c r="PTH25" s="3"/>
      <c r="PTI25" s="3"/>
      <c r="PTJ25" s="3"/>
      <c r="PTK25" s="3"/>
      <c r="PTL25" s="3"/>
      <c r="PTM25" s="3"/>
      <c r="PTN25" s="3"/>
      <c r="PTO25" s="3"/>
      <c r="PTP25" s="3"/>
      <c r="PTQ25" s="3"/>
      <c r="PTR25" s="3"/>
      <c r="PTS25" s="3"/>
      <c r="PTT25" s="3"/>
      <c r="PTU25" s="3"/>
      <c r="PTV25" s="3"/>
      <c r="PTW25" s="3"/>
      <c r="PTX25" s="3"/>
      <c r="PTY25" s="3"/>
      <c r="PTZ25" s="3"/>
      <c r="PUA25" s="3"/>
      <c r="PUB25" s="3"/>
      <c r="PUC25" s="3"/>
      <c r="PUD25" s="3"/>
      <c r="PUE25" s="3"/>
      <c r="PUF25" s="3"/>
      <c r="PUG25" s="3"/>
      <c r="PUH25" s="3"/>
      <c r="PUI25" s="3"/>
      <c r="PUJ25" s="3"/>
      <c r="PUK25" s="3"/>
      <c r="PUL25" s="3"/>
      <c r="PUM25" s="3"/>
      <c r="PUN25" s="3"/>
      <c r="PUO25" s="3"/>
      <c r="PUP25" s="3"/>
      <c r="PUQ25" s="3"/>
      <c r="PUR25" s="3"/>
      <c r="PUS25" s="3"/>
      <c r="PUT25" s="3"/>
      <c r="PUU25" s="3"/>
      <c r="PUV25" s="3"/>
      <c r="PUW25" s="3"/>
      <c r="PUX25" s="3"/>
      <c r="PUY25" s="3"/>
      <c r="PUZ25" s="3"/>
      <c r="PVA25" s="3"/>
      <c r="PVB25" s="3"/>
      <c r="PVC25" s="3"/>
      <c r="PVD25" s="3"/>
      <c r="PVE25" s="3"/>
      <c r="PVF25" s="3"/>
      <c r="PVG25" s="3"/>
      <c r="PVH25" s="3"/>
      <c r="PVI25" s="3"/>
      <c r="PVJ25" s="3"/>
      <c r="PVK25" s="3"/>
      <c r="PVL25" s="3"/>
      <c r="PVM25" s="3"/>
      <c r="PVN25" s="3"/>
      <c r="PVO25" s="3"/>
      <c r="PVP25" s="3"/>
      <c r="PVQ25" s="3"/>
      <c r="PVR25" s="3"/>
      <c r="PVS25" s="3"/>
      <c r="PVT25" s="3"/>
      <c r="PVU25" s="3"/>
      <c r="PVV25" s="3"/>
      <c r="PVW25" s="3"/>
      <c r="PVX25" s="3"/>
      <c r="PVY25" s="3"/>
      <c r="PVZ25" s="3"/>
      <c r="PWA25" s="3"/>
      <c r="PWB25" s="3"/>
      <c r="PWC25" s="3"/>
      <c r="PWD25" s="3"/>
      <c r="PWE25" s="3"/>
      <c r="PWF25" s="3"/>
      <c r="PWG25" s="3"/>
      <c r="PWH25" s="3"/>
      <c r="PWI25" s="3"/>
      <c r="PWJ25" s="3"/>
      <c r="PWK25" s="3"/>
      <c r="PWL25" s="3"/>
      <c r="PWM25" s="3"/>
      <c r="PWN25" s="3"/>
      <c r="PWO25" s="3"/>
      <c r="PWP25" s="3"/>
      <c r="PWQ25" s="3"/>
      <c r="PWR25" s="3"/>
      <c r="PWS25" s="3"/>
      <c r="PWT25" s="3"/>
      <c r="PWU25" s="3"/>
      <c r="PWV25" s="3"/>
      <c r="PWW25" s="3"/>
      <c r="PWX25" s="3"/>
      <c r="PWY25" s="3"/>
      <c r="PWZ25" s="3"/>
      <c r="PXA25" s="3"/>
      <c r="PXB25" s="3"/>
      <c r="PXC25" s="3"/>
      <c r="PXD25" s="3"/>
      <c r="PXE25" s="3"/>
      <c r="PXF25" s="3"/>
      <c r="PXG25" s="3"/>
      <c r="PXH25" s="3"/>
      <c r="PXI25" s="3"/>
      <c r="PXJ25" s="3"/>
      <c r="PXK25" s="3"/>
      <c r="PXL25" s="3"/>
      <c r="PXM25" s="3"/>
      <c r="PXN25" s="3"/>
      <c r="PXO25" s="3"/>
      <c r="PXP25" s="3"/>
      <c r="PXQ25" s="3"/>
      <c r="PXR25" s="3"/>
      <c r="PXS25" s="3"/>
      <c r="PXT25" s="3"/>
      <c r="PXU25" s="3"/>
      <c r="PXV25" s="3"/>
      <c r="PXW25" s="3"/>
      <c r="PXX25" s="3"/>
      <c r="PXY25" s="3"/>
      <c r="PXZ25" s="3"/>
      <c r="PYA25" s="3"/>
      <c r="PYB25" s="3"/>
      <c r="PYC25" s="3"/>
      <c r="PYD25" s="3"/>
      <c r="PYE25" s="3"/>
      <c r="PYF25" s="3"/>
      <c r="PYG25" s="3"/>
      <c r="PYH25" s="3"/>
      <c r="PYI25" s="3"/>
      <c r="PYJ25" s="3"/>
      <c r="PYK25" s="3"/>
      <c r="PYL25" s="3"/>
      <c r="PYM25" s="3"/>
      <c r="PYN25" s="3"/>
      <c r="PYO25" s="3"/>
      <c r="PYP25" s="3"/>
      <c r="PYQ25" s="3"/>
      <c r="PYR25" s="3"/>
      <c r="PYS25" s="3"/>
      <c r="PYT25" s="3"/>
      <c r="PYU25" s="3"/>
      <c r="PYV25" s="3"/>
      <c r="PYW25" s="3"/>
      <c r="PYX25" s="3"/>
      <c r="PYY25" s="3"/>
      <c r="PYZ25" s="3"/>
      <c r="PZA25" s="3"/>
      <c r="PZB25" s="3"/>
      <c r="PZC25" s="3"/>
      <c r="PZD25" s="3"/>
      <c r="PZE25" s="3"/>
      <c r="PZF25" s="3"/>
      <c r="PZG25" s="3"/>
      <c r="PZH25" s="3"/>
      <c r="PZI25" s="3"/>
      <c r="PZJ25" s="3"/>
      <c r="PZK25" s="3"/>
      <c r="PZL25" s="3"/>
      <c r="PZM25" s="3"/>
      <c r="PZN25" s="3"/>
      <c r="PZO25" s="3"/>
      <c r="PZP25" s="3"/>
      <c r="PZQ25" s="3"/>
      <c r="PZR25" s="3"/>
      <c r="PZS25" s="3"/>
      <c r="PZT25" s="3"/>
      <c r="PZU25" s="3"/>
      <c r="PZV25" s="3"/>
      <c r="PZW25" s="3"/>
      <c r="PZX25" s="3"/>
      <c r="PZY25" s="3"/>
      <c r="PZZ25" s="3"/>
      <c r="QAA25" s="3"/>
      <c r="QAB25" s="3"/>
      <c r="QAC25" s="3"/>
      <c r="QAD25" s="3"/>
      <c r="QAE25" s="3"/>
      <c r="QAF25" s="3"/>
      <c r="QAG25" s="3"/>
      <c r="QAH25" s="3"/>
      <c r="QAI25" s="3"/>
      <c r="QAJ25" s="3"/>
      <c r="QAK25" s="3"/>
      <c r="QAL25" s="3"/>
      <c r="QAM25" s="3"/>
      <c r="QAN25" s="3"/>
      <c r="QAO25" s="3"/>
      <c r="QAP25" s="3"/>
      <c r="QAQ25" s="3"/>
      <c r="QAR25" s="3"/>
      <c r="QAS25" s="3"/>
      <c r="QAT25" s="3"/>
      <c r="QAU25" s="3"/>
      <c r="QAV25" s="3"/>
      <c r="QAW25" s="3"/>
      <c r="QAX25" s="3"/>
      <c r="QAY25" s="3"/>
      <c r="QAZ25" s="3"/>
      <c r="QBA25" s="3"/>
      <c r="QBB25" s="3"/>
      <c r="QBC25" s="3"/>
      <c r="QBD25" s="3"/>
      <c r="QBE25" s="3"/>
      <c r="QBF25" s="3"/>
      <c r="QBG25" s="3"/>
      <c r="QBH25" s="3"/>
      <c r="QBI25" s="3"/>
      <c r="QBJ25" s="3"/>
      <c r="QBK25" s="3"/>
      <c r="QBL25" s="3"/>
      <c r="QBM25" s="3"/>
      <c r="QBN25" s="3"/>
      <c r="QBO25" s="3"/>
      <c r="QBP25" s="3"/>
      <c r="QBQ25" s="3"/>
      <c r="QBR25" s="3"/>
      <c r="QBS25" s="3"/>
      <c r="QBT25" s="3"/>
      <c r="QBU25" s="3"/>
      <c r="QBV25" s="3"/>
      <c r="QBW25" s="3"/>
      <c r="QBX25" s="3"/>
      <c r="QBY25" s="3"/>
      <c r="QBZ25" s="3"/>
      <c r="QCA25" s="3"/>
      <c r="QCB25" s="3"/>
      <c r="QCC25" s="3"/>
      <c r="QCD25" s="3"/>
      <c r="QCE25" s="3"/>
      <c r="QCF25" s="3"/>
      <c r="QCG25" s="3"/>
      <c r="QCH25" s="3"/>
      <c r="QCI25" s="3"/>
      <c r="QCJ25" s="3"/>
      <c r="QCK25" s="3"/>
      <c r="QCL25" s="3"/>
      <c r="QCM25" s="3"/>
      <c r="QCN25" s="3"/>
      <c r="QCO25" s="3"/>
      <c r="QCP25" s="3"/>
      <c r="QCQ25" s="3"/>
      <c r="QCR25" s="3"/>
      <c r="QCS25" s="3"/>
      <c r="QCT25" s="3"/>
      <c r="QCU25" s="3"/>
      <c r="QCV25" s="3"/>
      <c r="QCW25" s="3"/>
      <c r="QCX25" s="3"/>
      <c r="QCY25" s="3"/>
      <c r="QCZ25" s="3"/>
      <c r="QDA25" s="3"/>
      <c r="QDB25" s="3"/>
      <c r="QDC25" s="3"/>
      <c r="QDD25" s="3"/>
      <c r="QDE25" s="3"/>
      <c r="QDF25" s="3"/>
      <c r="QDG25" s="3"/>
      <c r="QDH25" s="3"/>
      <c r="QDI25" s="3"/>
      <c r="QDJ25" s="3"/>
      <c r="QDK25" s="3"/>
      <c r="QDL25" s="3"/>
      <c r="QDM25" s="3"/>
      <c r="QDN25" s="3"/>
      <c r="QDO25" s="3"/>
      <c r="QDP25" s="3"/>
      <c r="QDQ25" s="3"/>
      <c r="QDR25" s="3"/>
      <c r="QDS25" s="3"/>
      <c r="QDT25" s="3"/>
      <c r="QDU25" s="3"/>
      <c r="QDV25" s="3"/>
      <c r="QDW25" s="3"/>
      <c r="QDX25" s="3"/>
      <c r="QDY25" s="3"/>
      <c r="QDZ25" s="3"/>
      <c r="QEA25" s="3"/>
      <c r="QEB25" s="3"/>
      <c r="QEC25" s="3"/>
      <c r="QED25" s="3"/>
      <c r="QEE25" s="3"/>
      <c r="QEF25" s="3"/>
      <c r="QEG25" s="3"/>
      <c r="QEH25" s="3"/>
      <c r="QEI25" s="3"/>
      <c r="QEJ25" s="3"/>
      <c r="QEK25" s="3"/>
      <c r="QEL25" s="3"/>
      <c r="QEM25" s="3"/>
      <c r="QEN25" s="3"/>
      <c r="QEO25" s="3"/>
      <c r="QEP25" s="3"/>
      <c r="QEQ25" s="3"/>
      <c r="QER25" s="3"/>
      <c r="QES25" s="3"/>
      <c r="QET25" s="3"/>
      <c r="QEU25" s="3"/>
      <c r="QEV25" s="3"/>
      <c r="QEW25" s="3"/>
      <c r="QEX25" s="3"/>
      <c r="QEY25" s="3"/>
      <c r="QEZ25" s="3"/>
      <c r="QFA25" s="3"/>
      <c r="QFB25" s="3"/>
      <c r="QFC25" s="3"/>
      <c r="QFD25" s="3"/>
      <c r="QFE25" s="3"/>
      <c r="QFF25" s="3"/>
      <c r="QFG25" s="3"/>
      <c r="QFH25" s="3"/>
      <c r="QFI25" s="3"/>
      <c r="QFJ25" s="3"/>
      <c r="QFK25" s="3"/>
      <c r="QFL25" s="3"/>
      <c r="QFM25" s="3"/>
      <c r="QFN25" s="3"/>
      <c r="QFO25" s="3"/>
      <c r="QFP25" s="3"/>
      <c r="QFQ25" s="3"/>
      <c r="QFR25" s="3"/>
      <c r="QFS25" s="3"/>
      <c r="QFT25" s="3"/>
      <c r="QFU25" s="3"/>
      <c r="QFV25" s="3"/>
      <c r="QFW25" s="3"/>
      <c r="QFX25" s="3"/>
      <c r="QFY25" s="3"/>
      <c r="QFZ25" s="3"/>
      <c r="QGA25" s="3"/>
      <c r="QGB25" s="3"/>
      <c r="QGC25" s="3"/>
      <c r="QGD25" s="3"/>
      <c r="QGE25" s="3"/>
      <c r="QGF25" s="3"/>
      <c r="QGG25" s="3"/>
      <c r="QGH25" s="3"/>
      <c r="QGI25" s="3"/>
      <c r="QGJ25" s="3"/>
      <c r="QGK25" s="3"/>
      <c r="QGL25" s="3"/>
      <c r="QGM25" s="3"/>
      <c r="QGN25" s="3"/>
      <c r="QGO25" s="3"/>
      <c r="QGP25" s="3"/>
      <c r="QGQ25" s="3"/>
      <c r="QGR25" s="3"/>
      <c r="QGS25" s="3"/>
      <c r="QGT25" s="3"/>
      <c r="QGU25" s="3"/>
      <c r="QGV25" s="3"/>
      <c r="QGW25" s="3"/>
      <c r="QGX25" s="3"/>
      <c r="QGY25" s="3"/>
      <c r="QGZ25" s="3"/>
      <c r="QHA25" s="3"/>
      <c r="QHB25" s="3"/>
      <c r="QHC25" s="3"/>
      <c r="QHD25" s="3"/>
      <c r="QHE25" s="3"/>
      <c r="QHF25" s="3"/>
      <c r="QHG25" s="3"/>
      <c r="QHH25" s="3"/>
      <c r="QHI25" s="3"/>
      <c r="QHJ25" s="3"/>
      <c r="QHK25" s="3"/>
      <c r="QHL25" s="3"/>
      <c r="QHM25" s="3"/>
      <c r="QHN25" s="3"/>
      <c r="QHO25" s="3"/>
      <c r="QHP25" s="3"/>
      <c r="QHQ25" s="3"/>
      <c r="QHR25" s="3"/>
      <c r="QHS25" s="3"/>
      <c r="QHT25" s="3"/>
      <c r="QHU25" s="3"/>
      <c r="QHV25" s="3"/>
      <c r="QHW25" s="3"/>
      <c r="QHX25" s="3"/>
      <c r="QHY25" s="3"/>
      <c r="QHZ25" s="3"/>
      <c r="QIA25" s="3"/>
      <c r="QIB25" s="3"/>
      <c r="QIC25" s="3"/>
      <c r="QID25" s="3"/>
      <c r="QIE25" s="3"/>
      <c r="QIF25" s="3"/>
      <c r="QIG25" s="3"/>
      <c r="QIH25" s="3"/>
      <c r="QII25" s="3"/>
      <c r="QIJ25" s="3"/>
      <c r="QIK25" s="3"/>
      <c r="QIL25" s="3"/>
      <c r="QIM25" s="3"/>
      <c r="QIN25" s="3"/>
      <c r="QIO25" s="3"/>
      <c r="QIP25" s="3"/>
      <c r="QIQ25" s="3"/>
      <c r="QIR25" s="3"/>
      <c r="QIS25" s="3"/>
      <c r="QIT25" s="3"/>
      <c r="QIU25" s="3"/>
      <c r="QIV25" s="3"/>
      <c r="QIW25" s="3"/>
      <c r="QIX25" s="3"/>
      <c r="QIY25" s="3"/>
      <c r="QIZ25" s="3"/>
      <c r="QJA25" s="3"/>
      <c r="QJB25" s="3"/>
      <c r="QJC25" s="3"/>
      <c r="QJD25" s="3"/>
      <c r="QJE25" s="3"/>
      <c r="QJF25" s="3"/>
      <c r="QJG25" s="3"/>
      <c r="QJH25" s="3"/>
      <c r="QJI25" s="3"/>
      <c r="QJJ25" s="3"/>
      <c r="QJK25" s="3"/>
      <c r="QJL25" s="3"/>
      <c r="QJM25" s="3"/>
      <c r="QJN25" s="3"/>
      <c r="QJO25" s="3"/>
      <c r="QJP25" s="3"/>
      <c r="QJQ25" s="3"/>
      <c r="QJR25" s="3"/>
      <c r="QJS25" s="3"/>
      <c r="QJT25" s="3"/>
      <c r="QJU25" s="3"/>
      <c r="QJV25" s="3"/>
      <c r="QJW25" s="3"/>
      <c r="QJX25" s="3"/>
      <c r="QJY25" s="3"/>
      <c r="QJZ25" s="3"/>
      <c r="QKA25" s="3"/>
      <c r="QKB25" s="3"/>
      <c r="QKC25" s="3"/>
      <c r="QKD25" s="3"/>
      <c r="QKE25" s="3"/>
      <c r="QKF25" s="3"/>
      <c r="QKG25" s="3"/>
      <c r="QKH25" s="3"/>
      <c r="QKI25" s="3"/>
      <c r="QKJ25" s="3"/>
      <c r="QKK25" s="3"/>
      <c r="QKL25" s="3"/>
      <c r="QKM25" s="3"/>
      <c r="QKN25" s="3"/>
      <c r="QKO25" s="3"/>
      <c r="QKP25" s="3"/>
      <c r="QKQ25" s="3"/>
      <c r="QKR25" s="3"/>
      <c r="QKS25" s="3"/>
      <c r="QKT25" s="3"/>
      <c r="QKU25" s="3"/>
      <c r="QKV25" s="3"/>
      <c r="QKW25" s="3"/>
      <c r="QKX25" s="3"/>
      <c r="QKY25" s="3"/>
      <c r="QKZ25" s="3"/>
      <c r="QLA25" s="3"/>
      <c r="QLB25" s="3"/>
      <c r="QLC25" s="3"/>
      <c r="QLD25" s="3"/>
      <c r="QLE25" s="3"/>
      <c r="QLF25" s="3"/>
      <c r="QLG25" s="3"/>
      <c r="QLH25" s="3"/>
      <c r="QLI25" s="3"/>
      <c r="QLJ25" s="3"/>
      <c r="QLK25" s="3"/>
      <c r="QLL25" s="3"/>
      <c r="QLM25" s="3"/>
      <c r="QLN25" s="3"/>
      <c r="QLO25" s="3"/>
      <c r="QLP25" s="3"/>
      <c r="QLQ25" s="3"/>
      <c r="QLR25" s="3"/>
      <c r="QLS25" s="3"/>
      <c r="QLT25" s="3"/>
      <c r="QLU25" s="3"/>
      <c r="QLV25" s="3"/>
      <c r="QLW25" s="3"/>
      <c r="QLX25" s="3"/>
      <c r="QLY25" s="3"/>
      <c r="QLZ25" s="3"/>
      <c r="QMA25" s="3"/>
      <c r="QMB25" s="3"/>
      <c r="QMC25" s="3"/>
      <c r="QMD25" s="3"/>
      <c r="QME25" s="3"/>
      <c r="QMF25" s="3"/>
      <c r="QMG25" s="3"/>
      <c r="QMH25" s="3"/>
      <c r="QMI25" s="3"/>
      <c r="QMJ25" s="3"/>
      <c r="QMK25" s="3"/>
      <c r="QML25" s="3"/>
      <c r="QMM25" s="3"/>
      <c r="QMN25" s="3"/>
      <c r="QMO25" s="3"/>
      <c r="QMP25" s="3"/>
      <c r="QMQ25" s="3"/>
      <c r="QMR25" s="3"/>
      <c r="QMS25" s="3"/>
      <c r="QMT25" s="3"/>
      <c r="QMU25" s="3"/>
      <c r="QMV25" s="3"/>
      <c r="QMW25" s="3"/>
      <c r="QMX25" s="3"/>
      <c r="QMY25" s="3"/>
      <c r="QMZ25" s="3"/>
      <c r="QNA25" s="3"/>
      <c r="QNB25" s="3"/>
      <c r="QNC25" s="3"/>
      <c r="QND25" s="3"/>
      <c r="QNE25" s="3"/>
      <c r="QNF25" s="3"/>
      <c r="QNG25" s="3"/>
      <c r="QNH25" s="3"/>
      <c r="QNI25" s="3"/>
      <c r="QNJ25" s="3"/>
      <c r="QNK25" s="3"/>
      <c r="QNL25" s="3"/>
      <c r="QNM25" s="3"/>
      <c r="QNN25" s="3"/>
      <c r="QNO25" s="3"/>
      <c r="QNP25" s="3"/>
      <c r="QNQ25" s="3"/>
      <c r="QNR25" s="3"/>
      <c r="QNS25" s="3"/>
      <c r="QNT25" s="3"/>
      <c r="QNU25" s="3"/>
      <c r="QNV25" s="3"/>
      <c r="QNW25" s="3"/>
      <c r="QNX25" s="3"/>
      <c r="QNY25" s="3"/>
      <c r="QNZ25" s="3"/>
      <c r="QOA25" s="3"/>
      <c r="QOB25" s="3"/>
      <c r="QOC25" s="3"/>
      <c r="QOD25" s="3"/>
      <c r="QOE25" s="3"/>
      <c r="QOF25" s="3"/>
      <c r="QOG25" s="3"/>
      <c r="QOH25" s="3"/>
      <c r="QOI25" s="3"/>
      <c r="QOJ25" s="3"/>
      <c r="QOK25" s="3"/>
      <c r="QOL25" s="3"/>
      <c r="QOM25" s="3"/>
      <c r="QON25" s="3"/>
      <c r="QOO25" s="3"/>
      <c r="QOP25" s="3"/>
      <c r="QOQ25" s="3"/>
      <c r="QOR25" s="3"/>
      <c r="QOS25" s="3"/>
      <c r="QOT25" s="3"/>
      <c r="QOU25" s="3"/>
      <c r="QOV25" s="3"/>
      <c r="QOW25" s="3"/>
      <c r="QOX25" s="3"/>
      <c r="QOY25" s="3"/>
      <c r="QOZ25" s="3"/>
      <c r="QPA25" s="3"/>
      <c r="QPB25" s="3"/>
      <c r="QPC25" s="3"/>
      <c r="QPD25" s="3"/>
      <c r="QPE25" s="3"/>
      <c r="QPF25" s="3"/>
      <c r="QPG25" s="3"/>
      <c r="QPH25" s="3"/>
      <c r="QPI25" s="3"/>
      <c r="QPJ25" s="3"/>
      <c r="QPK25" s="3"/>
      <c r="QPL25" s="3"/>
      <c r="QPM25" s="3"/>
      <c r="QPN25" s="3"/>
      <c r="QPO25" s="3"/>
      <c r="QPP25" s="3"/>
      <c r="QPQ25" s="3"/>
      <c r="QPR25" s="3"/>
      <c r="QPS25" s="3"/>
      <c r="QPT25" s="3"/>
      <c r="QPU25" s="3"/>
      <c r="QPV25" s="3"/>
      <c r="QPW25" s="3"/>
      <c r="QPX25" s="3"/>
      <c r="QPY25" s="3"/>
      <c r="QPZ25" s="3"/>
      <c r="QQA25" s="3"/>
      <c r="QQB25" s="3"/>
      <c r="QQC25" s="3"/>
      <c r="QQD25" s="3"/>
      <c r="QQE25" s="3"/>
      <c r="QQF25" s="3"/>
      <c r="QQG25" s="3"/>
      <c r="QQH25" s="3"/>
      <c r="QQI25" s="3"/>
      <c r="QQJ25" s="3"/>
      <c r="QQK25" s="3"/>
      <c r="QQL25" s="3"/>
      <c r="QQM25" s="3"/>
      <c r="QQN25" s="3"/>
      <c r="QQO25" s="3"/>
      <c r="QQP25" s="3"/>
      <c r="QQQ25" s="3"/>
      <c r="QQR25" s="3"/>
      <c r="QQS25" s="3"/>
      <c r="QQT25" s="3"/>
      <c r="QQU25" s="3"/>
      <c r="QQV25" s="3"/>
      <c r="QQW25" s="3"/>
      <c r="QQX25" s="3"/>
      <c r="QQY25" s="3"/>
      <c r="QQZ25" s="3"/>
      <c r="QRA25" s="3"/>
      <c r="QRB25" s="3"/>
      <c r="QRC25" s="3"/>
      <c r="QRD25" s="3"/>
      <c r="QRE25" s="3"/>
      <c r="QRF25" s="3"/>
      <c r="QRG25" s="3"/>
      <c r="QRH25" s="3"/>
      <c r="QRI25" s="3"/>
      <c r="QRJ25" s="3"/>
      <c r="QRK25" s="3"/>
      <c r="QRL25" s="3"/>
      <c r="QRM25" s="3"/>
      <c r="QRN25" s="3"/>
      <c r="QRO25" s="3"/>
      <c r="QRP25" s="3"/>
      <c r="QRQ25" s="3"/>
      <c r="QRR25" s="3"/>
      <c r="QRS25" s="3"/>
      <c r="QRT25" s="3"/>
      <c r="QRU25" s="3"/>
      <c r="QRV25" s="3"/>
      <c r="QRW25" s="3"/>
      <c r="QRX25" s="3"/>
      <c r="QRY25" s="3"/>
      <c r="QRZ25" s="3"/>
      <c r="QSA25" s="3"/>
      <c r="QSB25" s="3"/>
      <c r="QSC25" s="3"/>
      <c r="QSD25" s="3"/>
      <c r="QSE25" s="3"/>
      <c r="QSF25" s="3"/>
      <c r="QSG25" s="3"/>
      <c r="QSH25" s="3"/>
      <c r="QSI25" s="3"/>
      <c r="QSJ25" s="3"/>
      <c r="QSK25" s="3"/>
      <c r="QSL25" s="3"/>
      <c r="QSM25" s="3"/>
      <c r="QSN25" s="3"/>
      <c r="QSO25" s="3"/>
      <c r="QSP25" s="3"/>
      <c r="QSQ25" s="3"/>
      <c r="QSR25" s="3"/>
      <c r="QSS25" s="3"/>
      <c r="QST25" s="3"/>
      <c r="QSU25" s="3"/>
      <c r="QSV25" s="3"/>
      <c r="QSW25" s="3"/>
      <c r="QSX25" s="3"/>
      <c r="QSY25" s="3"/>
      <c r="QSZ25" s="3"/>
      <c r="QTA25" s="3"/>
      <c r="QTB25" s="3"/>
      <c r="QTC25" s="3"/>
      <c r="QTD25" s="3"/>
      <c r="QTE25" s="3"/>
      <c r="QTF25" s="3"/>
      <c r="QTG25" s="3"/>
      <c r="QTH25" s="3"/>
      <c r="QTI25" s="3"/>
      <c r="QTJ25" s="3"/>
      <c r="QTK25" s="3"/>
      <c r="QTL25" s="3"/>
      <c r="QTM25" s="3"/>
      <c r="QTN25" s="3"/>
      <c r="QTO25" s="3"/>
      <c r="QTP25" s="3"/>
      <c r="QTQ25" s="3"/>
      <c r="QTR25" s="3"/>
      <c r="QTS25" s="3"/>
      <c r="QTT25" s="3"/>
      <c r="QTU25" s="3"/>
      <c r="QTV25" s="3"/>
      <c r="QTW25" s="3"/>
      <c r="QTX25" s="3"/>
      <c r="QTY25" s="3"/>
      <c r="QTZ25" s="3"/>
      <c r="QUA25" s="3"/>
      <c r="QUB25" s="3"/>
      <c r="QUC25" s="3"/>
      <c r="QUD25" s="3"/>
      <c r="QUE25" s="3"/>
      <c r="QUF25" s="3"/>
      <c r="QUG25" s="3"/>
      <c r="QUH25" s="3"/>
      <c r="QUI25" s="3"/>
      <c r="QUJ25" s="3"/>
      <c r="QUK25" s="3"/>
      <c r="QUL25" s="3"/>
      <c r="QUM25" s="3"/>
      <c r="QUN25" s="3"/>
      <c r="QUO25" s="3"/>
      <c r="QUP25" s="3"/>
      <c r="QUQ25" s="3"/>
      <c r="QUR25" s="3"/>
      <c r="QUS25" s="3"/>
      <c r="QUT25" s="3"/>
      <c r="QUU25" s="3"/>
      <c r="QUV25" s="3"/>
      <c r="QUW25" s="3"/>
      <c r="QUX25" s="3"/>
      <c r="QUY25" s="3"/>
      <c r="QUZ25" s="3"/>
      <c r="QVA25" s="3"/>
      <c r="QVB25" s="3"/>
      <c r="QVC25" s="3"/>
      <c r="QVD25" s="3"/>
      <c r="QVE25" s="3"/>
      <c r="QVF25" s="3"/>
      <c r="QVG25" s="3"/>
      <c r="QVH25" s="3"/>
      <c r="QVI25" s="3"/>
      <c r="QVJ25" s="3"/>
      <c r="QVK25" s="3"/>
      <c r="QVL25" s="3"/>
      <c r="QVM25" s="3"/>
      <c r="QVN25" s="3"/>
      <c r="QVO25" s="3"/>
      <c r="QVP25" s="3"/>
      <c r="QVQ25" s="3"/>
      <c r="QVR25" s="3"/>
      <c r="QVS25" s="3"/>
      <c r="QVT25" s="3"/>
      <c r="QVU25" s="3"/>
      <c r="QVV25" s="3"/>
      <c r="QVW25" s="3"/>
      <c r="QVX25" s="3"/>
      <c r="QVY25" s="3"/>
      <c r="QVZ25" s="3"/>
      <c r="QWA25" s="3"/>
      <c r="QWB25" s="3"/>
      <c r="QWC25" s="3"/>
      <c r="QWD25" s="3"/>
      <c r="QWE25" s="3"/>
      <c r="QWF25" s="3"/>
      <c r="QWG25" s="3"/>
      <c r="QWH25" s="3"/>
      <c r="QWI25" s="3"/>
      <c r="QWJ25" s="3"/>
      <c r="QWK25" s="3"/>
      <c r="QWL25" s="3"/>
      <c r="QWM25" s="3"/>
      <c r="QWN25" s="3"/>
      <c r="QWO25" s="3"/>
      <c r="QWP25" s="3"/>
      <c r="QWQ25" s="3"/>
      <c r="QWR25" s="3"/>
      <c r="QWS25" s="3"/>
      <c r="QWT25" s="3"/>
      <c r="QWU25" s="3"/>
      <c r="QWV25" s="3"/>
      <c r="QWW25" s="3"/>
      <c r="QWX25" s="3"/>
      <c r="QWY25" s="3"/>
      <c r="QWZ25" s="3"/>
      <c r="QXA25" s="3"/>
      <c r="QXB25" s="3"/>
      <c r="QXC25" s="3"/>
      <c r="QXD25" s="3"/>
      <c r="QXE25" s="3"/>
      <c r="QXF25" s="3"/>
      <c r="QXG25" s="3"/>
      <c r="QXH25" s="3"/>
      <c r="QXI25" s="3"/>
      <c r="QXJ25" s="3"/>
      <c r="QXK25" s="3"/>
      <c r="QXL25" s="3"/>
      <c r="QXM25" s="3"/>
      <c r="QXN25" s="3"/>
      <c r="QXO25" s="3"/>
      <c r="QXP25" s="3"/>
      <c r="QXQ25" s="3"/>
      <c r="QXR25" s="3"/>
      <c r="QXS25" s="3"/>
      <c r="QXT25" s="3"/>
      <c r="QXU25" s="3"/>
      <c r="QXV25" s="3"/>
      <c r="QXW25" s="3"/>
      <c r="QXX25" s="3"/>
      <c r="QXY25" s="3"/>
      <c r="QXZ25" s="3"/>
      <c r="QYA25" s="3"/>
      <c r="QYB25" s="3"/>
      <c r="QYC25" s="3"/>
      <c r="QYD25" s="3"/>
      <c r="QYE25" s="3"/>
      <c r="QYF25" s="3"/>
      <c r="QYG25" s="3"/>
      <c r="QYH25" s="3"/>
      <c r="QYI25" s="3"/>
      <c r="QYJ25" s="3"/>
      <c r="QYK25" s="3"/>
      <c r="QYL25" s="3"/>
      <c r="QYM25" s="3"/>
      <c r="QYN25" s="3"/>
      <c r="QYO25" s="3"/>
      <c r="QYP25" s="3"/>
      <c r="QYQ25" s="3"/>
      <c r="QYR25" s="3"/>
      <c r="QYS25" s="3"/>
      <c r="QYT25" s="3"/>
      <c r="QYU25" s="3"/>
      <c r="QYV25" s="3"/>
      <c r="QYW25" s="3"/>
      <c r="QYX25" s="3"/>
      <c r="QYY25" s="3"/>
      <c r="QYZ25" s="3"/>
      <c r="QZA25" s="3"/>
      <c r="QZB25" s="3"/>
      <c r="QZC25" s="3"/>
      <c r="QZD25" s="3"/>
      <c r="QZE25" s="3"/>
      <c r="QZF25" s="3"/>
      <c r="QZG25" s="3"/>
      <c r="QZH25" s="3"/>
      <c r="QZI25" s="3"/>
      <c r="QZJ25" s="3"/>
      <c r="QZK25" s="3"/>
      <c r="QZL25" s="3"/>
      <c r="QZM25" s="3"/>
      <c r="QZN25" s="3"/>
      <c r="QZO25" s="3"/>
      <c r="QZP25" s="3"/>
      <c r="QZQ25" s="3"/>
      <c r="QZR25" s="3"/>
      <c r="QZS25" s="3"/>
      <c r="QZT25" s="3"/>
      <c r="QZU25" s="3"/>
      <c r="QZV25" s="3"/>
      <c r="QZW25" s="3"/>
      <c r="QZX25" s="3"/>
      <c r="QZY25" s="3"/>
      <c r="QZZ25" s="3"/>
      <c r="RAA25" s="3"/>
      <c r="RAB25" s="3"/>
      <c r="RAC25" s="3"/>
      <c r="RAD25" s="3"/>
      <c r="RAE25" s="3"/>
      <c r="RAF25" s="3"/>
      <c r="RAG25" s="3"/>
      <c r="RAH25" s="3"/>
      <c r="RAI25" s="3"/>
      <c r="RAJ25" s="3"/>
      <c r="RAK25" s="3"/>
      <c r="RAL25" s="3"/>
      <c r="RAM25" s="3"/>
      <c r="RAN25" s="3"/>
      <c r="RAO25" s="3"/>
      <c r="RAP25" s="3"/>
      <c r="RAQ25" s="3"/>
      <c r="RAR25" s="3"/>
      <c r="RAS25" s="3"/>
      <c r="RAT25" s="3"/>
      <c r="RAU25" s="3"/>
      <c r="RAV25" s="3"/>
      <c r="RAW25" s="3"/>
      <c r="RAX25" s="3"/>
      <c r="RAY25" s="3"/>
      <c r="RAZ25" s="3"/>
      <c r="RBA25" s="3"/>
      <c r="RBB25" s="3"/>
      <c r="RBC25" s="3"/>
      <c r="RBD25" s="3"/>
      <c r="RBE25" s="3"/>
      <c r="RBF25" s="3"/>
      <c r="RBG25" s="3"/>
      <c r="RBH25" s="3"/>
      <c r="RBI25" s="3"/>
      <c r="RBJ25" s="3"/>
      <c r="RBK25" s="3"/>
      <c r="RBL25" s="3"/>
      <c r="RBM25" s="3"/>
      <c r="RBN25" s="3"/>
      <c r="RBO25" s="3"/>
      <c r="RBP25" s="3"/>
      <c r="RBQ25" s="3"/>
      <c r="RBR25" s="3"/>
      <c r="RBS25" s="3"/>
      <c r="RBT25" s="3"/>
      <c r="RBU25" s="3"/>
      <c r="RBV25" s="3"/>
      <c r="RBW25" s="3"/>
      <c r="RBX25" s="3"/>
      <c r="RBY25" s="3"/>
      <c r="RBZ25" s="3"/>
      <c r="RCA25" s="3"/>
      <c r="RCB25" s="3"/>
      <c r="RCC25" s="3"/>
      <c r="RCD25" s="3"/>
      <c r="RCE25" s="3"/>
      <c r="RCF25" s="3"/>
      <c r="RCG25" s="3"/>
      <c r="RCH25" s="3"/>
      <c r="RCI25" s="3"/>
      <c r="RCJ25" s="3"/>
      <c r="RCK25" s="3"/>
      <c r="RCL25" s="3"/>
      <c r="RCM25" s="3"/>
      <c r="RCN25" s="3"/>
      <c r="RCO25" s="3"/>
      <c r="RCP25" s="3"/>
      <c r="RCQ25" s="3"/>
      <c r="RCR25" s="3"/>
      <c r="RCS25" s="3"/>
      <c r="RCT25" s="3"/>
      <c r="RCU25" s="3"/>
      <c r="RCV25" s="3"/>
      <c r="RCW25" s="3"/>
      <c r="RCX25" s="3"/>
      <c r="RCY25" s="3"/>
      <c r="RCZ25" s="3"/>
      <c r="RDA25" s="3"/>
      <c r="RDB25" s="3"/>
      <c r="RDC25" s="3"/>
      <c r="RDD25" s="3"/>
      <c r="RDE25" s="3"/>
      <c r="RDF25" s="3"/>
      <c r="RDG25" s="3"/>
      <c r="RDH25" s="3"/>
      <c r="RDI25" s="3"/>
      <c r="RDJ25" s="3"/>
      <c r="RDK25" s="3"/>
      <c r="RDL25" s="3"/>
      <c r="RDM25" s="3"/>
      <c r="RDN25" s="3"/>
      <c r="RDO25" s="3"/>
      <c r="RDP25" s="3"/>
      <c r="RDQ25" s="3"/>
      <c r="RDR25" s="3"/>
      <c r="RDS25" s="3"/>
      <c r="RDT25" s="3"/>
      <c r="RDU25" s="3"/>
      <c r="RDV25" s="3"/>
      <c r="RDW25" s="3"/>
      <c r="RDX25" s="3"/>
      <c r="RDY25" s="3"/>
      <c r="RDZ25" s="3"/>
      <c r="REA25" s="3"/>
      <c r="REB25" s="3"/>
      <c r="REC25" s="3"/>
      <c r="RED25" s="3"/>
      <c r="REE25" s="3"/>
      <c r="REF25" s="3"/>
      <c r="REG25" s="3"/>
      <c r="REH25" s="3"/>
      <c r="REI25" s="3"/>
      <c r="REJ25" s="3"/>
      <c r="REK25" s="3"/>
      <c r="REL25" s="3"/>
      <c r="REM25" s="3"/>
      <c r="REN25" s="3"/>
      <c r="REO25" s="3"/>
      <c r="REP25" s="3"/>
      <c r="REQ25" s="3"/>
      <c r="RER25" s="3"/>
      <c r="RES25" s="3"/>
      <c r="RET25" s="3"/>
      <c r="REU25" s="3"/>
      <c r="REV25" s="3"/>
      <c r="REW25" s="3"/>
      <c r="REX25" s="3"/>
      <c r="REY25" s="3"/>
      <c r="REZ25" s="3"/>
      <c r="RFA25" s="3"/>
      <c r="RFB25" s="3"/>
      <c r="RFC25" s="3"/>
      <c r="RFD25" s="3"/>
      <c r="RFE25" s="3"/>
      <c r="RFF25" s="3"/>
      <c r="RFG25" s="3"/>
      <c r="RFH25" s="3"/>
      <c r="RFI25" s="3"/>
      <c r="RFJ25" s="3"/>
      <c r="RFK25" s="3"/>
      <c r="RFL25" s="3"/>
      <c r="RFM25" s="3"/>
      <c r="RFN25" s="3"/>
      <c r="RFO25" s="3"/>
      <c r="RFP25" s="3"/>
      <c r="RFQ25" s="3"/>
      <c r="RFR25" s="3"/>
      <c r="RFS25" s="3"/>
      <c r="RFT25" s="3"/>
      <c r="RFU25" s="3"/>
      <c r="RFV25" s="3"/>
      <c r="RFW25" s="3"/>
      <c r="RFX25" s="3"/>
      <c r="RFY25" s="3"/>
      <c r="RFZ25" s="3"/>
      <c r="RGA25" s="3"/>
      <c r="RGB25" s="3"/>
      <c r="RGC25" s="3"/>
      <c r="RGD25" s="3"/>
      <c r="RGE25" s="3"/>
      <c r="RGF25" s="3"/>
      <c r="RGG25" s="3"/>
      <c r="RGH25" s="3"/>
      <c r="RGI25" s="3"/>
      <c r="RGJ25" s="3"/>
      <c r="RGK25" s="3"/>
      <c r="RGL25" s="3"/>
      <c r="RGM25" s="3"/>
      <c r="RGN25" s="3"/>
      <c r="RGO25" s="3"/>
      <c r="RGP25" s="3"/>
      <c r="RGQ25" s="3"/>
      <c r="RGR25" s="3"/>
      <c r="RGS25" s="3"/>
      <c r="RGT25" s="3"/>
      <c r="RGU25" s="3"/>
      <c r="RGV25" s="3"/>
      <c r="RGW25" s="3"/>
      <c r="RGX25" s="3"/>
      <c r="RGY25" s="3"/>
      <c r="RGZ25" s="3"/>
      <c r="RHA25" s="3"/>
      <c r="RHB25" s="3"/>
      <c r="RHC25" s="3"/>
      <c r="RHD25" s="3"/>
      <c r="RHE25" s="3"/>
      <c r="RHF25" s="3"/>
      <c r="RHG25" s="3"/>
      <c r="RHH25" s="3"/>
      <c r="RHI25" s="3"/>
      <c r="RHJ25" s="3"/>
      <c r="RHK25" s="3"/>
      <c r="RHL25" s="3"/>
      <c r="RHM25" s="3"/>
      <c r="RHN25" s="3"/>
      <c r="RHO25" s="3"/>
      <c r="RHP25" s="3"/>
      <c r="RHQ25" s="3"/>
      <c r="RHR25" s="3"/>
      <c r="RHS25" s="3"/>
      <c r="RHT25" s="3"/>
      <c r="RHU25" s="3"/>
      <c r="RHV25" s="3"/>
      <c r="RHW25" s="3"/>
      <c r="RHX25" s="3"/>
      <c r="RHY25" s="3"/>
      <c r="RHZ25" s="3"/>
      <c r="RIA25" s="3"/>
      <c r="RIB25" s="3"/>
      <c r="RIC25" s="3"/>
      <c r="RID25" s="3"/>
      <c r="RIE25" s="3"/>
      <c r="RIF25" s="3"/>
      <c r="RIG25" s="3"/>
      <c r="RIH25" s="3"/>
      <c r="RII25" s="3"/>
      <c r="RIJ25" s="3"/>
      <c r="RIK25" s="3"/>
      <c r="RIL25" s="3"/>
      <c r="RIM25" s="3"/>
      <c r="RIN25" s="3"/>
      <c r="RIO25" s="3"/>
      <c r="RIP25" s="3"/>
      <c r="RIQ25" s="3"/>
      <c r="RIR25" s="3"/>
      <c r="RIS25" s="3"/>
      <c r="RIT25" s="3"/>
      <c r="RIU25" s="3"/>
      <c r="RIV25" s="3"/>
      <c r="RIW25" s="3"/>
      <c r="RIX25" s="3"/>
      <c r="RIY25" s="3"/>
      <c r="RIZ25" s="3"/>
      <c r="RJA25" s="3"/>
      <c r="RJB25" s="3"/>
      <c r="RJC25" s="3"/>
      <c r="RJD25" s="3"/>
      <c r="RJE25" s="3"/>
      <c r="RJF25" s="3"/>
      <c r="RJG25" s="3"/>
      <c r="RJH25" s="3"/>
      <c r="RJI25" s="3"/>
      <c r="RJJ25" s="3"/>
      <c r="RJK25" s="3"/>
      <c r="RJL25" s="3"/>
      <c r="RJM25" s="3"/>
      <c r="RJN25" s="3"/>
      <c r="RJO25" s="3"/>
      <c r="RJP25" s="3"/>
      <c r="RJQ25" s="3"/>
      <c r="RJR25" s="3"/>
      <c r="RJS25" s="3"/>
      <c r="RJT25" s="3"/>
      <c r="RJU25" s="3"/>
      <c r="RJV25" s="3"/>
      <c r="RJW25" s="3"/>
      <c r="RJX25" s="3"/>
      <c r="RJY25" s="3"/>
      <c r="RJZ25" s="3"/>
      <c r="RKA25" s="3"/>
      <c r="RKB25" s="3"/>
      <c r="RKC25" s="3"/>
      <c r="RKD25" s="3"/>
      <c r="RKE25" s="3"/>
      <c r="RKF25" s="3"/>
      <c r="RKG25" s="3"/>
      <c r="RKH25" s="3"/>
      <c r="RKI25" s="3"/>
      <c r="RKJ25" s="3"/>
      <c r="RKK25" s="3"/>
      <c r="RKL25" s="3"/>
      <c r="RKM25" s="3"/>
      <c r="RKN25" s="3"/>
      <c r="RKO25" s="3"/>
      <c r="RKP25" s="3"/>
      <c r="RKQ25" s="3"/>
      <c r="RKR25" s="3"/>
      <c r="RKS25" s="3"/>
      <c r="RKT25" s="3"/>
      <c r="RKU25" s="3"/>
      <c r="RKV25" s="3"/>
      <c r="RKW25" s="3"/>
      <c r="RKX25" s="3"/>
      <c r="RKY25" s="3"/>
      <c r="RKZ25" s="3"/>
      <c r="RLA25" s="3"/>
      <c r="RLB25" s="3"/>
      <c r="RLC25" s="3"/>
      <c r="RLD25" s="3"/>
      <c r="RLE25" s="3"/>
      <c r="RLF25" s="3"/>
      <c r="RLG25" s="3"/>
      <c r="RLH25" s="3"/>
      <c r="RLI25" s="3"/>
      <c r="RLJ25" s="3"/>
      <c r="RLK25" s="3"/>
      <c r="RLL25" s="3"/>
      <c r="RLM25" s="3"/>
      <c r="RLN25" s="3"/>
      <c r="RLO25" s="3"/>
      <c r="RLP25" s="3"/>
      <c r="RLQ25" s="3"/>
      <c r="RLR25" s="3"/>
      <c r="RLS25" s="3"/>
      <c r="RLT25" s="3"/>
      <c r="RLU25" s="3"/>
      <c r="RLV25" s="3"/>
      <c r="RLW25" s="3"/>
      <c r="RLX25" s="3"/>
      <c r="RLY25" s="3"/>
      <c r="RLZ25" s="3"/>
      <c r="RMA25" s="3"/>
      <c r="RMB25" s="3"/>
      <c r="RMC25" s="3"/>
      <c r="RMD25" s="3"/>
      <c r="RME25" s="3"/>
      <c r="RMF25" s="3"/>
      <c r="RMG25" s="3"/>
      <c r="RMH25" s="3"/>
      <c r="RMI25" s="3"/>
      <c r="RMJ25" s="3"/>
      <c r="RMK25" s="3"/>
      <c r="RML25" s="3"/>
      <c r="RMM25" s="3"/>
      <c r="RMN25" s="3"/>
      <c r="RMO25" s="3"/>
      <c r="RMP25" s="3"/>
      <c r="RMQ25" s="3"/>
      <c r="RMR25" s="3"/>
      <c r="RMS25" s="3"/>
      <c r="RMT25" s="3"/>
      <c r="RMU25" s="3"/>
      <c r="RMV25" s="3"/>
      <c r="RMW25" s="3"/>
      <c r="RMX25" s="3"/>
      <c r="RMY25" s="3"/>
      <c r="RMZ25" s="3"/>
      <c r="RNA25" s="3"/>
      <c r="RNB25" s="3"/>
      <c r="RNC25" s="3"/>
      <c r="RND25" s="3"/>
      <c r="RNE25" s="3"/>
      <c r="RNF25" s="3"/>
      <c r="RNG25" s="3"/>
      <c r="RNH25" s="3"/>
      <c r="RNI25" s="3"/>
      <c r="RNJ25" s="3"/>
      <c r="RNK25" s="3"/>
      <c r="RNL25" s="3"/>
      <c r="RNM25" s="3"/>
      <c r="RNN25" s="3"/>
      <c r="RNO25" s="3"/>
      <c r="RNP25" s="3"/>
      <c r="RNQ25" s="3"/>
      <c r="RNR25" s="3"/>
      <c r="RNS25" s="3"/>
      <c r="RNT25" s="3"/>
      <c r="RNU25" s="3"/>
      <c r="RNV25" s="3"/>
      <c r="RNW25" s="3"/>
      <c r="RNX25" s="3"/>
      <c r="RNY25" s="3"/>
      <c r="RNZ25" s="3"/>
      <c r="ROA25" s="3"/>
      <c r="ROB25" s="3"/>
      <c r="ROC25" s="3"/>
      <c r="ROD25" s="3"/>
      <c r="ROE25" s="3"/>
      <c r="ROF25" s="3"/>
      <c r="ROG25" s="3"/>
      <c r="ROH25" s="3"/>
      <c r="ROI25" s="3"/>
      <c r="ROJ25" s="3"/>
      <c r="ROK25" s="3"/>
      <c r="ROL25" s="3"/>
      <c r="ROM25" s="3"/>
      <c r="RON25" s="3"/>
      <c r="ROO25" s="3"/>
      <c r="ROP25" s="3"/>
      <c r="ROQ25" s="3"/>
      <c r="ROR25" s="3"/>
      <c r="ROS25" s="3"/>
      <c r="ROT25" s="3"/>
      <c r="ROU25" s="3"/>
      <c r="ROV25" s="3"/>
      <c r="ROW25" s="3"/>
      <c r="ROX25" s="3"/>
      <c r="ROY25" s="3"/>
      <c r="ROZ25" s="3"/>
      <c r="RPA25" s="3"/>
      <c r="RPB25" s="3"/>
      <c r="RPC25" s="3"/>
      <c r="RPD25" s="3"/>
      <c r="RPE25" s="3"/>
      <c r="RPF25" s="3"/>
      <c r="RPG25" s="3"/>
      <c r="RPH25" s="3"/>
      <c r="RPI25" s="3"/>
      <c r="RPJ25" s="3"/>
      <c r="RPK25" s="3"/>
      <c r="RPL25" s="3"/>
      <c r="RPM25" s="3"/>
      <c r="RPN25" s="3"/>
      <c r="RPO25" s="3"/>
      <c r="RPP25" s="3"/>
      <c r="RPQ25" s="3"/>
      <c r="RPR25" s="3"/>
      <c r="RPS25" s="3"/>
      <c r="RPT25" s="3"/>
      <c r="RPU25" s="3"/>
      <c r="RPV25" s="3"/>
      <c r="RPW25" s="3"/>
      <c r="RPX25" s="3"/>
      <c r="RPY25" s="3"/>
      <c r="RPZ25" s="3"/>
      <c r="RQA25" s="3"/>
      <c r="RQB25" s="3"/>
      <c r="RQC25" s="3"/>
      <c r="RQD25" s="3"/>
      <c r="RQE25" s="3"/>
      <c r="RQF25" s="3"/>
      <c r="RQG25" s="3"/>
      <c r="RQH25" s="3"/>
      <c r="RQI25" s="3"/>
      <c r="RQJ25" s="3"/>
      <c r="RQK25" s="3"/>
      <c r="RQL25" s="3"/>
      <c r="RQM25" s="3"/>
      <c r="RQN25" s="3"/>
      <c r="RQO25" s="3"/>
      <c r="RQP25" s="3"/>
      <c r="RQQ25" s="3"/>
      <c r="RQR25" s="3"/>
      <c r="RQS25" s="3"/>
      <c r="RQT25" s="3"/>
      <c r="RQU25" s="3"/>
      <c r="RQV25" s="3"/>
      <c r="RQW25" s="3"/>
      <c r="RQX25" s="3"/>
      <c r="RQY25" s="3"/>
      <c r="RQZ25" s="3"/>
      <c r="RRA25" s="3"/>
      <c r="RRB25" s="3"/>
      <c r="RRC25" s="3"/>
      <c r="RRD25" s="3"/>
      <c r="RRE25" s="3"/>
      <c r="RRF25" s="3"/>
      <c r="RRG25" s="3"/>
      <c r="RRH25" s="3"/>
      <c r="RRI25" s="3"/>
      <c r="RRJ25" s="3"/>
      <c r="RRK25" s="3"/>
      <c r="RRL25" s="3"/>
      <c r="RRM25" s="3"/>
      <c r="RRN25" s="3"/>
      <c r="RRO25" s="3"/>
      <c r="RRP25" s="3"/>
      <c r="RRQ25" s="3"/>
      <c r="RRR25" s="3"/>
      <c r="RRS25" s="3"/>
      <c r="RRT25" s="3"/>
      <c r="RRU25" s="3"/>
      <c r="RRV25" s="3"/>
      <c r="RRW25" s="3"/>
      <c r="RRX25" s="3"/>
      <c r="RRY25" s="3"/>
      <c r="RRZ25" s="3"/>
      <c r="RSA25" s="3"/>
      <c r="RSB25" s="3"/>
      <c r="RSC25" s="3"/>
      <c r="RSD25" s="3"/>
      <c r="RSE25" s="3"/>
      <c r="RSF25" s="3"/>
      <c r="RSG25" s="3"/>
      <c r="RSH25" s="3"/>
      <c r="RSI25" s="3"/>
      <c r="RSJ25" s="3"/>
      <c r="RSK25" s="3"/>
      <c r="RSL25" s="3"/>
      <c r="RSM25" s="3"/>
      <c r="RSN25" s="3"/>
      <c r="RSO25" s="3"/>
      <c r="RSP25" s="3"/>
      <c r="RSQ25" s="3"/>
      <c r="RSR25" s="3"/>
      <c r="RSS25" s="3"/>
      <c r="RST25" s="3"/>
      <c r="RSU25" s="3"/>
      <c r="RSV25" s="3"/>
      <c r="RSW25" s="3"/>
      <c r="RSX25" s="3"/>
      <c r="RSY25" s="3"/>
      <c r="RSZ25" s="3"/>
      <c r="RTA25" s="3"/>
      <c r="RTB25" s="3"/>
      <c r="RTC25" s="3"/>
      <c r="RTD25" s="3"/>
      <c r="RTE25" s="3"/>
      <c r="RTF25" s="3"/>
      <c r="RTG25" s="3"/>
      <c r="RTH25" s="3"/>
      <c r="RTI25" s="3"/>
      <c r="RTJ25" s="3"/>
      <c r="RTK25" s="3"/>
      <c r="RTL25" s="3"/>
      <c r="RTM25" s="3"/>
      <c r="RTN25" s="3"/>
      <c r="RTO25" s="3"/>
      <c r="RTP25" s="3"/>
      <c r="RTQ25" s="3"/>
      <c r="RTR25" s="3"/>
      <c r="RTS25" s="3"/>
      <c r="RTT25" s="3"/>
      <c r="RTU25" s="3"/>
      <c r="RTV25" s="3"/>
      <c r="RTW25" s="3"/>
      <c r="RTX25" s="3"/>
      <c r="RTY25" s="3"/>
      <c r="RTZ25" s="3"/>
      <c r="RUA25" s="3"/>
      <c r="RUB25" s="3"/>
      <c r="RUC25" s="3"/>
      <c r="RUD25" s="3"/>
      <c r="RUE25" s="3"/>
      <c r="RUF25" s="3"/>
      <c r="RUG25" s="3"/>
      <c r="RUH25" s="3"/>
      <c r="RUI25" s="3"/>
      <c r="RUJ25" s="3"/>
      <c r="RUK25" s="3"/>
      <c r="RUL25" s="3"/>
      <c r="RUM25" s="3"/>
      <c r="RUN25" s="3"/>
      <c r="RUO25" s="3"/>
      <c r="RUP25" s="3"/>
      <c r="RUQ25" s="3"/>
      <c r="RUR25" s="3"/>
      <c r="RUS25" s="3"/>
      <c r="RUT25" s="3"/>
      <c r="RUU25" s="3"/>
      <c r="RUV25" s="3"/>
      <c r="RUW25" s="3"/>
      <c r="RUX25" s="3"/>
      <c r="RUY25" s="3"/>
      <c r="RUZ25" s="3"/>
      <c r="RVA25" s="3"/>
      <c r="RVB25" s="3"/>
      <c r="RVC25" s="3"/>
      <c r="RVD25" s="3"/>
      <c r="RVE25" s="3"/>
      <c r="RVF25" s="3"/>
      <c r="RVG25" s="3"/>
      <c r="RVH25" s="3"/>
      <c r="RVI25" s="3"/>
      <c r="RVJ25" s="3"/>
      <c r="RVK25" s="3"/>
      <c r="RVL25" s="3"/>
      <c r="RVM25" s="3"/>
      <c r="RVN25" s="3"/>
      <c r="RVO25" s="3"/>
      <c r="RVP25" s="3"/>
      <c r="RVQ25" s="3"/>
      <c r="RVR25" s="3"/>
      <c r="RVS25" s="3"/>
      <c r="RVT25" s="3"/>
      <c r="RVU25" s="3"/>
      <c r="RVV25" s="3"/>
      <c r="RVW25" s="3"/>
      <c r="RVX25" s="3"/>
      <c r="RVY25" s="3"/>
      <c r="RVZ25" s="3"/>
      <c r="RWA25" s="3"/>
      <c r="RWB25" s="3"/>
      <c r="RWC25" s="3"/>
      <c r="RWD25" s="3"/>
      <c r="RWE25" s="3"/>
      <c r="RWF25" s="3"/>
      <c r="RWG25" s="3"/>
      <c r="RWH25" s="3"/>
      <c r="RWI25" s="3"/>
      <c r="RWJ25" s="3"/>
      <c r="RWK25" s="3"/>
      <c r="RWL25" s="3"/>
      <c r="RWM25" s="3"/>
      <c r="RWN25" s="3"/>
      <c r="RWO25" s="3"/>
      <c r="RWP25" s="3"/>
      <c r="RWQ25" s="3"/>
      <c r="RWR25" s="3"/>
      <c r="RWS25" s="3"/>
      <c r="RWT25" s="3"/>
      <c r="RWU25" s="3"/>
      <c r="RWV25" s="3"/>
      <c r="RWW25" s="3"/>
      <c r="RWX25" s="3"/>
      <c r="RWY25" s="3"/>
      <c r="RWZ25" s="3"/>
      <c r="RXA25" s="3"/>
      <c r="RXB25" s="3"/>
      <c r="RXC25" s="3"/>
      <c r="RXD25" s="3"/>
      <c r="RXE25" s="3"/>
      <c r="RXF25" s="3"/>
      <c r="RXG25" s="3"/>
      <c r="RXH25" s="3"/>
      <c r="RXI25" s="3"/>
      <c r="RXJ25" s="3"/>
      <c r="RXK25" s="3"/>
      <c r="RXL25" s="3"/>
      <c r="RXM25" s="3"/>
      <c r="RXN25" s="3"/>
      <c r="RXO25" s="3"/>
      <c r="RXP25" s="3"/>
      <c r="RXQ25" s="3"/>
      <c r="RXR25" s="3"/>
      <c r="RXS25" s="3"/>
      <c r="RXT25" s="3"/>
      <c r="RXU25" s="3"/>
      <c r="RXV25" s="3"/>
      <c r="RXW25" s="3"/>
      <c r="RXX25" s="3"/>
      <c r="RXY25" s="3"/>
      <c r="RXZ25" s="3"/>
      <c r="RYA25" s="3"/>
      <c r="RYB25" s="3"/>
      <c r="RYC25" s="3"/>
      <c r="RYD25" s="3"/>
      <c r="RYE25" s="3"/>
      <c r="RYF25" s="3"/>
      <c r="RYG25" s="3"/>
      <c r="RYH25" s="3"/>
      <c r="RYI25" s="3"/>
      <c r="RYJ25" s="3"/>
      <c r="RYK25" s="3"/>
      <c r="RYL25" s="3"/>
      <c r="RYM25" s="3"/>
      <c r="RYN25" s="3"/>
      <c r="RYO25" s="3"/>
      <c r="RYP25" s="3"/>
      <c r="RYQ25" s="3"/>
      <c r="RYR25" s="3"/>
      <c r="RYS25" s="3"/>
      <c r="RYT25" s="3"/>
      <c r="RYU25" s="3"/>
      <c r="RYV25" s="3"/>
      <c r="RYW25" s="3"/>
      <c r="RYX25" s="3"/>
      <c r="RYY25" s="3"/>
      <c r="RYZ25" s="3"/>
      <c r="RZA25" s="3"/>
      <c r="RZB25" s="3"/>
      <c r="RZC25" s="3"/>
      <c r="RZD25" s="3"/>
      <c r="RZE25" s="3"/>
      <c r="RZF25" s="3"/>
      <c r="RZG25" s="3"/>
      <c r="RZH25" s="3"/>
      <c r="RZI25" s="3"/>
      <c r="RZJ25" s="3"/>
      <c r="RZK25" s="3"/>
      <c r="RZL25" s="3"/>
      <c r="RZM25" s="3"/>
      <c r="RZN25" s="3"/>
      <c r="RZO25" s="3"/>
      <c r="RZP25" s="3"/>
      <c r="RZQ25" s="3"/>
      <c r="RZR25" s="3"/>
      <c r="RZS25" s="3"/>
      <c r="RZT25" s="3"/>
      <c r="RZU25" s="3"/>
      <c r="RZV25" s="3"/>
      <c r="RZW25" s="3"/>
      <c r="RZX25" s="3"/>
      <c r="RZY25" s="3"/>
      <c r="RZZ25" s="3"/>
      <c r="SAA25" s="3"/>
      <c r="SAB25" s="3"/>
      <c r="SAC25" s="3"/>
      <c r="SAD25" s="3"/>
      <c r="SAE25" s="3"/>
      <c r="SAF25" s="3"/>
      <c r="SAG25" s="3"/>
      <c r="SAH25" s="3"/>
      <c r="SAI25" s="3"/>
      <c r="SAJ25" s="3"/>
      <c r="SAK25" s="3"/>
      <c r="SAL25" s="3"/>
      <c r="SAM25" s="3"/>
      <c r="SAN25" s="3"/>
      <c r="SAO25" s="3"/>
      <c r="SAP25" s="3"/>
      <c r="SAQ25" s="3"/>
      <c r="SAR25" s="3"/>
      <c r="SAS25" s="3"/>
      <c r="SAT25" s="3"/>
      <c r="SAU25" s="3"/>
      <c r="SAV25" s="3"/>
      <c r="SAW25" s="3"/>
      <c r="SAX25" s="3"/>
      <c r="SAY25" s="3"/>
      <c r="SAZ25" s="3"/>
      <c r="SBA25" s="3"/>
      <c r="SBB25" s="3"/>
      <c r="SBC25" s="3"/>
      <c r="SBD25" s="3"/>
      <c r="SBE25" s="3"/>
      <c r="SBF25" s="3"/>
      <c r="SBG25" s="3"/>
      <c r="SBH25" s="3"/>
      <c r="SBI25" s="3"/>
      <c r="SBJ25" s="3"/>
      <c r="SBK25" s="3"/>
      <c r="SBL25" s="3"/>
      <c r="SBM25" s="3"/>
      <c r="SBN25" s="3"/>
      <c r="SBO25" s="3"/>
      <c r="SBP25" s="3"/>
      <c r="SBQ25" s="3"/>
      <c r="SBR25" s="3"/>
      <c r="SBS25" s="3"/>
      <c r="SBT25" s="3"/>
      <c r="SBU25" s="3"/>
      <c r="SBV25" s="3"/>
      <c r="SBW25" s="3"/>
      <c r="SBX25" s="3"/>
      <c r="SBY25" s="3"/>
      <c r="SBZ25" s="3"/>
      <c r="SCA25" s="3"/>
      <c r="SCB25" s="3"/>
      <c r="SCC25" s="3"/>
      <c r="SCD25" s="3"/>
      <c r="SCE25" s="3"/>
      <c r="SCF25" s="3"/>
      <c r="SCG25" s="3"/>
      <c r="SCH25" s="3"/>
      <c r="SCI25" s="3"/>
      <c r="SCJ25" s="3"/>
      <c r="SCK25" s="3"/>
      <c r="SCL25" s="3"/>
      <c r="SCM25" s="3"/>
      <c r="SCN25" s="3"/>
      <c r="SCO25" s="3"/>
      <c r="SCP25" s="3"/>
      <c r="SCQ25" s="3"/>
      <c r="SCR25" s="3"/>
      <c r="SCS25" s="3"/>
      <c r="SCT25" s="3"/>
      <c r="SCU25" s="3"/>
      <c r="SCV25" s="3"/>
      <c r="SCW25" s="3"/>
      <c r="SCX25" s="3"/>
      <c r="SCY25" s="3"/>
      <c r="SCZ25" s="3"/>
      <c r="SDA25" s="3"/>
      <c r="SDB25" s="3"/>
      <c r="SDC25" s="3"/>
      <c r="SDD25" s="3"/>
      <c r="SDE25" s="3"/>
      <c r="SDF25" s="3"/>
      <c r="SDG25" s="3"/>
      <c r="SDH25" s="3"/>
      <c r="SDI25" s="3"/>
      <c r="SDJ25" s="3"/>
      <c r="SDK25" s="3"/>
      <c r="SDL25" s="3"/>
      <c r="SDM25" s="3"/>
      <c r="SDN25" s="3"/>
      <c r="SDO25" s="3"/>
      <c r="SDP25" s="3"/>
      <c r="SDQ25" s="3"/>
      <c r="SDR25" s="3"/>
      <c r="SDS25" s="3"/>
      <c r="SDT25" s="3"/>
      <c r="SDU25" s="3"/>
      <c r="SDV25" s="3"/>
      <c r="SDW25" s="3"/>
      <c r="SDX25" s="3"/>
      <c r="SDY25" s="3"/>
      <c r="SDZ25" s="3"/>
      <c r="SEA25" s="3"/>
      <c r="SEB25" s="3"/>
      <c r="SEC25" s="3"/>
      <c r="SED25" s="3"/>
      <c r="SEE25" s="3"/>
      <c r="SEF25" s="3"/>
      <c r="SEG25" s="3"/>
      <c r="SEH25" s="3"/>
      <c r="SEI25" s="3"/>
      <c r="SEJ25" s="3"/>
      <c r="SEK25" s="3"/>
      <c r="SEL25" s="3"/>
      <c r="SEM25" s="3"/>
      <c r="SEN25" s="3"/>
      <c r="SEO25" s="3"/>
      <c r="SEP25" s="3"/>
      <c r="SEQ25" s="3"/>
      <c r="SER25" s="3"/>
      <c r="SES25" s="3"/>
      <c r="SET25" s="3"/>
      <c r="SEU25" s="3"/>
      <c r="SEV25" s="3"/>
      <c r="SEW25" s="3"/>
      <c r="SEX25" s="3"/>
      <c r="SEY25" s="3"/>
      <c r="SEZ25" s="3"/>
      <c r="SFA25" s="3"/>
      <c r="SFB25" s="3"/>
      <c r="SFC25" s="3"/>
      <c r="SFD25" s="3"/>
      <c r="SFE25" s="3"/>
      <c r="SFF25" s="3"/>
      <c r="SFG25" s="3"/>
      <c r="SFH25" s="3"/>
      <c r="SFI25" s="3"/>
      <c r="SFJ25" s="3"/>
      <c r="SFK25" s="3"/>
      <c r="SFL25" s="3"/>
      <c r="SFM25" s="3"/>
      <c r="SFN25" s="3"/>
      <c r="SFO25" s="3"/>
      <c r="SFP25" s="3"/>
      <c r="SFQ25" s="3"/>
      <c r="SFR25" s="3"/>
      <c r="SFS25" s="3"/>
      <c r="SFT25" s="3"/>
      <c r="SFU25" s="3"/>
      <c r="SFV25" s="3"/>
      <c r="SFW25" s="3"/>
      <c r="SFX25" s="3"/>
      <c r="SFY25" s="3"/>
      <c r="SFZ25" s="3"/>
      <c r="SGA25" s="3"/>
      <c r="SGB25" s="3"/>
      <c r="SGC25" s="3"/>
      <c r="SGD25" s="3"/>
      <c r="SGE25" s="3"/>
      <c r="SGF25" s="3"/>
      <c r="SGG25" s="3"/>
      <c r="SGH25" s="3"/>
      <c r="SGI25" s="3"/>
      <c r="SGJ25" s="3"/>
      <c r="SGK25" s="3"/>
      <c r="SGL25" s="3"/>
      <c r="SGM25" s="3"/>
      <c r="SGN25" s="3"/>
      <c r="SGO25" s="3"/>
      <c r="SGP25" s="3"/>
      <c r="SGQ25" s="3"/>
      <c r="SGR25" s="3"/>
      <c r="SGS25" s="3"/>
      <c r="SGT25" s="3"/>
      <c r="SGU25" s="3"/>
      <c r="SGV25" s="3"/>
      <c r="SGW25" s="3"/>
      <c r="SGX25" s="3"/>
      <c r="SGY25" s="3"/>
      <c r="SGZ25" s="3"/>
      <c r="SHA25" s="3"/>
      <c r="SHB25" s="3"/>
      <c r="SHC25" s="3"/>
      <c r="SHD25" s="3"/>
      <c r="SHE25" s="3"/>
      <c r="SHF25" s="3"/>
      <c r="SHG25" s="3"/>
      <c r="SHH25" s="3"/>
      <c r="SHI25" s="3"/>
      <c r="SHJ25" s="3"/>
      <c r="SHK25" s="3"/>
      <c r="SHL25" s="3"/>
      <c r="SHM25" s="3"/>
      <c r="SHN25" s="3"/>
      <c r="SHO25" s="3"/>
      <c r="SHP25" s="3"/>
      <c r="SHQ25" s="3"/>
      <c r="SHR25" s="3"/>
      <c r="SHS25" s="3"/>
      <c r="SHT25" s="3"/>
      <c r="SHU25" s="3"/>
      <c r="SHV25" s="3"/>
      <c r="SHW25" s="3"/>
      <c r="SHX25" s="3"/>
      <c r="SHY25" s="3"/>
      <c r="SHZ25" s="3"/>
      <c r="SIA25" s="3"/>
      <c r="SIB25" s="3"/>
      <c r="SIC25" s="3"/>
      <c r="SID25" s="3"/>
      <c r="SIE25" s="3"/>
      <c r="SIF25" s="3"/>
      <c r="SIG25" s="3"/>
      <c r="SIH25" s="3"/>
      <c r="SII25" s="3"/>
      <c r="SIJ25" s="3"/>
      <c r="SIK25" s="3"/>
      <c r="SIL25" s="3"/>
      <c r="SIM25" s="3"/>
      <c r="SIN25" s="3"/>
      <c r="SIO25" s="3"/>
      <c r="SIP25" s="3"/>
      <c r="SIQ25" s="3"/>
      <c r="SIR25" s="3"/>
      <c r="SIS25" s="3"/>
      <c r="SIT25" s="3"/>
      <c r="SIU25" s="3"/>
      <c r="SIV25" s="3"/>
      <c r="SIW25" s="3"/>
      <c r="SIX25" s="3"/>
      <c r="SIY25" s="3"/>
      <c r="SIZ25" s="3"/>
      <c r="SJA25" s="3"/>
      <c r="SJB25" s="3"/>
      <c r="SJC25" s="3"/>
      <c r="SJD25" s="3"/>
      <c r="SJE25" s="3"/>
      <c r="SJF25" s="3"/>
      <c r="SJG25" s="3"/>
      <c r="SJH25" s="3"/>
      <c r="SJI25" s="3"/>
      <c r="SJJ25" s="3"/>
      <c r="SJK25" s="3"/>
      <c r="SJL25" s="3"/>
      <c r="SJM25" s="3"/>
      <c r="SJN25" s="3"/>
      <c r="SJO25" s="3"/>
      <c r="SJP25" s="3"/>
      <c r="SJQ25" s="3"/>
      <c r="SJR25" s="3"/>
      <c r="SJS25" s="3"/>
      <c r="SJT25" s="3"/>
      <c r="SJU25" s="3"/>
      <c r="SJV25" s="3"/>
      <c r="SJW25" s="3"/>
      <c r="SJX25" s="3"/>
      <c r="SJY25" s="3"/>
      <c r="SJZ25" s="3"/>
      <c r="SKA25" s="3"/>
      <c r="SKB25" s="3"/>
      <c r="SKC25" s="3"/>
      <c r="SKD25" s="3"/>
      <c r="SKE25" s="3"/>
      <c r="SKF25" s="3"/>
      <c r="SKG25" s="3"/>
      <c r="SKH25" s="3"/>
      <c r="SKI25" s="3"/>
      <c r="SKJ25" s="3"/>
      <c r="SKK25" s="3"/>
      <c r="SKL25" s="3"/>
      <c r="SKM25" s="3"/>
      <c r="SKN25" s="3"/>
      <c r="SKO25" s="3"/>
      <c r="SKP25" s="3"/>
      <c r="SKQ25" s="3"/>
      <c r="SKR25" s="3"/>
      <c r="SKS25" s="3"/>
      <c r="SKT25" s="3"/>
      <c r="SKU25" s="3"/>
      <c r="SKV25" s="3"/>
      <c r="SKW25" s="3"/>
      <c r="SKX25" s="3"/>
      <c r="SKY25" s="3"/>
      <c r="SKZ25" s="3"/>
      <c r="SLA25" s="3"/>
      <c r="SLB25" s="3"/>
      <c r="SLC25" s="3"/>
      <c r="SLD25" s="3"/>
      <c r="SLE25" s="3"/>
      <c r="SLF25" s="3"/>
      <c r="SLG25" s="3"/>
      <c r="SLH25" s="3"/>
      <c r="SLI25" s="3"/>
      <c r="SLJ25" s="3"/>
      <c r="SLK25" s="3"/>
      <c r="SLL25" s="3"/>
      <c r="SLM25" s="3"/>
      <c r="SLN25" s="3"/>
      <c r="SLO25" s="3"/>
      <c r="SLP25" s="3"/>
      <c r="SLQ25" s="3"/>
      <c r="SLR25" s="3"/>
      <c r="SLS25" s="3"/>
      <c r="SLT25" s="3"/>
      <c r="SLU25" s="3"/>
      <c r="SLV25" s="3"/>
      <c r="SLW25" s="3"/>
      <c r="SLX25" s="3"/>
      <c r="SLY25" s="3"/>
      <c r="SLZ25" s="3"/>
      <c r="SMA25" s="3"/>
      <c r="SMB25" s="3"/>
      <c r="SMC25" s="3"/>
      <c r="SMD25" s="3"/>
      <c r="SME25" s="3"/>
      <c r="SMF25" s="3"/>
      <c r="SMG25" s="3"/>
      <c r="SMH25" s="3"/>
      <c r="SMI25" s="3"/>
      <c r="SMJ25" s="3"/>
      <c r="SMK25" s="3"/>
      <c r="SML25" s="3"/>
      <c r="SMM25" s="3"/>
      <c r="SMN25" s="3"/>
      <c r="SMO25" s="3"/>
      <c r="SMP25" s="3"/>
      <c r="SMQ25" s="3"/>
      <c r="SMR25" s="3"/>
      <c r="SMS25" s="3"/>
      <c r="SMT25" s="3"/>
      <c r="SMU25" s="3"/>
      <c r="SMV25" s="3"/>
      <c r="SMW25" s="3"/>
      <c r="SMX25" s="3"/>
      <c r="SMY25" s="3"/>
      <c r="SMZ25" s="3"/>
      <c r="SNA25" s="3"/>
      <c r="SNB25" s="3"/>
      <c r="SNC25" s="3"/>
      <c r="SND25" s="3"/>
      <c r="SNE25" s="3"/>
      <c r="SNF25" s="3"/>
      <c r="SNG25" s="3"/>
      <c r="SNH25" s="3"/>
      <c r="SNI25" s="3"/>
      <c r="SNJ25" s="3"/>
      <c r="SNK25" s="3"/>
      <c r="SNL25" s="3"/>
      <c r="SNM25" s="3"/>
      <c r="SNN25" s="3"/>
      <c r="SNO25" s="3"/>
      <c r="SNP25" s="3"/>
      <c r="SNQ25" s="3"/>
      <c r="SNR25" s="3"/>
      <c r="SNS25" s="3"/>
      <c r="SNT25" s="3"/>
      <c r="SNU25" s="3"/>
      <c r="SNV25" s="3"/>
      <c r="SNW25" s="3"/>
      <c r="SNX25" s="3"/>
      <c r="SNY25" s="3"/>
      <c r="SNZ25" s="3"/>
      <c r="SOA25" s="3"/>
      <c r="SOB25" s="3"/>
      <c r="SOC25" s="3"/>
      <c r="SOD25" s="3"/>
      <c r="SOE25" s="3"/>
      <c r="SOF25" s="3"/>
      <c r="SOG25" s="3"/>
      <c r="SOH25" s="3"/>
      <c r="SOI25" s="3"/>
      <c r="SOJ25" s="3"/>
      <c r="SOK25" s="3"/>
      <c r="SOL25" s="3"/>
      <c r="SOM25" s="3"/>
      <c r="SON25" s="3"/>
      <c r="SOO25" s="3"/>
      <c r="SOP25" s="3"/>
      <c r="SOQ25" s="3"/>
      <c r="SOR25" s="3"/>
      <c r="SOS25" s="3"/>
      <c r="SOT25" s="3"/>
      <c r="SOU25" s="3"/>
      <c r="SOV25" s="3"/>
      <c r="SOW25" s="3"/>
      <c r="SOX25" s="3"/>
      <c r="SOY25" s="3"/>
      <c r="SOZ25" s="3"/>
      <c r="SPA25" s="3"/>
      <c r="SPB25" s="3"/>
      <c r="SPC25" s="3"/>
      <c r="SPD25" s="3"/>
      <c r="SPE25" s="3"/>
      <c r="SPF25" s="3"/>
      <c r="SPG25" s="3"/>
      <c r="SPH25" s="3"/>
      <c r="SPI25" s="3"/>
      <c r="SPJ25" s="3"/>
      <c r="SPK25" s="3"/>
      <c r="SPL25" s="3"/>
      <c r="SPM25" s="3"/>
      <c r="SPN25" s="3"/>
      <c r="SPO25" s="3"/>
      <c r="SPP25" s="3"/>
      <c r="SPQ25" s="3"/>
      <c r="SPR25" s="3"/>
      <c r="SPS25" s="3"/>
      <c r="SPT25" s="3"/>
      <c r="SPU25" s="3"/>
      <c r="SPV25" s="3"/>
      <c r="SPW25" s="3"/>
      <c r="SPX25" s="3"/>
      <c r="SPY25" s="3"/>
      <c r="SPZ25" s="3"/>
      <c r="SQA25" s="3"/>
      <c r="SQB25" s="3"/>
      <c r="SQC25" s="3"/>
      <c r="SQD25" s="3"/>
      <c r="SQE25" s="3"/>
      <c r="SQF25" s="3"/>
      <c r="SQG25" s="3"/>
      <c r="SQH25" s="3"/>
      <c r="SQI25" s="3"/>
      <c r="SQJ25" s="3"/>
      <c r="SQK25" s="3"/>
      <c r="SQL25" s="3"/>
      <c r="SQM25" s="3"/>
      <c r="SQN25" s="3"/>
      <c r="SQO25" s="3"/>
      <c r="SQP25" s="3"/>
      <c r="SQQ25" s="3"/>
      <c r="SQR25" s="3"/>
      <c r="SQS25" s="3"/>
      <c r="SQT25" s="3"/>
      <c r="SQU25" s="3"/>
      <c r="SQV25" s="3"/>
      <c r="SQW25" s="3"/>
      <c r="SQX25" s="3"/>
      <c r="SQY25" s="3"/>
      <c r="SQZ25" s="3"/>
      <c r="SRA25" s="3"/>
      <c r="SRB25" s="3"/>
      <c r="SRC25" s="3"/>
      <c r="SRD25" s="3"/>
      <c r="SRE25" s="3"/>
      <c r="SRF25" s="3"/>
      <c r="SRG25" s="3"/>
      <c r="SRH25" s="3"/>
      <c r="SRI25" s="3"/>
      <c r="SRJ25" s="3"/>
      <c r="SRK25" s="3"/>
      <c r="SRL25" s="3"/>
      <c r="SRM25" s="3"/>
      <c r="SRN25" s="3"/>
      <c r="SRO25" s="3"/>
      <c r="SRP25" s="3"/>
      <c r="SRQ25" s="3"/>
      <c r="SRR25" s="3"/>
      <c r="SRS25" s="3"/>
      <c r="SRT25" s="3"/>
      <c r="SRU25" s="3"/>
      <c r="SRV25" s="3"/>
      <c r="SRW25" s="3"/>
      <c r="SRX25" s="3"/>
      <c r="SRY25" s="3"/>
      <c r="SRZ25" s="3"/>
      <c r="SSA25" s="3"/>
      <c r="SSB25" s="3"/>
      <c r="SSC25" s="3"/>
      <c r="SSD25" s="3"/>
      <c r="SSE25" s="3"/>
      <c r="SSF25" s="3"/>
      <c r="SSG25" s="3"/>
      <c r="SSH25" s="3"/>
      <c r="SSI25" s="3"/>
      <c r="SSJ25" s="3"/>
      <c r="SSK25" s="3"/>
      <c r="SSL25" s="3"/>
      <c r="SSM25" s="3"/>
      <c r="SSN25" s="3"/>
      <c r="SSO25" s="3"/>
      <c r="SSP25" s="3"/>
      <c r="SSQ25" s="3"/>
      <c r="SSR25" s="3"/>
      <c r="SSS25" s="3"/>
      <c r="SST25" s="3"/>
      <c r="SSU25" s="3"/>
      <c r="SSV25" s="3"/>
      <c r="SSW25" s="3"/>
      <c r="SSX25" s="3"/>
      <c r="SSY25" s="3"/>
      <c r="SSZ25" s="3"/>
      <c r="STA25" s="3"/>
      <c r="STB25" s="3"/>
      <c r="STC25" s="3"/>
      <c r="STD25" s="3"/>
      <c r="STE25" s="3"/>
      <c r="STF25" s="3"/>
      <c r="STG25" s="3"/>
      <c r="STH25" s="3"/>
      <c r="STI25" s="3"/>
      <c r="STJ25" s="3"/>
      <c r="STK25" s="3"/>
      <c r="STL25" s="3"/>
      <c r="STM25" s="3"/>
      <c r="STN25" s="3"/>
      <c r="STO25" s="3"/>
      <c r="STP25" s="3"/>
      <c r="STQ25" s="3"/>
      <c r="STR25" s="3"/>
      <c r="STS25" s="3"/>
      <c r="STT25" s="3"/>
      <c r="STU25" s="3"/>
      <c r="STV25" s="3"/>
      <c r="STW25" s="3"/>
      <c r="STX25" s="3"/>
      <c r="STY25" s="3"/>
      <c r="STZ25" s="3"/>
      <c r="SUA25" s="3"/>
      <c r="SUB25" s="3"/>
      <c r="SUC25" s="3"/>
      <c r="SUD25" s="3"/>
      <c r="SUE25" s="3"/>
      <c r="SUF25" s="3"/>
      <c r="SUG25" s="3"/>
      <c r="SUH25" s="3"/>
      <c r="SUI25" s="3"/>
      <c r="SUJ25" s="3"/>
      <c r="SUK25" s="3"/>
      <c r="SUL25" s="3"/>
      <c r="SUM25" s="3"/>
      <c r="SUN25" s="3"/>
      <c r="SUO25" s="3"/>
      <c r="SUP25" s="3"/>
      <c r="SUQ25" s="3"/>
      <c r="SUR25" s="3"/>
      <c r="SUS25" s="3"/>
      <c r="SUT25" s="3"/>
      <c r="SUU25" s="3"/>
      <c r="SUV25" s="3"/>
      <c r="SUW25" s="3"/>
      <c r="SUX25" s="3"/>
      <c r="SUY25" s="3"/>
      <c r="SUZ25" s="3"/>
      <c r="SVA25" s="3"/>
      <c r="SVB25" s="3"/>
      <c r="SVC25" s="3"/>
      <c r="SVD25" s="3"/>
      <c r="SVE25" s="3"/>
      <c r="SVF25" s="3"/>
      <c r="SVG25" s="3"/>
      <c r="SVH25" s="3"/>
      <c r="SVI25" s="3"/>
      <c r="SVJ25" s="3"/>
      <c r="SVK25" s="3"/>
      <c r="SVL25" s="3"/>
      <c r="SVM25" s="3"/>
      <c r="SVN25" s="3"/>
      <c r="SVO25" s="3"/>
      <c r="SVP25" s="3"/>
      <c r="SVQ25" s="3"/>
      <c r="SVR25" s="3"/>
      <c r="SVS25" s="3"/>
      <c r="SVT25" s="3"/>
      <c r="SVU25" s="3"/>
      <c r="SVV25" s="3"/>
      <c r="SVW25" s="3"/>
      <c r="SVX25" s="3"/>
      <c r="SVY25" s="3"/>
      <c r="SVZ25" s="3"/>
      <c r="SWA25" s="3"/>
      <c r="SWB25" s="3"/>
      <c r="SWC25" s="3"/>
      <c r="SWD25" s="3"/>
      <c r="SWE25" s="3"/>
      <c r="SWF25" s="3"/>
      <c r="SWG25" s="3"/>
      <c r="SWH25" s="3"/>
      <c r="SWI25" s="3"/>
      <c r="SWJ25" s="3"/>
      <c r="SWK25" s="3"/>
      <c r="SWL25" s="3"/>
      <c r="SWM25" s="3"/>
      <c r="SWN25" s="3"/>
      <c r="SWO25" s="3"/>
      <c r="SWP25" s="3"/>
      <c r="SWQ25" s="3"/>
      <c r="SWR25" s="3"/>
      <c r="SWS25" s="3"/>
      <c r="SWT25" s="3"/>
      <c r="SWU25" s="3"/>
      <c r="SWV25" s="3"/>
      <c r="SWW25" s="3"/>
      <c r="SWX25" s="3"/>
      <c r="SWY25" s="3"/>
      <c r="SWZ25" s="3"/>
      <c r="SXA25" s="3"/>
      <c r="SXB25" s="3"/>
      <c r="SXC25" s="3"/>
      <c r="SXD25" s="3"/>
      <c r="SXE25" s="3"/>
      <c r="SXF25" s="3"/>
      <c r="SXG25" s="3"/>
      <c r="SXH25" s="3"/>
      <c r="SXI25" s="3"/>
      <c r="SXJ25" s="3"/>
      <c r="SXK25" s="3"/>
      <c r="SXL25" s="3"/>
      <c r="SXM25" s="3"/>
      <c r="SXN25" s="3"/>
      <c r="SXO25" s="3"/>
      <c r="SXP25" s="3"/>
      <c r="SXQ25" s="3"/>
      <c r="SXR25" s="3"/>
      <c r="SXS25" s="3"/>
      <c r="SXT25" s="3"/>
      <c r="SXU25" s="3"/>
      <c r="SXV25" s="3"/>
      <c r="SXW25" s="3"/>
      <c r="SXX25" s="3"/>
      <c r="SXY25" s="3"/>
      <c r="SXZ25" s="3"/>
      <c r="SYA25" s="3"/>
      <c r="SYB25" s="3"/>
      <c r="SYC25" s="3"/>
      <c r="SYD25" s="3"/>
      <c r="SYE25" s="3"/>
      <c r="SYF25" s="3"/>
      <c r="SYG25" s="3"/>
      <c r="SYH25" s="3"/>
      <c r="SYI25" s="3"/>
      <c r="SYJ25" s="3"/>
      <c r="SYK25" s="3"/>
      <c r="SYL25" s="3"/>
      <c r="SYM25" s="3"/>
      <c r="SYN25" s="3"/>
      <c r="SYO25" s="3"/>
      <c r="SYP25" s="3"/>
      <c r="SYQ25" s="3"/>
      <c r="SYR25" s="3"/>
      <c r="SYS25" s="3"/>
      <c r="SYT25" s="3"/>
      <c r="SYU25" s="3"/>
      <c r="SYV25" s="3"/>
      <c r="SYW25" s="3"/>
      <c r="SYX25" s="3"/>
      <c r="SYY25" s="3"/>
      <c r="SYZ25" s="3"/>
      <c r="SZA25" s="3"/>
      <c r="SZB25" s="3"/>
      <c r="SZC25" s="3"/>
      <c r="SZD25" s="3"/>
      <c r="SZE25" s="3"/>
      <c r="SZF25" s="3"/>
      <c r="SZG25" s="3"/>
      <c r="SZH25" s="3"/>
      <c r="SZI25" s="3"/>
      <c r="SZJ25" s="3"/>
      <c r="SZK25" s="3"/>
      <c r="SZL25" s="3"/>
      <c r="SZM25" s="3"/>
      <c r="SZN25" s="3"/>
      <c r="SZO25" s="3"/>
      <c r="SZP25" s="3"/>
      <c r="SZQ25" s="3"/>
      <c r="SZR25" s="3"/>
      <c r="SZS25" s="3"/>
      <c r="SZT25" s="3"/>
      <c r="SZU25" s="3"/>
      <c r="SZV25" s="3"/>
      <c r="SZW25" s="3"/>
      <c r="SZX25" s="3"/>
      <c r="SZY25" s="3"/>
      <c r="SZZ25" s="3"/>
      <c r="TAA25" s="3"/>
      <c r="TAB25" s="3"/>
      <c r="TAC25" s="3"/>
      <c r="TAD25" s="3"/>
      <c r="TAE25" s="3"/>
      <c r="TAF25" s="3"/>
      <c r="TAG25" s="3"/>
      <c r="TAH25" s="3"/>
      <c r="TAI25" s="3"/>
      <c r="TAJ25" s="3"/>
      <c r="TAK25" s="3"/>
      <c r="TAL25" s="3"/>
      <c r="TAM25" s="3"/>
      <c r="TAN25" s="3"/>
      <c r="TAO25" s="3"/>
      <c r="TAP25" s="3"/>
      <c r="TAQ25" s="3"/>
      <c r="TAR25" s="3"/>
      <c r="TAS25" s="3"/>
      <c r="TAT25" s="3"/>
      <c r="TAU25" s="3"/>
      <c r="TAV25" s="3"/>
      <c r="TAW25" s="3"/>
      <c r="TAX25" s="3"/>
      <c r="TAY25" s="3"/>
      <c r="TAZ25" s="3"/>
      <c r="TBA25" s="3"/>
      <c r="TBB25" s="3"/>
      <c r="TBC25" s="3"/>
      <c r="TBD25" s="3"/>
      <c r="TBE25" s="3"/>
      <c r="TBF25" s="3"/>
      <c r="TBG25" s="3"/>
      <c r="TBH25" s="3"/>
      <c r="TBI25" s="3"/>
      <c r="TBJ25" s="3"/>
      <c r="TBK25" s="3"/>
      <c r="TBL25" s="3"/>
      <c r="TBM25" s="3"/>
      <c r="TBN25" s="3"/>
      <c r="TBO25" s="3"/>
      <c r="TBP25" s="3"/>
      <c r="TBQ25" s="3"/>
      <c r="TBR25" s="3"/>
      <c r="TBS25" s="3"/>
      <c r="TBT25" s="3"/>
      <c r="TBU25" s="3"/>
      <c r="TBV25" s="3"/>
      <c r="TBW25" s="3"/>
      <c r="TBX25" s="3"/>
      <c r="TBY25" s="3"/>
      <c r="TBZ25" s="3"/>
      <c r="TCA25" s="3"/>
      <c r="TCB25" s="3"/>
      <c r="TCC25" s="3"/>
      <c r="TCD25" s="3"/>
      <c r="TCE25" s="3"/>
      <c r="TCF25" s="3"/>
      <c r="TCG25" s="3"/>
      <c r="TCH25" s="3"/>
      <c r="TCI25" s="3"/>
      <c r="TCJ25" s="3"/>
      <c r="TCK25" s="3"/>
      <c r="TCL25" s="3"/>
      <c r="TCM25" s="3"/>
      <c r="TCN25" s="3"/>
      <c r="TCO25" s="3"/>
      <c r="TCP25" s="3"/>
      <c r="TCQ25" s="3"/>
      <c r="TCR25" s="3"/>
      <c r="TCS25" s="3"/>
      <c r="TCT25" s="3"/>
      <c r="TCU25" s="3"/>
      <c r="TCV25" s="3"/>
      <c r="TCW25" s="3"/>
      <c r="TCX25" s="3"/>
      <c r="TCY25" s="3"/>
      <c r="TCZ25" s="3"/>
      <c r="TDA25" s="3"/>
      <c r="TDB25" s="3"/>
      <c r="TDC25" s="3"/>
      <c r="TDD25" s="3"/>
      <c r="TDE25" s="3"/>
      <c r="TDF25" s="3"/>
      <c r="TDG25" s="3"/>
      <c r="TDH25" s="3"/>
      <c r="TDI25" s="3"/>
      <c r="TDJ25" s="3"/>
      <c r="TDK25" s="3"/>
      <c r="TDL25" s="3"/>
      <c r="TDM25" s="3"/>
      <c r="TDN25" s="3"/>
      <c r="TDO25" s="3"/>
      <c r="TDP25" s="3"/>
      <c r="TDQ25" s="3"/>
      <c r="TDR25" s="3"/>
      <c r="TDS25" s="3"/>
      <c r="TDT25" s="3"/>
      <c r="TDU25" s="3"/>
      <c r="TDV25" s="3"/>
      <c r="TDW25" s="3"/>
      <c r="TDX25" s="3"/>
      <c r="TDY25" s="3"/>
      <c r="TDZ25" s="3"/>
      <c r="TEA25" s="3"/>
      <c r="TEB25" s="3"/>
      <c r="TEC25" s="3"/>
      <c r="TED25" s="3"/>
      <c r="TEE25" s="3"/>
      <c r="TEF25" s="3"/>
      <c r="TEG25" s="3"/>
      <c r="TEH25" s="3"/>
      <c r="TEI25" s="3"/>
      <c r="TEJ25" s="3"/>
      <c r="TEK25" s="3"/>
      <c r="TEL25" s="3"/>
      <c r="TEM25" s="3"/>
      <c r="TEN25" s="3"/>
      <c r="TEO25" s="3"/>
      <c r="TEP25" s="3"/>
      <c r="TEQ25" s="3"/>
      <c r="TER25" s="3"/>
      <c r="TES25" s="3"/>
      <c r="TET25" s="3"/>
      <c r="TEU25" s="3"/>
      <c r="TEV25" s="3"/>
      <c r="TEW25" s="3"/>
      <c r="TEX25" s="3"/>
      <c r="TEY25" s="3"/>
      <c r="TEZ25" s="3"/>
      <c r="TFA25" s="3"/>
      <c r="TFB25" s="3"/>
      <c r="TFC25" s="3"/>
      <c r="TFD25" s="3"/>
      <c r="TFE25" s="3"/>
      <c r="TFF25" s="3"/>
      <c r="TFG25" s="3"/>
      <c r="TFH25" s="3"/>
      <c r="TFI25" s="3"/>
      <c r="TFJ25" s="3"/>
      <c r="TFK25" s="3"/>
      <c r="TFL25" s="3"/>
      <c r="TFM25" s="3"/>
      <c r="TFN25" s="3"/>
      <c r="TFO25" s="3"/>
      <c r="TFP25" s="3"/>
      <c r="TFQ25" s="3"/>
      <c r="TFR25" s="3"/>
      <c r="TFS25" s="3"/>
      <c r="TFT25" s="3"/>
      <c r="TFU25" s="3"/>
      <c r="TFV25" s="3"/>
      <c r="TFW25" s="3"/>
      <c r="TFX25" s="3"/>
      <c r="TFY25" s="3"/>
      <c r="TFZ25" s="3"/>
      <c r="TGA25" s="3"/>
      <c r="TGB25" s="3"/>
      <c r="TGC25" s="3"/>
      <c r="TGD25" s="3"/>
      <c r="TGE25" s="3"/>
      <c r="TGF25" s="3"/>
      <c r="TGG25" s="3"/>
      <c r="TGH25" s="3"/>
      <c r="TGI25" s="3"/>
      <c r="TGJ25" s="3"/>
      <c r="TGK25" s="3"/>
      <c r="TGL25" s="3"/>
      <c r="TGM25" s="3"/>
      <c r="TGN25" s="3"/>
      <c r="TGO25" s="3"/>
      <c r="TGP25" s="3"/>
      <c r="TGQ25" s="3"/>
      <c r="TGR25" s="3"/>
      <c r="TGS25" s="3"/>
      <c r="TGT25" s="3"/>
      <c r="TGU25" s="3"/>
      <c r="TGV25" s="3"/>
      <c r="TGW25" s="3"/>
      <c r="TGX25" s="3"/>
      <c r="TGY25" s="3"/>
      <c r="TGZ25" s="3"/>
      <c r="THA25" s="3"/>
      <c r="THB25" s="3"/>
      <c r="THC25" s="3"/>
      <c r="THD25" s="3"/>
      <c r="THE25" s="3"/>
      <c r="THF25" s="3"/>
      <c r="THG25" s="3"/>
      <c r="THH25" s="3"/>
      <c r="THI25" s="3"/>
      <c r="THJ25" s="3"/>
      <c r="THK25" s="3"/>
      <c r="THL25" s="3"/>
      <c r="THM25" s="3"/>
      <c r="THN25" s="3"/>
      <c r="THO25" s="3"/>
      <c r="THP25" s="3"/>
      <c r="THQ25" s="3"/>
      <c r="THR25" s="3"/>
      <c r="THS25" s="3"/>
      <c r="THT25" s="3"/>
      <c r="THU25" s="3"/>
      <c r="THV25" s="3"/>
      <c r="THW25" s="3"/>
      <c r="THX25" s="3"/>
      <c r="THY25" s="3"/>
      <c r="THZ25" s="3"/>
      <c r="TIA25" s="3"/>
      <c r="TIB25" s="3"/>
      <c r="TIC25" s="3"/>
      <c r="TID25" s="3"/>
      <c r="TIE25" s="3"/>
      <c r="TIF25" s="3"/>
      <c r="TIG25" s="3"/>
      <c r="TIH25" s="3"/>
      <c r="TII25" s="3"/>
      <c r="TIJ25" s="3"/>
      <c r="TIK25" s="3"/>
      <c r="TIL25" s="3"/>
      <c r="TIM25" s="3"/>
      <c r="TIN25" s="3"/>
      <c r="TIO25" s="3"/>
      <c r="TIP25" s="3"/>
      <c r="TIQ25" s="3"/>
      <c r="TIR25" s="3"/>
      <c r="TIS25" s="3"/>
      <c r="TIT25" s="3"/>
      <c r="TIU25" s="3"/>
      <c r="TIV25" s="3"/>
      <c r="TIW25" s="3"/>
      <c r="TIX25" s="3"/>
      <c r="TIY25" s="3"/>
      <c r="TIZ25" s="3"/>
      <c r="TJA25" s="3"/>
      <c r="TJB25" s="3"/>
      <c r="TJC25" s="3"/>
      <c r="TJD25" s="3"/>
      <c r="TJE25" s="3"/>
      <c r="TJF25" s="3"/>
      <c r="TJG25" s="3"/>
      <c r="TJH25" s="3"/>
      <c r="TJI25" s="3"/>
      <c r="TJJ25" s="3"/>
      <c r="TJK25" s="3"/>
      <c r="TJL25" s="3"/>
      <c r="TJM25" s="3"/>
      <c r="TJN25" s="3"/>
      <c r="TJO25" s="3"/>
      <c r="TJP25" s="3"/>
      <c r="TJQ25" s="3"/>
      <c r="TJR25" s="3"/>
      <c r="TJS25" s="3"/>
      <c r="TJT25" s="3"/>
      <c r="TJU25" s="3"/>
      <c r="TJV25" s="3"/>
      <c r="TJW25" s="3"/>
      <c r="TJX25" s="3"/>
      <c r="TJY25" s="3"/>
      <c r="TJZ25" s="3"/>
      <c r="TKA25" s="3"/>
      <c r="TKB25" s="3"/>
      <c r="TKC25" s="3"/>
      <c r="TKD25" s="3"/>
      <c r="TKE25" s="3"/>
      <c r="TKF25" s="3"/>
      <c r="TKG25" s="3"/>
      <c r="TKH25" s="3"/>
      <c r="TKI25" s="3"/>
      <c r="TKJ25" s="3"/>
      <c r="TKK25" s="3"/>
      <c r="TKL25" s="3"/>
      <c r="TKM25" s="3"/>
      <c r="TKN25" s="3"/>
      <c r="TKO25" s="3"/>
      <c r="TKP25" s="3"/>
      <c r="TKQ25" s="3"/>
      <c r="TKR25" s="3"/>
      <c r="TKS25" s="3"/>
      <c r="TKT25" s="3"/>
      <c r="TKU25" s="3"/>
      <c r="TKV25" s="3"/>
      <c r="TKW25" s="3"/>
      <c r="TKX25" s="3"/>
      <c r="TKY25" s="3"/>
      <c r="TKZ25" s="3"/>
      <c r="TLA25" s="3"/>
      <c r="TLB25" s="3"/>
      <c r="TLC25" s="3"/>
      <c r="TLD25" s="3"/>
      <c r="TLE25" s="3"/>
      <c r="TLF25" s="3"/>
      <c r="TLG25" s="3"/>
      <c r="TLH25" s="3"/>
      <c r="TLI25" s="3"/>
      <c r="TLJ25" s="3"/>
      <c r="TLK25" s="3"/>
      <c r="TLL25" s="3"/>
      <c r="TLM25" s="3"/>
      <c r="TLN25" s="3"/>
      <c r="TLO25" s="3"/>
      <c r="TLP25" s="3"/>
      <c r="TLQ25" s="3"/>
      <c r="TLR25" s="3"/>
      <c r="TLS25" s="3"/>
      <c r="TLT25" s="3"/>
      <c r="TLU25" s="3"/>
      <c r="TLV25" s="3"/>
      <c r="TLW25" s="3"/>
      <c r="TLX25" s="3"/>
      <c r="TLY25" s="3"/>
      <c r="TLZ25" s="3"/>
      <c r="TMA25" s="3"/>
      <c r="TMB25" s="3"/>
      <c r="TMC25" s="3"/>
      <c r="TMD25" s="3"/>
      <c r="TME25" s="3"/>
      <c r="TMF25" s="3"/>
      <c r="TMG25" s="3"/>
      <c r="TMH25" s="3"/>
      <c r="TMI25" s="3"/>
      <c r="TMJ25" s="3"/>
      <c r="TMK25" s="3"/>
      <c r="TML25" s="3"/>
      <c r="TMM25" s="3"/>
      <c r="TMN25" s="3"/>
      <c r="TMO25" s="3"/>
      <c r="TMP25" s="3"/>
      <c r="TMQ25" s="3"/>
      <c r="TMR25" s="3"/>
      <c r="TMS25" s="3"/>
      <c r="TMT25" s="3"/>
      <c r="TMU25" s="3"/>
      <c r="TMV25" s="3"/>
      <c r="TMW25" s="3"/>
      <c r="TMX25" s="3"/>
      <c r="TMY25" s="3"/>
      <c r="TMZ25" s="3"/>
      <c r="TNA25" s="3"/>
      <c r="TNB25" s="3"/>
      <c r="TNC25" s="3"/>
      <c r="TND25" s="3"/>
      <c r="TNE25" s="3"/>
      <c r="TNF25" s="3"/>
      <c r="TNG25" s="3"/>
      <c r="TNH25" s="3"/>
      <c r="TNI25" s="3"/>
      <c r="TNJ25" s="3"/>
      <c r="TNK25" s="3"/>
      <c r="TNL25" s="3"/>
      <c r="TNM25" s="3"/>
      <c r="TNN25" s="3"/>
      <c r="TNO25" s="3"/>
      <c r="TNP25" s="3"/>
      <c r="TNQ25" s="3"/>
      <c r="TNR25" s="3"/>
      <c r="TNS25" s="3"/>
      <c r="TNT25" s="3"/>
      <c r="TNU25" s="3"/>
      <c r="TNV25" s="3"/>
      <c r="TNW25" s="3"/>
      <c r="TNX25" s="3"/>
      <c r="TNY25" s="3"/>
      <c r="TNZ25" s="3"/>
      <c r="TOA25" s="3"/>
      <c r="TOB25" s="3"/>
      <c r="TOC25" s="3"/>
      <c r="TOD25" s="3"/>
      <c r="TOE25" s="3"/>
      <c r="TOF25" s="3"/>
      <c r="TOG25" s="3"/>
      <c r="TOH25" s="3"/>
      <c r="TOI25" s="3"/>
      <c r="TOJ25" s="3"/>
      <c r="TOK25" s="3"/>
      <c r="TOL25" s="3"/>
      <c r="TOM25" s="3"/>
      <c r="TON25" s="3"/>
      <c r="TOO25" s="3"/>
      <c r="TOP25" s="3"/>
      <c r="TOQ25" s="3"/>
      <c r="TOR25" s="3"/>
      <c r="TOS25" s="3"/>
      <c r="TOT25" s="3"/>
      <c r="TOU25" s="3"/>
      <c r="TOV25" s="3"/>
      <c r="TOW25" s="3"/>
      <c r="TOX25" s="3"/>
      <c r="TOY25" s="3"/>
      <c r="TOZ25" s="3"/>
      <c r="TPA25" s="3"/>
      <c r="TPB25" s="3"/>
      <c r="TPC25" s="3"/>
      <c r="TPD25" s="3"/>
      <c r="TPE25" s="3"/>
      <c r="TPF25" s="3"/>
      <c r="TPG25" s="3"/>
      <c r="TPH25" s="3"/>
      <c r="TPI25" s="3"/>
      <c r="TPJ25" s="3"/>
      <c r="TPK25" s="3"/>
      <c r="TPL25" s="3"/>
      <c r="TPM25" s="3"/>
      <c r="TPN25" s="3"/>
      <c r="TPO25" s="3"/>
      <c r="TPP25" s="3"/>
      <c r="TPQ25" s="3"/>
      <c r="TPR25" s="3"/>
      <c r="TPS25" s="3"/>
      <c r="TPT25" s="3"/>
      <c r="TPU25" s="3"/>
      <c r="TPV25" s="3"/>
      <c r="TPW25" s="3"/>
      <c r="TPX25" s="3"/>
      <c r="TPY25" s="3"/>
      <c r="TPZ25" s="3"/>
      <c r="TQA25" s="3"/>
      <c r="TQB25" s="3"/>
      <c r="TQC25" s="3"/>
      <c r="TQD25" s="3"/>
      <c r="TQE25" s="3"/>
      <c r="TQF25" s="3"/>
      <c r="TQG25" s="3"/>
      <c r="TQH25" s="3"/>
      <c r="TQI25" s="3"/>
      <c r="TQJ25" s="3"/>
      <c r="TQK25" s="3"/>
      <c r="TQL25" s="3"/>
      <c r="TQM25" s="3"/>
      <c r="TQN25" s="3"/>
      <c r="TQO25" s="3"/>
      <c r="TQP25" s="3"/>
      <c r="TQQ25" s="3"/>
      <c r="TQR25" s="3"/>
      <c r="TQS25" s="3"/>
      <c r="TQT25" s="3"/>
      <c r="TQU25" s="3"/>
      <c r="TQV25" s="3"/>
      <c r="TQW25" s="3"/>
      <c r="TQX25" s="3"/>
      <c r="TQY25" s="3"/>
      <c r="TQZ25" s="3"/>
      <c r="TRA25" s="3"/>
      <c r="TRB25" s="3"/>
      <c r="TRC25" s="3"/>
      <c r="TRD25" s="3"/>
      <c r="TRE25" s="3"/>
      <c r="TRF25" s="3"/>
      <c r="TRG25" s="3"/>
      <c r="TRH25" s="3"/>
      <c r="TRI25" s="3"/>
      <c r="TRJ25" s="3"/>
      <c r="TRK25" s="3"/>
      <c r="TRL25" s="3"/>
      <c r="TRM25" s="3"/>
      <c r="TRN25" s="3"/>
      <c r="TRO25" s="3"/>
      <c r="TRP25" s="3"/>
      <c r="TRQ25" s="3"/>
      <c r="TRR25" s="3"/>
      <c r="TRS25" s="3"/>
      <c r="TRT25" s="3"/>
      <c r="TRU25" s="3"/>
      <c r="TRV25" s="3"/>
      <c r="TRW25" s="3"/>
      <c r="TRX25" s="3"/>
      <c r="TRY25" s="3"/>
      <c r="TRZ25" s="3"/>
      <c r="TSA25" s="3"/>
      <c r="TSB25" s="3"/>
      <c r="TSC25" s="3"/>
      <c r="TSD25" s="3"/>
      <c r="TSE25" s="3"/>
      <c r="TSF25" s="3"/>
      <c r="TSG25" s="3"/>
      <c r="TSH25" s="3"/>
      <c r="TSI25" s="3"/>
      <c r="TSJ25" s="3"/>
      <c r="TSK25" s="3"/>
      <c r="TSL25" s="3"/>
      <c r="TSM25" s="3"/>
      <c r="TSN25" s="3"/>
      <c r="TSO25" s="3"/>
      <c r="TSP25" s="3"/>
      <c r="TSQ25" s="3"/>
      <c r="TSR25" s="3"/>
      <c r="TSS25" s="3"/>
      <c r="TST25" s="3"/>
      <c r="TSU25" s="3"/>
      <c r="TSV25" s="3"/>
      <c r="TSW25" s="3"/>
      <c r="TSX25" s="3"/>
      <c r="TSY25" s="3"/>
      <c r="TSZ25" s="3"/>
      <c r="TTA25" s="3"/>
      <c r="TTB25" s="3"/>
      <c r="TTC25" s="3"/>
      <c r="TTD25" s="3"/>
      <c r="TTE25" s="3"/>
      <c r="TTF25" s="3"/>
      <c r="TTG25" s="3"/>
      <c r="TTH25" s="3"/>
      <c r="TTI25" s="3"/>
      <c r="TTJ25" s="3"/>
      <c r="TTK25" s="3"/>
      <c r="TTL25" s="3"/>
      <c r="TTM25" s="3"/>
      <c r="TTN25" s="3"/>
      <c r="TTO25" s="3"/>
      <c r="TTP25" s="3"/>
      <c r="TTQ25" s="3"/>
      <c r="TTR25" s="3"/>
      <c r="TTS25" s="3"/>
      <c r="TTT25" s="3"/>
      <c r="TTU25" s="3"/>
      <c r="TTV25" s="3"/>
      <c r="TTW25" s="3"/>
      <c r="TTX25" s="3"/>
      <c r="TTY25" s="3"/>
      <c r="TTZ25" s="3"/>
      <c r="TUA25" s="3"/>
      <c r="TUB25" s="3"/>
      <c r="TUC25" s="3"/>
      <c r="TUD25" s="3"/>
      <c r="TUE25" s="3"/>
      <c r="TUF25" s="3"/>
      <c r="TUG25" s="3"/>
      <c r="TUH25" s="3"/>
      <c r="TUI25" s="3"/>
      <c r="TUJ25" s="3"/>
      <c r="TUK25" s="3"/>
      <c r="TUL25" s="3"/>
      <c r="TUM25" s="3"/>
      <c r="TUN25" s="3"/>
      <c r="TUO25" s="3"/>
      <c r="TUP25" s="3"/>
      <c r="TUQ25" s="3"/>
      <c r="TUR25" s="3"/>
      <c r="TUS25" s="3"/>
      <c r="TUT25" s="3"/>
      <c r="TUU25" s="3"/>
      <c r="TUV25" s="3"/>
      <c r="TUW25" s="3"/>
      <c r="TUX25" s="3"/>
      <c r="TUY25" s="3"/>
      <c r="TUZ25" s="3"/>
      <c r="TVA25" s="3"/>
      <c r="TVB25" s="3"/>
      <c r="TVC25" s="3"/>
      <c r="TVD25" s="3"/>
      <c r="TVE25" s="3"/>
      <c r="TVF25" s="3"/>
      <c r="TVG25" s="3"/>
      <c r="TVH25" s="3"/>
      <c r="TVI25" s="3"/>
      <c r="TVJ25" s="3"/>
      <c r="TVK25" s="3"/>
      <c r="TVL25" s="3"/>
      <c r="TVM25" s="3"/>
      <c r="TVN25" s="3"/>
      <c r="TVO25" s="3"/>
      <c r="TVP25" s="3"/>
      <c r="TVQ25" s="3"/>
      <c r="TVR25" s="3"/>
      <c r="TVS25" s="3"/>
      <c r="TVT25" s="3"/>
      <c r="TVU25" s="3"/>
      <c r="TVV25" s="3"/>
      <c r="TVW25" s="3"/>
      <c r="TVX25" s="3"/>
      <c r="TVY25" s="3"/>
      <c r="TVZ25" s="3"/>
      <c r="TWA25" s="3"/>
      <c r="TWB25" s="3"/>
      <c r="TWC25" s="3"/>
      <c r="TWD25" s="3"/>
      <c r="TWE25" s="3"/>
      <c r="TWF25" s="3"/>
      <c r="TWG25" s="3"/>
      <c r="TWH25" s="3"/>
      <c r="TWI25" s="3"/>
      <c r="TWJ25" s="3"/>
      <c r="TWK25" s="3"/>
      <c r="TWL25" s="3"/>
      <c r="TWM25" s="3"/>
      <c r="TWN25" s="3"/>
      <c r="TWO25" s="3"/>
      <c r="TWP25" s="3"/>
      <c r="TWQ25" s="3"/>
      <c r="TWR25" s="3"/>
      <c r="TWS25" s="3"/>
      <c r="TWT25" s="3"/>
      <c r="TWU25" s="3"/>
      <c r="TWV25" s="3"/>
      <c r="TWW25" s="3"/>
      <c r="TWX25" s="3"/>
      <c r="TWY25" s="3"/>
      <c r="TWZ25" s="3"/>
      <c r="TXA25" s="3"/>
      <c r="TXB25" s="3"/>
      <c r="TXC25" s="3"/>
      <c r="TXD25" s="3"/>
      <c r="TXE25" s="3"/>
      <c r="TXF25" s="3"/>
      <c r="TXG25" s="3"/>
      <c r="TXH25" s="3"/>
      <c r="TXI25" s="3"/>
      <c r="TXJ25" s="3"/>
      <c r="TXK25" s="3"/>
      <c r="TXL25" s="3"/>
      <c r="TXM25" s="3"/>
      <c r="TXN25" s="3"/>
      <c r="TXO25" s="3"/>
      <c r="TXP25" s="3"/>
      <c r="TXQ25" s="3"/>
      <c r="TXR25" s="3"/>
      <c r="TXS25" s="3"/>
      <c r="TXT25" s="3"/>
      <c r="TXU25" s="3"/>
      <c r="TXV25" s="3"/>
      <c r="TXW25" s="3"/>
      <c r="TXX25" s="3"/>
      <c r="TXY25" s="3"/>
      <c r="TXZ25" s="3"/>
      <c r="TYA25" s="3"/>
      <c r="TYB25" s="3"/>
      <c r="TYC25" s="3"/>
      <c r="TYD25" s="3"/>
      <c r="TYE25" s="3"/>
      <c r="TYF25" s="3"/>
      <c r="TYG25" s="3"/>
      <c r="TYH25" s="3"/>
      <c r="TYI25" s="3"/>
      <c r="TYJ25" s="3"/>
      <c r="TYK25" s="3"/>
      <c r="TYL25" s="3"/>
      <c r="TYM25" s="3"/>
      <c r="TYN25" s="3"/>
      <c r="TYO25" s="3"/>
      <c r="TYP25" s="3"/>
      <c r="TYQ25" s="3"/>
      <c r="TYR25" s="3"/>
      <c r="TYS25" s="3"/>
      <c r="TYT25" s="3"/>
      <c r="TYU25" s="3"/>
      <c r="TYV25" s="3"/>
      <c r="TYW25" s="3"/>
      <c r="TYX25" s="3"/>
      <c r="TYY25" s="3"/>
      <c r="TYZ25" s="3"/>
      <c r="TZA25" s="3"/>
      <c r="TZB25" s="3"/>
      <c r="TZC25" s="3"/>
      <c r="TZD25" s="3"/>
      <c r="TZE25" s="3"/>
      <c r="TZF25" s="3"/>
      <c r="TZG25" s="3"/>
      <c r="TZH25" s="3"/>
      <c r="TZI25" s="3"/>
      <c r="TZJ25" s="3"/>
      <c r="TZK25" s="3"/>
      <c r="TZL25" s="3"/>
      <c r="TZM25" s="3"/>
      <c r="TZN25" s="3"/>
      <c r="TZO25" s="3"/>
      <c r="TZP25" s="3"/>
      <c r="TZQ25" s="3"/>
      <c r="TZR25" s="3"/>
      <c r="TZS25" s="3"/>
      <c r="TZT25" s="3"/>
      <c r="TZU25" s="3"/>
      <c r="TZV25" s="3"/>
      <c r="TZW25" s="3"/>
      <c r="TZX25" s="3"/>
      <c r="TZY25" s="3"/>
      <c r="TZZ25" s="3"/>
      <c r="UAA25" s="3"/>
      <c r="UAB25" s="3"/>
      <c r="UAC25" s="3"/>
      <c r="UAD25" s="3"/>
      <c r="UAE25" s="3"/>
      <c r="UAF25" s="3"/>
      <c r="UAG25" s="3"/>
      <c r="UAH25" s="3"/>
      <c r="UAI25" s="3"/>
      <c r="UAJ25" s="3"/>
      <c r="UAK25" s="3"/>
      <c r="UAL25" s="3"/>
      <c r="UAM25" s="3"/>
      <c r="UAN25" s="3"/>
      <c r="UAO25" s="3"/>
      <c r="UAP25" s="3"/>
      <c r="UAQ25" s="3"/>
      <c r="UAR25" s="3"/>
      <c r="UAS25" s="3"/>
      <c r="UAT25" s="3"/>
      <c r="UAU25" s="3"/>
      <c r="UAV25" s="3"/>
      <c r="UAW25" s="3"/>
      <c r="UAX25" s="3"/>
      <c r="UAY25" s="3"/>
      <c r="UAZ25" s="3"/>
      <c r="UBA25" s="3"/>
      <c r="UBB25" s="3"/>
      <c r="UBC25" s="3"/>
      <c r="UBD25" s="3"/>
      <c r="UBE25" s="3"/>
      <c r="UBF25" s="3"/>
      <c r="UBG25" s="3"/>
      <c r="UBH25" s="3"/>
      <c r="UBI25" s="3"/>
      <c r="UBJ25" s="3"/>
      <c r="UBK25" s="3"/>
      <c r="UBL25" s="3"/>
      <c r="UBM25" s="3"/>
      <c r="UBN25" s="3"/>
      <c r="UBO25" s="3"/>
      <c r="UBP25" s="3"/>
      <c r="UBQ25" s="3"/>
      <c r="UBR25" s="3"/>
      <c r="UBS25" s="3"/>
      <c r="UBT25" s="3"/>
      <c r="UBU25" s="3"/>
      <c r="UBV25" s="3"/>
      <c r="UBW25" s="3"/>
      <c r="UBX25" s="3"/>
      <c r="UBY25" s="3"/>
      <c r="UBZ25" s="3"/>
      <c r="UCA25" s="3"/>
      <c r="UCB25" s="3"/>
      <c r="UCC25" s="3"/>
      <c r="UCD25" s="3"/>
      <c r="UCE25" s="3"/>
      <c r="UCF25" s="3"/>
      <c r="UCG25" s="3"/>
      <c r="UCH25" s="3"/>
      <c r="UCI25" s="3"/>
      <c r="UCJ25" s="3"/>
      <c r="UCK25" s="3"/>
      <c r="UCL25" s="3"/>
      <c r="UCM25" s="3"/>
      <c r="UCN25" s="3"/>
      <c r="UCO25" s="3"/>
      <c r="UCP25" s="3"/>
      <c r="UCQ25" s="3"/>
      <c r="UCR25" s="3"/>
      <c r="UCS25" s="3"/>
      <c r="UCT25" s="3"/>
      <c r="UCU25" s="3"/>
      <c r="UCV25" s="3"/>
      <c r="UCW25" s="3"/>
      <c r="UCX25" s="3"/>
      <c r="UCY25" s="3"/>
      <c r="UCZ25" s="3"/>
      <c r="UDA25" s="3"/>
      <c r="UDB25" s="3"/>
      <c r="UDC25" s="3"/>
      <c r="UDD25" s="3"/>
      <c r="UDE25" s="3"/>
      <c r="UDF25" s="3"/>
      <c r="UDG25" s="3"/>
      <c r="UDH25" s="3"/>
      <c r="UDI25" s="3"/>
      <c r="UDJ25" s="3"/>
      <c r="UDK25" s="3"/>
      <c r="UDL25" s="3"/>
      <c r="UDM25" s="3"/>
      <c r="UDN25" s="3"/>
      <c r="UDO25" s="3"/>
      <c r="UDP25" s="3"/>
      <c r="UDQ25" s="3"/>
      <c r="UDR25" s="3"/>
      <c r="UDS25" s="3"/>
      <c r="UDT25" s="3"/>
      <c r="UDU25" s="3"/>
      <c r="UDV25" s="3"/>
      <c r="UDW25" s="3"/>
      <c r="UDX25" s="3"/>
      <c r="UDY25" s="3"/>
      <c r="UDZ25" s="3"/>
      <c r="UEA25" s="3"/>
      <c r="UEB25" s="3"/>
      <c r="UEC25" s="3"/>
      <c r="UED25" s="3"/>
      <c r="UEE25" s="3"/>
      <c r="UEF25" s="3"/>
      <c r="UEG25" s="3"/>
      <c r="UEH25" s="3"/>
      <c r="UEI25" s="3"/>
      <c r="UEJ25" s="3"/>
      <c r="UEK25" s="3"/>
      <c r="UEL25" s="3"/>
      <c r="UEM25" s="3"/>
      <c r="UEN25" s="3"/>
      <c r="UEO25" s="3"/>
      <c r="UEP25" s="3"/>
      <c r="UEQ25" s="3"/>
      <c r="UER25" s="3"/>
      <c r="UES25" s="3"/>
      <c r="UET25" s="3"/>
      <c r="UEU25" s="3"/>
      <c r="UEV25" s="3"/>
      <c r="UEW25" s="3"/>
      <c r="UEX25" s="3"/>
      <c r="UEY25" s="3"/>
      <c r="UEZ25" s="3"/>
      <c r="UFA25" s="3"/>
      <c r="UFB25" s="3"/>
      <c r="UFC25" s="3"/>
      <c r="UFD25" s="3"/>
      <c r="UFE25" s="3"/>
      <c r="UFF25" s="3"/>
      <c r="UFG25" s="3"/>
      <c r="UFH25" s="3"/>
      <c r="UFI25" s="3"/>
      <c r="UFJ25" s="3"/>
      <c r="UFK25" s="3"/>
      <c r="UFL25" s="3"/>
      <c r="UFM25" s="3"/>
      <c r="UFN25" s="3"/>
      <c r="UFO25" s="3"/>
      <c r="UFP25" s="3"/>
      <c r="UFQ25" s="3"/>
      <c r="UFR25" s="3"/>
      <c r="UFS25" s="3"/>
      <c r="UFT25" s="3"/>
      <c r="UFU25" s="3"/>
      <c r="UFV25" s="3"/>
      <c r="UFW25" s="3"/>
      <c r="UFX25" s="3"/>
      <c r="UFY25" s="3"/>
      <c r="UFZ25" s="3"/>
      <c r="UGA25" s="3"/>
      <c r="UGB25" s="3"/>
      <c r="UGC25" s="3"/>
      <c r="UGD25" s="3"/>
      <c r="UGE25" s="3"/>
      <c r="UGF25" s="3"/>
      <c r="UGG25" s="3"/>
      <c r="UGH25" s="3"/>
      <c r="UGI25" s="3"/>
      <c r="UGJ25" s="3"/>
      <c r="UGK25" s="3"/>
      <c r="UGL25" s="3"/>
      <c r="UGM25" s="3"/>
      <c r="UGN25" s="3"/>
      <c r="UGO25" s="3"/>
      <c r="UGP25" s="3"/>
      <c r="UGQ25" s="3"/>
      <c r="UGR25" s="3"/>
      <c r="UGS25" s="3"/>
      <c r="UGT25" s="3"/>
      <c r="UGU25" s="3"/>
      <c r="UGV25" s="3"/>
      <c r="UGW25" s="3"/>
      <c r="UGX25" s="3"/>
      <c r="UGY25" s="3"/>
      <c r="UGZ25" s="3"/>
      <c r="UHA25" s="3"/>
      <c r="UHB25" s="3"/>
      <c r="UHC25" s="3"/>
      <c r="UHD25" s="3"/>
      <c r="UHE25" s="3"/>
      <c r="UHF25" s="3"/>
      <c r="UHG25" s="3"/>
      <c r="UHH25" s="3"/>
      <c r="UHI25" s="3"/>
      <c r="UHJ25" s="3"/>
      <c r="UHK25" s="3"/>
      <c r="UHL25" s="3"/>
      <c r="UHM25" s="3"/>
      <c r="UHN25" s="3"/>
      <c r="UHO25" s="3"/>
      <c r="UHP25" s="3"/>
      <c r="UHQ25" s="3"/>
      <c r="UHR25" s="3"/>
      <c r="UHS25" s="3"/>
      <c r="UHT25" s="3"/>
      <c r="UHU25" s="3"/>
      <c r="UHV25" s="3"/>
      <c r="UHW25" s="3"/>
      <c r="UHX25" s="3"/>
      <c r="UHY25" s="3"/>
      <c r="UHZ25" s="3"/>
      <c r="UIA25" s="3"/>
      <c r="UIB25" s="3"/>
      <c r="UIC25" s="3"/>
      <c r="UID25" s="3"/>
      <c r="UIE25" s="3"/>
      <c r="UIF25" s="3"/>
      <c r="UIG25" s="3"/>
      <c r="UIH25" s="3"/>
      <c r="UII25" s="3"/>
      <c r="UIJ25" s="3"/>
      <c r="UIK25" s="3"/>
      <c r="UIL25" s="3"/>
      <c r="UIM25" s="3"/>
      <c r="UIN25" s="3"/>
      <c r="UIO25" s="3"/>
      <c r="UIP25" s="3"/>
      <c r="UIQ25" s="3"/>
      <c r="UIR25" s="3"/>
      <c r="UIS25" s="3"/>
      <c r="UIT25" s="3"/>
      <c r="UIU25" s="3"/>
      <c r="UIV25" s="3"/>
      <c r="UIW25" s="3"/>
      <c r="UIX25" s="3"/>
      <c r="UIY25" s="3"/>
      <c r="UIZ25" s="3"/>
      <c r="UJA25" s="3"/>
      <c r="UJB25" s="3"/>
      <c r="UJC25" s="3"/>
      <c r="UJD25" s="3"/>
      <c r="UJE25" s="3"/>
      <c r="UJF25" s="3"/>
      <c r="UJG25" s="3"/>
      <c r="UJH25" s="3"/>
      <c r="UJI25" s="3"/>
      <c r="UJJ25" s="3"/>
      <c r="UJK25" s="3"/>
      <c r="UJL25" s="3"/>
      <c r="UJM25" s="3"/>
      <c r="UJN25" s="3"/>
      <c r="UJO25" s="3"/>
      <c r="UJP25" s="3"/>
      <c r="UJQ25" s="3"/>
      <c r="UJR25" s="3"/>
      <c r="UJS25" s="3"/>
      <c r="UJT25" s="3"/>
      <c r="UJU25" s="3"/>
      <c r="UJV25" s="3"/>
      <c r="UJW25" s="3"/>
      <c r="UJX25" s="3"/>
      <c r="UJY25" s="3"/>
      <c r="UJZ25" s="3"/>
      <c r="UKA25" s="3"/>
      <c r="UKB25" s="3"/>
      <c r="UKC25" s="3"/>
      <c r="UKD25" s="3"/>
      <c r="UKE25" s="3"/>
      <c r="UKF25" s="3"/>
      <c r="UKG25" s="3"/>
      <c r="UKH25" s="3"/>
      <c r="UKI25" s="3"/>
      <c r="UKJ25" s="3"/>
      <c r="UKK25" s="3"/>
      <c r="UKL25" s="3"/>
      <c r="UKM25" s="3"/>
      <c r="UKN25" s="3"/>
      <c r="UKO25" s="3"/>
      <c r="UKP25" s="3"/>
      <c r="UKQ25" s="3"/>
      <c r="UKR25" s="3"/>
      <c r="UKS25" s="3"/>
      <c r="UKT25" s="3"/>
      <c r="UKU25" s="3"/>
      <c r="UKV25" s="3"/>
      <c r="UKW25" s="3"/>
      <c r="UKX25" s="3"/>
      <c r="UKY25" s="3"/>
      <c r="UKZ25" s="3"/>
      <c r="ULA25" s="3"/>
      <c r="ULB25" s="3"/>
      <c r="ULC25" s="3"/>
      <c r="ULD25" s="3"/>
      <c r="ULE25" s="3"/>
      <c r="ULF25" s="3"/>
      <c r="ULG25" s="3"/>
      <c r="ULH25" s="3"/>
      <c r="ULI25" s="3"/>
      <c r="ULJ25" s="3"/>
      <c r="ULK25" s="3"/>
      <c r="ULL25" s="3"/>
      <c r="ULM25" s="3"/>
      <c r="ULN25" s="3"/>
      <c r="ULO25" s="3"/>
      <c r="ULP25" s="3"/>
      <c r="ULQ25" s="3"/>
      <c r="ULR25" s="3"/>
      <c r="ULS25" s="3"/>
      <c r="ULT25" s="3"/>
      <c r="ULU25" s="3"/>
      <c r="ULV25" s="3"/>
      <c r="ULW25" s="3"/>
      <c r="ULX25" s="3"/>
      <c r="ULY25" s="3"/>
      <c r="ULZ25" s="3"/>
      <c r="UMA25" s="3"/>
      <c r="UMB25" s="3"/>
      <c r="UMC25" s="3"/>
      <c r="UMD25" s="3"/>
      <c r="UME25" s="3"/>
      <c r="UMF25" s="3"/>
      <c r="UMG25" s="3"/>
      <c r="UMH25" s="3"/>
      <c r="UMI25" s="3"/>
      <c r="UMJ25" s="3"/>
      <c r="UMK25" s="3"/>
      <c r="UML25" s="3"/>
      <c r="UMM25" s="3"/>
      <c r="UMN25" s="3"/>
      <c r="UMO25" s="3"/>
      <c r="UMP25" s="3"/>
      <c r="UMQ25" s="3"/>
      <c r="UMR25" s="3"/>
      <c r="UMS25" s="3"/>
      <c r="UMT25" s="3"/>
      <c r="UMU25" s="3"/>
      <c r="UMV25" s="3"/>
      <c r="UMW25" s="3"/>
      <c r="UMX25" s="3"/>
      <c r="UMY25" s="3"/>
      <c r="UMZ25" s="3"/>
      <c r="UNA25" s="3"/>
      <c r="UNB25" s="3"/>
      <c r="UNC25" s="3"/>
      <c r="UND25" s="3"/>
      <c r="UNE25" s="3"/>
      <c r="UNF25" s="3"/>
      <c r="UNG25" s="3"/>
      <c r="UNH25" s="3"/>
      <c r="UNI25" s="3"/>
      <c r="UNJ25" s="3"/>
      <c r="UNK25" s="3"/>
      <c r="UNL25" s="3"/>
      <c r="UNM25" s="3"/>
      <c r="UNN25" s="3"/>
      <c r="UNO25" s="3"/>
      <c r="UNP25" s="3"/>
      <c r="UNQ25" s="3"/>
      <c r="UNR25" s="3"/>
      <c r="UNS25" s="3"/>
      <c r="UNT25" s="3"/>
      <c r="UNU25" s="3"/>
      <c r="UNV25" s="3"/>
      <c r="UNW25" s="3"/>
      <c r="UNX25" s="3"/>
      <c r="UNY25" s="3"/>
      <c r="UNZ25" s="3"/>
      <c r="UOA25" s="3"/>
      <c r="UOB25" s="3"/>
      <c r="UOC25" s="3"/>
      <c r="UOD25" s="3"/>
      <c r="UOE25" s="3"/>
      <c r="UOF25" s="3"/>
      <c r="UOG25" s="3"/>
      <c r="UOH25" s="3"/>
      <c r="UOI25" s="3"/>
      <c r="UOJ25" s="3"/>
      <c r="UOK25" s="3"/>
      <c r="UOL25" s="3"/>
      <c r="UOM25" s="3"/>
      <c r="UON25" s="3"/>
      <c r="UOO25" s="3"/>
      <c r="UOP25" s="3"/>
      <c r="UOQ25" s="3"/>
      <c r="UOR25" s="3"/>
      <c r="UOS25" s="3"/>
      <c r="UOT25" s="3"/>
      <c r="UOU25" s="3"/>
      <c r="UOV25" s="3"/>
      <c r="UOW25" s="3"/>
      <c r="UOX25" s="3"/>
      <c r="UOY25" s="3"/>
      <c r="UOZ25" s="3"/>
      <c r="UPA25" s="3"/>
      <c r="UPB25" s="3"/>
      <c r="UPC25" s="3"/>
      <c r="UPD25" s="3"/>
      <c r="UPE25" s="3"/>
      <c r="UPF25" s="3"/>
      <c r="UPG25" s="3"/>
      <c r="UPH25" s="3"/>
      <c r="UPI25" s="3"/>
      <c r="UPJ25" s="3"/>
      <c r="UPK25" s="3"/>
      <c r="UPL25" s="3"/>
      <c r="UPM25" s="3"/>
      <c r="UPN25" s="3"/>
      <c r="UPO25" s="3"/>
      <c r="UPP25" s="3"/>
      <c r="UPQ25" s="3"/>
      <c r="UPR25" s="3"/>
      <c r="UPS25" s="3"/>
      <c r="UPT25" s="3"/>
      <c r="UPU25" s="3"/>
      <c r="UPV25" s="3"/>
      <c r="UPW25" s="3"/>
      <c r="UPX25" s="3"/>
      <c r="UPY25" s="3"/>
      <c r="UPZ25" s="3"/>
      <c r="UQA25" s="3"/>
      <c r="UQB25" s="3"/>
      <c r="UQC25" s="3"/>
      <c r="UQD25" s="3"/>
      <c r="UQE25" s="3"/>
      <c r="UQF25" s="3"/>
      <c r="UQG25" s="3"/>
      <c r="UQH25" s="3"/>
      <c r="UQI25" s="3"/>
      <c r="UQJ25" s="3"/>
      <c r="UQK25" s="3"/>
      <c r="UQL25" s="3"/>
      <c r="UQM25" s="3"/>
      <c r="UQN25" s="3"/>
      <c r="UQO25" s="3"/>
      <c r="UQP25" s="3"/>
      <c r="UQQ25" s="3"/>
      <c r="UQR25" s="3"/>
      <c r="UQS25" s="3"/>
      <c r="UQT25" s="3"/>
      <c r="UQU25" s="3"/>
      <c r="UQV25" s="3"/>
      <c r="UQW25" s="3"/>
      <c r="UQX25" s="3"/>
      <c r="UQY25" s="3"/>
      <c r="UQZ25" s="3"/>
      <c r="URA25" s="3"/>
      <c r="URB25" s="3"/>
      <c r="URC25" s="3"/>
      <c r="URD25" s="3"/>
      <c r="URE25" s="3"/>
      <c r="URF25" s="3"/>
      <c r="URG25" s="3"/>
      <c r="URH25" s="3"/>
      <c r="URI25" s="3"/>
      <c r="URJ25" s="3"/>
      <c r="URK25" s="3"/>
      <c r="URL25" s="3"/>
      <c r="URM25" s="3"/>
      <c r="URN25" s="3"/>
      <c r="URO25" s="3"/>
      <c r="URP25" s="3"/>
      <c r="URQ25" s="3"/>
      <c r="URR25" s="3"/>
      <c r="URS25" s="3"/>
      <c r="URT25" s="3"/>
      <c r="URU25" s="3"/>
      <c r="URV25" s="3"/>
      <c r="URW25" s="3"/>
      <c r="URX25" s="3"/>
      <c r="URY25" s="3"/>
      <c r="URZ25" s="3"/>
      <c r="USA25" s="3"/>
      <c r="USB25" s="3"/>
      <c r="USC25" s="3"/>
      <c r="USD25" s="3"/>
      <c r="USE25" s="3"/>
      <c r="USF25" s="3"/>
      <c r="USG25" s="3"/>
      <c r="USH25" s="3"/>
      <c r="USI25" s="3"/>
      <c r="USJ25" s="3"/>
      <c r="USK25" s="3"/>
      <c r="USL25" s="3"/>
      <c r="USM25" s="3"/>
      <c r="USN25" s="3"/>
      <c r="USO25" s="3"/>
      <c r="USP25" s="3"/>
      <c r="USQ25" s="3"/>
      <c r="USR25" s="3"/>
      <c r="USS25" s="3"/>
      <c r="UST25" s="3"/>
      <c r="USU25" s="3"/>
      <c r="USV25" s="3"/>
      <c r="USW25" s="3"/>
      <c r="USX25" s="3"/>
      <c r="USY25" s="3"/>
      <c r="USZ25" s="3"/>
      <c r="UTA25" s="3"/>
      <c r="UTB25" s="3"/>
      <c r="UTC25" s="3"/>
      <c r="UTD25" s="3"/>
      <c r="UTE25" s="3"/>
      <c r="UTF25" s="3"/>
      <c r="UTG25" s="3"/>
      <c r="UTH25" s="3"/>
      <c r="UTI25" s="3"/>
      <c r="UTJ25" s="3"/>
      <c r="UTK25" s="3"/>
      <c r="UTL25" s="3"/>
      <c r="UTM25" s="3"/>
      <c r="UTN25" s="3"/>
      <c r="UTO25" s="3"/>
      <c r="UTP25" s="3"/>
      <c r="UTQ25" s="3"/>
      <c r="UTR25" s="3"/>
      <c r="UTS25" s="3"/>
      <c r="UTT25" s="3"/>
      <c r="UTU25" s="3"/>
      <c r="UTV25" s="3"/>
      <c r="UTW25" s="3"/>
      <c r="UTX25" s="3"/>
      <c r="UTY25" s="3"/>
      <c r="UTZ25" s="3"/>
      <c r="UUA25" s="3"/>
      <c r="UUB25" s="3"/>
      <c r="UUC25" s="3"/>
      <c r="UUD25" s="3"/>
      <c r="UUE25" s="3"/>
      <c r="UUF25" s="3"/>
      <c r="UUG25" s="3"/>
      <c r="UUH25" s="3"/>
      <c r="UUI25" s="3"/>
      <c r="UUJ25" s="3"/>
      <c r="UUK25" s="3"/>
      <c r="UUL25" s="3"/>
      <c r="UUM25" s="3"/>
      <c r="UUN25" s="3"/>
      <c r="UUO25" s="3"/>
      <c r="UUP25" s="3"/>
      <c r="UUQ25" s="3"/>
      <c r="UUR25" s="3"/>
      <c r="UUS25" s="3"/>
      <c r="UUT25" s="3"/>
      <c r="UUU25" s="3"/>
      <c r="UUV25" s="3"/>
      <c r="UUW25" s="3"/>
      <c r="UUX25" s="3"/>
      <c r="UUY25" s="3"/>
      <c r="UUZ25" s="3"/>
      <c r="UVA25" s="3"/>
      <c r="UVB25" s="3"/>
      <c r="UVC25" s="3"/>
      <c r="UVD25" s="3"/>
      <c r="UVE25" s="3"/>
      <c r="UVF25" s="3"/>
      <c r="UVG25" s="3"/>
      <c r="UVH25" s="3"/>
      <c r="UVI25" s="3"/>
      <c r="UVJ25" s="3"/>
      <c r="UVK25" s="3"/>
      <c r="UVL25" s="3"/>
      <c r="UVM25" s="3"/>
      <c r="UVN25" s="3"/>
      <c r="UVO25" s="3"/>
      <c r="UVP25" s="3"/>
      <c r="UVQ25" s="3"/>
      <c r="UVR25" s="3"/>
      <c r="UVS25" s="3"/>
      <c r="UVT25" s="3"/>
      <c r="UVU25" s="3"/>
      <c r="UVV25" s="3"/>
      <c r="UVW25" s="3"/>
      <c r="UVX25" s="3"/>
      <c r="UVY25" s="3"/>
      <c r="UVZ25" s="3"/>
      <c r="UWA25" s="3"/>
      <c r="UWB25" s="3"/>
      <c r="UWC25" s="3"/>
      <c r="UWD25" s="3"/>
      <c r="UWE25" s="3"/>
      <c r="UWF25" s="3"/>
      <c r="UWG25" s="3"/>
      <c r="UWH25" s="3"/>
      <c r="UWI25" s="3"/>
      <c r="UWJ25" s="3"/>
      <c r="UWK25" s="3"/>
      <c r="UWL25" s="3"/>
      <c r="UWM25" s="3"/>
      <c r="UWN25" s="3"/>
      <c r="UWO25" s="3"/>
      <c r="UWP25" s="3"/>
      <c r="UWQ25" s="3"/>
      <c r="UWR25" s="3"/>
      <c r="UWS25" s="3"/>
      <c r="UWT25" s="3"/>
      <c r="UWU25" s="3"/>
      <c r="UWV25" s="3"/>
      <c r="UWW25" s="3"/>
      <c r="UWX25" s="3"/>
      <c r="UWY25" s="3"/>
      <c r="UWZ25" s="3"/>
      <c r="UXA25" s="3"/>
      <c r="UXB25" s="3"/>
      <c r="UXC25" s="3"/>
      <c r="UXD25" s="3"/>
      <c r="UXE25" s="3"/>
      <c r="UXF25" s="3"/>
      <c r="UXG25" s="3"/>
      <c r="UXH25" s="3"/>
      <c r="UXI25" s="3"/>
      <c r="UXJ25" s="3"/>
      <c r="UXK25" s="3"/>
      <c r="UXL25" s="3"/>
      <c r="UXM25" s="3"/>
      <c r="UXN25" s="3"/>
      <c r="UXO25" s="3"/>
      <c r="UXP25" s="3"/>
      <c r="UXQ25" s="3"/>
      <c r="UXR25" s="3"/>
      <c r="UXS25" s="3"/>
      <c r="UXT25" s="3"/>
      <c r="UXU25" s="3"/>
      <c r="UXV25" s="3"/>
      <c r="UXW25" s="3"/>
      <c r="UXX25" s="3"/>
      <c r="UXY25" s="3"/>
      <c r="UXZ25" s="3"/>
      <c r="UYA25" s="3"/>
      <c r="UYB25" s="3"/>
      <c r="UYC25" s="3"/>
      <c r="UYD25" s="3"/>
      <c r="UYE25" s="3"/>
      <c r="UYF25" s="3"/>
      <c r="UYG25" s="3"/>
      <c r="UYH25" s="3"/>
      <c r="UYI25" s="3"/>
      <c r="UYJ25" s="3"/>
      <c r="UYK25" s="3"/>
      <c r="UYL25" s="3"/>
      <c r="UYM25" s="3"/>
      <c r="UYN25" s="3"/>
      <c r="UYO25" s="3"/>
      <c r="UYP25" s="3"/>
      <c r="UYQ25" s="3"/>
      <c r="UYR25" s="3"/>
      <c r="UYS25" s="3"/>
      <c r="UYT25" s="3"/>
      <c r="UYU25" s="3"/>
      <c r="UYV25" s="3"/>
      <c r="UYW25" s="3"/>
      <c r="UYX25" s="3"/>
      <c r="UYY25" s="3"/>
      <c r="UYZ25" s="3"/>
      <c r="UZA25" s="3"/>
      <c r="UZB25" s="3"/>
      <c r="UZC25" s="3"/>
      <c r="UZD25" s="3"/>
      <c r="UZE25" s="3"/>
      <c r="UZF25" s="3"/>
      <c r="UZG25" s="3"/>
      <c r="UZH25" s="3"/>
      <c r="UZI25" s="3"/>
      <c r="UZJ25" s="3"/>
      <c r="UZK25" s="3"/>
      <c r="UZL25" s="3"/>
      <c r="UZM25" s="3"/>
      <c r="UZN25" s="3"/>
      <c r="UZO25" s="3"/>
      <c r="UZP25" s="3"/>
      <c r="UZQ25" s="3"/>
      <c r="UZR25" s="3"/>
      <c r="UZS25" s="3"/>
      <c r="UZT25" s="3"/>
      <c r="UZU25" s="3"/>
      <c r="UZV25" s="3"/>
      <c r="UZW25" s="3"/>
      <c r="UZX25" s="3"/>
      <c r="UZY25" s="3"/>
      <c r="UZZ25" s="3"/>
      <c r="VAA25" s="3"/>
      <c r="VAB25" s="3"/>
      <c r="VAC25" s="3"/>
      <c r="VAD25" s="3"/>
      <c r="VAE25" s="3"/>
      <c r="VAF25" s="3"/>
      <c r="VAG25" s="3"/>
      <c r="VAH25" s="3"/>
      <c r="VAI25" s="3"/>
      <c r="VAJ25" s="3"/>
      <c r="VAK25" s="3"/>
      <c r="VAL25" s="3"/>
      <c r="VAM25" s="3"/>
      <c r="VAN25" s="3"/>
      <c r="VAO25" s="3"/>
      <c r="VAP25" s="3"/>
      <c r="VAQ25" s="3"/>
      <c r="VAR25" s="3"/>
      <c r="VAS25" s="3"/>
      <c r="VAT25" s="3"/>
      <c r="VAU25" s="3"/>
      <c r="VAV25" s="3"/>
      <c r="VAW25" s="3"/>
      <c r="VAX25" s="3"/>
      <c r="VAY25" s="3"/>
      <c r="VAZ25" s="3"/>
      <c r="VBA25" s="3"/>
      <c r="VBB25" s="3"/>
      <c r="VBC25" s="3"/>
      <c r="VBD25" s="3"/>
      <c r="VBE25" s="3"/>
      <c r="VBF25" s="3"/>
      <c r="VBG25" s="3"/>
      <c r="VBH25" s="3"/>
      <c r="VBI25" s="3"/>
      <c r="VBJ25" s="3"/>
      <c r="VBK25" s="3"/>
      <c r="VBL25" s="3"/>
      <c r="VBM25" s="3"/>
      <c r="VBN25" s="3"/>
      <c r="VBO25" s="3"/>
      <c r="VBP25" s="3"/>
      <c r="VBQ25" s="3"/>
      <c r="VBR25" s="3"/>
      <c r="VBS25" s="3"/>
      <c r="VBT25" s="3"/>
      <c r="VBU25" s="3"/>
      <c r="VBV25" s="3"/>
      <c r="VBW25" s="3"/>
      <c r="VBX25" s="3"/>
      <c r="VBY25" s="3"/>
      <c r="VBZ25" s="3"/>
      <c r="VCA25" s="3"/>
      <c r="VCB25" s="3"/>
      <c r="VCC25" s="3"/>
      <c r="VCD25" s="3"/>
      <c r="VCE25" s="3"/>
      <c r="VCF25" s="3"/>
      <c r="VCG25" s="3"/>
      <c r="VCH25" s="3"/>
      <c r="VCI25" s="3"/>
      <c r="VCJ25" s="3"/>
      <c r="VCK25" s="3"/>
      <c r="VCL25" s="3"/>
      <c r="VCM25" s="3"/>
      <c r="VCN25" s="3"/>
      <c r="VCO25" s="3"/>
      <c r="VCP25" s="3"/>
      <c r="VCQ25" s="3"/>
      <c r="VCR25" s="3"/>
      <c r="VCS25" s="3"/>
      <c r="VCT25" s="3"/>
      <c r="VCU25" s="3"/>
      <c r="VCV25" s="3"/>
      <c r="VCW25" s="3"/>
      <c r="VCX25" s="3"/>
      <c r="VCY25" s="3"/>
      <c r="VCZ25" s="3"/>
      <c r="VDA25" s="3"/>
      <c r="VDB25" s="3"/>
      <c r="VDC25" s="3"/>
      <c r="VDD25" s="3"/>
      <c r="VDE25" s="3"/>
      <c r="VDF25" s="3"/>
      <c r="VDG25" s="3"/>
      <c r="VDH25" s="3"/>
      <c r="VDI25" s="3"/>
      <c r="VDJ25" s="3"/>
      <c r="VDK25" s="3"/>
      <c r="VDL25" s="3"/>
      <c r="VDM25" s="3"/>
      <c r="VDN25" s="3"/>
      <c r="VDO25" s="3"/>
      <c r="VDP25" s="3"/>
      <c r="VDQ25" s="3"/>
      <c r="VDR25" s="3"/>
      <c r="VDS25" s="3"/>
      <c r="VDT25" s="3"/>
      <c r="VDU25" s="3"/>
      <c r="VDV25" s="3"/>
      <c r="VDW25" s="3"/>
      <c r="VDX25" s="3"/>
      <c r="VDY25" s="3"/>
      <c r="VDZ25" s="3"/>
      <c r="VEA25" s="3"/>
      <c r="VEB25" s="3"/>
      <c r="VEC25" s="3"/>
      <c r="VED25" s="3"/>
      <c r="VEE25" s="3"/>
      <c r="VEF25" s="3"/>
      <c r="VEG25" s="3"/>
      <c r="VEH25" s="3"/>
      <c r="VEI25" s="3"/>
      <c r="VEJ25" s="3"/>
      <c r="VEK25" s="3"/>
      <c r="VEL25" s="3"/>
      <c r="VEM25" s="3"/>
      <c r="VEN25" s="3"/>
      <c r="VEO25" s="3"/>
      <c r="VEP25" s="3"/>
      <c r="VEQ25" s="3"/>
      <c r="VER25" s="3"/>
      <c r="VES25" s="3"/>
      <c r="VET25" s="3"/>
      <c r="VEU25" s="3"/>
      <c r="VEV25" s="3"/>
      <c r="VEW25" s="3"/>
      <c r="VEX25" s="3"/>
      <c r="VEY25" s="3"/>
      <c r="VEZ25" s="3"/>
      <c r="VFA25" s="3"/>
      <c r="VFB25" s="3"/>
      <c r="VFC25" s="3"/>
      <c r="VFD25" s="3"/>
      <c r="VFE25" s="3"/>
      <c r="VFF25" s="3"/>
      <c r="VFG25" s="3"/>
      <c r="VFH25" s="3"/>
      <c r="VFI25" s="3"/>
      <c r="VFJ25" s="3"/>
      <c r="VFK25" s="3"/>
      <c r="VFL25" s="3"/>
      <c r="VFM25" s="3"/>
      <c r="VFN25" s="3"/>
      <c r="VFO25" s="3"/>
      <c r="VFP25" s="3"/>
      <c r="VFQ25" s="3"/>
      <c r="VFR25" s="3"/>
      <c r="VFS25" s="3"/>
      <c r="VFT25" s="3"/>
      <c r="VFU25" s="3"/>
      <c r="VFV25" s="3"/>
      <c r="VFW25" s="3"/>
      <c r="VFX25" s="3"/>
      <c r="VFY25" s="3"/>
      <c r="VFZ25" s="3"/>
      <c r="VGA25" s="3"/>
      <c r="VGB25" s="3"/>
      <c r="VGC25" s="3"/>
      <c r="VGD25" s="3"/>
      <c r="VGE25" s="3"/>
      <c r="VGF25" s="3"/>
      <c r="VGG25" s="3"/>
      <c r="VGH25" s="3"/>
      <c r="VGI25" s="3"/>
      <c r="VGJ25" s="3"/>
      <c r="VGK25" s="3"/>
      <c r="VGL25" s="3"/>
      <c r="VGM25" s="3"/>
      <c r="VGN25" s="3"/>
      <c r="VGO25" s="3"/>
      <c r="VGP25" s="3"/>
      <c r="VGQ25" s="3"/>
      <c r="VGR25" s="3"/>
      <c r="VGS25" s="3"/>
      <c r="VGT25" s="3"/>
      <c r="VGU25" s="3"/>
      <c r="VGV25" s="3"/>
      <c r="VGW25" s="3"/>
      <c r="VGX25" s="3"/>
      <c r="VGY25" s="3"/>
      <c r="VGZ25" s="3"/>
      <c r="VHA25" s="3"/>
      <c r="VHB25" s="3"/>
      <c r="VHC25" s="3"/>
      <c r="VHD25" s="3"/>
      <c r="VHE25" s="3"/>
      <c r="VHF25" s="3"/>
      <c r="VHG25" s="3"/>
      <c r="VHH25" s="3"/>
      <c r="VHI25" s="3"/>
      <c r="VHJ25" s="3"/>
      <c r="VHK25" s="3"/>
      <c r="VHL25" s="3"/>
      <c r="VHM25" s="3"/>
      <c r="VHN25" s="3"/>
      <c r="VHO25" s="3"/>
      <c r="VHP25" s="3"/>
      <c r="VHQ25" s="3"/>
      <c r="VHR25" s="3"/>
      <c r="VHS25" s="3"/>
      <c r="VHT25" s="3"/>
      <c r="VHU25" s="3"/>
      <c r="VHV25" s="3"/>
      <c r="VHW25" s="3"/>
      <c r="VHX25" s="3"/>
      <c r="VHY25" s="3"/>
      <c r="VHZ25" s="3"/>
      <c r="VIA25" s="3"/>
      <c r="VIB25" s="3"/>
      <c r="VIC25" s="3"/>
      <c r="VID25" s="3"/>
      <c r="VIE25" s="3"/>
      <c r="VIF25" s="3"/>
      <c r="VIG25" s="3"/>
      <c r="VIH25" s="3"/>
      <c r="VII25" s="3"/>
      <c r="VIJ25" s="3"/>
      <c r="VIK25" s="3"/>
      <c r="VIL25" s="3"/>
      <c r="VIM25" s="3"/>
      <c r="VIN25" s="3"/>
      <c r="VIO25" s="3"/>
      <c r="VIP25" s="3"/>
      <c r="VIQ25" s="3"/>
      <c r="VIR25" s="3"/>
      <c r="VIS25" s="3"/>
      <c r="VIT25" s="3"/>
      <c r="VIU25" s="3"/>
      <c r="VIV25" s="3"/>
      <c r="VIW25" s="3"/>
      <c r="VIX25" s="3"/>
      <c r="VIY25" s="3"/>
      <c r="VIZ25" s="3"/>
      <c r="VJA25" s="3"/>
      <c r="VJB25" s="3"/>
      <c r="VJC25" s="3"/>
      <c r="VJD25" s="3"/>
      <c r="VJE25" s="3"/>
      <c r="VJF25" s="3"/>
      <c r="VJG25" s="3"/>
      <c r="VJH25" s="3"/>
      <c r="VJI25" s="3"/>
      <c r="VJJ25" s="3"/>
      <c r="VJK25" s="3"/>
      <c r="VJL25" s="3"/>
      <c r="VJM25" s="3"/>
      <c r="VJN25" s="3"/>
      <c r="VJO25" s="3"/>
      <c r="VJP25" s="3"/>
      <c r="VJQ25" s="3"/>
      <c r="VJR25" s="3"/>
      <c r="VJS25" s="3"/>
      <c r="VJT25" s="3"/>
      <c r="VJU25" s="3"/>
      <c r="VJV25" s="3"/>
      <c r="VJW25" s="3"/>
      <c r="VJX25" s="3"/>
      <c r="VJY25" s="3"/>
      <c r="VJZ25" s="3"/>
      <c r="VKA25" s="3"/>
      <c r="VKB25" s="3"/>
      <c r="VKC25" s="3"/>
      <c r="VKD25" s="3"/>
      <c r="VKE25" s="3"/>
      <c r="VKF25" s="3"/>
      <c r="VKG25" s="3"/>
      <c r="VKH25" s="3"/>
      <c r="VKI25" s="3"/>
      <c r="VKJ25" s="3"/>
      <c r="VKK25" s="3"/>
      <c r="VKL25" s="3"/>
      <c r="VKM25" s="3"/>
      <c r="VKN25" s="3"/>
      <c r="VKO25" s="3"/>
      <c r="VKP25" s="3"/>
      <c r="VKQ25" s="3"/>
      <c r="VKR25" s="3"/>
      <c r="VKS25" s="3"/>
      <c r="VKT25" s="3"/>
      <c r="VKU25" s="3"/>
      <c r="VKV25" s="3"/>
      <c r="VKW25" s="3"/>
      <c r="VKX25" s="3"/>
      <c r="VKY25" s="3"/>
      <c r="VKZ25" s="3"/>
      <c r="VLA25" s="3"/>
      <c r="VLB25" s="3"/>
      <c r="VLC25" s="3"/>
      <c r="VLD25" s="3"/>
      <c r="VLE25" s="3"/>
      <c r="VLF25" s="3"/>
      <c r="VLG25" s="3"/>
      <c r="VLH25" s="3"/>
      <c r="VLI25" s="3"/>
      <c r="VLJ25" s="3"/>
      <c r="VLK25" s="3"/>
      <c r="VLL25" s="3"/>
      <c r="VLM25" s="3"/>
      <c r="VLN25" s="3"/>
      <c r="VLO25" s="3"/>
      <c r="VLP25" s="3"/>
      <c r="VLQ25" s="3"/>
      <c r="VLR25" s="3"/>
      <c r="VLS25" s="3"/>
      <c r="VLT25" s="3"/>
      <c r="VLU25" s="3"/>
      <c r="VLV25" s="3"/>
      <c r="VLW25" s="3"/>
      <c r="VLX25" s="3"/>
      <c r="VLY25" s="3"/>
      <c r="VLZ25" s="3"/>
      <c r="VMA25" s="3"/>
      <c r="VMB25" s="3"/>
      <c r="VMC25" s="3"/>
      <c r="VMD25" s="3"/>
      <c r="VME25" s="3"/>
      <c r="VMF25" s="3"/>
      <c r="VMG25" s="3"/>
      <c r="VMH25" s="3"/>
      <c r="VMI25" s="3"/>
      <c r="VMJ25" s="3"/>
      <c r="VMK25" s="3"/>
      <c r="VML25" s="3"/>
      <c r="VMM25" s="3"/>
      <c r="VMN25" s="3"/>
      <c r="VMO25" s="3"/>
      <c r="VMP25" s="3"/>
      <c r="VMQ25" s="3"/>
      <c r="VMR25" s="3"/>
      <c r="VMS25" s="3"/>
      <c r="VMT25" s="3"/>
      <c r="VMU25" s="3"/>
      <c r="VMV25" s="3"/>
      <c r="VMW25" s="3"/>
      <c r="VMX25" s="3"/>
      <c r="VMY25" s="3"/>
      <c r="VMZ25" s="3"/>
      <c r="VNA25" s="3"/>
      <c r="VNB25" s="3"/>
      <c r="VNC25" s="3"/>
      <c r="VND25" s="3"/>
      <c r="VNE25" s="3"/>
      <c r="VNF25" s="3"/>
      <c r="VNG25" s="3"/>
      <c r="VNH25" s="3"/>
      <c r="VNI25" s="3"/>
      <c r="VNJ25" s="3"/>
      <c r="VNK25" s="3"/>
      <c r="VNL25" s="3"/>
      <c r="VNM25" s="3"/>
      <c r="VNN25" s="3"/>
      <c r="VNO25" s="3"/>
      <c r="VNP25" s="3"/>
      <c r="VNQ25" s="3"/>
      <c r="VNR25" s="3"/>
      <c r="VNS25" s="3"/>
      <c r="VNT25" s="3"/>
      <c r="VNU25" s="3"/>
      <c r="VNV25" s="3"/>
      <c r="VNW25" s="3"/>
      <c r="VNX25" s="3"/>
      <c r="VNY25" s="3"/>
      <c r="VNZ25" s="3"/>
      <c r="VOA25" s="3"/>
      <c r="VOB25" s="3"/>
      <c r="VOC25" s="3"/>
      <c r="VOD25" s="3"/>
      <c r="VOE25" s="3"/>
      <c r="VOF25" s="3"/>
      <c r="VOG25" s="3"/>
      <c r="VOH25" s="3"/>
      <c r="VOI25" s="3"/>
      <c r="VOJ25" s="3"/>
      <c r="VOK25" s="3"/>
      <c r="VOL25" s="3"/>
      <c r="VOM25" s="3"/>
      <c r="VON25" s="3"/>
      <c r="VOO25" s="3"/>
      <c r="VOP25" s="3"/>
      <c r="VOQ25" s="3"/>
      <c r="VOR25" s="3"/>
      <c r="VOS25" s="3"/>
      <c r="VOT25" s="3"/>
      <c r="VOU25" s="3"/>
      <c r="VOV25" s="3"/>
      <c r="VOW25" s="3"/>
      <c r="VOX25" s="3"/>
      <c r="VOY25" s="3"/>
      <c r="VOZ25" s="3"/>
      <c r="VPA25" s="3"/>
      <c r="VPB25" s="3"/>
      <c r="VPC25" s="3"/>
      <c r="VPD25" s="3"/>
      <c r="VPE25" s="3"/>
      <c r="VPF25" s="3"/>
      <c r="VPG25" s="3"/>
      <c r="VPH25" s="3"/>
      <c r="VPI25" s="3"/>
      <c r="VPJ25" s="3"/>
      <c r="VPK25" s="3"/>
      <c r="VPL25" s="3"/>
      <c r="VPM25" s="3"/>
      <c r="VPN25" s="3"/>
      <c r="VPO25" s="3"/>
      <c r="VPP25" s="3"/>
      <c r="VPQ25" s="3"/>
      <c r="VPR25" s="3"/>
      <c r="VPS25" s="3"/>
      <c r="VPT25" s="3"/>
      <c r="VPU25" s="3"/>
      <c r="VPV25" s="3"/>
      <c r="VPW25" s="3"/>
      <c r="VPX25" s="3"/>
      <c r="VPY25" s="3"/>
      <c r="VPZ25" s="3"/>
      <c r="VQA25" s="3"/>
      <c r="VQB25" s="3"/>
      <c r="VQC25" s="3"/>
      <c r="VQD25" s="3"/>
      <c r="VQE25" s="3"/>
      <c r="VQF25" s="3"/>
      <c r="VQG25" s="3"/>
      <c r="VQH25" s="3"/>
      <c r="VQI25" s="3"/>
      <c r="VQJ25" s="3"/>
      <c r="VQK25" s="3"/>
      <c r="VQL25" s="3"/>
      <c r="VQM25" s="3"/>
      <c r="VQN25" s="3"/>
      <c r="VQO25" s="3"/>
      <c r="VQP25" s="3"/>
      <c r="VQQ25" s="3"/>
      <c r="VQR25" s="3"/>
      <c r="VQS25" s="3"/>
      <c r="VQT25" s="3"/>
      <c r="VQU25" s="3"/>
      <c r="VQV25" s="3"/>
      <c r="VQW25" s="3"/>
      <c r="VQX25" s="3"/>
      <c r="VQY25" s="3"/>
      <c r="VQZ25" s="3"/>
      <c r="VRA25" s="3"/>
      <c r="VRB25" s="3"/>
      <c r="VRC25" s="3"/>
      <c r="VRD25" s="3"/>
      <c r="VRE25" s="3"/>
      <c r="VRF25" s="3"/>
      <c r="VRG25" s="3"/>
      <c r="VRH25" s="3"/>
      <c r="VRI25" s="3"/>
      <c r="VRJ25" s="3"/>
      <c r="VRK25" s="3"/>
      <c r="VRL25" s="3"/>
      <c r="VRM25" s="3"/>
      <c r="VRN25" s="3"/>
      <c r="VRO25" s="3"/>
      <c r="VRP25" s="3"/>
      <c r="VRQ25" s="3"/>
      <c r="VRR25" s="3"/>
      <c r="VRS25" s="3"/>
      <c r="VRT25" s="3"/>
      <c r="VRU25" s="3"/>
      <c r="VRV25" s="3"/>
      <c r="VRW25" s="3"/>
      <c r="VRX25" s="3"/>
      <c r="VRY25" s="3"/>
      <c r="VRZ25" s="3"/>
      <c r="VSA25" s="3"/>
      <c r="VSB25" s="3"/>
      <c r="VSC25" s="3"/>
      <c r="VSD25" s="3"/>
      <c r="VSE25" s="3"/>
      <c r="VSF25" s="3"/>
      <c r="VSG25" s="3"/>
      <c r="VSH25" s="3"/>
      <c r="VSI25" s="3"/>
      <c r="VSJ25" s="3"/>
      <c r="VSK25" s="3"/>
      <c r="VSL25" s="3"/>
      <c r="VSM25" s="3"/>
      <c r="VSN25" s="3"/>
      <c r="VSO25" s="3"/>
      <c r="VSP25" s="3"/>
      <c r="VSQ25" s="3"/>
      <c r="VSR25" s="3"/>
      <c r="VSS25" s="3"/>
      <c r="VST25" s="3"/>
      <c r="VSU25" s="3"/>
      <c r="VSV25" s="3"/>
      <c r="VSW25" s="3"/>
      <c r="VSX25" s="3"/>
      <c r="VSY25" s="3"/>
      <c r="VSZ25" s="3"/>
      <c r="VTA25" s="3"/>
      <c r="VTB25" s="3"/>
      <c r="VTC25" s="3"/>
      <c r="VTD25" s="3"/>
      <c r="VTE25" s="3"/>
      <c r="VTF25" s="3"/>
      <c r="VTG25" s="3"/>
      <c r="VTH25" s="3"/>
      <c r="VTI25" s="3"/>
      <c r="VTJ25" s="3"/>
      <c r="VTK25" s="3"/>
      <c r="VTL25" s="3"/>
      <c r="VTM25" s="3"/>
      <c r="VTN25" s="3"/>
      <c r="VTO25" s="3"/>
      <c r="VTP25" s="3"/>
      <c r="VTQ25" s="3"/>
      <c r="VTR25" s="3"/>
      <c r="VTS25" s="3"/>
      <c r="VTT25" s="3"/>
      <c r="VTU25" s="3"/>
      <c r="VTV25" s="3"/>
      <c r="VTW25" s="3"/>
      <c r="VTX25" s="3"/>
      <c r="VTY25" s="3"/>
      <c r="VTZ25" s="3"/>
      <c r="VUA25" s="3"/>
      <c r="VUB25" s="3"/>
      <c r="VUC25" s="3"/>
      <c r="VUD25" s="3"/>
      <c r="VUE25" s="3"/>
      <c r="VUF25" s="3"/>
      <c r="VUG25" s="3"/>
      <c r="VUH25" s="3"/>
      <c r="VUI25" s="3"/>
      <c r="VUJ25" s="3"/>
      <c r="VUK25" s="3"/>
      <c r="VUL25" s="3"/>
      <c r="VUM25" s="3"/>
      <c r="VUN25" s="3"/>
      <c r="VUO25" s="3"/>
      <c r="VUP25" s="3"/>
      <c r="VUQ25" s="3"/>
      <c r="VUR25" s="3"/>
      <c r="VUS25" s="3"/>
      <c r="VUT25" s="3"/>
      <c r="VUU25" s="3"/>
      <c r="VUV25" s="3"/>
      <c r="VUW25" s="3"/>
      <c r="VUX25" s="3"/>
      <c r="VUY25" s="3"/>
      <c r="VUZ25" s="3"/>
      <c r="VVA25" s="3"/>
      <c r="VVB25" s="3"/>
      <c r="VVC25" s="3"/>
      <c r="VVD25" s="3"/>
      <c r="VVE25" s="3"/>
      <c r="VVF25" s="3"/>
      <c r="VVG25" s="3"/>
      <c r="VVH25" s="3"/>
      <c r="VVI25" s="3"/>
      <c r="VVJ25" s="3"/>
      <c r="VVK25" s="3"/>
      <c r="VVL25" s="3"/>
      <c r="VVM25" s="3"/>
      <c r="VVN25" s="3"/>
      <c r="VVO25" s="3"/>
      <c r="VVP25" s="3"/>
      <c r="VVQ25" s="3"/>
      <c r="VVR25" s="3"/>
      <c r="VVS25" s="3"/>
      <c r="VVT25" s="3"/>
      <c r="VVU25" s="3"/>
      <c r="VVV25" s="3"/>
      <c r="VVW25" s="3"/>
      <c r="VVX25" s="3"/>
      <c r="VVY25" s="3"/>
      <c r="VVZ25" s="3"/>
      <c r="VWA25" s="3"/>
      <c r="VWB25" s="3"/>
      <c r="VWC25" s="3"/>
      <c r="VWD25" s="3"/>
      <c r="VWE25" s="3"/>
      <c r="VWF25" s="3"/>
      <c r="VWG25" s="3"/>
      <c r="VWH25" s="3"/>
      <c r="VWI25" s="3"/>
      <c r="VWJ25" s="3"/>
      <c r="VWK25" s="3"/>
      <c r="VWL25" s="3"/>
      <c r="VWM25" s="3"/>
      <c r="VWN25" s="3"/>
      <c r="VWO25" s="3"/>
      <c r="VWP25" s="3"/>
      <c r="VWQ25" s="3"/>
      <c r="VWR25" s="3"/>
      <c r="VWS25" s="3"/>
      <c r="VWT25" s="3"/>
      <c r="VWU25" s="3"/>
      <c r="VWV25" s="3"/>
      <c r="VWW25" s="3"/>
      <c r="VWX25" s="3"/>
      <c r="VWY25" s="3"/>
      <c r="VWZ25" s="3"/>
      <c r="VXA25" s="3"/>
      <c r="VXB25" s="3"/>
      <c r="VXC25" s="3"/>
      <c r="VXD25" s="3"/>
      <c r="VXE25" s="3"/>
      <c r="VXF25" s="3"/>
      <c r="VXG25" s="3"/>
      <c r="VXH25" s="3"/>
      <c r="VXI25" s="3"/>
      <c r="VXJ25" s="3"/>
      <c r="VXK25" s="3"/>
      <c r="VXL25" s="3"/>
      <c r="VXM25" s="3"/>
      <c r="VXN25" s="3"/>
      <c r="VXO25" s="3"/>
      <c r="VXP25" s="3"/>
      <c r="VXQ25" s="3"/>
      <c r="VXR25" s="3"/>
      <c r="VXS25" s="3"/>
      <c r="VXT25" s="3"/>
      <c r="VXU25" s="3"/>
      <c r="VXV25" s="3"/>
      <c r="VXW25" s="3"/>
      <c r="VXX25" s="3"/>
      <c r="VXY25" s="3"/>
      <c r="VXZ25" s="3"/>
      <c r="VYA25" s="3"/>
      <c r="VYB25" s="3"/>
      <c r="VYC25" s="3"/>
      <c r="VYD25" s="3"/>
      <c r="VYE25" s="3"/>
      <c r="VYF25" s="3"/>
      <c r="VYG25" s="3"/>
      <c r="VYH25" s="3"/>
      <c r="VYI25" s="3"/>
      <c r="VYJ25" s="3"/>
      <c r="VYK25" s="3"/>
      <c r="VYL25" s="3"/>
      <c r="VYM25" s="3"/>
      <c r="VYN25" s="3"/>
      <c r="VYO25" s="3"/>
      <c r="VYP25" s="3"/>
      <c r="VYQ25" s="3"/>
      <c r="VYR25" s="3"/>
      <c r="VYS25" s="3"/>
      <c r="VYT25" s="3"/>
      <c r="VYU25" s="3"/>
      <c r="VYV25" s="3"/>
      <c r="VYW25" s="3"/>
      <c r="VYX25" s="3"/>
      <c r="VYY25" s="3"/>
      <c r="VYZ25" s="3"/>
      <c r="VZA25" s="3"/>
      <c r="VZB25" s="3"/>
      <c r="VZC25" s="3"/>
      <c r="VZD25" s="3"/>
      <c r="VZE25" s="3"/>
      <c r="VZF25" s="3"/>
      <c r="VZG25" s="3"/>
      <c r="VZH25" s="3"/>
      <c r="VZI25" s="3"/>
      <c r="VZJ25" s="3"/>
      <c r="VZK25" s="3"/>
      <c r="VZL25" s="3"/>
      <c r="VZM25" s="3"/>
      <c r="VZN25" s="3"/>
      <c r="VZO25" s="3"/>
      <c r="VZP25" s="3"/>
      <c r="VZQ25" s="3"/>
      <c r="VZR25" s="3"/>
      <c r="VZS25" s="3"/>
      <c r="VZT25" s="3"/>
      <c r="VZU25" s="3"/>
      <c r="VZV25" s="3"/>
      <c r="VZW25" s="3"/>
      <c r="VZX25" s="3"/>
      <c r="VZY25" s="3"/>
      <c r="VZZ25" s="3"/>
      <c r="WAA25" s="3"/>
      <c r="WAB25" s="3"/>
      <c r="WAC25" s="3"/>
      <c r="WAD25" s="3"/>
      <c r="WAE25" s="3"/>
      <c r="WAF25" s="3"/>
      <c r="WAG25" s="3"/>
      <c r="WAH25" s="3"/>
      <c r="WAI25" s="3"/>
      <c r="WAJ25" s="3"/>
      <c r="WAK25" s="3"/>
      <c r="WAL25" s="3"/>
      <c r="WAM25" s="3"/>
      <c r="WAN25" s="3"/>
      <c r="WAO25" s="3"/>
      <c r="WAP25" s="3"/>
      <c r="WAQ25" s="3"/>
      <c r="WAR25" s="3"/>
      <c r="WAS25" s="3"/>
      <c r="WAT25" s="3"/>
      <c r="WAU25" s="3"/>
      <c r="WAV25" s="3"/>
      <c r="WAW25" s="3"/>
      <c r="WAX25" s="3"/>
      <c r="WAY25" s="3"/>
      <c r="WAZ25" s="3"/>
      <c r="WBA25" s="3"/>
      <c r="WBB25" s="3"/>
      <c r="WBC25" s="3"/>
      <c r="WBD25" s="3"/>
      <c r="WBE25" s="3"/>
      <c r="WBF25" s="3"/>
      <c r="WBG25" s="3"/>
      <c r="WBH25" s="3"/>
      <c r="WBI25" s="3"/>
      <c r="WBJ25" s="3"/>
      <c r="WBK25" s="3"/>
      <c r="WBL25" s="3"/>
      <c r="WBM25" s="3"/>
      <c r="WBN25" s="3"/>
      <c r="WBO25" s="3"/>
      <c r="WBP25" s="3"/>
      <c r="WBQ25" s="3"/>
      <c r="WBR25" s="3"/>
      <c r="WBS25" s="3"/>
      <c r="WBT25" s="3"/>
      <c r="WBU25" s="3"/>
      <c r="WBV25" s="3"/>
      <c r="WBW25" s="3"/>
      <c r="WBX25" s="3"/>
      <c r="WBY25" s="3"/>
      <c r="WBZ25" s="3"/>
      <c r="WCA25" s="3"/>
      <c r="WCB25" s="3"/>
      <c r="WCC25" s="3"/>
      <c r="WCD25" s="3"/>
      <c r="WCE25" s="3"/>
      <c r="WCF25" s="3"/>
      <c r="WCG25" s="3"/>
      <c r="WCH25" s="3"/>
      <c r="WCI25" s="3"/>
      <c r="WCJ25" s="3"/>
      <c r="WCK25" s="3"/>
      <c r="WCL25" s="3"/>
      <c r="WCM25" s="3"/>
      <c r="WCN25" s="3"/>
      <c r="WCO25" s="3"/>
      <c r="WCP25" s="3"/>
      <c r="WCQ25" s="3"/>
      <c r="WCR25" s="3"/>
      <c r="WCS25" s="3"/>
      <c r="WCT25" s="3"/>
      <c r="WCU25" s="3"/>
      <c r="WCV25" s="3"/>
      <c r="WCW25" s="3"/>
      <c r="WCX25" s="3"/>
      <c r="WCY25" s="3"/>
      <c r="WCZ25" s="3"/>
      <c r="WDA25" s="3"/>
      <c r="WDB25" s="3"/>
      <c r="WDC25" s="3"/>
      <c r="WDD25" s="3"/>
      <c r="WDE25" s="3"/>
      <c r="WDF25" s="3"/>
      <c r="WDG25" s="3"/>
      <c r="WDH25" s="3"/>
      <c r="WDI25" s="3"/>
      <c r="WDJ25" s="3"/>
      <c r="WDK25" s="3"/>
      <c r="WDL25" s="3"/>
      <c r="WDM25" s="3"/>
      <c r="WDN25" s="3"/>
      <c r="WDO25" s="3"/>
      <c r="WDP25" s="3"/>
      <c r="WDQ25" s="3"/>
      <c r="WDR25" s="3"/>
      <c r="WDS25" s="3"/>
      <c r="WDT25" s="3"/>
      <c r="WDU25" s="3"/>
      <c r="WDV25" s="3"/>
      <c r="WDW25" s="3"/>
      <c r="WDX25" s="3"/>
      <c r="WDY25" s="3"/>
      <c r="WDZ25" s="3"/>
      <c r="WEA25" s="3"/>
      <c r="WEB25" s="3"/>
      <c r="WEC25" s="3"/>
      <c r="WED25" s="3"/>
      <c r="WEE25" s="3"/>
      <c r="WEF25" s="3"/>
      <c r="WEG25" s="3"/>
      <c r="WEH25" s="3"/>
      <c r="WEI25" s="3"/>
      <c r="WEJ25" s="3"/>
      <c r="WEK25" s="3"/>
      <c r="WEL25" s="3"/>
      <c r="WEM25" s="3"/>
      <c r="WEN25" s="3"/>
      <c r="WEO25" s="3"/>
      <c r="WEP25" s="3"/>
      <c r="WEQ25" s="3"/>
      <c r="WER25" s="3"/>
      <c r="WES25" s="3"/>
      <c r="WET25" s="3"/>
      <c r="WEU25" s="3"/>
      <c r="WEV25" s="3"/>
      <c r="WEW25" s="3"/>
      <c r="WEX25" s="3"/>
      <c r="WEY25" s="3"/>
      <c r="WEZ25" s="3"/>
      <c r="WFA25" s="3"/>
      <c r="WFB25" s="3"/>
      <c r="WFC25" s="3"/>
      <c r="WFD25" s="3"/>
      <c r="WFE25" s="3"/>
      <c r="WFF25" s="3"/>
      <c r="WFG25" s="3"/>
      <c r="WFH25" s="3"/>
      <c r="WFI25" s="3"/>
      <c r="WFJ25" s="3"/>
      <c r="WFK25" s="3"/>
      <c r="WFL25" s="3"/>
      <c r="WFM25" s="3"/>
      <c r="WFN25" s="3"/>
      <c r="WFO25" s="3"/>
      <c r="WFP25" s="3"/>
      <c r="WFQ25" s="3"/>
      <c r="WFR25" s="3"/>
      <c r="WFS25" s="3"/>
      <c r="WFT25" s="3"/>
      <c r="WFU25" s="3"/>
      <c r="WFV25" s="3"/>
      <c r="WFW25" s="3"/>
      <c r="WFX25" s="3"/>
      <c r="WFY25" s="3"/>
      <c r="WFZ25" s="3"/>
      <c r="WGA25" s="3"/>
      <c r="WGB25" s="3"/>
      <c r="WGC25" s="3"/>
      <c r="WGD25" s="3"/>
      <c r="WGE25" s="3"/>
      <c r="WGF25" s="3"/>
      <c r="WGG25" s="3"/>
      <c r="WGH25" s="3"/>
      <c r="WGI25" s="3"/>
      <c r="WGJ25" s="3"/>
      <c r="WGK25" s="3"/>
      <c r="WGL25" s="3"/>
      <c r="WGM25" s="3"/>
      <c r="WGN25" s="3"/>
      <c r="WGO25" s="3"/>
      <c r="WGP25" s="3"/>
      <c r="WGQ25" s="3"/>
      <c r="WGR25" s="3"/>
      <c r="WGS25" s="3"/>
      <c r="WGT25" s="3"/>
      <c r="WGU25" s="3"/>
      <c r="WGV25" s="3"/>
      <c r="WGW25" s="3"/>
      <c r="WGX25" s="3"/>
      <c r="WGY25" s="3"/>
      <c r="WGZ25" s="3"/>
      <c r="WHA25" s="3"/>
      <c r="WHB25" s="3"/>
      <c r="WHC25" s="3"/>
      <c r="WHD25" s="3"/>
      <c r="WHE25" s="3"/>
      <c r="WHF25" s="3"/>
      <c r="WHG25" s="3"/>
      <c r="WHH25" s="3"/>
      <c r="WHI25" s="3"/>
      <c r="WHJ25" s="3"/>
      <c r="WHK25" s="3"/>
      <c r="WHL25" s="3"/>
      <c r="WHM25" s="3"/>
      <c r="WHN25" s="3"/>
      <c r="WHO25" s="3"/>
      <c r="WHP25" s="3"/>
      <c r="WHQ25" s="3"/>
      <c r="WHR25" s="3"/>
      <c r="WHS25" s="3"/>
      <c r="WHT25" s="3"/>
      <c r="WHU25" s="3"/>
      <c r="WHV25" s="3"/>
      <c r="WHW25" s="3"/>
      <c r="WHX25" s="3"/>
      <c r="WHY25" s="3"/>
      <c r="WHZ25" s="3"/>
      <c r="WIA25" s="3"/>
      <c r="WIB25" s="3"/>
      <c r="WIC25" s="3"/>
      <c r="WID25" s="3"/>
      <c r="WIE25" s="3"/>
      <c r="WIF25" s="3"/>
      <c r="WIG25" s="3"/>
      <c r="WIH25" s="3"/>
      <c r="WII25" s="3"/>
      <c r="WIJ25" s="3"/>
      <c r="WIK25" s="3"/>
      <c r="WIL25" s="3"/>
      <c r="WIM25" s="3"/>
      <c r="WIN25" s="3"/>
      <c r="WIO25" s="3"/>
      <c r="WIP25" s="3"/>
      <c r="WIQ25" s="3"/>
      <c r="WIR25" s="3"/>
      <c r="WIS25" s="3"/>
      <c r="WIT25" s="3"/>
      <c r="WIU25" s="3"/>
      <c r="WIV25" s="3"/>
      <c r="WIW25" s="3"/>
      <c r="WIX25" s="3"/>
      <c r="WIY25" s="3"/>
      <c r="WIZ25" s="3"/>
      <c r="WJA25" s="3"/>
      <c r="WJB25" s="3"/>
      <c r="WJC25" s="3"/>
      <c r="WJD25" s="3"/>
      <c r="WJE25" s="3"/>
      <c r="WJF25" s="3"/>
      <c r="WJG25" s="3"/>
      <c r="WJH25" s="3"/>
      <c r="WJI25" s="3"/>
      <c r="WJJ25" s="3"/>
      <c r="WJK25" s="3"/>
      <c r="WJL25" s="3"/>
      <c r="WJM25" s="3"/>
      <c r="WJN25" s="3"/>
      <c r="WJO25" s="3"/>
      <c r="WJP25" s="3"/>
      <c r="WJQ25" s="3"/>
      <c r="WJR25" s="3"/>
      <c r="WJS25" s="3"/>
      <c r="WJT25" s="3"/>
      <c r="WJU25" s="3"/>
      <c r="WJV25" s="3"/>
      <c r="WJW25" s="3"/>
      <c r="WJX25" s="3"/>
      <c r="WJY25" s="3"/>
      <c r="WJZ25" s="3"/>
      <c r="WKA25" s="3"/>
      <c r="WKB25" s="3"/>
      <c r="WKC25" s="3"/>
      <c r="WKD25" s="3"/>
      <c r="WKE25" s="3"/>
      <c r="WKF25" s="3"/>
      <c r="WKG25" s="3"/>
      <c r="WKH25" s="3"/>
      <c r="WKI25" s="3"/>
      <c r="WKJ25" s="3"/>
      <c r="WKK25" s="3"/>
      <c r="WKL25" s="3"/>
      <c r="WKM25" s="3"/>
      <c r="WKN25" s="3"/>
      <c r="WKO25" s="3"/>
      <c r="WKP25" s="3"/>
      <c r="WKQ25" s="3"/>
      <c r="WKR25" s="3"/>
      <c r="WKS25" s="3"/>
      <c r="WKT25" s="3"/>
      <c r="WKU25" s="3"/>
      <c r="WKV25" s="3"/>
      <c r="WKW25" s="3"/>
      <c r="WKX25" s="3"/>
      <c r="WKY25" s="3"/>
      <c r="WKZ25" s="3"/>
      <c r="WLA25" s="3"/>
      <c r="WLB25" s="3"/>
      <c r="WLC25" s="3"/>
      <c r="WLD25" s="3"/>
      <c r="WLE25" s="3"/>
      <c r="WLF25" s="3"/>
      <c r="WLG25" s="3"/>
      <c r="WLH25" s="3"/>
      <c r="WLI25" s="3"/>
      <c r="WLJ25" s="3"/>
      <c r="WLK25" s="3"/>
      <c r="WLL25" s="3"/>
      <c r="WLM25" s="3"/>
      <c r="WLN25" s="3"/>
      <c r="WLO25" s="3"/>
      <c r="WLP25" s="3"/>
      <c r="WLQ25" s="3"/>
      <c r="WLR25" s="3"/>
      <c r="WLS25" s="3"/>
      <c r="WLT25" s="3"/>
      <c r="WLU25" s="3"/>
      <c r="WLV25" s="3"/>
      <c r="WLW25" s="3"/>
      <c r="WLX25" s="3"/>
      <c r="WLY25" s="3"/>
      <c r="WLZ25" s="3"/>
      <c r="WMA25" s="3"/>
      <c r="WMB25" s="3"/>
      <c r="WMC25" s="3"/>
      <c r="WMD25" s="3"/>
      <c r="WME25" s="3"/>
      <c r="WMF25" s="3"/>
      <c r="WMG25" s="3"/>
      <c r="WMH25" s="3"/>
      <c r="WMI25" s="3"/>
      <c r="WMJ25" s="3"/>
      <c r="WMK25" s="3"/>
      <c r="WML25" s="3"/>
      <c r="WMM25" s="3"/>
      <c r="WMN25" s="3"/>
      <c r="WMO25" s="3"/>
      <c r="WMP25" s="3"/>
      <c r="WMQ25" s="3"/>
      <c r="WMR25" s="3"/>
      <c r="WMS25" s="3"/>
      <c r="WMT25" s="3"/>
      <c r="WMU25" s="3"/>
      <c r="WMV25" s="3"/>
      <c r="WMW25" s="3"/>
      <c r="WMX25" s="3"/>
      <c r="WMY25" s="3"/>
      <c r="WMZ25" s="3"/>
      <c r="WNA25" s="3"/>
      <c r="WNB25" s="3"/>
      <c r="WNC25" s="3"/>
      <c r="WND25" s="3"/>
      <c r="WNE25" s="3"/>
      <c r="WNF25" s="3"/>
      <c r="WNG25" s="3"/>
      <c r="WNH25" s="3"/>
      <c r="WNI25" s="3"/>
      <c r="WNJ25" s="3"/>
      <c r="WNK25" s="3"/>
      <c r="WNL25" s="3"/>
      <c r="WNM25" s="3"/>
      <c r="WNN25" s="3"/>
      <c r="WNO25" s="3"/>
      <c r="WNP25" s="3"/>
      <c r="WNQ25" s="3"/>
      <c r="WNR25" s="3"/>
      <c r="WNS25" s="3"/>
      <c r="WNT25" s="3"/>
      <c r="WNU25" s="3"/>
      <c r="WNV25" s="3"/>
      <c r="WNW25" s="3"/>
      <c r="WNX25" s="3"/>
      <c r="WNY25" s="3"/>
      <c r="WNZ25" s="3"/>
      <c r="WOA25" s="3"/>
      <c r="WOB25" s="3"/>
      <c r="WOC25" s="3"/>
      <c r="WOD25" s="3"/>
      <c r="WOE25" s="3"/>
      <c r="WOF25" s="3"/>
      <c r="WOG25" s="3"/>
      <c r="WOH25" s="3"/>
      <c r="WOI25" s="3"/>
      <c r="WOJ25" s="3"/>
      <c r="WOK25" s="3"/>
      <c r="WOL25" s="3"/>
      <c r="WOM25" s="3"/>
      <c r="WON25" s="3"/>
      <c r="WOO25" s="3"/>
      <c r="WOP25" s="3"/>
      <c r="WOQ25" s="3"/>
      <c r="WOR25" s="3"/>
      <c r="WOS25" s="3"/>
      <c r="WOT25" s="3"/>
      <c r="WOU25" s="3"/>
      <c r="WOV25" s="3"/>
      <c r="WOW25" s="3"/>
      <c r="WOX25" s="3"/>
      <c r="WOY25" s="3"/>
      <c r="WOZ25" s="3"/>
      <c r="WPA25" s="3"/>
      <c r="WPB25" s="3"/>
      <c r="WPC25" s="3"/>
      <c r="WPD25" s="3"/>
      <c r="WPE25" s="3"/>
      <c r="WPF25" s="3"/>
      <c r="WPG25" s="3"/>
      <c r="WPH25" s="3"/>
      <c r="WPI25" s="3"/>
      <c r="WPJ25" s="3"/>
      <c r="WPK25" s="3"/>
      <c r="WPL25" s="3"/>
      <c r="WPM25" s="3"/>
      <c r="WPN25" s="3"/>
      <c r="WPO25" s="3"/>
      <c r="WPP25" s="3"/>
      <c r="WPQ25" s="3"/>
      <c r="WPR25" s="3"/>
      <c r="WPS25" s="3"/>
      <c r="WPT25" s="3"/>
      <c r="WPU25" s="3"/>
      <c r="WPV25" s="3"/>
      <c r="WPW25" s="3"/>
      <c r="WPX25" s="3"/>
      <c r="WPY25" s="3"/>
      <c r="WPZ25" s="3"/>
      <c r="WQA25" s="3"/>
      <c r="WQB25" s="3"/>
      <c r="WQC25" s="3"/>
      <c r="WQD25" s="3"/>
      <c r="WQE25" s="3"/>
      <c r="WQF25" s="3"/>
      <c r="WQG25" s="3"/>
      <c r="WQH25" s="3"/>
      <c r="WQI25" s="3"/>
      <c r="WQJ25" s="3"/>
      <c r="WQK25" s="3"/>
      <c r="WQL25" s="3"/>
      <c r="WQM25" s="3"/>
      <c r="WQN25" s="3"/>
      <c r="WQO25" s="3"/>
      <c r="WQP25" s="3"/>
      <c r="WQQ25" s="3"/>
      <c r="WQR25" s="3"/>
      <c r="WQS25" s="3"/>
      <c r="WQT25" s="3"/>
      <c r="WQU25" s="3"/>
      <c r="WQV25" s="3"/>
      <c r="WQW25" s="3"/>
      <c r="WQX25" s="3"/>
      <c r="WQY25" s="3"/>
      <c r="WQZ25" s="3"/>
      <c r="WRA25" s="3"/>
      <c r="WRB25" s="3"/>
      <c r="WRC25" s="3"/>
      <c r="WRD25" s="3"/>
      <c r="WRE25" s="3"/>
      <c r="WRF25" s="3"/>
      <c r="WRG25" s="3"/>
      <c r="WRH25" s="3"/>
      <c r="WRI25" s="3"/>
      <c r="WRJ25" s="3"/>
      <c r="WRK25" s="3"/>
      <c r="WRL25" s="3"/>
      <c r="WRM25" s="3"/>
      <c r="WRN25" s="3"/>
      <c r="WRO25" s="3"/>
      <c r="WRP25" s="3"/>
      <c r="WRQ25" s="3"/>
      <c r="WRR25" s="3"/>
      <c r="WRS25" s="3"/>
      <c r="WRT25" s="3"/>
      <c r="WRU25" s="3"/>
      <c r="WRV25" s="3"/>
      <c r="WRW25" s="3"/>
      <c r="WRX25" s="3"/>
      <c r="WRY25" s="3"/>
      <c r="WRZ25" s="3"/>
      <c r="WSA25" s="3"/>
      <c r="WSB25" s="3"/>
      <c r="WSC25" s="3"/>
      <c r="WSD25" s="3"/>
      <c r="WSE25" s="3"/>
      <c r="WSF25" s="3"/>
      <c r="WSG25" s="3"/>
      <c r="WSH25" s="3"/>
      <c r="WSI25" s="3"/>
      <c r="WSJ25" s="3"/>
      <c r="WSK25" s="3"/>
      <c r="WSL25" s="3"/>
      <c r="WSM25" s="3"/>
      <c r="WSN25" s="3"/>
      <c r="WSO25" s="3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1:16384" s="1" customFormat="1">
      <c r="A26" s="3"/>
      <c r="B26" s="10" t="s">
        <v>133</v>
      </c>
      <c r="C26" s="10" t="s">
        <v>134</v>
      </c>
      <c r="D26" s="10" t="s">
        <v>13</v>
      </c>
      <c r="E26" s="10" t="s">
        <v>135</v>
      </c>
      <c r="F26" s="10" t="s">
        <v>136</v>
      </c>
      <c r="G26" s="10" t="s">
        <v>135</v>
      </c>
      <c r="H26" s="10" t="s">
        <v>136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  <c r="FAN26" s="3"/>
      <c r="FAO26" s="3"/>
      <c r="FAP26" s="3"/>
      <c r="FAQ26" s="3"/>
      <c r="FAR26" s="3"/>
      <c r="FAS26" s="3"/>
      <c r="FAT26" s="3"/>
      <c r="FAU26" s="3"/>
      <c r="FAV26" s="3"/>
      <c r="FAW26" s="3"/>
      <c r="FAX26" s="3"/>
      <c r="FAY26" s="3"/>
      <c r="FAZ26" s="3"/>
      <c r="FBA26" s="3"/>
      <c r="FBB26" s="3"/>
      <c r="FBC26" s="3"/>
      <c r="FBD26" s="3"/>
      <c r="FBE26" s="3"/>
      <c r="FBF26" s="3"/>
      <c r="FBG26" s="3"/>
      <c r="FBH26" s="3"/>
      <c r="FBI26" s="3"/>
      <c r="FBJ26" s="3"/>
      <c r="FBK26" s="3"/>
      <c r="FBL26" s="3"/>
      <c r="FBM26" s="3"/>
      <c r="FBN26" s="3"/>
      <c r="FBO26" s="3"/>
      <c r="FBP26" s="3"/>
      <c r="FBQ26" s="3"/>
      <c r="FBR26" s="3"/>
      <c r="FBS26" s="3"/>
      <c r="FBT26" s="3"/>
      <c r="FBU26" s="3"/>
      <c r="FBV26" s="3"/>
      <c r="FBW26" s="3"/>
      <c r="FBX26" s="3"/>
      <c r="FBY26" s="3"/>
      <c r="FBZ26" s="3"/>
      <c r="FCA26" s="3"/>
      <c r="FCB26" s="3"/>
      <c r="FCC26" s="3"/>
      <c r="FCD26" s="3"/>
      <c r="FCE26" s="3"/>
      <c r="FCF26" s="3"/>
      <c r="FCG26" s="3"/>
      <c r="FCH26" s="3"/>
      <c r="FCI26" s="3"/>
      <c r="FCJ26" s="3"/>
      <c r="FCK26" s="3"/>
      <c r="FCL26" s="3"/>
      <c r="FCM26" s="3"/>
      <c r="FCN26" s="3"/>
      <c r="FCO26" s="3"/>
      <c r="FCP26" s="3"/>
      <c r="FCQ26" s="3"/>
      <c r="FCR26" s="3"/>
      <c r="FCS26" s="3"/>
      <c r="FCT26" s="3"/>
      <c r="FCU26" s="3"/>
      <c r="FCV26" s="3"/>
      <c r="FCW26" s="3"/>
      <c r="FCX26" s="3"/>
      <c r="FCY26" s="3"/>
      <c r="FCZ26" s="3"/>
      <c r="FDA26" s="3"/>
      <c r="FDB26" s="3"/>
      <c r="FDC26" s="3"/>
      <c r="FDD26" s="3"/>
      <c r="FDE26" s="3"/>
      <c r="FDF26" s="3"/>
      <c r="FDG26" s="3"/>
      <c r="FDH26" s="3"/>
      <c r="FDI26" s="3"/>
      <c r="FDJ26" s="3"/>
      <c r="FDK26" s="3"/>
      <c r="FDL26" s="3"/>
      <c r="FDM26" s="3"/>
      <c r="FDN26" s="3"/>
      <c r="FDO26" s="3"/>
      <c r="FDP26" s="3"/>
      <c r="FDQ26" s="3"/>
      <c r="FDR26" s="3"/>
      <c r="FDS26" s="3"/>
      <c r="FDT26" s="3"/>
      <c r="FDU26" s="3"/>
      <c r="FDV26" s="3"/>
      <c r="FDW26" s="3"/>
      <c r="FDX26" s="3"/>
      <c r="FDY26" s="3"/>
      <c r="FDZ26" s="3"/>
      <c r="FEA26" s="3"/>
      <c r="FEB26" s="3"/>
      <c r="FEC26" s="3"/>
      <c r="FED26" s="3"/>
      <c r="FEE26" s="3"/>
      <c r="FEF26" s="3"/>
      <c r="FEG26" s="3"/>
      <c r="FEH26" s="3"/>
      <c r="FEI26" s="3"/>
      <c r="FEJ26" s="3"/>
      <c r="FEK26" s="3"/>
      <c r="FEL26" s="3"/>
      <c r="FEM26" s="3"/>
      <c r="FEN26" s="3"/>
      <c r="FEO26" s="3"/>
      <c r="FEP26" s="3"/>
      <c r="FEQ26" s="3"/>
      <c r="FER26" s="3"/>
      <c r="FES26" s="3"/>
      <c r="FET26" s="3"/>
      <c r="FEU26" s="3"/>
      <c r="FEV26" s="3"/>
      <c r="FEW26" s="3"/>
      <c r="FEX26" s="3"/>
      <c r="FEY26" s="3"/>
      <c r="FEZ26" s="3"/>
      <c r="FFA26" s="3"/>
      <c r="FFB26" s="3"/>
      <c r="FFC26" s="3"/>
      <c r="FFD26" s="3"/>
      <c r="FFE26" s="3"/>
      <c r="FFF26" s="3"/>
      <c r="FFG26" s="3"/>
      <c r="FFH26" s="3"/>
      <c r="FFI26" s="3"/>
      <c r="FFJ26" s="3"/>
      <c r="FFK26" s="3"/>
      <c r="FFL26" s="3"/>
      <c r="FFM26" s="3"/>
      <c r="FFN26" s="3"/>
      <c r="FFO26" s="3"/>
      <c r="FFP26" s="3"/>
      <c r="FFQ26" s="3"/>
      <c r="FFR26" s="3"/>
      <c r="FFS26" s="3"/>
      <c r="FFT26" s="3"/>
      <c r="FFU26" s="3"/>
      <c r="FFV26" s="3"/>
      <c r="FFW26" s="3"/>
      <c r="FFX26" s="3"/>
      <c r="FFY26" s="3"/>
      <c r="FFZ26" s="3"/>
      <c r="FGA26" s="3"/>
      <c r="FGB26" s="3"/>
      <c r="FGC26" s="3"/>
      <c r="FGD26" s="3"/>
      <c r="FGE26" s="3"/>
      <c r="FGF26" s="3"/>
      <c r="FGG26" s="3"/>
      <c r="FGH26" s="3"/>
      <c r="FGI26" s="3"/>
      <c r="FGJ26" s="3"/>
      <c r="FGK26" s="3"/>
      <c r="FGL26" s="3"/>
      <c r="FGM26" s="3"/>
      <c r="FGN26" s="3"/>
      <c r="FGO26" s="3"/>
      <c r="FGP26" s="3"/>
      <c r="FGQ26" s="3"/>
      <c r="FGR26" s="3"/>
      <c r="FGS26" s="3"/>
      <c r="FGT26" s="3"/>
      <c r="FGU26" s="3"/>
      <c r="FGV26" s="3"/>
      <c r="FGW26" s="3"/>
      <c r="FGX26" s="3"/>
      <c r="FGY26" s="3"/>
      <c r="FGZ26" s="3"/>
      <c r="FHA26" s="3"/>
      <c r="FHB26" s="3"/>
      <c r="FHC26" s="3"/>
      <c r="FHD26" s="3"/>
      <c r="FHE26" s="3"/>
      <c r="FHF26" s="3"/>
      <c r="FHG26" s="3"/>
      <c r="FHH26" s="3"/>
      <c r="FHI26" s="3"/>
      <c r="FHJ26" s="3"/>
      <c r="FHK26" s="3"/>
      <c r="FHL26" s="3"/>
      <c r="FHM26" s="3"/>
      <c r="FHN26" s="3"/>
      <c r="FHO26" s="3"/>
      <c r="FHP26" s="3"/>
      <c r="FHQ26" s="3"/>
      <c r="FHR26" s="3"/>
      <c r="FHS26" s="3"/>
      <c r="FHT26" s="3"/>
      <c r="FHU26" s="3"/>
      <c r="FHV26" s="3"/>
      <c r="FHW26" s="3"/>
      <c r="FHX26" s="3"/>
      <c r="FHY26" s="3"/>
      <c r="FHZ26" s="3"/>
      <c r="FIA26" s="3"/>
      <c r="FIB26" s="3"/>
      <c r="FIC26" s="3"/>
      <c r="FID26" s="3"/>
      <c r="FIE26" s="3"/>
      <c r="FIF26" s="3"/>
      <c r="FIG26" s="3"/>
      <c r="FIH26" s="3"/>
      <c r="FII26" s="3"/>
      <c r="FIJ26" s="3"/>
      <c r="FIK26" s="3"/>
      <c r="FIL26" s="3"/>
      <c r="FIM26" s="3"/>
      <c r="FIN26" s="3"/>
      <c r="FIO26" s="3"/>
      <c r="FIP26" s="3"/>
      <c r="FIQ26" s="3"/>
      <c r="FIR26" s="3"/>
      <c r="FIS26" s="3"/>
      <c r="FIT26" s="3"/>
      <c r="FIU26" s="3"/>
      <c r="FIV26" s="3"/>
      <c r="FIW26" s="3"/>
      <c r="FIX26" s="3"/>
      <c r="FIY26" s="3"/>
      <c r="FIZ26" s="3"/>
      <c r="FJA26" s="3"/>
      <c r="FJB26" s="3"/>
      <c r="FJC26" s="3"/>
      <c r="FJD26" s="3"/>
      <c r="FJE26" s="3"/>
      <c r="FJF26" s="3"/>
      <c r="FJG26" s="3"/>
      <c r="FJH26" s="3"/>
      <c r="FJI26" s="3"/>
      <c r="FJJ26" s="3"/>
      <c r="FJK26" s="3"/>
      <c r="FJL26" s="3"/>
      <c r="FJM26" s="3"/>
      <c r="FJN26" s="3"/>
      <c r="FJO26" s="3"/>
      <c r="FJP26" s="3"/>
      <c r="FJQ26" s="3"/>
      <c r="FJR26" s="3"/>
      <c r="FJS26" s="3"/>
      <c r="FJT26" s="3"/>
      <c r="FJU26" s="3"/>
      <c r="FJV26" s="3"/>
      <c r="FJW26" s="3"/>
      <c r="FJX26" s="3"/>
      <c r="FJY26" s="3"/>
      <c r="FJZ26" s="3"/>
      <c r="FKA26" s="3"/>
      <c r="FKB26" s="3"/>
      <c r="FKC26" s="3"/>
      <c r="FKD26" s="3"/>
      <c r="FKE26" s="3"/>
      <c r="FKF26" s="3"/>
      <c r="FKG26" s="3"/>
      <c r="FKH26" s="3"/>
      <c r="FKI26" s="3"/>
      <c r="FKJ26" s="3"/>
      <c r="FKK26" s="3"/>
      <c r="FKL26" s="3"/>
      <c r="FKM26" s="3"/>
      <c r="FKN26" s="3"/>
      <c r="FKO26" s="3"/>
      <c r="FKP26" s="3"/>
      <c r="FKQ26" s="3"/>
      <c r="FKR26" s="3"/>
      <c r="FKS26" s="3"/>
      <c r="FKT26" s="3"/>
      <c r="FKU26" s="3"/>
      <c r="FKV26" s="3"/>
      <c r="FKW26" s="3"/>
      <c r="FKX26" s="3"/>
      <c r="FKY26" s="3"/>
      <c r="FKZ26" s="3"/>
      <c r="FLA26" s="3"/>
      <c r="FLB26" s="3"/>
      <c r="FLC26" s="3"/>
      <c r="FLD26" s="3"/>
      <c r="FLE26" s="3"/>
      <c r="FLF26" s="3"/>
      <c r="FLG26" s="3"/>
      <c r="FLH26" s="3"/>
      <c r="FLI26" s="3"/>
      <c r="FLJ26" s="3"/>
      <c r="FLK26" s="3"/>
      <c r="FLL26" s="3"/>
      <c r="FLM26" s="3"/>
      <c r="FLN26" s="3"/>
      <c r="FLO26" s="3"/>
      <c r="FLP26" s="3"/>
      <c r="FLQ26" s="3"/>
      <c r="FLR26" s="3"/>
      <c r="FLS26" s="3"/>
      <c r="FLT26" s="3"/>
      <c r="FLU26" s="3"/>
      <c r="FLV26" s="3"/>
      <c r="FLW26" s="3"/>
      <c r="FLX26" s="3"/>
      <c r="FLY26" s="3"/>
      <c r="FLZ26" s="3"/>
      <c r="FMA26" s="3"/>
      <c r="FMB26" s="3"/>
      <c r="FMC26" s="3"/>
      <c r="FMD26" s="3"/>
      <c r="FME26" s="3"/>
      <c r="FMF26" s="3"/>
      <c r="FMG26" s="3"/>
      <c r="FMH26" s="3"/>
      <c r="FMI26" s="3"/>
      <c r="FMJ26" s="3"/>
      <c r="FMK26" s="3"/>
      <c r="FML26" s="3"/>
      <c r="FMM26" s="3"/>
      <c r="FMN26" s="3"/>
      <c r="FMO26" s="3"/>
      <c r="FMP26" s="3"/>
      <c r="FMQ26" s="3"/>
      <c r="FMR26" s="3"/>
      <c r="FMS26" s="3"/>
      <c r="FMT26" s="3"/>
      <c r="FMU26" s="3"/>
      <c r="FMV26" s="3"/>
      <c r="FMW26" s="3"/>
      <c r="FMX26" s="3"/>
      <c r="FMY26" s="3"/>
      <c r="FMZ26" s="3"/>
      <c r="FNA26" s="3"/>
      <c r="FNB26" s="3"/>
      <c r="FNC26" s="3"/>
      <c r="FND26" s="3"/>
      <c r="FNE26" s="3"/>
      <c r="FNF26" s="3"/>
      <c r="FNG26" s="3"/>
      <c r="FNH26" s="3"/>
      <c r="FNI26" s="3"/>
      <c r="FNJ26" s="3"/>
      <c r="FNK26" s="3"/>
      <c r="FNL26" s="3"/>
      <c r="FNM26" s="3"/>
      <c r="FNN26" s="3"/>
      <c r="FNO26" s="3"/>
      <c r="FNP26" s="3"/>
      <c r="FNQ26" s="3"/>
      <c r="FNR26" s="3"/>
      <c r="FNS26" s="3"/>
      <c r="FNT26" s="3"/>
      <c r="FNU26" s="3"/>
      <c r="FNV26" s="3"/>
      <c r="FNW26" s="3"/>
      <c r="FNX26" s="3"/>
      <c r="FNY26" s="3"/>
      <c r="FNZ26" s="3"/>
      <c r="FOA26" s="3"/>
      <c r="FOB26" s="3"/>
      <c r="FOC26" s="3"/>
      <c r="FOD26" s="3"/>
      <c r="FOE26" s="3"/>
      <c r="FOF26" s="3"/>
      <c r="FOG26" s="3"/>
      <c r="FOH26" s="3"/>
      <c r="FOI26" s="3"/>
      <c r="FOJ26" s="3"/>
      <c r="FOK26" s="3"/>
      <c r="FOL26" s="3"/>
      <c r="FOM26" s="3"/>
      <c r="FON26" s="3"/>
      <c r="FOO26" s="3"/>
      <c r="FOP26" s="3"/>
      <c r="FOQ26" s="3"/>
      <c r="FOR26" s="3"/>
      <c r="FOS26" s="3"/>
      <c r="FOT26" s="3"/>
      <c r="FOU26" s="3"/>
      <c r="FOV26" s="3"/>
      <c r="FOW26" s="3"/>
      <c r="FOX26" s="3"/>
      <c r="FOY26" s="3"/>
      <c r="FOZ26" s="3"/>
      <c r="FPA26" s="3"/>
      <c r="FPB26" s="3"/>
      <c r="FPC26" s="3"/>
      <c r="FPD26" s="3"/>
      <c r="FPE26" s="3"/>
      <c r="FPF26" s="3"/>
      <c r="FPG26" s="3"/>
      <c r="FPH26" s="3"/>
      <c r="FPI26" s="3"/>
      <c r="FPJ26" s="3"/>
      <c r="FPK26" s="3"/>
      <c r="FPL26" s="3"/>
      <c r="FPM26" s="3"/>
      <c r="FPN26" s="3"/>
      <c r="FPO26" s="3"/>
      <c r="FPP26" s="3"/>
      <c r="FPQ26" s="3"/>
      <c r="FPR26" s="3"/>
      <c r="FPS26" s="3"/>
      <c r="FPT26" s="3"/>
      <c r="FPU26" s="3"/>
      <c r="FPV26" s="3"/>
      <c r="FPW26" s="3"/>
      <c r="FPX26" s="3"/>
      <c r="FPY26" s="3"/>
      <c r="FPZ26" s="3"/>
      <c r="FQA26" s="3"/>
      <c r="FQB26" s="3"/>
      <c r="FQC26" s="3"/>
      <c r="FQD26" s="3"/>
      <c r="FQE26" s="3"/>
      <c r="FQF26" s="3"/>
      <c r="FQG26" s="3"/>
      <c r="FQH26" s="3"/>
      <c r="FQI26" s="3"/>
      <c r="FQJ26" s="3"/>
      <c r="FQK26" s="3"/>
      <c r="FQL26" s="3"/>
      <c r="FQM26" s="3"/>
      <c r="FQN26" s="3"/>
      <c r="FQO26" s="3"/>
      <c r="FQP26" s="3"/>
      <c r="FQQ26" s="3"/>
      <c r="FQR26" s="3"/>
      <c r="FQS26" s="3"/>
      <c r="FQT26" s="3"/>
      <c r="FQU26" s="3"/>
      <c r="FQV26" s="3"/>
      <c r="FQW26" s="3"/>
      <c r="FQX26" s="3"/>
      <c r="FQY26" s="3"/>
      <c r="FQZ26" s="3"/>
      <c r="FRA26" s="3"/>
      <c r="FRB26" s="3"/>
      <c r="FRC26" s="3"/>
      <c r="FRD26" s="3"/>
      <c r="FRE26" s="3"/>
      <c r="FRF26" s="3"/>
      <c r="FRG26" s="3"/>
      <c r="FRH26" s="3"/>
      <c r="FRI26" s="3"/>
      <c r="FRJ26" s="3"/>
      <c r="FRK26" s="3"/>
      <c r="FRL26" s="3"/>
      <c r="FRM26" s="3"/>
      <c r="FRN26" s="3"/>
      <c r="FRO26" s="3"/>
      <c r="FRP26" s="3"/>
      <c r="FRQ26" s="3"/>
      <c r="FRR26" s="3"/>
      <c r="FRS26" s="3"/>
      <c r="FRT26" s="3"/>
      <c r="FRU26" s="3"/>
      <c r="FRV26" s="3"/>
      <c r="FRW26" s="3"/>
      <c r="FRX26" s="3"/>
      <c r="FRY26" s="3"/>
      <c r="FRZ26" s="3"/>
      <c r="FSA26" s="3"/>
      <c r="FSB26" s="3"/>
      <c r="FSC26" s="3"/>
      <c r="FSD26" s="3"/>
      <c r="FSE26" s="3"/>
      <c r="FSF26" s="3"/>
      <c r="FSG26" s="3"/>
      <c r="FSH26" s="3"/>
      <c r="FSI26" s="3"/>
      <c r="FSJ26" s="3"/>
      <c r="FSK26" s="3"/>
      <c r="FSL26" s="3"/>
      <c r="FSM26" s="3"/>
      <c r="FSN26" s="3"/>
      <c r="FSO26" s="3"/>
      <c r="FSP26" s="3"/>
      <c r="FSQ26" s="3"/>
      <c r="FSR26" s="3"/>
      <c r="FSS26" s="3"/>
      <c r="FST26" s="3"/>
      <c r="FSU26" s="3"/>
      <c r="FSV26" s="3"/>
      <c r="FSW26" s="3"/>
      <c r="FSX26" s="3"/>
      <c r="FSY26" s="3"/>
      <c r="FSZ26" s="3"/>
      <c r="FTA26" s="3"/>
      <c r="FTB26" s="3"/>
      <c r="FTC26" s="3"/>
      <c r="FTD26" s="3"/>
      <c r="FTE26" s="3"/>
      <c r="FTF26" s="3"/>
      <c r="FTG26" s="3"/>
      <c r="FTH26" s="3"/>
      <c r="FTI26" s="3"/>
      <c r="FTJ26" s="3"/>
      <c r="FTK26" s="3"/>
      <c r="FTL26" s="3"/>
      <c r="FTM26" s="3"/>
      <c r="FTN26" s="3"/>
      <c r="FTO26" s="3"/>
      <c r="FTP26" s="3"/>
      <c r="FTQ26" s="3"/>
      <c r="FTR26" s="3"/>
      <c r="FTS26" s="3"/>
      <c r="FTT26" s="3"/>
      <c r="FTU26" s="3"/>
      <c r="FTV26" s="3"/>
      <c r="FTW26" s="3"/>
      <c r="FTX26" s="3"/>
      <c r="FTY26" s="3"/>
      <c r="FTZ26" s="3"/>
      <c r="FUA26" s="3"/>
      <c r="FUB26" s="3"/>
      <c r="FUC26" s="3"/>
      <c r="FUD26" s="3"/>
      <c r="FUE26" s="3"/>
      <c r="FUF26" s="3"/>
      <c r="FUG26" s="3"/>
      <c r="FUH26" s="3"/>
      <c r="FUI26" s="3"/>
      <c r="FUJ26" s="3"/>
      <c r="FUK26" s="3"/>
      <c r="FUL26" s="3"/>
      <c r="FUM26" s="3"/>
      <c r="FUN26" s="3"/>
      <c r="FUO26" s="3"/>
      <c r="FUP26" s="3"/>
      <c r="FUQ26" s="3"/>
      <c r="FUR26" s="3"/>
      <c r="FUS26" s="3"/>
      <c r="FUT26" s="3"/>
      <c r="FUU26" s="3"/>
      <c r="FUV26" s="3"/>
      <c r="FUW26" s="3"/>
      <c r="FUX26" s="3"/>
      <c r="FUY26" s="3"/>
      <c r="FUZ26" s="3"/>
      <c r="FVA26" s="3"/>
      <c r="FVB26" s="3"/>
      <c r="FVC26" s="3"/>
      <c r="FVD26" s="3"/>
      <c r="FVE26" s="3"/>
      <c r="FVF26" s="3"/>
      <c r="FVG26" s="3"/>
      <c r="FVH26" s="3"/>
      <c r="FVI26" s="3"/>
      <c r="FVJ26" s="3"/>
      <c r="FVK26" s="3"/>
      <c r="FVL26" s="3"/>
      <c r="FVM26" s="3"/>
      <c r="FVN26" s="3"/>
      <c r="FVO26" s="3"/>
      <c r="FVP26" s="3"/>
      <c r="FVQ26" s="3"/>
      <c r="FVR26" s="3"/>
      <c r="FVS26" s="3"/>
      <c r="FVT26" s="3"/>
      <c r="FVU26" s="3"/>
      <c r="FVV26" s="3"/>
      <c r="FVW26" s="3"/>
      <c r="FVX26" s="3"/>
      <c r="FVY26" s="3"/>
      <c r="FVZ26" s="3"/>
      <c r="FWA26" s="3"/>
      <c r="FWB26" s="3"/>
      <c r="FWC26" s="3"/>
      <c r="FWD26" s="3"/>
      <c r="FWE26" s="3"/>
      <c r="FWF26" s="3"/>
      <c r="FWG26" s="3"/>
      <c r="FWH26" s="3"/>
      <c r="FWI26" s="3"/>
      <c r="FWJ26" s="3"/>
      <c r="FWK26" s="3"/>
      <c r="FWL26" s="3"/>
      <c r="FWM26" s="3"/>
      <c r="FWN26" s="3"/>
      <c r="FWO26" s="3"/>
      <c r="FWP26" s="3"/>
      <c r="FWQ26" s="3"/>
      <c r="FWR26" s="3"/>
      <c r="FWS26" s="3"/>
      <c r="FWT26" s="3"/>
      <c r="FWU26" s="3"/>
      <c r="FWV26" s="3"/>
      <c r="FWW26" s="3"/>
      <c r="FWX26" s="3"/>
      <c r="FWY26" s="3"/>
      <c r="FWZ26" s="3"/>
      <c r="FXA26" s="3"/>
      <c r="FXB26" s="3"/>
      <c r="FXC26" s="3"/>
      <c r="FXD26" s="3"/>
      <c r="FXE26" s="3"/>
      <c r="FXF26" s="3"/>
      <c r="FXG26" s="3"/>
      <c r="FXH26" s="3"/>
      <c r="FXI26" s="3"/>
      <c r="FXJ26" s="3"/>
      <c r="FXK26" s="3"/>
      <c r="FXL26" s="3"/>
      <c r="FXM26" s="3"/>
      <c r="FXN26" s="3"/>
      <c r="FXO26" s="3"/>
      <c r="FXP26" s="3"/>
      <c r="FXQ26" s="3"/>
      <c r="FXR26" s="3"/>
      <c r="FXS26" s="3"/>
      <c r="FXT26" s="3"/>
      <c r="FXU26" s="3"/>
      <c r="FXV26" s="3"/>
      <c r="FXW26" s="3"/>
      <c r="FXX26" s="3"/>
      <c r="FXY26" s="3"/>
      <c r="FXZ26" s="3"/>
      <c r="FYA26" s="3"/>
      <c r="FYB26" s="3"/>
      <c r="FYC26" s="3"/>
      <c r="FYD26" s="3"/>
      <c r="FYE26" s="3"/>
      <c r="FYF26" s="3"/>
      <c r="FYG26" s="3"/>
      <c r="FYH26" s="3"/>
      <c r="FYI26" s="3"/>
      <c r="FYJ26" s="3"/>
      <c r="FYK26" s="3"/>
      <c r="FYL26" s="3"/>
      <c r="FYM26" s="3"/>
      <c r="FYN26" s="3"/>
      <c r="FYO26" s="3"/>
      <c r="FYP26" s="3"/>
      <c r="FYQ26" s="3"/>
      <c r="FYR26" s="3"/>
      <c r="FYS26" s="3"/>
      <c r="FYT26" s="3"/>
      <c r="FYU26" s="3"/>
      <c r="FYV26" s="3"/>
      <c r="FYW26" s="3"/>
      <c r="FYX26" s="3"/>
      <c r="FYY26" s="3"/>
      <c r="FYZ26" s="3"/>
      <c r="FZA26" s="3"/>
      <c r="FZB26" s="3"/>
      <c r="FZC26" s="3"/>
      <c r="FZD26" s="3"/>
      <c r="FZE26" s="3"/>
      <c r="FZF26" s="3"/>
      <c r="FZG26" s="3"/>
      <c r="FZH26" s="3"/>
      <c r="FZI26" s="3"/>
      <c r="FZJ26" s="3"/>
      <c r="FZK26" s="3"/>
      <c r="FZL26" s="3"/>
      <c r="FZM26" s="3"/>
      <c r="FZN26" s="3"/>
      <c r="FZO26" s="3"/>
      <c r="FZP26" s="3"/>
      <c r="FZQ26" s="3"/>
      <c r="FZR26" s="3"/>
      <c r="FZS26" s="3"/>
      <c r="FZT26" s="3"/>
      <c r="FZU26" s="3"/>
      <c r="FZV26" s="3"/>
      <c r="FZW26" s="3"/>
      <c r="FZX26" s="3"/>
      <c r="FZY26" s="3"/>
      <c r="FZZ26" s="3"/>
      <c r="GAA26" s="3"/>
      <c r="GAB26" s="3"/>
      <c r="GAC26" s="3"/>
      <c r="GAD26" s="3"/>
      <c r="GAE26" s="3"/>
      <c r="GAF26" s="3"/>
      <c r="GAG26" s="3"/>
      <c r="GAH26" s="3"/>
      <c r="GAI26" s="3"/>
      <c r="GAJ26" s="3"/>
      <c r="GAK26" s="3"/>
      <c r="GAL26" s="3"/>
      <c r="GAM26" s="3"/>
      <c r="GAN26" s="3"/>
      <c r="GAO26" s="3"/>
      <c r="GAP26" s="3"/>
      <c r="GAQ26" s="3"/>
      <c r="GAR26" s="3"/>
      <c r="GAS26" s="3"/>
      <c r="GAT26" s="3"/>
      <c r="GAU26" s="3"/>
      <c r="GAV26" s="3"/>
      <c r="GAW26" s="3"/>
      <c r="GAX26" s="3"/>
      <c r="GAY26" s="3"/>
      <c r="GAZ26" s="3"/>
      <c r="GBA26" s="3"/>
      <c r="GBB26" s="3"/>
      <c r="GBC26" s="3"/>
      <c r="GBD26" s="3"/>
      <c r="GBE26" s="3"/>
      <c r="GBF26" s="3"/>
      <c r="GBG26" s="3"/>
      <c r="GBH26" s="3"/>
      <c r="GBI26" s="3"/>
      <c r="GBJ26" s="3"/>
      <c r="GBK26" s="3"/>
      <c r="GBL26" s="3"/>
      <c r="GBM26" s="3"/>
      <c r="GBN26" s="3"/>
      <c r="GBO26" s="3"/>
      <c r="GBP26" s="3"/>
      <c r="GBQ26" s="3"/>
      <c r="GBR26" s="3"/>
      <c r="GBS26" s="3"/>
      <c r="GBT26" s="3"/>
      <c r="GBU26" s="3"/>
      <c r="GBV26" s="3"/>
      <c r="GBW26" s="3"/>
      <c r="GBX26" s="3"/>
      <c r="GBY26" s="3"/>
      <c r="GBZ26" s="3"/>
      <c r="GCA26" s="3"/>
      <c r="GCB26" s="3"/>
      <c r="GCC26" s="3"/>
      <c r="GCD26" s="3"/>
      <c r="GCE26" s="3"/>
      <c r="GCF26" s="3"/>
      <c r="GCG26" s="3"/>
      <c r="GCH26" s="3"/>
      <c r="GCI26" s="3"/>
      <c r="GCJ26" s="3"/>
      <c r="GCK26" s="3"/>
      <c r="GCL26" s="3"/>
      <c r="GCM26" s="3"/>
      <c r="GCN26" s="3"/>
      <c r="GCO26" s="3"/>
      <c r="GCP26" s="3"/>
      <c r="GCQ26" s="3"/>
      <c r="GCR26" s="3"/>
      <c r="GCS26" s="3"/>
      <c r="GCT26" s="3"/>
      <c r="GCU26" s="3"/>
      <c r="GCV26" s="3"/>
      <c r="GCW26" s="3"/>
      <c r="GCX26" s="3"/>
      <c r="GCY26" s="3"/>
      <c r="GCZ26" s="3"/>
      <c r="GDA26" s="3"/>
      <c r="GDB26" s="3"/>
      <c r="GDC26" s="3"/>
      <c r="GDD26" s="3"/>
      <c r="GDE26" s="3"/>
      <c r="GDF26" s="3"/>
      <c r="GDG26" s="3"/>
      <c r="GDH26" s="3"/>
      <c r="GDI26" s="3"/>
      <c r="GDJ26" s="3"/>
      <c r="GDK26" s="3"/>
      <c r="GDL26" s="3"/>
      <c r="GDM26" s="3"/>
      <c r="GDN26" s="3"/>
      <c r="GDO26" s="3"/>
      <c r="GDP26" s="3"/>
      <c r="GDQ26" s="3"/>
      <c r="GDR26" s="3"/>
      <c r="GDS26" s="3"/>
      <c r="GDT26" s="3"/>
      <c r="GDU26" s="3"/>
      <c r="GDV26" s="3"/>
      <c r="GDW26" s="3"/>
      <c r="GDX26" s="3"/>
      <c r="GDY26" s="3"/>
      <c r="GDZ26" s="3"/>
      <c r="GEA26" s="3"/>
      <c r="GEB26" s="3"/>
      <c r="GEC26" s="3"/>
      <c r="GED26" s="3"/>
      <c r="GEE26" s="3"/>
      <c r="GEF26" s="3"/>
      <c r="GEG26" s="3"/>
      <c r="GEH26" s="3"/>
      <c r="GEI26" s="3"/>
      <c r="GEJ26" s="3"/>
      <c r="GEK26" s="3"/>
      <c r="GEL26" s="3"/>
      <c r="GEM26" s="3"/>
      <c r="GEN26" s="3"/>
      <c r="GEO26" s="3"/>
      <c r="GEP26" s="3"/>
      <c r="GEQ26" s="3"/>
      <c r="GER26" s="3"/>
      <c r="GES26" s="3"/>
      <c r="GET26" s="3"/>
      <c r="GEU26" s="3"/>
      <c r="GEV26" s="3"/>
      <c r="GEW26" s="3"/>
      <c r="GEX26" s="3"/>
      <c r="GEY26" s="3"/>
      <c r="GEZ26" s="3"/>
      <c r="GFA26" s="3"/>
      <c r="GFB26" s="3"/>
      <c r="GFC26" s="3"/>
      <c r="GFD26" s="3"/>
      <c r="GFE26" s="3"/>
      <c r="GFF26" s="3"/>
      <c r="GFG26" s="3"/>
      <c r="GFH26" s="3"/>
      <c r="GFI26" s="3"/>
      <c r="GFJ26" s="3"/>
      <c r="GFK26" s="3"/>
      <c r="GFL26" s="3"/>
      <c r="GFM26" s="3"/>
      <c r="GFN26" s="3"/>
      <c r="GFO26" s="3"/>
      <c r="GFP26" s="3"/>
      <c r="GFQ26" s="3"/>
      <c r="GFR26" s="3"/>
      <c r="GFS26" s="3"/>
      <c r="GFT26" s="3"/>
      <c r="GFU26" s="3"/>
      <c r="GFV26" s="3"/>
      <c r="GFW26" s="3"/>
      <c r="GFX26" s="3"/>
      <c r="GFY26" s="3"/>
      <c r="GFZ26" s="3"/>
      <c r="GGA26" s="3"/>
      <c r="GGB26" s="3"/>
      <c r="GGC26" s="3"/>
      <c r="GGD26" s="3"/>
      <c r="GGE26" s="3"/>
      <c r="GGF26" s="3"/>
      <c r="GGG26" s="3"/>
      <c r="GGH26" s="3"/>
      <c r="GGI26" s="3"/>
      <c r="GGJ26" s="3"/>
      <c r="GGK26" s="3"/>
      <c r="GGL26" s="3"/>
      <c r="GGM26" s="3"/>
      <c r="GGN26" s="3"/>
      <c r="GGO26" s="3"/>
      <c r="GGP26" s="3"/>
      <c r="GGQ26" s="3"/>
      <c r="GGR26" s="3"/>
      <c r="GGS26" s="3"/>
      <c r="GGT26" s="3"/>
      <c r="GGU26" s="3"/>
      <c r="GGV26" s="3"/>
      <c r="GGW26" s="3"/>
      <c r="GGX26" s="3"/>
      <c r="GGY26" s="3"/>
      <c r="GGZ26" s="3"/>
      <c r="GHA26" s="3"/>
      <c r="GHB26" s="3"/>
      <c r="GHC26" s="3"/>
      <c r="GHD26" s="3"/>
      <c r="GHE26" s="3"/>
      <c r="GHF26" s="3"/>
      <c r="GHG26" s="3"/>
      <c r="GHH26" s="3"/>
      <c r="GHI26" s="3"/>
      <c r="GHJ26" s="3"/>
      <c r="GHK26" s="3"/>
      <c r="GHL26" s="3"/>
      <c r="GHM26" s="3"/>
      <c r="GHN26" s="3"/>
      <c r="GHO26" s="3"/>
      <c r="GHP26" s="3"/>
      <c r="GHQ26" s="3"/>
      <c r="GHR26" s="3"/>
      <c r="GHS26" s="3"/>
      <c r="GHT26" s="3"/>
      <c r="GHU26" s="3"/>
      <c r="GHV26" s="3"/>
      <c r="GHW26" s="3"/>
      <c r="GHX26" s="3"/>
      <c r="GHY26" s="3"/>
      <c r="GHZ26" s="3"/>
      <c r="GIA26" s="3"/>
      <c r="GIB26" s="3"/>
      <c r="GIC26" s="3"/>
      <c r="GID26" s="3"/>
      <c r="GIE26" s="3"/>
      <c r="GIF26" s="3"/>
      <c r="GIG26" s="3"/>
      <c r="GIH26" s="3"/>
      <c r="GII26" s="3"/>
      <c r="GIJ26" s="3"/>
      <c r="GIK26" s="3"/>
      <c r="GIL26" s="3"/>
      <c r="GIM26" s="3"/>
      <c r="GIN26" s="3"/>
      <c r="GIO26" s="3"/>
      <c r="GIP26" s="3"/>
      <c r="GIQ26" s="3"/>
      <c r="GIR26" s="3"/>
      <c r="GIS26" s="3"/>
      <c r="GIT26" s="3"/>
      <c r="GIU26" s="3"/>
      <c r="GIV26" s="3"/>
      <c r="GIW26" s="3"/>
      <c r="GIX26" s="3"/>
      <c r="GIY26" s="3"/>
      <c r="GIZ26" s="3"/>
      <c r="GJA26" s="3"/>
      <c r="GJB26" s="3"/>
      <c r="GJC26" s="3"/>
      <c r="GJD26" s="3"/>
      <c r="GJE26" s="3"/>
      <c r="GJF26" s="3"/>
      <c r="GJG26" s="3"/>
      <c r="GJH26" s="3"/>
      <c r="GJI26" s="3"/>
      <c r="GJJ26" s="3"/>
      <c r="GJK26" s="3"/>
      <c r="GJL26" s="3"/>
      <c r="GJM26" s="3"/>
      <c r="GJN26" s="3"/>
      <c r="GJO26" s="3"/>
      <c r="GJP26" s="3"/>
      <c r="GJQ26" s="3"/>
      <c r="GJR26" s="3"/>
      <c r="GJS26" s="3"/>
      <c r="GJT26" s="3"/>
      <c r="GJU26" s="3"/>
      <c r="GJV26" s="3"/>
      <c r="GJW26" s="3"/>
      <c r="GJX26" s="3"/>
      <c r="GJY26" s="3"/>
      <c r="GJZ26" s="3"/>
      <c r="GKA26" s="3"/>
      <c r="GKB26" s="3"/>
      <c r="GKC26" s="3"/>
      <c r="GKD26" s="3"/>
      <c r="GKE26" s="3"/>
      <c r="GKF26" s="3"/>
      <c r="GKG26" s="3"/>
      <c r="GKH26" s="3"/>
      <c r="GKI26" s="3"/>
      <c r="GKJ26" s="3"/>
      <c r="GKK26" s="3"/>
      <c r="GKL26" s="3"/>
      <c r="GKM26" s="3"/>
      <c r="GKN26" s="3"/>
      <c r="GKO26" s="3"/>
      <c r="GKP26" s="3"/>
      <c r="GKQ26" s="3"/>
      <c r="GKR26" s="3"/>
      <c r="GKS26" s="3"/>
      <c r="GKT26" s="3"/>
      <c r="GKU26" s="3"/>
      <c r="GKV26" s="3"/>
      <c r="GKW26" s="3"/>
      <c r="GKX26" s="3"/>
      <c r="GKY26" s="3"/>
      <c r="GKZ26" s="3"/>
      <c r="GLA26" s="3"/>
      <c r="GLB26" s="3"/>
      <c r="GLC26" s="3"/>
      <c r="GLD26" s="3"/>
      <c r="GLE26" s="3"/>
      <c r="GLF26" s="3"/>
      <c r="GLG26" s="3"/>
      <c r="GLH26" s="3"/>
      <c r="GLI26" s="3"/>
      <c r="GLJ26" s="3"/>
      <c r="GLK26" s="3"/>
      <c r="GLL26" s="3"/>
      <c r="GLM26" s="3"/>
      <c r="GLN26" s="3"/>
      <c r="GLO26" s="3"/>
      <c r="GLP26" s="3"/>
      <c r="GLQ26" s="3"/>
      <c r="GLR26" s="3"/>
      <c r="GLS26" s="3"/>
      <c r="GLT26" s="3"/>
      <c r="GLU26" s="3"/>
      <c r="GLV26" s="3"/>
      <c r="GLW26" s="3"/>
      <c r="GLX26" s="3"/>
      <c r="GLY26" s="3"/>
      <c r="GLZ26" s="3"/>
      <c r="GMA26" s="3"/>
      <c r="GMB26" s="3"/>
      <c r="GMC26" s="3"/>
      <c r="GMD26" s="3"/>
      <c r="GME26" s="3"/>
      <c r="GMF26" s="3"/>
      <c r="GMG26" s="3"/>
      <c r="GMH26" s="3"/>
      <c r="GMI26" s="3"/>
      <c r="GMJ26" s="3"/>
      <c r="GMK26" s="3"/>
      <c r="GML26" s="3"/>
      <c r="GMM26" s="3"/>
      <c r="GMN26" s="3"/>
      <c r="GMO26" s="3"/>
      <c r="GMP26" s="3"/>
      <c r="GMQ26" s="3"/>
      <c r="GMR26" s="3"/>
      <c r="GMS26" s="3"/>
      <c r="GMT26" s="3"/>
      <c r="GMU26" s="3"/>
      <c r="GMV26" s="3"/>
      <c r="GMW26" s="3"/>
      <c r="GMX26" s="3"/>
      <c r="GMY26" s="3"/>
      <c r="GMZ26" s="3"/>
      <c r="GNA26" s="3"/>
      <c r="GNB26" s="3"/>
      <c r="GNC26" s="3"/>
      <c r="GND26" s="3"/>
      <c r="GNE26" s="3"/>
      <c r="GNF26" s="3"/>
      <c r="GNG26" s="3"/>
      <c r="GNH26" s="3"/>
      <c r="GNI26" s="3"/>
      <c r="GNJ26" s="3"/>
      <c r="GNK26" s="3"/>
      <c r="GNL26" s="3"/>
      <c r="GNM26" s="3"/>
      <c r="GNN26" s="3"/>
      <c r="GNO26" s="3"/>
      <c r="GNP26" s="3"/>
      <c r="GNQ26" s="3"/>
      <c r="GNR26" s="3"/>
      <c r="GNS26" s="3"/>
      <c r="GNT26" s="3"/>
      <c r="GNU26" s="3"/>
      <c r="GNV26" s="3"/>
      <c r="GNW26" s="3"/>
      <c r="GNX26" s="3"/>
      <c r="GNY26" s="3"/>
      <c r="GNZ26" s="3"/>
      <c r="GOA26" s="3"/>
      <c r="GOB26" s="3"/>
      <c r="GOC26" s="3"/>
      <c r="GOD26" s="3"/>
      <c r="GOE26" s="3"/>
      <c r="GOF26" s="3"/>
      <c r="GOG26" s="3"/>
      <c r="GOH26" s="3"/>
      <c r="GOI26" s="3"/>
      <c r="GOJ26" s="3"/>
      <c r="GOK26" s="3"/>
      <c r="GOL26" s="3"/>
      <c r="GOM26" s="3"/>
      <c r="GON26" s="3"/>
      <c r="GOO26" s="3"/>
      <c r="GOP26" s="3"/>
      <c r="GOQ26" s="3"/>
      <c r="GOR26" s="3"/>
      <c r="GOS26" s="3"/>
      <c r="GOT26" s="3"/>
      <c r="GOU26" s="3"/>
      <c r="GOV26" s="3"/>
      <c r="GOW26" s="3"/>
      <c r="GOX26" s="3"/>
      <c r="GOY26" s="3"/>
      <c r="GOZ26" s="3"/>
      <c r="GPA26" s="3"/>
      <c r="GPB26" s="3"/>
      <c r="GPC26" s="3"/>
      <c r="GPD26" s="3"/>
      <c r="GPE26" s="3"/>
      <c r="GPF26" s="3"/>
      <c r="GPG26" s="3"/>
      <c r="GPH26" s="3"/>
      <c r="GPI26" s="3"/>
      <c r="GPJ26" s="3"/>
      <c r="GPK26" s="3"/>
      <c r="GPL26" s="3"/>
      <c r="GPM26" s="3"/>
      <c r="GPN26" s="3"/>
      <c r="GPO26" s="3"/>
      <c r="GPP26" s="3"/>
      <c r="GPQ26" s="3"/>
      <c r="GPR26" s="3"/>
      <c r="GPS26" s="3"/>
      <c r="GPT26" s="3"/>
      <c r="GPU26" s="3"/>
      <c r="GPV26" s="3"/>
      <c r="GPW26" s="3"/>
      <c r="GPX26" s="3"/>
      <c r="GPY26" s="3"/>
      <c r="GPZ26" s="3"/>
      <c r="GQA26" s="3"/>
      <c r="GQB26" s="3"/>
      <c r="GQC26" s="3"/>
      <c r="GQD26" s="3"/>
      <c r="GQE26" s="3"/>
      <c r="GQF26" s="3"/>
      <c r="GQG26" s="3"/>
      <c r="GQH26" s="3"/>
      <c r="GQI26" s="3"/>
      <c r="GQJ26" s="3"/>
      <c r="GQK26" s="3"/>
      <c r="GQL26" s="3"/>
      <c r="GQM26" s="3"/>
      <c r="GQN26" s="3"/>
      <c r="GQO26" s="3"/>
      <c r="GQP26" s="3"/>
      <c r="GQQ26" s="3"/>
      <c r="GQR26" s="3"/>
      <c r="GQS26" s="3"/>
      <c r="GQT26" s="3"/>
      <c r="GQU26" s="3"/>
      <c r="GQV26" s="3"/>
      <c r="GQW26" s="3"/>
      <c r="GQX26" s="3"/>
      <c r="GQY26" s="3"/>
      <c r="GQZ26" s="3"/>
      <c r="GRA26" s="3"/>
      <c r="GRB26" s="3"/>
      <c r="GRC26" s="3"/>
      <c r="GRD26" s="3"/>
      <c r="GRE26" s="3"/>
      <c r="GRF26" s="3"/>
      <c r="GRG26" s="3"/>
      <c r="GRH26" s="3"/>
      <c r="GRI26" s="3"/>
      <c r="GRJ26" s="3"/>
      <c r="GRK26" s="3"/>
      <c r="GRL26" s="3"/>
      <c r="GRM26" s="3"/>
      <c r="GRN26" s="3"/>
      <c r="GRO26" s="3"/>
      <c r="GRP26" s="3"/>
      <c r="GRQ26" s="3"/>
      <c r="GRR26" s="3"/>
      <c r="GRS26" s="3"/>
      <c r="GRT26" s="3"/>
      <c r="GRU26" s="3"/>
      <c r="GRV26" s="3"/>
      <c r="GRW26" s="3"/>
      <c r="GRX26" s="3"/>
      <c r="GRY26" s="3"/>
      <c r="GRZ26" s="3"/>
      <c r="GSA26" s="3"/>
      <c r="GSB26" s="3"/>
      <c r="GSC26" s="3"/>
      <c r="GSD26" s="3"/>
      <c r="GSE26" s="3"/>
      <c r="GSF26" s="3"/>
      <c r="GSG26" s="3"/>
      <c r="GSH26" s="3"/>
      <c r="GSI26" s="3"/>
      <c r="GSJ26" s="3"/>
      <c r="GSK26" s="3"/>
      <c r="GSL26" s="3"/>
      <c r="GSM26" s="3"/>
      <c r="GSN26" s="3"/>
      <c r="GSO26" s="3"/>
      <c r="GSP26" s="3"/>
      <c r="GSQ26" s="3"/>
      <c r="GSR26" s="3"/>
      <c r="GSS26" s="3"/>
      <c r="GST26" s="3"/>
      <c r="GSU26" s="3"/>
      <c r="GSV26" s="3"/>
      <c r="GSW26" s="3"/>
      <c r="GSX26" s="3"/>
      <c r="GSY26" s="3"/>
      <c r="GSZ26" s="3"/>
      <c r="GTA26" s="3"/>
      <c r="GTB26" s="3"/>
      <c r="GTC26" s="3"/>
      <c r="GTD26" s="3"/>
      <c r="GTE26" s="3"/>
      <c r="GTF26" s="3"/>
      <c r="GTG26" s="3"/>
      <c r="GTH26" s="3"/>
      <c r="GTI26" s="3"/>
      <c r="GTJ26" s="3"/>
      <c r="GTK26" s="3"/>
      <c r="GTL26" s="3"/>
      <c r="GTM26" s="3"/>
      <c r="GTN26" s="3"/>
      <c r="GTO26" s="3"/>
      <c r="GTP26" s="3"/>
      <c r="GTQ26" s="3"/>
      <c r="GTR26" s="3"/>
      <c r="GTS26" s="3"/>
      <c r="GTT26" s="3"/>
      <c r="GTU26" s="3"/>
      <c r="GTV26" s="3"/>
      <c r="GTW26" s="3"/>
      <c r="GTX26" s="3"/>
      <c r="GTY26" s="3"/>
      <c r="GTZ26" s="3"/>
      <c r="GUA26" s="3"/>
      <c r="GUB26" s="3"/>
      <c r="GUC26" s="3"/>
      <c r="GUD26" s="3"/>
      <c r="GUE26" s="3"/>
      <c r="GUF26" s="3"/>
      <c r="GUG26" s="3"/>
      <c r="GUH26" s="3"/>
      <c r="GUI26" s="3"/>
      <c r="GUJ26" s="3"/>
      <c r="GUK26" s="3"/>
      <c r="GUL26" s="3"/>
      <c r="GUM26" s="3"/>
      <c r="GUN26" s="3"/>
      <c r="GUO26" s="3"/>
      <c r="GUP26" s="3"/>
      <c r="GUQ26" s="3"/>
      <c r="GUR26" s="3"/>
      <c r="GUS26" s="3"/>
      <c r="GUT26" s="3"/>
      <c r="GUU26" s="3"/>
      <c r="GUV26" s="3"/>
      <c r="GUW26" s="3"/>
      <c r="GUX26" s="3"/>
      <c r="GUY26" s="3"/>
      <c r="GUZ26" s="3"/>
      <c r="GVA26" s="3"/>
      <c r="GVB26" s="3"/>
      <c r="GVC26" s="3"/>
      <c r="GVD26" s="3"/>
      <c r="GVE26" s="3"/>
      <c r="GVF26" s="3"/>
      <c r="GVG26" s="3"/>
      <c r="GVH26" s="3"/>
      <c r="GVI26" s="3"/>
      <c r="GVJ26" s="3"/>
      <c r="GVK26" s="3"/>
      <c r="GVL26" s="3"/>
      <c r="GVM26" s="3"/>
      <c r="GVN26" s="3"/>
      <c r="GVO26" s="3"/>
      <c r="GVP26" s="3"/>
      <c r="GVQ26" s="3"/>
      <c r="GVR26" s="3"/>
      <c r="GVS26" s="3"/>
      <c r="GVT26" s="3"/>
      <c r="GVU26" s="3"/>
      <c r="GVV26" s="3"/>
      <c r="GVW26" s="3"/>
      <c r="GVX26" s="3"/>
      <c r="GVY26" s="3"/>
      <c r="GVZ26" s="3"/>
      <c r="GWA26" s="3"/>
      <c r="GWB26" s="3"/>
      <c r="GWC26" s="3"/>
      <c r="GWD26" s="3"/>
      <c r="GWE26" s="3"/>
      <c r="GWF26" s="3"/>
      <c r="GWG26" s="3"/>
      <c r="GWH26" s="3"/>
      <c r="GWI26" s="3"/>
      <c r="GWJ26" s="3"/>
      <c r="GWK26" s="3"/>
      <c r="GWL26" s="3"/>
      <c r="GWM26" s="3"/>
      <c r="GWN26" s="3"/>
      <c r="GWO26" s="3"/>
      <c r="GWP26" s="3"/>
      <c r="GWQ26" s="3"/>
      <c r="GWR26" s="3"/>
      <c r="GWS26" s="3"/>
      <c r="GWT26" s="3"/>
      <c r="GWU26" s="3"/>
      <c r="GWV26" s="3"/>
      <c r="GWW26" s="3"/>
      <c r="GWX26" s="3"/>
      <c r="GWY26" s="3"/>
      <c r="GWZ26" s="3"/>
      <c r="GXA26" s="3"/>
      <c r="GXB26" s="3"/>
      <c r="GXC26" s="3"/>
      <c r="GXD26" s="3"/>
      <c r="GXE26" s="3"/>
      <c r="GXF26" s="3"/>
      <c r="GXG26" s="3"/>
      <c r="GXH26" s="3"/>
      <c r="GXI26" s="3"/>
      <c r="GXJ26" s="3"/>
      <c r="GXK26" s="3"/>
      <c r="GXL26" s="3"/>
      <c r="GXM26" s="3"/>
      <c r="GXN26" s="3"/>
      <c r="GXO26" s="3"/>
      <c r="GXP26" s="3"/>
      <c r="GXQ26" s="3"/>
      <c r="GXR26" s="3"/>
      <c r="GXS26" s="3"/>
      <c r="GXT26" s="3"/>
      <c r="GXU26" s="3"/>
      <c r="GXV26" s="3"/>
      <c r="GXW26" s="3"/>
      <c r="GXX26" s="3"/>
      <c r="GXY26" s="3"/>
      <c r="GXZ26" s="3"/>
      <c r="GYA26" s="3"/>
      <c r="GYB26" s="3"/>
      <c r="GYC26" s="3"/>
      <c r="GYD26" s="3"/>
      <c r="GYE26" s="3"/>
      <c r="GYF26" s="3"/>
      <c r="GYG26" s="3"/>
      <c r="GYH26" s="3"/>
      <c r="GYI26" s="3"/>
      <c r="GYJ26" s="3"/>
      <c r="GYK26" s="3"/>
      <c r="GYL26" s="3"/>
      <c r="GYM26" s="3"/>
      <c r="GYN26" s="3"/>
      <c r="GYO26" s="3"/>
      <c r="GYP26" s="3"/>
      <c r="GYQ26" s="3"/>
      <c r="GYR26" s="3"/>
      <c r="GYS26" s="3"/>
      <c r="GYT26" s="3"/>
      <c r="GYU26" s="3"/>
      <c r="GYV26" s="3"/>
      <c r="GYW26" s="3"/>
      <c r="GYX26" s="3"/>
      <c r="GYY26" s="3"/>
      <c r="GYZ26" s="3"/>
      <c r="GZA26" s="3"/>
      <c r="GZB26" s="3"/>
      <c r="GZC26" s="3"/>
      <c r="GZD26" s="3"/>
      <c r="GZE26" s="3"/>
      <c r="GZF26" s="3"/>
      <c r="GZG26" s="3"/>
      <c r="GZH26" s="3"/>
      <c r="GZI26" s="3"/>
      <c r="GZJ26" s="3"/>
      <c r="GZK26" s="3"/>
      <c r="GZL26" s="3"/>
      <c r="GZM26" s="3"/>
      <c r="GZN26" s="3"/>
      <c r="GZO26" s="3"/>
      <c r="GZP26" s="3"/>
      <c r="GZQ26" s="3"/>
      <c r="GZR26" s="3"/>
      <c r="GZS26" s="3"/>
      <c r="GZT26" s="3"/>
      <c r="GZU26" s="3"/>
      <c r="GZV26" s="3"/>
      <c r="GZW26" s="3"/>
      <c r="GZX26" s="3"/>
      <c r="GZY26" s="3"/>
      <c r="GZZ26" s="3"/>
      <c r="HAA26" s="3"/>
      <c r="HAB26" s="3"/>
      <c r="HAC26" s="3"/>
      <c r="HAD26" s="3"/>
      <c r="HAE26" s="3"/>
      <c r="HAF26" s="3"/>
      <c r="HAG26" s="3"/>
      <c r="HAH26" s="3"/>
      <c r="HAI26" s="3"/>
      <c r="HAJ26" s="3"/>
      <c r="HAK26" s="3"/>
      <c r="HAL26" s="3"/>
      <c r="HAM26" s="3"/>
      <c r="HAN26" s="3"/>
      <c r="HAO26" s="3"/>
      <c r="HAP26" s="3"/>
      <c r="HAQ26" s="3"/>
      <c r="HAR26" s="3"/>
      <c r="HAS26" s="3"/>
      <c r="HAT26" s="3"/>
      <c r="HAU26" s="3"/>
      <c r="HAV26" s="3"/>
      <c r="HAW26" s="3"/>
      <c r="HAX26" s="3"/>
      <c r="HAY26" s="3"/>
      <c r="HAZ26" s="3"/>
      <c r="HBA26" s="3"/>
      <c r="HBB26" s="3"/>
      <c r="HBC26" s="3"/>
      <c r="HBD26" s="3"/>
      <c r="HBE26" s="3"/>
      <c r="HBF26" s="3"/>
      <c r="HBG26" s="3"/>
      <c r="HBH26" s="3"/>
      <c r="HBI26" s="3"/>
      <c r="HBJ26" s="3"/>
      <c r="HBK26" s="3"/>
      <c r="HBL26" s="3"/>
      <c r="HBM26" s="3"/>
      <c r="HBN26" s="3"/>
      <c r="HBO26" s="3"/>
      <c r="HBP26" s="3"/>
      <c r="HBQ26" s="3"/>
      <c r="HBR26" s="3"/>
      <c r="HBS26" s="3"/>
      <c r="HBT26" s="3"/>
      <c r="HBU26" s="3"/>
      <c r="HBV26" s="3"/>
      <c r="HBW26" s="3"/>
      <c r="HBX26" s="3"/>
      <c r="HBY26" s="3"/>
      <c r="HBZ26" s="3"/>
      <c r="HCA26" s="3"/>
      <c r="HCB26" s="3"/>
      <c r="HCC26" s="3"/>
      <c r="HCD26" s="3"/>
      <c r="HCE26" s="3"/>
      <c r="HCF26" s="3"/>
      <c r="HCG26" s="3"/>
      <c r="HCH26" s="3"/>
      <c r="HCI26" s="3"/>
      <c r="HCJ26" s="3"/>
      <c r="HCK26" s="3"/>
      <c r="HCL26" s="3"/>
      <c r="HCM26" s="3"/>
      <c r="HCN26" s="3"/>
      <c r="HCO26" s="3"/>
      <c r="HCP26" s="3"/>
      <c r="HCQ26" s="3"/>
      <c r="HCR26" s="3"/>
      <c r="HCS26" s="3"/>
      <c r="HCT26" s="3"/>
      <c r="HCU26" s="3"/>
      <c r="HCV26" s="3"/>
      <c r="HCW26" s="3"/>
      <c r="HCX26" s="3"/>
      <c r="HCY26" s="3"/>
      <c r="HCZ26" s="3"/>
      <c r="HDA26" s="3"/>
      <c r="HDB26" s="3"/>
      <c r="HDC26" s="3"/>
      <c r="HDD26" s="3"/>
      <c r="HDE26" s="3"/>
      <c r="HDF26" s="3"/>
      <c r="HDG26" s="3"/>
      <c r="HDH26" s="3"/>
      <c r="HDI26" s="3"/>
      <c r="HDJ26" s="3"/>
      <c r="HDK26" s="3"/>
      <c r="HDL26" s="3"/>
      <c r="HDM26" s="3"/>
      <c r="HDN26" s="3"/>
      <c r="HDO26" s="3"/>
      <c r="HDP26" s="3"/>
      <c r="HDQ26" s="3"/>
      <c r="HDR26" s="3"/>
      <c r="HDS26" s="3"/>
      <c r="HDT26" s="3"/>
      <c r="HDU26" s="3"/>
      <c r="HDV26" s="3"/>
      <c r="HDW26" s="3"/>
      <c r="HDX26" s="3"/>
      <c r="HDY26" s="3"/>
      <c r="HDZ26" s="3"/>
      <c r="HEA26" s="3"/>
      <c r="HEB26" s="3"/>
      <c r="HEC26" s="3"/>
      <c r="HED26" s="3"/>
      <c r="HEE26" s="3"/>
      <c r="HEF26" s="3"/>
      <c r="HEG26" s="3"/>
      <c r="HEH26" s="3"/>
      <c r="HEI26" s="3"/>
      <c r="HEJ26" s="3"/>
      <c r="HEK26" s="3"/>
      <c r="HEL26" s="3"/>
      <c r="HEM26" s="3"/>
      <c r="HEN26" s="3"/>
      <c r="HEO26" s="3"/>
      <c r="HEP26" s="3"/>
      <c r="HEQ26" s="3"/>
      <c r="HER26" s="3"/>
      <c r="HES26" s="3"/>
      <c r="HET26" s="3"/>
      <c r="HEU26" s="3"/>
      <c r="HEV26" s="3"/>
      <c r="HEW26" s="3"/>
      <c r="HEX26" s="3"/>
      <c r="HEY26" s="3"/>
      <c r="HEZ26" s="3"/>
      <c r="HFA26" s="3"/>
      <c r="HFB26" s="3"/>
      <c r="HFC26" s="3"/>
      <c r="HFD26" s="3"/>
      <c r="HFE26" s="3"/>
      <c r="HFF26" s="3"/>
      <c r="HFG26" s="3"/>
      <c r="HFH26" s="3"/>
      <c r="HFI26" s="3"/>
      <c r="HFJ26" s="3"/>
      <c r="HFK26" s="3"/>
      <c r="HFL26" s="3"/>
      <c r="HFM26" s="3"/>
      <c r="HFN26" s="3"/>
      <c r="HFO26" s="3"/>
      <c r="HFP26" s="3"/>
      <c r="HFQ26" s="3"/>
      <c r="HFR26" s="3"/>
      <c r="HFS26" s="3"/>
      <c r="HFT26" s="3"/>
      <c r="HFU26" s="3"/>
      <c r="HFV26" s="3"/>
      <c r="HFW26" s="3"/>
      <c r="HFX26" s="3"/>
      <c r="HFY26" s="3"/>
      <c r="HFZ26" s="3"/>
      <c r="HGA26" s="3"/>
      <c r="HGB26" s="3"/>
      <c r="HGC26" s="3"/>
      <c r="HGD26" s="3"/>
      <c r="HGE26" s="3"/>
      <c r="HGF26" s="3"/>
      <c r="HGG26" s="3"/>
      <c r="HGH26" s="3"/>
      <c r="HGI26" s="3"/>
      <c r="HGJ26" s="3"/>
      <c r="HGK26" s="3"/>
      <c r="HGL26" s="3"/>
      <c r="HGM26" s="3"/>
      <c r="HGN26" s="3"/>
      <c r="HGO26" s="3"/>
      <c r="HGP26" s="3"/>
      <c r="HGQ26" s="3"/>
      <c r="HGR26" s="3"/>
      <c r="HGS26" s="3"/>
      <c r="HGT26" s="3"/>
      <c r="HGU26" s="3"/>
      <c r="HGV26" s="3"/>
      <c r="HGW26" s="3"/>
      <c r="HGX26" s="3"/>
      <c r="HGY26" s="3"/>
      <c r="HGZ26" s="3"/>
      <c r="HHA26" s="3"/>
      <c r="HHB26" s="3"/>
      <c r="HHC26" s="3"/>
      <c r="HHD26" s="3"/>
      <c r="HHE26" s="3"/>
      <c r="HHF26" s="3"/>
      <c r="HHG26" s="3"/>
      <c r="HHH26" s="3"/>
      <c r="HHI26" s="3"/>
      <c r="HHJ26" s="3"/>
      <c r="HHK26" s="3"/>
      <c r="HHL26" s="3"/>
      <c r="HHM26" s="3"/>
      <c r="HHN26" s="3"/>
      <c r="HHO26" s="3"/>
      <c r="HHP26" s="3"/>
      <c r="HHQ26" s="3"/>
      <c r="HHR26" s="3"/>
      <c r="HHS26" s="3"/>
      <c r="HHT26" s="3"/>
      <c r="HHU26" s="3"/>
      <c r="HHV26" s="3"/>
      <c r="HHW26" s="3"/>
      <c r="HHX26" s="3"/>
      <c r="HHY26" s="3"/>
      <c r="HHZ26" s="3"/>
      <c r="HIA26" s="3"/>
      <c r="HIB26" s="3"/>
      <c r="HIC26" s="3"/>
      <c r="HID26" s="3"/>
      <c r="HIE26" s="3"/>
      <c r="HIF26" s="3"/>
      <c r="HIG26" s="3"/>
      <c r="HIH26" s="3"/>
      <c r="HII26" s="3"/>
      <c r="HIJ26" s="3"/>
      <c r="HIK26" s="3"/>
      <c r="HIL26" s="3"/>
      <c r="HIM26" s="3"/>
      <c r="HIN26" s="3"/>
      <c r="HIO26" s="3"/>
      <c r="HIP26" s="3"/>
      <c r="HIQ26" s="3"/>
      <c r="HIR26" s="3"/>
      <c r="HIS26" s="3"/>
      <c r="HIT26" s="3"/>
      <c r="HIU26" s="3"/>
      <c r="HIV26" s="3"/>
      <c r="HIW26" s="3"/>
      <c r="HIX26" s="3"/>
      <c r="HIY26" s="3"/>
      <c r="HIZ26" s="3"/>
      <c r="HJA26" s="3"/>
      <c r="HJB26" s="3"/>
      <c r="HJC26" s="3"/>
      <c r="HJD26" s="3"/>
      <c r="HJE26" s="3"/>
      <c r="HJF26" s="3"/>
      <c r="HJG26" s="3"/>
      <c r="HJH26" s="3"/>
      <c r="HJI26" s="3"/>
      <c r="HJJ26" s="3"/>
      <c r="HJK26" s="3"/>
      <c r="HJL26" s="3"/>
      <c r="HJM26" s="3"/>
      <c r="HJN26" s="3"/>
      <c r="HJO26" s="3"/>
      <c r="HJP26" s="3"/>
      <c r="HJQ26" s="3"/>
      <c r="HJR26" s="3"/>
      <c r="HJS26" s="3"/>
      <c r="HJT26" s="3"/>
      <c r="HJU26" s="3"/>
      <c r="HJV26" s="3"/>
      <c r="HJW26" s="3"/>
      <c r="HJX26" s="3"/>
      <c r="HJY26" s="3"/>
      <c r="HJZ26" s="3"/>
      <c r="HKA26" s="3"/>
      <c r="HKB26" s="3"/>
      <c r="HKC26" s="3"/>
      <c r="HKD26" s="3"/>
      <c r="HKE26" s="3"/>
      <c r="HKF26" s="3"/>
      <c r="HKG26" s="3"/>
      <c r="HKH26" s="3"/>
      <c r="HKI26" s="3"/>
      <c r="HKJ26" s="3"/>
      <c r="HKK26" s="3"/>
      <c r="HKL26" s="3"/>
      <c r="HKM26" s="3"/>
      <c r="HKN26" s="3"/>
      <c r="HKO26" s="3"/>
      <c r="HKP26" s="3"/>
      <c r="HKQ26" s="3"/>
      <c r="HKR26" s="3"/>
      <c r="HKS26" s="3"/>
      <c r="HKT26" s="3"/>
      <c r="HKU26" s="3"/>
      <c r="HKV26" s="3"/>
      <c r="HKW26" s="3"/>
      <c r="HKX26" s="3"/>
      <c r="HKY26" s="3"/>
      <c r="HKZ26" s="3"/>
      <c r="HLA26" s="3"/>
      <c r="HLB26" s="3"/>
      <c r="HLC26" s="3"/>
      <c r="HLD26" s="3"/>
      <c r="HLE26" s="3"/>
      <c r="HLF26" s="3"/>
      <c r="HLG26" s="3"/>
      <c r="HLH26" s="3"/>
      <c r="HLI26" s="3"/>
      <c r="HLJ26" s="3"/>
      <c r="HLK26" s="3"/>
      <c r="HLL26" s="3"/>
      <c r="HLM26" s="3"/>
      <c r="HLN26" s="3"/>
      <c r="HLO26" s="3"/>
      <c r="HLP26" s="3"/>
      <c r="HLQ26" s="3"/>
      <c r="HLR26" s="3"/>
      <c r="HLS26" s="3"/>
      <c r="HLT26" s="3"/>
      <c r="HLU26" s="3"/>
      <c r="HLV26" s="3"/>
      <c r="HLW26" s="3"/>
      <c r="HLX26" s="3"/>
      <c r="HLY26" s="3"/>
      <c r="HLZ26" s="3"/>
      <c r="HMA26" s="3"/>
      <c r="HMB26" s="3"/>
      <c r="HMC26" s="3"/>
      <c r="HMD26" s="3"/>
      <c r="HME26" s="3"/>
      <c r="HMF26" s="3"/>
      <c r="HMG26" s="3"/>
      <c r="HMH26" s="3"/>
      <c r="HMI26" s="3"/>
      <c r="HMJ26" s="3"/>
      <c r="HMK26" s="3"/>
      <c r="HML26" s="3"/>
      <c r="HMM26" s="3"/>
      <c r="HMN26" s="3"/>
      <c r="HMO26" s="3"/>
      <c r="HMP26" s="3"/>
      <c r="HMQ26" s="3"/>
      <c r="HMR26" s="3"/>
      <c r="HMS26" s="3"/>
      <c r="HMT26" s="3"/>
      <c r="HMU26" s="3"/>
      <c r="HMV26" s="3"/>
      <c r="HMW26" s="3"/>
      <c r="HMX26" s="3"/>
      <c r="HMY26" s="3"/>
      <c r="HMZ26" s="3"/>
      <c r="HNA26" s="3"/>
      <c r="HNB26" s="3"/>
      <c r="HNC26" s="3"/>
      <c r="HND26" s="3"/>
      <c r="HNE26" s="3"/>
      <c r="HNF26" s="3"/>
      <c r="HNG26" s="3"/>
      <c r="HNH26" s="3"/>
      <c r="HNI26" s="3"/>
      <c r="HNJ26" s="3"/>
      <c r="HNK26" s="3"/>
      <c r="HNL26" s="3"/>
      <c r="HNM26" s="3"/>
      <c r="HNN26" s="3"/>
      <c r="HNO26" s="3"/>
      <c r="HNP26" s="3"/>
      <c r="HNQ26" s="3"/>
      <c r="HNR26" s="3"/>
      <c r="HNS26" s="3"/>
      <c r="HNT26" s="3"/>
      <c r="HNU26" s="3"/>
      <c r="HNV26" s="3"/>
      <c r="HNW26" s="3"/>
      <c r="HNX26" s="3"/>
      <c r="HNY26" s="3"/>
      <c r="HNZ26" s="3"/>
      <c r="HOA26" s="3"/>
      <c r="HOB26" s="3"/>
      <c r="HOC26" s="3"/>
      <c r="HOD26" s="3"/>
      <c r="HOE26" s="3"/>
      <c r="HOF26" s="3"/>
      <c r="HOG26" s="3"/>
      <c r="HOH26" s="3"/>
      <c r="HOI26" s="3"/>
      <c r="HOJ26" s="3"/>
      <c r="HOK26" s="3"/>
      <c r="HOL26" s="3"/>
      <c r="HOM26" s="3"/>
      <c r="HON26" s="3"/>
      <c r="HOO26" s="3"/>
      <c r="HOP26" s="3"/>
      <c r="HOQ26" s="3"/>
      <c r="HOR26" s="3"/>
      <c r="HOS26" s="3"/>
      <c r="HOT26" s="3"/>
      <c r="HOU26" s="3"/>
      <c r="HOV26" s="3"/>
      <c r="HOW26" s="3"/>
      <c r="HOX26" s="3"/>
      <c r="HOY26" s="3"/>
      <c r="HOZ26" s="3"/>
      <c r="HPA26" s="3"/>
      <c r="HPB26" s="3"/>
      <c r="HPC26" s="3"/>
      <c r="HPD26" s="3"/>
      <c r="HPE26" s="3"/>
      <c r="HPF26" s="3"/>
      <c r="HPG26" s="3"/>
      <c r="HPH26" s="3"/>
      <c r="HPI26" s="3"/>
      <c r="HPJ26" s="3"/>
      <c r="HPK26" s="3"/>
      <c r="HPL26" s="3"/>
      <c r="HPM26" s="3"/>
      <c r="HPN26" s="3"/>
      <c r="HPO26" s="3"/>
      <c r="HPP26" s="3"/>
      <c r="HPQ26" s="3"/>
      <c r="HPR26" s="3"/>
      <c r="HPS26" s="3"/>
      <c r="HPT26" s="3"/>
      <c r="HPU26" s="3"/>
      <c r="HPV26" s="3"/>
      <c r="HPW26" s="3"/>
      <c r="HPX26" s="3"/>
      <c r="HPY26" s="3"/>
      <c r="HPZ26" s="3"/>
      <c r="HQA26" s="3"/>
      <c r="HQB26" s="3"/>
      <c r="HQC26" s="3"/>
      <c r="HQD26" s="3"/>
      <c r="HQE26" s="3"/>
      <c r="HQF26" s="3"/>
      <c r="HQG26" s="3"/>
      <c r="HQH26" s="3"/>
      <c r="HQI26" s="3"/>
      <c r="HQJ26" s="3"/>
      <c r="HQK26" s="3"/>
      <c r="HQL26" s="3"/>
      <c r="HQM26" s="3"/>
      <c r="HQN26" s="3"/>
      <c r="HQO26" s="3"/>
      <c r="HQP26" s="3"/>
      <c r="HQQ26" s="3"/>
      <c r="HQR26" s="3"/>
      <c r="HQS26" s="3"/>
      <c r="HQT26" s="3"/>
      <c r="HQU26" s="3"/>
      <c r="HQV26" s="3"/>
      <c r="HQW26" s="3"/>
      <c r="HQX26" s="3"/>
      <c r="HQY26" s="3"/>
      <c r="HQZ26" s="3"/>
      <c r="HRA26" s="3"/>
      <c r="HRB26" s="3"/>
      <c r="HRC26" s="3"/>
      <c r="HRD26" s="3"/>
      <c r="HRE26" s="3"/>
      <c r="HRF26" s="3"/>
      <c r="HRG26" s="3"/>
      <c r="HRH26" s="3"/>
      <c r="HRI26" s="3"/>
      <c r="HRJ26" s="3"/>
      <c r="HRK26" s="3"/>
      <c r="HRL26" s="3"/>
      <c r="HRM26" s="3"/>
      <c r="HRN26" s="3"/>
      <c r="HRO26" s="3"/>
      <c r="HRP26" s="3"/>
      <c r="HRQ26" s="3"/>
      <c r="HRR26" s="3"/>
      <c r="HRS26" s="3"/>
      <c r="HRT26" s="3"/>
      <c r="HRU26" s="3"/>
      <c r="HRV26" s="3"/>
      <c r="HRW26" s="3"/>
      <c r="HRX26" s="3"/>
      <c r="HRY26" s="3"/>
      <c r="HRZ26" s="3"/>
      <c r="HSA26" s="3"/>
      <c r="HSB26" s="3"/>
      <c r="HSC26" s="3"/>
      <c r="HSD26" s="3"/>
      <c r="HSE26" s="3"/>
      <c r="HSF26" s="3"/>
      <c r="HSG26" s="3"/>
      <c r="HSH26" s="3"/>
      <c r="HSI26" s="3"/>
      <c r="HSJ26" s="3"/>
      <c r="HSK26" s="3"/>
      <c r="HSL26" s="3"/>
      <c r="HSM26" s="3"/>
      <c r="HSN26" s="3"/>
      <c r="HSO26" s="3"/>
      <c r="HSP26" s="3"/>
      <c r="HSQ26" s="3"/>
      <c r="HSR26" s="3"/>
      <c r="HSS26" s="3"/>
      <c r="HST26" s="3"/>
      <c r="HSU26" s="3"/>
      <c r="HSV26" s="3"/>
      <c r="HSW26" s="3"/>
      <c r="HSX26" s="3"/>
      <c r="HSY26" s="3"/>
      <c r="HSZ26" s="3"/>
      <c r="HTA26" s="3"/>
      <c r="HTB26" s="3"/>
      <c r="HTC26" s="3"/>
      <c r="HTD26" s="3"/>
      <c r="HTE26" s="3"/>
      <c r="HTF26" s="3"/>
      <c r="HTG26" s="3"/>
      <c r="HTH26" s="3"/>
      <c r="HTI26" s="3"/>
      <c r="HTJ26" s="3"/>
      <c r="HTK26" s="3"/>
      <c r="HTL26" s="3"/>
      <c r="HTM26" s="3"/>
      <c r="HTN26" s="3"/>
      <c r="HTO26" s="3"/>
      <c r="HTP26" s="3"/>
      <c r="HTQ26" s="3"/>
      <c r="HTR26" s="3"/>
      <c r="HTS26" s="3"/>
      <c r="HTT26" s="3"/>
      <c r="HTU26" s="3"/>
      <c r="HTV26" s="3"/>
      <c r="HTW26" s="3"/>
      <c r="HTX26" s="3"/>
      <c r="HTY26" s="3"/>
      <c r="HTZ26" s="3"/>
      <c r="HUA26" s="3"/>
      <c r="HUB26" s="3"/>
      <c r="HUC26" s="3"/>
      <c r="HUD26" s="3"/>
      <c r="HUE26" s="3"/>
      <c r="HUF26" s="3"/>
      <c r="HUG26" s="3"/>
      <c r="HUH26" s="3"/>
      <c r="HUI26" s="3"/>
      <c r="HUJ26" s="3"/>
      <c r="HUK26" s="3"/>
      <c r="HUL26" s="3"/>
      <c r="HUM26" s="3"/>
      <c r="HUN26" s="3"/>
      <c r="HUO26" s="3"/>
      <c r="HUP26" s="3"/>
      <c r="HUQ26" s="3"/>
      <c r="HUR26" s="3"/>
      <c r="HUS26" s="3"/>
      <c r="HUT26" s="3"/>
      <c r="HUU26" s="3"/>
      <c r="HUV26" s="3"/>
      <c r="HUW26" s="3"/>
      <c r="HUX26" s="3"/>
      <c r="HUY26" s="3"/>
      <c r="HUZ26" s="3"/>
      <c r="HVA26" s="3"/>
      <c r="HVB26" s="3"/>
      <c r="HVC26" s="3"/>
      <c r="HVD26" s="3"/>
      <c r="HVE26" s="3"/>
      <c r="HVF26" s="3"/>
      <c r="HVG26" s="3"/>
      <c r="HVH26" s="3"/>
      <c r="HVI26" s="3"/>
      <c r="HVJ26" s="3"/>
      <c r="HVK26" s="3"/>
      <c r="HVL26" s="3"/>
      <c r="HVM26" s="3"/>
      <c r="HVN26" s="3"/>
      <c r="HVO26" s="3"/>
      <c r="HVP26" s="3"/>
      <c r="HVQ26" s="3"/>
      <c r="HVR26" s="3"/>
      <c r="HVS26" s="3"/>
      <c r="HVT26" s="3"/>
      <c r="HVU26" s="3"/>
      <c r="HVV26" s="3"/>
      <c r="HVW26" s="3"/>
      <c r="HVX26" s="3"/>
      <c r="HVY26" s="3"/>
      <c r="HVZ26" s="3"/>
      <c r="HWA26" s="3"/>
      <c r="HWB26" s="3"/>
      <c r="HWC26" s="3"/>
      <c r="HWD26" s="3"/>
      <c r="HWE26" s="3"/>
      <c r="HWF26" s="3"/>
      <c r="HWG26" s="3"/>
      <c r="HWH26" s="3"/>
      <c r="HWI26" s="3"/>
      <c r="HWJ26" s="3"/>
      <c r="HWK26" s="3"/>
      <c r="HWL26" s="3"/>
      <c r="HWM26" s="3"/>
      <c r="HWN26" s="3"/>
      <c r="HWO26" s="3"/>
      <c r="HWP26" s="3"/>
      <c r="HWQ26" s="3"/>
      <c r="HWR26" s="3"/>
      <c r="HWS26" s="3"/>
      <c r="HWT26" s="3"/>
      <c r="HWU26" s="3"/>
      <c r="HWV26" s="3"/>
      <c r="HWW26" s="3"/>
      <c r="HWX26" s="3"/>
      <c r="HWY26" s="3"/>
      <c r="HWZ26" s="3"/>
      <c r="HXA26" s="3"/>
      <c r="HXB26" s="3"/>
      <c r="HXC26" s="3"/>
      <c r="HXD26" s="3"/>
      <c r="HXE26" s="3"/>
      <c r="HXF26" s="3"/>
      <c r="HXG26" s="3"/>
      <c r="HXH26" s="3"/>
      <c r="HXI26" s="3"/>
      <c r="HXJ26" s="3"/>
      <c r="HXK26" s="3"/>
      <c r="HXL26" s="3"/>
      <c r="HXM26" s="3"/>
      <c r="HXN26" s="3"/>
      <c r="HXO26" s="3"/>
      <c r="HXP26" s="3"/>
      <c r="HXQ26" s="3"/>
      <c r="HXR26" s="3"/>
      <c r="HXS26" s="3"/>
      <c r="HXT26" s="3"/>
      <c r="HXU26" s="3"/>
      <c r="HXV26" s="3"/>
      <c r="HXW26" s="3"/>
      <c r="HXX26" s="3"/>
      <c r="HXY26" s="3"/>
      <c r="HXZ26" s="3"/>
      <c r="HYA26" s="3"/>
      <c r="HYB26" s="3"/>
      <c r="HYC26" s="3"/>
      <c r="HYD26" s="3"/>
      <c r="HYE26" s="3"/>
      <c r="HYF26" s="3"/>
      <c r="HYG26" s="3"/>
      <c r="HYH26" s="3"/>
      <c r="HYI26" s="3"/>
      <c r="HYJ26" s="3"/>
      <c r="HYK26" s="3"/>
      <c r="HYL26" s="3"/>
      <c r="HYM26" s="3"/>
      <c r="HYN26" s="3"/>
      <c r="HYO26" s="3"/>
      <c r="HYP26" s="3"/>
      <c r="HYQ26" s="3"/>
      <c r="HYR26" s="3"/>
      <c r="HYS26" s="3"/>
      <c r="HYT26" s="3"/>
      <c r="HYU26" s="3"/>
      <c r="HYV26" s="3"/>
      <c r="HYW26" s="3"/>
      <c r="HYX26" s="3"/>
      <c r="HYY26" s="3"/>
      <c r="HYZ26" s="3"/>
      <c r="HZA26" s="3"/>
      <c r="HZB26" s="3"/>
      <c r="HZC26" s="3"/>
      <c r="HZD26" s="3"/>
      <c r="HZE26" s="3"/>
      <c r="HZF26" s="3"/>
      <c r="HZG26" s="3"/>
      <c r="HZH26" s="3"/>
      <c r="HZI26" s="3"/>
      <c r="HZJ26" s="3"/>
      <c r="HZK26" s="3"/>
      <c r="HZL26" s="3"/>
      <c r="HZM26" s="3"/>
      <c r="HZN26" s="3"/>
      <c r="HZO26" s="3"/>
      <c r="HZP26" s="3"/>
      <c r="HZQ26" s="3"/>
      <c r="HZR26" s="3"/>
      <c r="HZS26" s="3"/>
      <c r="HZT26" s="3"/>
      <c r="HZU26" s="3"/>
      <c r="HZV26" s="3"/>
      <c r="HZW26" s="3"/>
      <c r="HZX26" s="3"/>
      <c r="HZY26" s="3"/>
      <c r="HZZ26" s="3"/>
      <c r="IAA26" s="3"/>
      <c r="IAB26" s="3"/>
      <c r="IAC26" s="3"/>
      <c r="IAD26" s="3"/>
      <c r="IAE26" s="3"/>
      <c r="IAF26" s="3"/>
      <c r="IAG26" s="3"/>
      <c r="IAH26" s="3"/>
      <c r="IAI26" s="3"/>
      <c r="IAJ26" s="3"/>
      <c r="IAK26" s="3"/>
      <c r="IAL26" s="3"/>
      <c r="IAM26" s="3"/>
      <c r="IAN26" s="3"/>
      <c r="IAO26" s="3"/>
      <c r="IAP26" s="3"/>
      <c r="IAQ26" s="3"/>
      <c r="IAR26" s="3"/>
      <c r="IAS26" s="3"/>
      <c r="IAT26" s="3"/>
      <c r="IAU26" s="3"/>
      <c r="IAV26" s="3"/>
      <c r="IAW26" s="3"/>
      <c r="IAX26" s="3"/>
      <c r="IAY26" s="3"/>
      <c r="IAZ26" s="3"/>
      <c r="IBA26" s="3"/>
      <c r="IBB26" s="3"/>
      <c r="IBC26" s="3"/>
      <c r="IBD26" s="3"/>
      <c r="IBE26" s="3"/>
      <c r="IBF26" s="3"/>
      <c r="IBG26" s="3"/>
      <c r="IBH26" s="3"/>
      <c r="IBI26" s="3"/>
      <c r="IBJ26" s="3"/>
      <c r="IBK26" s="3"/>
      <c r="IBL26" s="3"/>
      <c r="IBM26" s="3"/>
      <c r="IBN26" s="3"/>
      <c r="IBO26" s="3"/>
      <c r="IBP26" s="3"/>
      <c r="IBQ26" s="3"/>
      <c r="IBR26" s="3"/>
      <c r="IBS26" s="3"/>
      <c r="IBT26" s="3"/>
      <c r="IBU26" s="3"/>
      <c r="IBV26" s="3"/>
      <c r="IBW26" s="3"/>
      <c r="IBX26" s="3"/>
      <c r="IBY26" s="3"/>
      <c r="IBZ26" s="3"/>
      <c r="ICA26" s="3"/>
      <c r="ICB26" s="3"/>
      <c r="ICC26" s="3"/>
      <c r="ICD26" s="3"/>
      <c r="ICE26" s="3"/>
      <c r="ICF26" s="3"/>
      <c r="ICG26" s="3"/>
      <c r="ICH26" s="3"/>
      <c r="ICI26" s="3"/>
      <c r="ICJ26" s="3"/>
      <c r="ICK26" s="3"/>
      <c r="ICL26" s="3"/>
      <c r="ICM26" s="3"/>
      <c r="ICN26" s="3"/>
      <c r="ICO26" s="3"/>
      <c r="ICP26" s="3"/>
      <c r="ICQ26" s="3"/>
      <c r="ICR26" s="3"/>
      <c r="ICS26" s="3"/>
      <c r="ICT26" s="3"/>
      <c r="ICU26" s="3"/>
      <c r="ICV26" s="3"/>
      <c r="ICW26" s="3"/>
      <c r="ICX26" s="3"/>
      <c r="ICY26" s="3"/>
      <c r="ICZ26" s="3"/>
      <c r="IDA26" s="3"/>
      <c r="IDB26" s="3"/>
      <c r="IDC26" s="3"/>
      <c r="IDD26" s="3"/>
      <c r="IDE26" s="3"/>
      <c r="IDF26" s="3"/>
      <c r="IDG26" s="3"/>
      <c r="IDH26" s="3"/>
      <c r="IDI26" s="3"/>
      <c r="IDJ26" s="3"/>
      <c r="IDK26" s="3"/>
      <c r="IDL26" s="3"/>
      <c r="IDM26" s="3"/>
      <c r="IDN26" s="3"/>
      <c r="IDO26" s="3"/>
      <c r="IDP26" s="3"/>
      <c r="IDQ26" s="3"/>
      <c r="IDR26" s="3"/>
      <c r="IDS26" s="3"/>
      <c r="IDT26" s="3"/>
      <c r="IDU26" s="3"/>
      <c r="IDV26" s="3"/>
      <c r="IDW26" s="3"/>
      <c r="IDX26" s="3"/>
      <c r="IDY26" s="3"/>
      <c r="IDZ26" s="3"/>
      <c r="IEA26" s="3"/>
      <c r="IEB26" s="3"/>
      <c r="IEC26" s="3"/>
      <c r="IED26" s="3"/>
      <c r="IEE26" s="3"/>
      <c r="IEF26" s="3"/>
      <c r="IEG26" s="3"/>
      <c r="IEH26" s="3"/>
      <c r="IEI26" s="3"/>
      <c r="IEJ26" s="3"/>
      <c r="IEK26" s="3"/>
      <c r="IEL26" s="3"/>
      <c r="IEM26" s="3"/>
      <c r="IEN26" s="3"/>
      <c r="IEO26" s="3"/>
      <c r="IEP26" s="3"/>
      <c r="IEQ26" s="3"/>
      <c r="IER26" s="3"/>
      <c r="IES26" s="3"/>
      <c r="IET26" s="3"/>
      <c r="IEU26" s="3"/>
      <c r="IEV26" s="3"/>
      <c r="IEW26" s="3"/>
      <c r="IEX26" s="3"/>
      <c r="IEY26" s="3"/>
      <c r="IEZ26" s="3"/>
      <c r="IFA26" s="3"/>
      <c r="IFB26" s="3"/>
      <c r="IFC26" s="3"/>
      <c r="IFD26" s="3"/>
      <c r="IFE26" s="3"/>
      <c r="IFF26" s="3"/>
      <c r="IFG26" s="3"/>
      <c r="IFH26" s="3"/>
      <c r="IFI26" s="3"/>
      <c r="IFJ26" s="3"/>
      <c r="IFK26" s="3"/>
      <c r="IFL26" s="3"/>
      <c r="IFM26" s="3"/>
      <c r="IFN26" s="3"/>
      <c r="IFO26" s="3"/>
      <c r="IFP26" s="3"/>
      <c r="IFQ26" s="3"/>
      <c r="IFR26" s="3"/>
      <c r="IFS26" s="3"/>
      <c r="IFT26" s="3"/>
      <c r="IFU26" s="3"/>
      <c r="IFV26" s="3"/>
      <c r="IFW26" s="3"/>
      <c r="IFX26" s="3"/>
      <c r="IFY26" s="3"/>
      <c r="IFZ26" s="3"/>
      <c r="IGA26" s="3"/>
      <c r="IGB26" s="3"/>
      <c r="IGC26" s="3"/>
      <c r="IGD26" s="3"/>
      <c r="IGE26" s="3"/>
      <c r="IGF26" s="3"/>
      <c r="IGG26" s="3"/>
      <c r="IGH26" s="3"/>
      <c r="IGI26" s="3"/>
      <c r="IGJ26" s="3"/>
      <c r="IGK26" s="3"/>
      <c r="IGL26" s="3"/>
      <c r="IGM26" s="3"/>
      <c r="IGN26" s="3"/>
      <c r="IGO26" s="3"/>
      <c r="IGP26" s="3"/>
      <c r="IGQ26" s="3"/>
      <c r="IGR26" s="3"/>
      <c r="IGS26" s="3"/>
      <c r="IGT26" s="3"/>
      <c r="IGU26" s="3"/>
      <c r="IGV26" s="3"/>
      <c r="IGW26" s="3"/>
      <c r="IGX26" s="3"/>
      <c r="IGY26" s="3"/>
      <c r="IGZ26" s="3"/>
      <c r="IHA26" s="3"/>
      <c r="IHB26" s="3"/>
      <c r="IHC26" s="3"/>
      <c r="IHD26" s="3"/>
      <c r="IHE26" s="3"/>
      <c r="IHF26" s="3"/>
      <c r="IHG26" s="3"/>
      <c r="IHH26" s="3"/>
      <c r="IHI26" s="3"/>
      <c r="IHJ26" s="3"/>
      <c r="IHK26" s="3"/>
      <c r="IHL26" s="3"/>
      <c r="IHM26" s="3"/>
      <c r="IHN26" s="3"/>
      <c r="IHO26" s="3"/>
      <c r="IHP26" s="3"/>
      <c r="IHQ26" s="3"/>
      <c r="IHR26" s="3"/>
      <c r="IHS26" s="3"/>
      <c r="IHT26" s="3"/>
      <c r="IHU26" s="3"/>
      <c r="IHV26" s="3"/>
      <c r="IHW26" s="3"/>
      <c r="IHX26" s="3"/>
      <c r="IHY26" s="3"/>
      <c r="IHZ26" s="3"/>
      <c r="IIA26" s="3"/>
      <c r="IIB26" s="3"/>
      <c r="IIC26" s="3"/>
      <c r="IID26" s="3"/>
      <c r="IIE26" s="3"/>
      <c r="IIF26" s="3"/>
      <c r="IIG26" s="3"/>
      <c r="IIH26" s="3"/>
      <c r="III26" s="3"/>
      <c r="IIJ26" s="3"/>
      <c r="IIK26" s="3"/>
      <c r="IIL26" s="3"/>
      <c r="IIM26" s="3"/>
      <c r="IIN26" s="3"/>
      <c r="IIO26" s="3"/>
      <c r="IIP26" s="3"/>
      <c r="IIQ26" s="3"/>
      <c r="IIR26" s="3"/>
      <c r="IIS26" s="3"/>
      <c r="IIT26" s="3"/>
      <c r="IIU26" s="3"/>
      <c r="IIV26" s="3"/>
      <c r="IIW26" s="3"/>
      <c r="IIX26" s="3"/>
      <c r="IIY26" s="3"/>
      <c r="IIZ26" s="3"/>
      <c r="IJA26" s="3"/>
      <c r="IJB26" s="3"/>
      <c r="IJC26" s="3"/>
      <c r="IJD26" s="3"/>
      <c r="IJE26" s="3"/>
      <c r="IJF26" s="3"/>
      <c r="IJG26" s="3"/>
      <c r="IJH26" s="3"/>
      <c r="IJI26" s="3"/>
      <c r="IJJ26" s="3"/>
      <c r="IJK26" s="3"/>
      <c r="IJL26" s="3"/>
      <c r="IJM26" s="3"/>
      <c r="IJN26" s="3"/>
      <c r="IJO26" s="3"/>
      <c r="IJP26" s="3"/>
      <c r="IJQ26" s="3"/>
      <c r="IJR26" s="3"/>
      <c r="IJS26" s="3"/>
      <c r="IJT26" s="3"/>
      <c r="IJU26" s="3"/>
      <c r="IJV26" s="3"/>
      <c r="IJW26" s="3"/>
      <c r="IJX26" s="3"/>
      <c r="IJY26" s="3"/>
      <c r="IJZ26" s="3"/>
      <c r="IKA26" s="3"/>
      <c r="IKB26" s="3"/>
      <c r="IKC26" s="3"/>
      <c r="IKD26" s="3"/>
      <c r="IKE26" s="3"/>
      <c r="IKF26" s="3"/>
      <c r="IKG26" s="3"/>
      <c r="IKH26" s="3"/>
      <c r="IKI26" s="3"/>
      <c r="IKJ26" s="3"/>
      <c r="IKK26" s="3"/>
      <c r="IKL26" s="3"/>
      <c r="IKM26" s="3"/>
      <c r="IKN26" s="3"/>
      <c r="IKO26" s="3"/>
      <c r="IKP26" s="3"/>
      <c r="IKQ26" s="3"/>
      <c r="IKR26" s="3"/>
      <c r="IKS26" s="3"/>
      <c r="IKT26" s="3"/>
      <c r="IKU26" s="3"/>
      <c r="IKV26" s="3"/>
      <c r="IKW26" s="3"/>
      <c r="IKX26" s="3"/>
      <c r="IKY26" s="3"/>
      <c r="IKZ26" s="3"/>
      <c r="ILA26" s="3"/>
      <c r="ILB26" s="3"/>
      <c r="ILC26" s="3"/>
      <c r="ILD26" s="3"/>
      <c r="ILE26" s="3"/>
      <c r="ILF26" s="3"/>
      <c r="ILG26" s="3"/>
      <c r="ILH26" s="3"/>
      <c r="ILI26" s="3"/>
      <c r="ILJ26" s="3"/>
      <c r="ILK26" s="3"/>
      <c r="ILL26" s="3"/>
      <c r="ILM26" s="3"/>
      <c r="ILN26" s="3"/>
      <c r="ILO26" s="3"/>
      <c r="ILP26" s="3"/>
      <c r="ILQ26" s="3"/>
      <c r="ILR26" s="3"/>
      <c r="ILS26" s="3"/>
      <c r="ILT26" s="3"/>
      <c r="ILU26" s="3"/>
      <c r="ILV26" s="3"/>
      <c r="ILW26" s="3"/>
      <c r="ILX26" s="3"/>
      <c r="ILY26" s="3"/>
      <c r="ILZ26" s="3"/>
      <c r="IMA26" s="3"/>
      <c r="IMB26" s="3"/>
      <c r="IMC26" s="3"/>
      <c r="IMD26" s="3"/>
      <c r="IME26" s="3"/>
      <c r="IMF26" s="3"/>
      <c r="IMG26" s="3"/>
      <c r="IMH26" s="3"/>
      <c r="IMI26" s="3"/>
      <c r="IMJ26" s="3"/>
      <c r="IMK26" s="3"/>
      <c r="IML26" s="3"/>
      <c r="IMM26" s="3"/>
      <c r="IMN26" s="3"/>
      <c r="IMO26" s="3"/>
      <c r="IMP26" s="3"/>
      <c r="IMQ26" s="3"/>
      <c r="IMR26" s="3"/>
      <c r="IMS26" s="3"/>
      <c r="IMT26" s="3"/>
      <c r="IMU26" s="3"/>
      <c r="IMV26" s="3"/>
      <c r="IMW26" s="3"/>
      <c r="IMX26" s="3"/>
      <c r="IMY26" s="3"/>
      <c r="IMZ26" s="3"/>
      <c r="INA26" s="3"/>
      <c r="INB26" s="3"/>
      <c r="INC26" s="3"/>
      <c r="IND26" s="3"/>
      <c r="INE26" s="3"/>
      <c r="INF26" s="3"/>
      <c r="ING26" s="3"/>
      <c r="INH26" s="3"/>
      <c r="INI26" s="3"/>
      <c r="INJ26" s="3"/>
      <c r="INK26" s="3"/>
      <c r="INL26" s="3"/>
      <c r="INM26" s="3"/>
      <c r="INN26" s="3"/>
      <c r="INO26" s="3"/>
      <c r="INP26" s="3"/>
      <c r="INQ26" s="3"/>
      <c r="INR26" s="3"/>
      <c r="INS26" s="3"/>
      <c r="INT26" s="3"/>
      <c r="INU26" s="3"/>
      <c r="INV26" s="3"/>
      <c r="INW26" s="3"/>
      <c r="INX26" s="3"/>
      <c r="INY26" s="3"/>
      <c r="INZ26" s="3"/>
      <c r="IOA26" s="3"/>
      <c r="IOB26" s="3"/>
      <c r="IOC26" s="3"/>
      <c r="IOD26" s="3"/>
      <c r="IOE26" s="3"/>
      <c r="IOF26" s="3"/>
      <c r="IOG26" s="3"/>
      <c r="IOH26" s="3"/>
      <c r="IOI26" s="3"/>
      <c r="IOJ26" s="3"/>
      <c r="IOK26" s="3"/>
      <c r="IOL26" s="3"/>
      <c r="IOM26" s="3"/>
      <c r="ION26" s="3"/>
      <c r="IOO26" s="3"/>
      <c r="IOP26" s="3"/>
      <c r="IOQ26" s="3"/>
      <c r="IOR26" s="3"/>
      <c r="IOS26" s="3"/>
      <c r="IOT26" s="3"/>
      <c r="IOU26" s="3"/>
      <c r="IOV26" s="3"/>
      <c r="IOW26" s="3"/>
      <c r="IOX26" s="3"/>
      <c r="IOY26" s="3"/>
      <c r="IOZ26" s="3"/>
      <c r="IPA26" s="3"/>
      <c r="IPB26" s="3"/>
      <c r="IPC26" s="3"/>
      <c r="IPD26" s="3"/>
      <c r="IPE26" s="3"/>
      <c r="IPF26" s="3"/>
      <c r="IPG26" s="3"/>
      <c r="IPH26" s="3"/>
      <c r="IPI26" s="3"/>
      <c r="IPJ26" s="3"/>
      <c r="IPK26" s="3"/>
      <c r="IPL26" s="3"/>
      <c r="IPM26" s="3"/>
      <c r="IPN26" s="3"/>
      <c r="IPO26" s="3"/>
      <c r="IPP26" s="3"/>
      <c r="IPQ26" s="3"/>
      <c r="IPR26" s="3"/>
      <c r="IPS26" s="3"/>
      <c r="IPT26" s="3"/>
      <c r="IPU26" s="3"/>
      <c r="IPV26" s="3"/>
      <c r="IPW26" s="3"/>
      <c r="IPX26" s="3"/>
      <c r="IPY26" s="3"/>
      <c r="IPZ26" s="3"/>
      <c r="IQA26" s="3"/>
      <c r="IQB26" s="3"/>
      <c r="IQC26" s="3"/>
      <c r="IQD26" s="3"/>
      <c r="IQE26" s="3"/>
      <c r="IQF26" s="3"/>
      <c r="IQG26" s="3"/>
      <c r="IQH26" s="3"/>
      <c r="IQI26" s="3"/>
      <c r="IQJ26" s="3"/>
      <c r="IQK26" s="3"/>
      <c r="IQL26" s="3"/>
      <c r="IQM26" s="3"/>
      <c r="IQN26" s="3"/>
      <c r="IQO26" s="3"/>
      <c r="IQP26" s="3"/>
      <c r="IQQ26" s="3"/>
      <c r="IQR26" s="3"/>
      <c r="IQS26" s="3"/>
      <c r="IQT26" s="3"/>
      <c r="IQU26" s="3"/>
      <c r="IQV26" s="3"/>
      <c r="IQW26" s="3"/>
      <c r="IQX26" s="3"/>
      <c r="IQY26" s="3"/>
      <c r="IQZ26" s="3"/>
      <c r="IRA26" s="3"/>
      <c r="IRB26" s="3"/>
      <c r="IRC26" s="3"/>
      <c r="IRD26" s="3"/>
      <c r="IRE26" s="3"/>
      <c r="IRF26" s="3"/>
      <c r="IRG26" s="3"/>
      <c r="IRH26" s="3"/>
      <c r="IRI26" s="3"/>
      <c r="IRJ26" s="3"/>
      <c r="IRK26" s="3"/>
      <c r="IRL26" s="3"/>
      <c r="IRM26" s="3"/>
      <c r="IRN26" s="3"/>
      <c r="IRO26" s="3"/>
      <c r="IRP26" s="3"/>
      <c r="IRQ26" s="3"/>
      <c r="IRR26" s="3"/>
      <c r="IRS26" s="3"/>
      <c r="IRT26" s="3"/>
      <c r="IRU26" s="3"/>
      <c r="IRV26" s="3"/>
      <c r="IRW26" s="3"/>
      <c r="IRX26" s="3"/>
      <c r="IRY26" s="3"/>
      <c r="IRZ26" s="3"/>
      <c r="ISA26" s="3"/>
      <c r="ISB26" s="3"/>
      <c r="ISC26" s="3"/>
      <c r="ISD26" s="3"/>
      <c r="ISE26" s="3"/>
      <c r="ISF26" s="3"/>
      <c r="ISG26" s="3"/>
      <c r="ISH26" s="3"/>
      <c r="ISI26" s="3"/>
      <c r="ISJ26" s="3"/>
      <c r="ISK26" s="3"/>
      <c r="ISL26" s="3"/>
      <c r="ISM26" s="3"/>
      <c r="ISN26" s="3"/>
      <c r="ISO26" s="3"/>
      <c r="ISP26" s="3"/>
      <c r="ISQ26" s="3"/>
      <c r="ISR26" s="3"/>
      <c r="ISS26" s="3"/>
      <c r="IST26" s="3"/>
      <c r="ISU26" s="3"/>
      <c r="ISV26" s="3"/>
      <c r="ISW26" s="3"/>
      <c r="ISX26" s="3"/>
      <c r="ISY26" s="3"/>
      <c r="ISZ26" s="3"/>
      <c r="ITA26" s="3"/>
      <c r="ITB26" s="3"/>
      <c r="ITC26" s="3"/>
      <c r="ITD26" s="3"/>
      <c r="ITE26" s="3"/>
      <c r="ITF26" s="3"/>
      <c r="ITG26" s="3"/>
      <c r="ITH26" s="3"/>
      <c r="ITI26" s="3"/>
      <c r="ITJ26" s="3"/>
      <c r="ITK26" s="3"/>
      <c r="ITL26" s="3"/>
      <c r="ITM26" s="3"/>
      <c r="ITN26" s="3"/>
      <c r="ITO26" s="3"/>
      <c r="ITP26" s="3"/>
      <c r="ITQ26" s="3"/>
      <c r="ITR26" s="3"/>
      <c r="ITS26" s="3"/>
      <c r="ITT26" s="3"/>
      <c r="ITU26" s="3"/>
      <c r="ITV26" s="3"/>
      <c r="ITW26" s="3"/>
      <c r="ITX26" s="3"/>
      <c r="ITY26" s="3"/>
      <c r="ITZ26" s="3"/>
      <c r="IUA26" s="3"/>
      <c r="IUB26" s="3"/>
      <c r="IUC26" s="3"/>
      <c r="IUD26" s="3"/>
      <c r="IUE26" s="3"/>
      <c r="IUF26" s="3"/>
      <c r="IUG26" s="3"/>
      <c r="IUH26" s="3"/>
      <c r="IUI26" s="3"/>
      <c r="IUJ26" s="3"/>
      <c r="IUK26" s="3"/>
      <c r="IUL26" s="3"/>
      <c r="IUM26" s="3"/>
      <c r="IUN26" s="3"/>
      <c r="IUO26" s="3"/>
      <c r="IUP26" s="3"/>
      <c r="IUQ26" s="3"/>
      <c r="IUR26" s="3"/>
      <c r="IUS26" s="3"/>
      <c r="IUT26" s="3"/>
      <c r="IUU26" s="3"/>
      <c r="IUV26" s="3"/>
      <c r="IUW26" s="3"/>
      <c r="IUX26" s="3"/>
      <c r="IUY26" s="3"/>
      <c r="IUZ26" s="3"/>
      <c r="IVA26" s="3"/>
      <c r="IVB26" s="3"/>
      <c r="IVC26" s="3"/>
      <c r="IVD26" s="3"/>
      <c r="IVE26" s="3"/>
      <c r="IVF26" s="3"/>
      <c r="IVG26" s="3"/>
      <c r="IVH26" s="3"/>
      <c r="IVI26" s="3"/>
      <c r="IVJ26" s="3"/>
      <c r="IVK26" s="3"/>
      <c r="IVL26" s="3"/>
      <c r="IVM26" s="3"/>
      <c r="IVN26" s="3"/>
      <c r="IVO26" s="3"/>
      <c r="IVP26" s="3"/>
      <c r="IVQ26" s="3"/>
      <c r="IVR26" s="3"/>
      <c r="IVS26" s="3"/>
      <c r="IVT26" s="3"/>
      <c r="IVU26" s="3"/>
      <c r="IVV26" s="3"/>
      <c r="IVW26" s="3"/>
      <c r="IVX26" s="3"/>
      <c r="IVY26" s="3"/>
      <c r="IVZ26" s="3"/>
      <c r="IWA26" s="3"/>
      <c r="IWB26" s="3"/>
      <c r="IWC26" s="3"/>
      <c r="IWD26" s="3"/>
      <c r="IWE26" s="3"/>
      <c r="IWF26" s="3"/>
      <c r="IWG26" s="3"/>
      <c r="IWH26" s="3"/>
      <c r="IWI26" s="3"/>
      <c r="IWJ26" s="3"/>
      <c r="IWK26" s="3"/>
      <c r="IWL26" s="3"/>
      <c r="IWM26" s="3"/>
      <c r="IWN26" s="3"/>
      <c r="IWO26" s="3"/>
      <c r="IWP26" s="3"/>
      <c r="IWQ26" s="3"/>
      <c r="IWR26" s="3"/>
      <c r="IWS26" s="3"/>
      <c r="IWT26" s="3"/>
      <c r="IWU26" s="3"/>
      <c r="IWV26" s="3"/>
      <c r="IWW26" s="3"/>
      <c r="IWX26" s="3"/>
      <c r="IWY26" s="3"/>
      <c r="IWZ26" s="3"/>
      <c r="IXA26" s="3"/>
      <c r="IXB26" s="3"/>
      <c r="IXC26" s="3"/>
      <c r="IXD26" s="3"/>
      <c r="IXE26" s="3"/>
      <c r="IXF26" s="3"/>
      <c r="IXG26" s="3"/>
      <c r="IXH26" s="3"/>
      <c r="IXI26" s="3"/>
      <c r="IXJ26" s="3"/>
      <c r="IXK26" s="3"/>
      <c r="IXL26" s="3"/>
      <c r="IXM26" s="3"/>
      <c r="IXN26" s="3"/>
      <c r="IXO26" s="3"/>
      <c r="IXP26" s="3"/>
      <c r="IXQ26" s="3"/>
      <c r="IXR26" s="3"/>
      <c r="IXS26" s="3"/>
      <c r="IXT26" s="3"/>
      <c r="IXU26" s="3"/>
      <c r="IXV26" s="3"/>
      <c r="IXW26" s="3"/>
      <c r="IXX26" s="3"/>
      <c r="IXY26" s="3"/>
      <c r="IXZ26" s="3"/>
      <c r="IYA26" s="3"/>
      <c r="IYB26" s="3"/>
      <c r="IYC26" s="3"/>
      <c r="IYD26" s="3"/>
      <c r="IYE26" s="3"/>
      <c r="IYF26" s="3"/>
      <c r="IYG26" s="3"/>
      <c r="IYH26" s="3"/>
      <c r="IYI26" s="3"/>
      <c r="IYJ26" s="3"/>
      <c r="IYK26" s="3"/>
      <c r="IYL26" s="3"/>
      <c r="IYM26" s="3"/>
      <c r="IYN26" s="3"/>
      <c r="IYO26" s="3"/>
      <c r="IYP26" s="3"/>
      <c r="IYQ26" s="3"/>
      <c r="IYR26" s="3"/>
      <c r="IYS26" s="3"/>
      <c r="IYT26" s="3"/>
      <c r="IYU26" s="3"/>
      <c r="IYV26" s="3"/>
      <c r="IYW26" s="3"/>
      <c r="IYX26" s="3"/>
      <c r="IYY26" s="3"/>
      <c r="IYZ26" s="3"/>
      <c r="IZA26" s="3"/>
      <c r="IZB26" s="3"/>
      <c r="IZC26" s="3"/>
      <c r="IZD26" s="3"/>
      <c r="IZE26" s="3"/>
      <c r="IZF26" s="3"/>
      <c r="IZG26" s="3"/>
      <c r="IZH26" s="3"/>
      <c r="IZI26" s="3"/>
      <c r="IZJ26" s="3"/>
      <c r="IZK26" s="3"/>
      <c r="IZL26" s="3"/>
      <c r="IZM26" s="3"/>
      <c r="IZN26" s="3"/>
      <c r="IZO26" s="3"/>
      <c r="IZP26" s="3"/>
      <c r="IZQ26" s="3"/>
      <c r="IZR26" s="3"/>
      <c r="IZS26" s="3"/>
      <c r="IZT26" s="3"/>
      <c r="IZU26" s="3"/>
      <c r="IZV26" s="3"/>
      <c r="IZW26" s="3"/>
      <c r="IZX26" s="3"/>
      <c r="IZY26" s="3"/>
      <c r="IZZ26" s="3"/>
      <c r="JAA26" s="3"/>
      <c r="JAB26" s="3"/>
      <c r="JAC26" s="3"/>
      <c r="JAD26" s="3"/>
      <c r="JAE26" s="3"/>
      <c r="JAF26" s="3"/>
      <c r="JAG26" s="3"/>
      <c r="JAH26" s="3"/>
      <c r="JAI26" s="3"/>
      <c r="JAJ26" s="3"/>
      <c r="JAK26" s="3"/>
      <c r="JAL26" s="3"/>
      <c r="JAM26" s="3"/>
      <c r="JAN26" s="3"/>
      <c r="JAO26" s="3"/>
      <c r="JAP26" s="3"/>
      <c r="JAQ26" s="3"/>
      <c r="JAR26" s="3"/>
      <c r="JAS26" s="3"/>
      <c r="JAT26" s="3"/>
      <c r="JAU26" s="3"/>
      <c r="JAV26" s="3"/>
      <c r="JAW26" s="3"/>
      <c r="JAX26" s="3"/>
      <c r="JAY26" s="3"/>
      <c r="JAZ26" s="3"/>
      <c r="JBA26" s="3"/>
      <c r="JBB26" s="3"/>
      <c r="JBC26" s="3"/>
      <c r="JBD26" s="3"/>
      <c r="JBE26" s="3"/>
      <c r="JBF26" s="3"/>
      <c r="JBG26" s="3"/>
      <c r="JBH26" s="3"/>
      <c r="JBI26" s="3"/>
      <c r="JBJ26" s="3"/>
      <c r="JBK26" s="3"/>
      <c r="JBL26" s="3"/>
      <c r="JBM26" s="3"/>
      <c r="JBN26" s="3"/>
      <c r="JBO26" s="3"/>
      <c r="JBP26" s="3"/>
      <c r="JBQ26" s="3"/>
      <c r="JBR26" s="3"/>
      <c r="JBS26" s="3"/>
      <c r="JBT26" s="3"/>
      <c r="JBU26" s="3"/>
      <c r="JBV26" s="3"/>
      <c r="JBW26" s="3"/>
      <c r="JBX26" s="3"/>
      <c r="JBY26" s="3"/>
      <c r="JBZ26" s="3"/>
      <c r="JCA26" s="3"/>
      <c r="JCB26" s="3"/>
      <c r="JCC26" s="3"/>
      <c r="JCD26" s="3"/>
      <c r="JCE26" s="3"/>
      <c r="JCF26" s="3"/>
      <c r="JCG26" s="3"/>
      <c r="JCH26" s="3"/>
      <c r="JCI26" s="3"/>
      <c r="JCJ26" s="3"/>
      <c r="JCK26" s="3"/>
      <c r="JCL26" s="3"/>
      <c r="JCM26" s="3"/>
      <c r="JCN26" s="3"/>
      <c r="JCO26" s="3"/>
      <c r="JCP26" s="3"/>
      <c r="JCQ26" s="3"/>
      <c r="JCR26" s="3"/>
      <c r="JCS26" s="3"/>
      <c r="JCT26" s="3"/>
      <c r="JCU26" s="3"/>
      <c r="JCV26" s="3"/>
      <c r="JCW26" s="3"/>
      <c r="JCX26" s="3"/>
      <c r="JCY26" s="3"/>
      <c r="JCZ26" s="3"/>
      <c r="JDA26" s="3"/>
      <c r="JDB26" s="3"/>
      <c r="JDC26" s="3"/>
      <c r="JDD26" s="3"/>
      <c r="JDE26" s="3"/>
      <c r="JDF26" s="3"/>
      <c r="JDG26" s="3"/>
      <c r="JDH26" s="3"/>
      <c r="JDI26" s="3"/>
      <c r="JDJ26" s="3"/>
      <c r="JDK26" s="3"/>
      <c r="JDL26" s="3"/>
      <c r="JDM26" s="3"/>
      <c r="JDN26" s="3"/>
      <c r="JDO26" s="3"/>
      <c r="JDP26" s="3"/>
      <c r="JDQ26" s="3"/>
      <c r="JDR26" s="3"/>
      <c r="JDS26" s="3"/>
      <c r="JDT26" s="3"/>
      <c r="JDU26" s="3"/>
      <c r="JDV26" s="3"/>
      <c r="JDW26" s="3"/>
      <c r="JDX26" s="3"/>
      <c r="JDY26" s="3"/>
      <c r="JDZ26" s="3"/>
      <c r="JEA26" s="3"/>
      <c r="JEB26" s="3"/>
      <c r="JEC26" s="3"/>
      <c r="JED26" s="3"/>
      <c r="JEE26" s="3"/>
      <c r="JEF26" s="3"/>
      <c r="JEG26" s="3"/>
      <c r="JEH26" s="3"/>
      <c r="JEI26" s="3"/>
      <c r="JEJ26" s="3"/>
      <c r="JEK26" s="3"/>
      <c r="JEL26" s="3"/>
      <c r="JEM26" s="3"/>
      <c r="JEN26" s="3"/>
      <c r="JEO26" s="3"/>
      <c r="JEP26" s="3"/>
      <c r="JEQ26" s="3"/>
      <c r="JER26" s="3"/>
      <c r="JES26" s="3"/>
      <c r="JET26" s="3"/>
      <c r="JEU26" s="3"/>
      <c r="JEV26" s="3"/>
      <c r="JEW26" s="3"/>
      <c r="JEX26" s="3"/>
      <c r="JEY26" s="3"/>
      <c r="JEZ26" s="3"/>
      <c r="JFA26" s="3"/>
      <c r="JFB26" s="3"/>
      <c r="JFC26" s="3"/>
      <c r="JFD26" s="3"/>
      <c r="JFE26" s="3"/>
      <c r="JFF26" s="3"/>
      <c r="JFG26" s="3"/>
      <c r="JFH26" s="3"/>
      <c r="JFI26" s="3"/>
      <c r="JFJ26" s="3"/>
      <c r="JFK26" s="3"/>
      <c r="JFL26" s="3"/>
      <c r="JFM26" s="3"/>
      <c r="JFN26" s="3"/>
      <c r="JFO26" s="3"/>
      <c r="JFP26" s="3"/>
      <c r="JFQ26" s="3"/>
      <c r="JFR26" s="3"/>
      <c r="JFS26" s="3"/>
      <c r="JFT26" s="3"/>
      <c r="JFU26" s="3"/>
      <c r="JFV26" s="3"/>
      <c r="JFW26" s="3"/>
      <c r="JFX26" s="3"/>
      <c r="JFY26" s="3"/>
      <c r="JFZ26" s="3"/>
      <c r="JGA26" s="3"/>
      <c r="JGB26" s="3"/>
      <c r="JGC26" s="3"/>
      <c r="JGD26" s="3"/>
      <c r="JGE26" s="3"/>
      <c r="JGF26" s="3"/>
      <c r="JGG26" s="3"/>
      <c r="JGH26" s="3"/>
      <c r="JGI26" s="3"/>
      <c r="JGJ26" s="3"/>
      <c r="JGK26" s="3"/>
      <c r="JGL26" s="3"/>
      <c r="JGM26" s="3"/>
      <c r="JGN26" s="3"/>
      <c r="JGO26" s="3"/>
      <c r="JGP26" s="3"/>
      <c r="JGQ26" s="3"/>
      <c r="JGR26" s="3"/>
      <c r="JGS26" s="3"/>
      <c r="JGT26" s="3"/>
      <c r="JGU26" s="3"/>
      <c r="JGV26" s="3"/>
      <c r="JGW26" s="3"/>
      <c r="JGX26" s="3"/>
      <c r="JGY26" s="3"/>
      <c r="JGZ26" s="3"/>
      <c r="JHA26" s="3"/>
      <c r="JHB26" s="3"/>
      <c r="JHC26" s="3"/>
      <c r="JHD26" s="3"/>
      <c r="JHE26" s="3"/>
      <c r="JHF26" s="3"/>
      <c r="JHG26" s="3"/>
      <c r="JHH26" s="3"/>
      <c r="JHI26" s="3"/>
      <c r="JHJ26" s="3"/>
      <c r="JHK26" s="3"/>
      <c r="JHL26" s="3"/>
      <c r="JHM26" s="3"/>
      <c r="JHN26" s="3"/>
      <c r="JHO26" s="3"/>
      <c r="JHP26" s="3"/>
      <c r="JHQ26" s="3"/>
      <c r="JHR26" s="3"/>
      <c r="JHS26" s="3"/>
      <c r="JHT26" s="3"/>
      <c r="JHU26" s="3"/>
      <c r="JHV26" s="3"/>
      <c r="JHW26" s="3"/>
      <c r="JHX26" s="3"/>
      <c r="JHY26" s="3"/>
      <c r="JHZ26" s="3"/>
      <c r="JIA26" s="3"/>
      <c r="JIB26" s="3"/>
      <c r="JIC26" s="3"/>
      <c r="JID26" s="3"/>
      <c r="JIE26" s="3"/>
      <c r="JIF26" s="3"/>
      <c r="JIG26" s="3"/>
      <c r="JIH26" s="3"/>
      <c r="JII26" s="3"/>
      <c r="JIJ26" s="3"/>
      <c r="JIK26" s="3"/>
      <c r="JIL26" s="3"/>
      <c r="JIM26" s="3"/>
      <c r="JIN26" s="3"/>
      <c r="JIO26" s="3"/>
      <c r="JIP26" s="3"/>
      <c r="JIQ26" s="3"/>
      <c r="JIR26" s="3"/>
      <c r="JIS26" s="3"/>
      <c r="JIT26" s="3"/>
      <c r="JIU26" s="3"/>
      <c r="JIV26" s="3"/>
      <c r="JIW26" s="3"/>
      <c r="JIX26" s="3"/>
      <c r="JIY26" s="3"/>
      <c r="JIZ26" s="3"/>
      <c r="JJA26" s="3"/>
      <c r="JJB26" s="3"/>
      <c r="JJC26" s="3"/>
      <c r="JJD26" s="3"/>
      <c r="JJE26" s="3"/>
      <c r="JJF26" s="3"/>
      <c r="JJG26" s="3"/>
      <c r="JJH26" s="3"/>
      <c r="JJI26" s="3"/>
      <c r="JJJ26" s="3"/>
      <c r="JJK26" s="3"/>
      <c r="JJL26" s="3"/>
      <c r="JJM26" s="3"/>
      <c r="JJN26" s="3"/>
      <c r="JJO26" s="3"/>
      <c r="JJP26" s="3"/>
      <c r="JJQ26" s="3"/>
      <c r="JJR26" s="3"/>
      <c r="JJS26" s="3"/>
      <c r="JJT26" s="3"/>
      <c r="JJU26" s="3"/>
      <c r="JJV26" s="3"/>
      <c r="JJW26" s="3"/>
      <c r="JJX26" s="3"/>
      <c r="JJY26" s="3"/>
      <c r="JJZ26" s="3"/>
      <c r="JKA26" s="3"/>
      <c r="JKB26" s="3"/>
      <c r="JKC26" s="3"/>
      <c r="JKD26" s="3"/>
      <c r="JKE26" s="3"/>
      <c r="JKF26" s="3"/>
      <c r="JKG26" s="3"/>
      <c r="JKH26" s="3"/>
      <c r="JKI26" s="3"/>
      <c r="JKJ26" s="3"/>
      <c r="JKK26" s="3"/>
      <c r="JKL26" s="3"/>
      <c r="JKM26" s="3"/>
      <c r="JKN26" s="3"/>
      <c r="JKO26" s="3"/>
      <c r="JKP26" s="3"/>
      <c r="JKQ26" s="3"/>
      <c r="JKR26" s="3"/>
      <c r="JKS26" s="3"/>
      <c r="JKT26" s="3"/>
      <c r="JKU26" s="3"/>
      <c r="JKV26" s="3"/>
      <c r="JKW26" s="3"/>
      <c r="JKX26" s="3"/>
      <c r="JKY26" s="3"/>
      <c r="JKZ26" s="3"/>
      <c r="JLA26" s="3"/>
      <c r="JLB26" s="3"/>
      <c r="JLC26" s="3"/>
      <c r="JLD26" s="3"/>
      <c r="JLE26" s="3"/>
      <c r="JLF26" s="3"/>
      <c r="JLG26" s="3"/>
      <c r="JLH26" s="3"/>
      <c r="JLI26" s="3"/>
      <c r="JLJ26" s="3"/>
      <c r="JLK26" s="3"/>
      <c r="JLL26" s="3"/>
      <c r="JLM26" s="3"/>
      <c r="JLN26" s="3"/>
      <c r="JLO26" s="3"/>
      <c r="JLP26" s="3"/>
      <c r="JLQ26" s="3"/>
      <c r="JLR26" s="3"/>
      <c r="JLS26" s="3"/>
      <c r="JLT26" s="3"/>
      <c r="JLU26" s="3"/>
      <c r="JLV26" s="3"/>
      <c r="JLW26" s="3"/>
      <c r="JLX26" s="3"/>
      <c r="JLY26" s="3"/>
      <c r="JLZ26" s="3"/>
      <c r="JMA26" s="3"/>
      <c r="JMB26" s="3"/>
      <c r="JMC26" s="3"/>
      <c r="JMD26" s="3"/>
      <c r="JME26" s="3"/>
      <c r="JMF26" s="3"/>
      <c r="JMG26" s="3"/>
      <c r="JMH26" s="3"/>
      <c r="JMI26" s="3"/>
      <c r="JMJ26" s="3"/>
      <c r="JMK26" s="3"/>
      <c r="JML26" s="3"/>
      <c r="JMM26" s="3"/>
      <c r="JMN26" s="3"/>
      <c r="JMO26" s="3"/>
      <c r="JMP26" s="3"/>
      <c r="JMQ26" s="3"/>
      <c r="JMR26" s="3"/>
      <c r="JMS26" s="3"/>
      <c r="JMT26" s="3"/>
      <c r="JMU26" s="3"/>
      <c r="JMV26" s="3"/>
      <c r="JMW26" s="3"/>
      <c r="JMX26" s="3"/>
      <c r="JMY26" s="3"/>
      <c r="JMZ26" s="3"/>
      <c r="JNA26" s="3"/>
      <c r="JNB26" s="3"/>
      <c r="JNC26" s="3"/>
      <c r="JND26" s="3"/>
      <c r="JNE26" s="3"/>
      <c r="JNF26" s="3"/>
      <c r="JNG26" s="3"/>
      <c r="JNH26" s="3"/>
      <c r="JNI26" s="3"/>
      <c r="JNJ26" s="3"/>
      <c r="JNK26" s="3"/>
      <c r="JNL26" s="3"/>
      <c r="JNM26" s="3"/>
      <c r="JNN26" s="3"/>
      <c r="JNO26" s="3"/>
      <c r="JNP26" s="3"/>
      <c r="JNQ26" s="3"/>
      <c r="JNR26" s="3"/>
      <c r="JNS26" s="3"/>
      <c r="JNT26" s="3"/>
      <c r="JNU26" s="3"/>
      <c r="JNV26" s="3"/>
      <c r="JNW26" s="3"/>
      <c r="JNX26" s="3"/>
      <c r="JNY26" s="3"/>
      <c r="JNZ26" s="3"/>
      <c r="JOA26" s="3"/>
      <c r="JOB26" s="3"/>
      <c r="JOC26" s="3"/>
      <c r="JOD26" s="3"/>
      <c r="JOE26" s="3"/>
      <c r="JOF26" s="3"/>
      <c r="JOG26" s="3"/>
      <c r="JOH26" s="3"/>
      <c r="JOI26" s="3"/>
      <c r="JOJ26" s="3"/>
      <c r="JOK26" s="3"/>
      <c r="JOL26" s="3"/>
      <c r="JOM26" s="3"/>
      <c r="JON26" s="3"/>
      <c r="JOO26" s="3"/>
      <c r="JOP26" s="3"/>
      <c r="JOQ26" s="3"/>
      <c r="JOR26" s="3"/>
      <c r="JOS26" s="3"/>
      <c r="JOT26" s="3"/>
      <c r="JOU26" s="3"/>
      <c r="JOV26" s="3"/>
      <c r="JOW26" s="3"/>
      <c r="JOX26" s="3"/>
      <c r="JOY26" s="3"/>
      <c r="JOZ26" s="3"/>
      <c r="JPA26" s="3"/>
      <c r="JPB26" s="3"/>
      <c r="JPC26" s="3"/>
      <c r="JPD26" s="3"/>
      <c r="JPE26" s="3"/>
      <c r="JPF26" s="3"/>
      <c r="JPG26" s="3"/>
      <c r="JPH26" s="3"/>
      <c r="JPI26" s="3"/>
      <c r="JPJ26" s="3"/>
      <c r="JPK26" s="3"/>
      <c r="JPL26" s="3"/>
      <c r="JPM26" s="3"/>
      <c r="JPN26" s="3"/>
      <c r="JPO26" s="3"/>
      <c r="JPP26" s="3"/>
      <c r="JPQ26" s="3"/>
      <c r="JPR26" s="3"/>
      <c r="JPS26" s="3"/>
      <c r="JPT26" s="3"/>
      <c r="JPU26" s="3"/>
      <c r="JPV26" s="3"/>
      <c r="JPW26" s="3"/>
      <c r="JPX26" s="3"/>
      <c r="JPY26" s="3"/>
      <c r="JPZ26" s="3"/>
      <c r="JQA26" s="3"/>
      <c r="JQB26" s="3"/>
      <c r="JQC26" s="3"/>
      <c r="JQD26" s="3"/>
      <c r="JQE26" s="3"/>
      <c r="JQF26" s="3"/>
      <c r="JQG26" s="3"/>
      <c r="JQH26" s="3"/>
      <c r="JQI26" s="3"/>
      <c r="JQJ26" s="3"/>
      <c r="JQK26" s="3"/>
      <c r="JQL26" s="3"/>
      <c r="JQM26" s="3"/>
      <c r="JQN26" s="3"/>
      <c r="JQO26" s="3"/>
      <c r="JQP26" s="3"/>
      <c r="JQQ26" s="3"/>
      <c r="JQR26" s="3"/>
      <c r="JQS26" s="3"/>
      <c r="JQT26" s="3"/>
      <c r="JQU26" s="3"/>
      <c r="JQV26" s="3"/>
      <c r="JQW26" s="3"/>
      <c r="JQX26" s="3"/>
      <c r="JQY26" s="3"/>
      <c r="JQZ26" s="3"/>
      <c r="JRA26" s="3"/>
      <c r="JRB26" s="3"/>
      <c r="JRC26" s="3"/>
      <c r="JRD26" s="3"/>
      <c r="JRE26" s="3"/>
      <c r="JRF26" s="3"/>
      <c r="JRG26" s="3"/>
      <c r="JRH26" s="3"/>
      <c r="JRI26" s="3"/>
      <c r="JRJ26" s="3"/>
      <c r="JRK26" s="3"/>
      <c r="JRL26" s="3"/>
      <c r="JRM26" s="3"/>
      <c r="JRN26" s="3"/>
      <c r="JRO26" s="3"/>
      <c r="JRP26" s="3"/>
      <c r="JRQ26" s="3"/>
      <c r="JRR26" s="3"/>
      <c r="JRS26" s="3"/>
      <c r="JRT26" s="3"/>
      <c r="JRU26" s="3"/>
      <c r="JRV26" s="3"/>
      <c r="JRW26" s="3"/>
      <c r="JRX26" s="3"/>
      <c r="JRY26" s="3"/>
      <c r="JRZ26" s="3"/>
      <c r="JSA26" s="3"/>
      <c r="JSB26" s="3"/>
      <c r="JSC26" s="3"/>
      <c r="JSD26" s="3"/>
      <c r="JSE26" s="3"/>
      <c r="JSF26" s="3"/>
      <c r="JSG26" s="3"/>
      <c r="JSH26" s="3"/>
      <c r="JSI26" s="3"/>
      <c r="JSJ26" s="3"/>
      <c r="JSK26" s="3"/>
      <c r="JSL26" s="3"/>
      <c r="JSM26" s="3"/>
      <c r="JSN26" s="3"/>
      <c r="JSO26" s="3"/>
      <c r="JSP26" s="3"/>
      <c r="JSQ26" s="3"/>
      <c r="JSR26" s="3"/>
      <c r="JSS26" s="3"/>
      <c r="JST26" s="3"/>
      <c r="JSU26" s="3"/>
      <c r="JSV26" s="3"/>
      <c r="JSW26" s="3"/>
      <c r="JSX26" s="3"/>
      <c r="JSY26" s="3"/>
      <c r="JSZ26" s="3"/>
      <c r="JTA26" s="3"/>
      <c r="JTB26" s="3"/>
      <c r="JTC26" s="3"/>
      <c r="JTD26" s="3"/>
      <c r="JTE26" s="3"/>
      <c r="JTF26" s="3"/>
      <c r="JTG26" s="3"/>
      <c r="JTH26" s="3"/>
      <c r="JTI26" s="3"/>
      <c r="JTJ26" s="3"/>
      <c r="JTK26" s="3"/>
      <c r="JTL26" s="3"/>
      <c r="JTM26" s="3"/>
      <c r="JTN26" s="3"/>
      <c r="JTO26" s="3"/>
      <c r="JTP26" s="3"/>
      <c r="JTQ26" s="3"/>
      <c r="JTR26" s="3"/>
      <c r="JTS26" s="3"/>
      <c r="JTT26" s="3"/>
      <c r="JTU26" s="3"/>
      <c r="JTV26" s="3"/>
      <c r="JTW26" s="3"/>
      <c r="JTX26" s="3"/>
      <c r="JTY26" s="3"/>
      <c r="JTZ26" s="3"/>
      <c r="JUA26" s="3"/>
      <c r="JUB26" s="3"/>
      <c r="JUC26" s="3"/>
      <c r="JUD26" s="3"/>
      <c r="JUE26" s="3"/>
      <c r="JUF26" s="3"/>
      <c r="JUG26" s="3"/>
      <c r="JUH26" s="3"/>
      <c r="JUI26" s="3"/>
      <c r="JUJ26" s="3"/>
      <c r="JUK26" s="3"/>
      <c r="JUL26" s="3"/>
      <c r="JUM26" s="3"/>
      <c r="JUN26" s="3"/>
      <c r="JUO26" s="3"/>
      <c r="JUP26" s="3"/>
      <c r="JUQ26" s="3"/>
      <c r="JUR26" s="3"/>
      <c r="JUS26" s="3"/>
      <c r="JUT26" s="3"/>
      <c r="JUU26" s="3"/>
      <c r="JUV26" s="3"/>
      <c r="JUW26" s="3"/>
      <c r="JUX26" s="3"/>
      <c r="JUY26" s="3"/>
      <c r="JUZ26" s="3"/>
      <c r="JVA26" s="3"/>
      <c r="JVB26" s="3"/>
      <c r="JVC26" s="3"/>
      <c r="JVD26" s="3"/>
      <c r="JVE26" s="3"/>
      <c r="JVF26" s="3"/>
      <c r="JVG26" s="3"/>
      <c r="JVH26" s="3"/>
      <c r="JVI26" s="3"/>
      <c r="JVJ26" s="3"/>
      <c r="JVK26" s="3"/>
      <c r="JVL26" s="3"/>
      <c r="JVM26" s="3"/>
      <c r="JVN26" s="3"/>
      <c r="JVO26" s="3"/>
      <c r="JVP26" s="3"/>
      <c r="JVQ26" s="3"/>
      <c r="JVR26" s="3"/>
      <c r="JVS26" s="3"/>
      <c r="JVT26" s="3"/>
      <c r="JVU26" s="3"/>
      <c r="JVV26" s="3"/>
      <c r="JVW26" s="3"/>
      <c r="JVX26" s="3"/>
      <c r="JVY26" s="3"/>
      <c r="JVZ26" s="3"/>
      <c r="JWA26" s="3"/>
      <c r="JWB26" s="3"/>
      <c r="JWC26" s="3"/>
      <c r="JWD26" s="3"/>
      <c r="JWE26" s="3"/>
      <c r="JWF26" s="3"/>
      <c r="JWG26" s="3"/>
      <c r="JWH26" s="3"/>
      <c r="JWI26" s="3"/>
      <c r="JWJ26" s="3"/>
      <c r="JWK26" s="3"/>
      <c r="JWL26" s="3"/>
      <c r="JWM26" s="3"/>
      <c r="JWN26" s="3"/>
      <c r="JWO26" s="3"/>
      <c r="JWP26" s="3"/>
      <c r="JWQ26" s="3"/>
      <c r="JWR26" s="3"/>
      <c r="JWS26" s="3"/>
      <c r="JWT26" s="3"/>
      <c r="JWU26" s="3"/>
      <c r="JWV26" s="3"/>
      <c r="JWW26" s="3"/>
      <c r="JWX26" s="3"/>
      <c r="JWY26" s="3"/>
      <c r="JWZ26" s="3"/>
      <c r="JXA26" s="3"/>
      <c r="JXB26" s="3"/>
      <c r="JXC26" s="3"/>
      <c r="JXD26" s="3"/>
      <c r="JXE26" s="3"/>
      <c r="JXF26" s="3"/>
      <c r="JXG26" s="3"/>
      <c r="JXH26" s="3"/>
      <c r="JXI26" s="3"/>
      <c r="JXJ26" s="3"/>
      <c r="JXK26" s="3"/>
      <c r="JXL26" s="3"/>
      <c r="JXM26" s="3"/>
      <c r="JXN26" s="3"/>
      <c r="JXO26" s="3"/>
      <c r="JXP26" s="3"/>
      <c r="JXQ26" s="3"/>
      <c r="JXR26" s="3"/>
      <c r="JXS26" s="3"/>
      <c r="JXT26" s="3"/>
      <c r="JXU26" s="3"/>
      <c r="JXV26" s="3"/>
      <c r="JXW26" s="3"/>
      <c r="JXX26" s="3"/>
      <c r="JXY26" s="3"/>
      <c r="JXZ26" s="3"/>
      <c r="JYA26" s="3"/>
      <c r="JYB26" s="3"/>
      <c r="JYC26" s="3"/>
      <c r="JYD26" s="3"/>
      <c r="JYE26" s="3"/>
      <c r="JYF26" s="3"/>
      <c r="JYG26" s="3"/>
      <c r="JYH26" s="3"/>
      <c r="JYI26" s="3"/>
      <c r="JYJ26" s="3"/>
      <c r="JYK26" s="3"/>
      <c r="JYL26" s="3"/>
      <c r="JYM26" s="3"/>
      <c r="JYN26" s="3"/>
      <c r="JYO26" s="3"/>
      <c r="JYP26" s="3"/>
      <c r="JYQ26" s="3"/>
      <c r="JYR26" s="3"/>
      <c r="JYS26" s="3"/>
      <c r="JYT26" s="3"/>
      <c r="JYU26" s="3"/>
      <c r="JYV26" s="3"/>
      <c r="JYW26" s="3"/>
      <c r="JYX26" s="3"/>
      <c r="JYY26" s="3"/>
      <c r="JYZ26" s="3"/>
      <c r="JZA26" s="3"/>
      <c r="JZB26" s="3"/>
      <c r="JZC26" s="3"/>
      <c r="JZD26" s="3"/>
      <c r="JZE26" s="3"/>
      <c r="JZF26" s="3"/>
      <c r="JZG26" s="3"/>
      <c r="JZH26" s="3"/>
      <c r="JZI26" s="3"/>
      <c r="JZJ26" s="3"/>
      <c r="JZK26" s="3"/>
      <c r="JZL26" s="3"/>
      <c r="JZM26" s="3"/>
      <c r="JZN26" s="3"/>
      <c r="JZO26" s="3"/>
      <c r="JZP26" s="3"/>
      <c r="JZQ26" s="3"/>
      <c r="JZR26" s="3"/>
      <c r="JZS26" s="3"/>
      <c r="JZT26" s="3"/>
      <c r="JZU26" s="3"/>
      <c r="JZV26" s="3"/>
      <c r="JZW26" s="3"/>
      <c r="JZX26" s="3"/>
      <c r="JZY26" s="3"/>
      <c r="JZZ26" s="3"/>
      <c r="KAA26" s="3"/>
      <c r="KAB26" s="3"/>
      <c r="KAC26" s="3"/>
      <c r="KAD26" s="3"/>
      <c r="KAE26" s="3"/>
      <c r="KAF26" s="3"/>
      <c r="KAG26" s="3"/>
      <c r="KAH26" s="3"/>
      <c r="KAI26" s="3"/>
      <c r="KAJ26" s="3"/>
      <c r="KAK26" s="3"/>
      <c r="KAL26" s="3"/>
      <c r="KAM26" s="3"/>
      <c r="KAN26" s="3"/>
      <c r="KAO26" s="3"/>
      <c r="KAP26" s="3"/>
      <c r="KAQ26" s="3"/>
      <c r="KAR26" s="3"/>
      <c r="KAS26" s="3"/>
      <c r="KAT26" s="3"/>
      <c r="KAU26" s="3"/>
      <c r="KAV26" s="3"/>
      <c r="KAW26" s="3"/>
      <c r="KAX26" s="3"/>
      <c r="KAY26" s="3"/>
      <c r="KAZ26" s="3"/>
      <c r="KBA26" s="3"/>
      <c r="KBB26" s="3"/>
      <c r="KBC26" s="3"/>
      <c r="KBD26" s="3"/>
      <c r="KBE26" s="3"/>
      <c r="KBF26" s="3"/>
      <c r="KBG26" s="3"/>
      <c r="KBH26" s="3"/>
      <c r="KBI26" s="3"/>
      <c r="KBJ26" s="3"/>
      <c r="KBK26" s="3"/>
      <c r="KBL26" s="3"/>
      <c r="KBM26" s="3"/>
      <c r="KBN26" s="3"/>
      <c r="KBO26" s="3"/>
      <c r="KBP26" s="3"/>
      <c r="KBQ26" s="3"/>
      <c r="KBR26" s="3"/>
      <c r="KBS26" s="3"/>
      <c r="KBT26" s="3"/>
      <c r="KBU26" s="3"/>
      <c r="KBV26" s="3"/>
      <c r="KBW26" s="3"/>
      <c r="KBX26" s="3"/>
      <c r="KBY26" s="3"/>
      <c r="KBZ26" s="3"/>
      <c r="KCA26" s="3"/>
      <c r="KCB26" s="3"/>
      <c r="KCC26" s="3"/>
      <c r="KCD26" s="3"/>
      <c r="KCE26" s="3"/>
      <c r="KCF26" s="3"/>
      <c r="KCG26" s="3"/>
      <c r="KCH26" s="3"/>
      <c r="KCI26" s="3"/>
      <c r="KCJ26" s="3"/>
      <c r="KCK26" s="3"/>
      <c r="KCL26" s="3"/>
      <c r="KCM26" s="3"/>
      <c r="KCN26" s="3"/>
      <c r="KCO26" s="3"/>
      <c r="KCP26" s="3"/>
      <c r="KCQ26" s="3"/>
      <c r="KCR26" s="3"/>
      <c r="KCS26" s="3"/>
      <c r="KCT26" s="3"/>
      <c r="KCU26" s="3"/>
      <c r="KCV26" s="3"/>
      <c r="KCW26" s="3"/>
      <c r="KCX26" s="3"/>
      <c r="KCY26" s="3"/>
      <c r="KCZ26" s="3"/>
      <c r="KDA26" s="3"/>
      <c r="KDB26" s="3"/>
      <c r="KDC26" s="3"/>
      <c r="KDD26" s="3"/>
      <c r="KDE26" s="3"/>
      <c r="KDF26" s="3"/>
      <c r="KDG26" s="3"/>
      <c r="KDH26" s="3"/>
      <c r="KDI26" s="3"/>
      <c r="KDJ26" s="3"/>
      <c r="KDK26" s="3"/>
      <c r="KDL26" s="3"/>
      <c r="KDM26" s="3"/>
      <c r="KDN26" s="3"/>
      <c r="KDO26" s="3"/>
      <c r="KDP26" s="3"/>
      <c r="KDQ26" s="3"/>
      <c r="KDR26" s="3"/>
      <c r="KDS26" s="3"/>
      <c r="KDT26" s="3"/>
      <c r="KDU26" s="3"/>
      <c r="KDV26" s="3"/>
      <c r="KDW26" s="3"/>
      <c r="KDX26" s="3"/>
      <c r="KDY26" s="3"/>
      <c r="KDZ26" s="3"/>
      <c r="KEA26" s="3"/>
      <c r="KEB26" s="3"/>
      <c r="KEC26" s="3"/>
      <c r="KED26" s="3"/>
      <c r="KEE26" s="3"/>
      <c r="KEF26" s="3"/>
      <c r="KEG26" s="3"/>
      <c r="KEH26" s="3"/>
      <c r="KEI26" s="3"/>
      <c r="KEJ26" s="3"/>
      <c r="KEK26" s="3"/>
      <c r="KEL26" s="3"/>
      <c r="KEM26" s="3"/>
      <c r="KEN26" s="3"/>
      <c r="KEO26" s="3"/>
      <c r="KEP26" s="3"/>
      <c r="KEQ26" s="3"/>
      <c r="KER26" s="3"/>
      <c r="KES26" s="3"/>
      <c r="KET26" s="3"/>
      <c r="KEU26" s="3"/>
      <c r="KEV26" s="3"/>
      <c r="KEW26" s="3"/>
      <c r="KEX26" s="3"/>
      <c r="KEY26" s="3"/>
      <c r="KEZ26" s="3"/>
      <c r="KFA26" s="3"/>
      <c r="KFB26" s="3"/>
      <c r="KFC26" s="3"/>
      <c r="KFD26" s="3"/>
      <c r="KFE26" s="3"/>
      <c r="KFF26" s="3"/>
      <c r="KFG26" s="3"/>
      <c r="KFH26" s="3"/>
      <c r="KFI26" s="3"/>
      <c r="KFJ26" s="3"/>
      <c r="KFK26" s="3"/>
      <c r="KFL26" s="3"/>
      <c r="KFM26" s="3"/>
      <c r="KFN26" s="3"/>
      <c r="KFO26" s="3"/>
      <c r="KFP26" s="3"/>
      <c r="KFQ26" s="3"/>
      <c r="KFR26" s="3"/>
      <c r="KFS26" s="3"/>
      <c r="KFT26" s="3"/>
      <c r="KFU26" s="3"/>
      <c r="KFV26" s="3"/>
      <c r="KFW26" s="3"/>
      <c r="KFX26" s="3"/>
      <c r="KFY26" s="3"/>
      <c r="KFZ26" s="3"/>
      <c r="KGA26" s="3"/>
      <c r="KGB26" s="3"/>
      <c r="KGC26" s="3"/>
      <c r="KGD26" s="3"/>
      <c r="KGE26" s="3"/>
      <c r="KGF26" s="3"/>
      <c r="KGG26" s="3"/>
      <c r="KGH26" s="3"/>
      <c r="KGI26" s="3"/>
      <c r="KGJ26" s="3"/>
      <c r="KGK26" s="3"/>
      <c r="KGL26" s="3"/>
      <c r="KGM26" s="3"/>
      <c r="KGN26" s="3"/>
      <c r="KGO26" s="3"/>
      <c r="KGP26" s="3"/>
      <c r="KGQ26" s="3"/>
      <c r="KGR26" s="3"/>
      <c r="KGS26" s="3"/>
      <c r="KGT26" s="3"/>
      <c r="KGU26" s="3"/>
      <c r="KGV26" s="3"/>
      <c r="KGW26" s="3"/>
      <c r="KGX26" s="3"/>
      <c r="KGY26" s="3"/>
      <c r="KGZ26" s="3"/>
      <c r="KHA26" s="3"/>
      <c r="KHB26" s="3"/>
      <c r="KHC26" s="3"/>
      <c r="KHD26" s="3"/>
      <c r="KHE26" s="3"/>
      <c r="KHF26" s="3"/>
      <c r="KHG26" s="3"/>
      <c r="KHH26" s="3"/>
      <c r="KHI26" s="3"/>
      <c r="KHJ26" s="3"/>
      <c r="KHK26" s="3"/>
      <c r="KHL26" s="3"/>
      <c r="KHM26" s="3"/>
      <c r="KHN26" s="3"/>
      <c r="KHO26" s="3"/>
      <c r="KHP26" s="3"/>
      <c r="KHQ26" s="3"/>
      <c r="KHR26" s="3"/>
      <c r="KHS26" s="3"/>
      <c r="KHT26" s="3"/>
      <c r="KHU26" s="3"/>
      <c r="KHV26" s="3"/>
      <c r="KHW26" s="3"/>
      <c r="KHX26" s="3"/>
      <c r="KHY26" s="3"/>
      <c r="KHZ26" s="3"/>
      <c r="KIA26" s="3"/>
      <c r="KIB26" s="3"/>
      <c r="KIC26" s="3"/>
      <c r="KID26" s="3"/>
      <c r="KIE26" s="3"/>
      <c r="KIF26" s="3"/>
      <c r="KIG26" s="3"/>
      <c r="KIH26" s="3"/>
      <c r="KII26" s="3"/>
      <c r="KIJ26" s="3"/>
      <c r="KIK26" s="3"/>
      <c r="KIL26" s="3"/>
      <c r="KIM26" s="3"/>
      <c r="KIN26" s="3"/>
      <c r="KIO26" s="3"/>
      <c r="KIP26" s="3"/>
      <c r="KIQ26" s="3"/>
      <c r="KIR26" s="3"/>
      <c r="KIS26" s="3"/>
      <c r="KIT26" s="3"/>
      <c r="KIU26" s="3"/>
      <c r="KIV26" s="3"/>
      <c r="KIW26" s="3"/>
      <c r="KIX26" s="3"/>
      <c r="KIY26" s="3"/>
      <c r="KIZ26" s="3"/>
      <c r="KJA26" s="3"/>
      <c r="KJB26" s="3"/>
      <c r="KJC26" s="3"/>
      <c r="KJD26" s="3"/>
      <c r="KJE26" s="3"/>
      <c r="KJF26" s="3"/>
      <c r="KJG26" s="3"/>
      <c r="KJH26" s="3"/>
      <c r="KJI26" s="3"/>
      <c r="KJJ26" s="3"/>
      <c r="KJK26" s="3"/>
      <c r="KJL26" s="3"/>
      <c r="KJM26" s="3"/>
      <c r="KJN26" s="3"/>
      <c r="KJO26" s="3"/>
      <c r="KJP26" s="3"/>
      <c r="KJQ26" s="3"/>
      <c r="KJR26" s="3"/>
      <c r="KJS26" s="3"/>
      <c r="KJT26" s="3"/>
      <c r="KJU26" s="3"/>
      <c r="KJV26" s="3"/>
      <c r="KJW26" s="3"/>
      <c r="KJX26" s="3"/>
      <c r="KJY26" s="3"/>
      <c r="KJZ26" s="3"/>
      <c r="KKA26" s="3"/>
      <c r="KKB26" s="3"/>
      <c r="KKC26" s="3"/>
      <c r="KKD26" s="3"/>
      <c r="KKE26" s="3"/>
      <c r="KKF26" s="3"/>
      <c r="KKG26" s="3"/>
      <c r="KKH26" s="3"/>
      <c r="KKI26" s="3"/>
      <c r="KKJ26" s="3"/>
      <c r="KKK26" s="3"/>
      <c r="KKL26" s="3"/>
      <c r="KKM26" s="3"/>
      <c r="KKN26" s="3"/>
      <c r="KKO26" s="3"/>
      <c r="KKP26" s="3"/>
      <c r="KKQ26" s="3"/>
      <c r="KKR26" s="3"/>
      <c r="KKS26" s="3"/>
      <c r="KKT26" s="3"/>
      <c r="KKU26" s="3"/>
      <c r="KKV26" s="3"/>
      <c r="KKW26" s="3"/>
      <c r="KKX26" s="3"/>
      <c r="KKY26" s="3"/>
      <c r="KKZ26" s="3"/>
      <c r="KLA26" s="3"/>
      <c r="KLB26" s="3"/>
      <c r="KLC26" s="3"/>
      <c r="KLD26" s="3"/>
      <c r="KLE26" s="3"/>
      <c r="KLF26" s="3"/>
      <c r="KLG26" s="3"/>
      <c r="KLH26" s="3"/>
      <c r="KLI26" s="3"/>
      <c r="KLJ26" s="3"/>
      <c r="KLK26" s="3"/>
      <c r="KLL26" s="3"/>
      <c r="KLM26" s="3"/>
      <c r="KLN26" s="3"/>
      <c r="KLO26" s="3"/>
      <c r="KLP26" s="3"/>
      <c r="KLQ26" s="3"/>
      <c r="KLR26" s="3"/>
      <c r="KLS26" s="3"/>
      <c r="KLT26" s="3"/>
      <c r="KLU26" s="3"/>
      <c r="KLV26" s="3"/>
      <c r="KLW26" s="3"/>
      <c r="KLX26" s="3"/>
      <c r="KLY26" s="3"/>
      <c r="KLZ26" s="3"/>
      <c r="KMA26" s="3"/>
      <c r="KMB26" s="3"/>
      <c r="KMC26" s="3"/>
      <c r="KMD26" s="3"/>
      <c r="KME26" s="3"/>
      <c r="KMF26" s="3"/>
      <c r="KMG26" s="3"/>
      <c r="KMH26" s="3"/>
      <c r="KMI26" s="3"/>
      <c r="KMJ26" s="3"/>
      <c r="KMK26" s="3"/>
      <c r="KML26" s="3"/>
      <c r="KMM26" s="3"/>
      <c r="KMN26" s="3"/>
      <c r="KMO26" s="3"/>
      <c r="KMP26" s="3"/>
      <c r="KMQ26" s="3"/>
      <c r="KMR26" s="3"/>
      <c r="KMS26" s="3"/>
      <c r="KMT26" s="3"/>
      <c r="KMU26" s="3"/>
      <c r="KMV26" s="3"/>
      <c r="KMW26" s="3"/>
      <c r="KMX26" s="3"/>
      <c r="KMY26" s="3"/>
      <c r="KMZ26" s="3"/>
      <c r="KNA26" s="3"/>
      <c r="KNB26" s="3"/>
      <c r="KNC26" s="3"/>
      <c r="KND26" s="3"/>
      <c r="KNE26" s="3"/>
      <c r="KNF26" s="3"/>
      <c r="KNG26" s="3"/>
      <c r="KNH26" s="3"/>
      <c r="KNI26" s="3"/>
      <c r="KNJ26" s="3"/>
      <c r="KNK26" s="3"/>
      <c r="KNL26" s="3"/>
      <c r="KNM26" s="3"/>
      <c r="KNN26" s="3"/>
      <c r="KNO26" s="3"/>
      <c r="KNP26" s="3"/>
      <c r="KNQ26" s="3"/>
      <c r="KNR26" s="3"/>
      <c r="KNS26" s="3"/>
      <c r="KNT26" s="3"/>
      <c r="KNU26" s="3"/>
      <c r="KNV26" s="3"/>
      <c r="KNW26" s="3"/>
      <c r="KNX26" s="3"/>
      <c r="KNY26" s="3"/>
      <c r="KNZ26" s="3"/>
      <c r="KOA26" s="3"/>
      <c r="KOB26" s="3"/>
      <c r="KOC26" s="3"/>
      <c r="KOD26" s="3"/>
      <c r="KOE26" s="3"/>
      <c r="KOF26" s="3"/>
      <c r="KOG26" s="3"/>
      <c r="KOH26" s="3"/>
      <c r="KOI26" s="3"/>
      <c r="KOJ26" s="3"/>
      <c r="KOK26" s="3"/>
      <c r="KOL26" s="3"/>
      <c r="KOM26" s="3"/>
      <c r="KON26" s="3"/>
      <c r="KOO26" s="3"/>
      <c r="KOP26" s="3"/>
      <c r="KOQ26" s="3"/>
      <c r="KOR26" s="3"/>
      <c r="KOS26" s="3"/>
      <c r="KOT26" s="3"/>
      <c r="KOU26" s="3"/>
      <c r="KOV26" s="3"/>
      <c r="KOW26" s="3"/>
      <c r="KOX26" s="3"/>
      <c r="KOY26" s="3"/>
      <c r="KOZ26" s="3"/>
      <c r="KPA26" s="3"/>
      <c r="KPB26" s="3"/>
      <c r="KPC26" s="3"/>
      <c r="KPD26" s="3"/>
      <c r="KPE26" s="3"/>
      <c r="KPF26" s="3"/>
      <c r="KPG26" s="3"/>
      <c r="KPH26" s="3"/>
      <c r="KPI26" s="3"/>
      <c r="KPJ26" s="3"/>
      <c r="KPK26" s="3"/>
      <c r="KPL26" s="3"/>
      <c r="KPM26" s="3"/>
      <c r="KPN26" s="3"/>
      <c r="KPO26" s="3"/>
      <c r="KPP26" s="3"/>
      <c r="KPQ26" s="3"/>
      <c r="KPR26" s="3"/>
      <c r="KPS26" s="3"/>
      <c r="KPT26" s="3"/>
      <c r="KPU26" s="3"/>
      <c r="KPV26" s="3"/>
      <c r="KPW26" s="3"/>
      <c r="KPX26" s="3"/>
      <c r="KPY26" s="3"/>
      <c r="KPZ26" s="3"/>
      <c r="KQA26" s="3"/>
      <c r="KQB26" s="3"/>
      <c r="KQC26" s="3"/>
      <c r="KQD26" s="3"/>
      <c r="KQE26" s="3"/>
      <c r="KQF26" s="3"/>
      <c r="KQG26" s="3"/>
      <c r="KQH26" s="3"/>
      <c r="KQI26" s="3"/>
      <c r="KQJ26" s="3"/>
      <c r="KQK26" s="3"/>
      <c r="KQL26" s="3"/>
      <c r="KQM26" s="3"/>
      <c r="KQN26" s="3"/>
      <c r="KQO26" s="3"/>
      <c r="KQP26" s="3"/>
      <c r="KQQ26" s="3"/>
      <c r="KQR26" s="3"/>
      <c r="KQS26" s="3"/>
      <c r="KQT26" s="3"/>
      <c r="KQU26" s="3"/>
      <c r="KQV26" s="3"/>
      <c r="KQW26" s="3"/>
      <c r="KQX26" s="3"/>
      <c r="KQY26" s="3"/>
      <c r="KQZ26" s="3"/>
      <c r="KRA26" s="3"/>
      <c r="KRB26" s="3"/>
      <c r="KRC26" s="3"/>
      <c r="KRD26" s="3"/>
      <c r="KRE26" s="3"/>
      <c r="KRF26" s="3"/>
      <c r="KRG26" s="3"/>
      <c r="KRH26" s="3"/>
      <c r="KRI26" s="3"/>
      <c r="KRJ26" s="3"/>
      <c r="KRK26" s="3"/>
      <c r="KRL26" s="3"/>
      <c r="KRM26" s="3"/>
      <c r="KRN26" s="3"/>
      <c r="KRO26" s="3"/>
      <c r="KRP26" s="3"/>
      <c r="KRQ26" s="3"/>
      <c r="KRR26" s="3"/>
      <c r="KRS26" s="3"/>
      <c r="KRT26" s="3"/>
      <c r="KRU26" s="3"/>
      <c r="KRV26" s="3"/>
      <c r="KRW26" s="3"/>
      <c r="KRX26" s="3"/>
      <c r="KRY26" s="3"/>
      <c r="KRZ26" s="3"/>
      <c r="KSA26" s="3"/>
      <c r="KSB26" s="3"/>
      <c r="KSC26" s="3"/>
      <c r="KSD26" s="3"/>
      <c r="KSE26" s="3"/>
      <c r="KSF26" s="3"/>
      <c r="KSG26" s="3"/>
      <c r="KSH26" s="3"/>
      <c r="KSI26" s="3"/>
      <c r="KSJ26" s="3"/>
      <c r="KSK26" s="3"/>
      <c r="KSL26" s="3"/>
      <c r="KSM26" s="3"/>
      <c r="KSN26" s="3"/>
      <c r="KSO26" s="3"/>
      <c r="KSP26" s="3"/>
      <c r="KSQ26" s="3"/>
      <c r="KSR26" s="3"/>
      <c r="KSS26" s="3"/>
      <c r="KST26" s="3"/>
      <c r="KSU26" s="3"/>
      <c r="KSV26" s="3"/>
      <c r="KSW26" s="3"/>
      <c r="KSX26" s="3"/>
      <c r="KSY26" s="3"/>
      <c r="KSZ26" s="3"/>
      <c r="KTA26" s="3"/>
      <c r="KTB26" s="3"/>
      <c r="KTC26" s="3"/>
      <c r="KTD26" s="3"/>
      <c r="KTE26" s="3"/>
      <c r="KTF26" s="3"/>
      <c r="KTG26" s="3"/>
      <c r="KTH26" s="3"/>
      <c r="KTI26" s="3"/>
      <c r="KTJ26" s="3"/>
      <c r="KTK26" s="3"/>
      <c r="KTL26" s="3"/>
      <c r="KTM26" s="3"/>
      <c r="KTN26" s="3"/>
      <c r="KTO26" s="3"/>
      <c r="KTP26" s="3"/>
      <c r="KTQ26" s="3"/>
      <c r="KTR26" s="3"/>
      <c r="KTS26" s="3"/>
      <c r="KTT26" s="3"/>
      <c r="KTU26" s="3"/>
      <c r="KTV26" s="3"/>
      <c r="KTW26" s="3"/>
      <c r="KTX26" s="3"/>
      <c r="KTY26" s="3"/>
      <c r="KTZ26" s="3"/>
      <c r="KUA26" s="3"/>
      <c r="KUB26" s="3"/>
      <c r="KUC26" s="3"/>
      <c r="KUD26" s="3"/>
      <c r="KUE26" s="3"/>
      <c r="KUF26" s="3"/>
      <c r="KUG26" s="3"/>
      <c r="KUH26" s="3"/>
      <c r="KUI26" s="3"/>
      <c r="KUJ26" s="3"/>
      <c r="KUK26" s="3"/>
      <c r="KUL26" s="3"/>
      <c r="KUM26" s="3"/>
      <c r="KUN26" s="3"/>
      <c r="KUO26" s="3"/>
      <c r="KUP26" s="3"/>
      <c r="KUQ26" s="3"/>
      <c r="KUR26" s="3"/>
      <c r="KUS26" s="3"/>
      <c r="KUT26" s="3"/>
      <c r="KUU26" s="3"/>
      <c r="KUV26" s="3"/>
      <c r="KUW26" s="3"/>
      <c r="KUX26" s="3"/>
      <c r="KUY26" s="3"/>
      <c r="KUZ26" s="3"/>
      <c r="KVA26" s="3"/>
      <c r="KVB26" s="3"/>
      <c r="KVC26" s="3"/>
      <c r="KVD26" s="3"/>
      <c r="KVE26" s="3"/>
      <c r="KVF26" s="3"/>
      <c r="KVG26" s="3"/>
      <c r="KVH26" s="3"/>
      <c r="KVI26" s="3"/>
      <c r="KVJ26" s="3"/>
      <c r="KVK26" s="3"/>
      <c r="KVL26" s="3"/>
      <c r="KVM26" s="3"/>
      <c r="KVN26" s="3"/>
      <c r="KVO26" s="3"/>
      <c r="KVP26" s="3"/>
      <c r="KVQ26" s="3"/>
      <c r="KVR26" s="3"/>
      <c r="KVS26" s="3"/>
      <c r="KVT26" s="3"/>
      <c r="KVU26" s="3"/>
      <c r="KVV26" s="3"/>
      <c r="KVW26" s="3"/>
      <c r="KVX26" s="3"/>
      <c r="KVY26" s="3"/>
      <c r="KVZ26" s="3"/>
      <c r="KWA26" s="3"/>
      <c r="KWB26" s="3"/>
      <c r="KWC26" s="3"/>
      <c r="KWD26" s="3"/>
      <c r="KWE26" s="3"/>
      <c r="KWF26" s="3"/>
      <c r="KWG26" s="3"/>
      <c r="KWH26" s="3"/>
      <c r="KWI26" s="3"/>
      <c r="KWJ26" s="3"/>
      <c r="KWK26" s="3"/>
      <c r="KWL26" s="3"/>
      <c r="KWM26" s="3"/>
      <c r="KWN26" s="3"/>
      <c r="KWO26" s="3"/>
      <c r="KWP26" s="3"/>
      <c r="KWQ26" s="3"/>
      <c r="KWR26" s="3"/>
      <c r="KWS26" s="3"/>
      <c r="KWT26" s="3"/>
      <c r="KWU26" s="3"/>
      <c r="KWV26" s="3"/>
      <c r="KWW26" s="3"/>
      <c r="KWX26" s="3"/>
      <c r="KWY26" s="3"/>
      <c r="KWZ26" s="3"/>
      <c r="KXA26" s="3"/>
      <c r="KXB26" s="3"/>
      <c r="KXC26" s="3"/>
      <c r="KXD26" s="3"/>
      <c r="KXE26" s="3"/>
      <c r="KXF26" s="3"/>
      <c r="KXG26" s="3"/>
      <c r="KXH26" s="3"/>
      <c r="KXI26" s="3"/>
      <c r="KXJ26" s="3"/>
      <c r="KXK26" s="3"/>
      <c r="KXL26" s="3"/>
      <c r="KXM26" s="3"/>
      <c r="KXN26" s="3"/>
      <c r="KXO26" s="3"/>
      <c r="KXP26" s="3"/>
      <c r="KXQ26" s="3"/>
      <c r="KXR26" s="3"/>
      <c r="KXS26" s="3"/>
      <c r="KXT26" s="3"/>
      <c r="KXU26" s="3"/>
      <c r="KXV26" s="3"/>
      <c r="KXW26" s="3"/>
      <c r="KXX26" s="3"/>
      <c r="KXY26" s="3"/>
      <c r="KXZ26" s="3"/>
      <c r="KYA26" s="3"/>
      <c r="KYB26" s="3"/>
      <c r="KYC26" s="3"/>
      <c r="KYD26" s="3"/>
      <c r="KYE26" s="3"/>
      <c r="KYF26" s="3"/>
      <c r="KYG26" s="3"/>
      <c r="KYH26" s="3"/>
      <c r="KYI26" s="3"/>
      <c r="KYJ26" s="3"/>
      <c r="KYK26" s="3"/>
      <c r="KYL26" s="3"/>
      <c r="KYM26" s="3"/>
      <c r="KYN26" s="3"/>
      <c r="KYO26" s="3"/>
      <c r="KYP26" s="3"/>
      <c r="KYQ26" s="3"/>
      <c r="KYR26" s="3"/>
      <c r="KYS26" s="3"/>
      <c r="KYT26" s="3"/>
      <c r="KYU26" s="3"/>
      <c r="KYV26" s="3"/>
      <c r="KYW26" s="3"/>
      <c r="KYX26" s="3"/>
      <c r="KYY26" s="3"/>
      <c r="KYZ26" s="3"/>
      <c r="KZA26" s="3"/>
      <c r="KZB26" s="3"/>
      <c r="KZC26" s="3"/>
      <c r="KZD26" s="3"/>
      <c r="KZE26" s="3"/>
      <c r="KZF26" s="3"/>
      <c r="KZG26" s="3"/>
      <c r="KZH26" s="3"/>
      <c r="KZI26" s="3"/>
      <c r="KZJ26" s="3"/>
      <c r="KZK26" s="3"/>
      <c r="KZL26" s="3"/>
      <c r="KZM26" s="3"/>
      <c r="KZN26" s="3"/>
      <c r="KZO26" s="3"/>
      <c r="KZP26" s="3"/>
      <c r="KZQ26" s="3"/>
      <c r="KZR26" s="3"/>
      <c r="KZS26" s="3"/>
      <c r="KZT26" s="3"/>
      <c r="KZU26" s="3"/>
      <c r="KZV26" s="3"/>
      <c r="KZW26" s="3"/>
      <c r="KZX26" s="3"/>
      <c r="KZY26" s="3"/>
      <c r="KZZ26" s="3"/>
      <c r="LAA26" s="3"/>
      <c r="LAB26" s="3"/>
      <c r="LAC26" s="3"/>
      <c r="LAD26" s="3"/>
      <c r="LAE26" s="3"/>
      <c r="LAF26" s="3"/>
      <c r="LAG26" s="3"/>
      <c r="LAH26" s="3"/>
      <c r="LAI26" s="3"/>
      <c r="LAJ26" s="3"/>
      <c r="LAK26" s="3"/>
      <c r="LAL26" s="3"/>
      <c r="LAM26" s="3"/>
      <c r="LAN26" s="3"/>
      <c r="LAO26" s="3"/>
      <c r="LAP26" s="3"/>
      <c r="LAQ26" s="3"/>
      <c r="LAR26" s="3"/>
      <c r="LAS26" s="3"/>
      <c r="LAT26" s="3"/>
      <c r="LAU26" s="3"/>
      <c r="LAV26" s="3"/>
      <c r="LAW26" s="3"/>
      <c r="LAX26" s="3"/>
      <c r="LAY26" s="3"/>
      <c r="LAZ26" s="3"/>
      <c r="LBA26" s="3"/>
      <c r="LBB26" s="3"/>
      <c r="LBC26" s="3"/>
      <c r="LBD26" s="3"/>
      <c r="LBE26" s="3"/>
      <c r="LBF26" s="3"/>
      <c r="LBG26" s="3"/>
      <c r="LBH26" s="3"/>
      <c r="LBI26" s="3"/>
      <c r="LBJ26" s="3"/>
      <c r="LBK26" s="3"/>
      <c r="LBL26" s="3"/>
      <c r="LBM26" s="3"/>
      <c r="LBN26" s="3"/>
      <c r="LBO26" s="3"/>
      <c r="LBP26" s="3"/>
      <c r="LBQ26" s="3"/>
      <c r="LBR26" s="3"/>
      <c r="LBS26" s="3"/>
      <c r="LBT26" s="3"/>
      <c r="LBU26" s="3"/>
      <c r="LBV26" s="3"/>
      <c r="LBW26" s="3"/>
      <c r="LBX26" s="3"/>
      <c r="LBY26" s="3"/>
      <c r="LBZ26" s="3"/>
      <c r="LCA26" s="3"/>
      <c r="LCB26" s="3"/>
      <c r="LCC26" s="3"/>
      <c r="LCD26" s="3"/>
      <c r="LCE26" s="3"/>
      <c r="LCF26" s="3"/>
      <c r="LCG26" s="3"/>
      <c r="LCH26" s="3"/>
      <c r="LCI26" s="3"/>
      <c r="LCJ26" s="3"/>
      <c r="LCK26" s="3"/>
      <c r="LCL26" s="3"/>
      <c r="LCM26" s="3"/>
      <c r="LCN26" s="3"/>
      <c r="LCO26" s="3"/>
      <c r="LCP26" s="3"/>
      <c r="LCQ26" s="3"/>
      <c r="LCR26" s="3"/>
      <c r="LCS26" s="3"/>
      <c r="LCT26" s="3"/>
      <c r="LCU26" s="3"/>
      <c r="LCV26" s="3"/>
      <c r="LCW26" s="3"/>
      <c r="LCX26" s="3"/>
      <c r="LCY26" s="3"/>
      <c r="LCZ26" s="3"/>
      <c r="LDA26" s="3"/>
      <c r="LDB26" s="3"/>
      <c r="LDC26" s="3"/>
      <c r="LDD26" s="3"/>
      <c r="LDE26" s="3"/>
      <c r="LDF26" s="3"/>
      <c r="LDG26" s="3"/>
      <c r="LDH26" s="3"/>
      <c r="LDI26" s="3"/>
      <c r="LDJ26" s="3"/>
      <c r="LDK26" s="3"/>
      <c r="LDL26" s="3"/>
      <c r="LDM26" s="3"/>
      <c r="LDN26" s="3"/>
      <c r="LDO26" s="3"/>
      <c r="LDP26" s="3"/>
      <c r="LDQ26" s="3"/>
      <c r="LDR26" s="3"/>
      <c r="LDS26" s="3"/>
      <c r="LDT26" s="3"/>
      <c r="LDU26" s="3"/>
      <c r="LDV26" s="3"/>
      <c r="LDW26" s="3"/>
      <c r="LDX26" s="3"/>
      <c r="LDY26" s="3"/>
      <c r="LDZ26" s="3"/>
      <c r="LEA26" s="3"/>
      <c r="LEB26" s="3"/>
      <c r="LEC26" s="3"/>
      <c r="LED26" s="3"/>
      <c r="LEE26" s="3"/>
      <c r="LEF26" s="3"/>
      <c r="LEG26" s="3"/>
      <c r="LEH26" s="3"/>
      <c r="LEI26" s="3"/>
      <c r="LEJ26" s="3"/>
      <c r="LEK26" s="3"/>
      <c r="LEL26" s="3"/>
      <c r="LEM26" s="3"/>
      <c r="LEN26" s="3"/>
      <c r="LEO26" s="3"/>
      <c r="LEP26" s="3"/>
      <c r="LEQ26" s="3"/>
      <c r="LER26" s="3"/>
      <c r="LES26" s="3"/>
      <c r="LET26" s="3"/>
      <c r="LEU26" s="3"/>
      <c r="LEV26" s="3"/>
      <c r="LEW26" s="3"/>
      <c r="LEX26" s="3"/>
      <c r="LEY26" s="3"/>
      <c r="LEZ26" s="3"/>
      <c r="LFA26" s="3"/>
      <c r="LFB26" s="3"/>
      <c r="LFC26" s="3"/>
      <c r="LFD26" s="3"/>
      <c r="LFE26" s="3"/>
      <c r="LFF26" s="3"/>
      <c r="LFG26" s="3"/>
      <c r="LFH26" s="3"/>
      <c r="LFI26" s="3"/>
      <c r="LFJ26" s="3"/>
      <c r="LFK26" s="3"/>
      <c r="LFL26" s="3"/>
      <c r="LFM26" s="3"/>
      <c r="LFN26" s="3"/>
      <c r="LFO26" s="3"/>
      <c r="LFP26" s="3"/>
      <c r="LFQ26" s="3"/>
      <c r="LFR26" s="3"/>
      <c r="LFS26" s="3"/>
      <c r="LFT26" s="3"/>
      <c r="LFU26" s="3"/>
      <c r="LFV26" s="3"/>
      <c r="LFW26" s="3"/>
      <c r="LFX26" s="3"/>
      <c r="LFY26" s="3"/>
      <c r="LFZ26" s="3"/>
      <c r="LGA26" s="3"/>
      <c r="LGB26" s="3"/>
      <c r="LGC26" s="3"/>
      <c r="LGD26" s="3"/>
      <c r="LGE26" s="3"/>
      <c r="LGF26" s="3"/>
      <c r="LGG26" s="3"/>
      <c r="LGH26" s="3"/>
      <c r="LGI26" s="3"/>
      <c r="LGJ26" s="3"/>
      <c r="LGK26" s="3"/>
      <c r="LGL26" s="3"/>
      <c r="LGM26" s="3"/>
      <c r="LGN26" s="3"/>
      <c r="LGO26" s="3"/>
      <c r="LGP26" s="3"/>
      <c r="LGQ26" s="3"/>
      <c r="LGR26" s="3"/>
      <c r="LGS26" s="3"/>
      <c r="LGT26" s="3"/>
      <c r="LGU26" s="3"/>
      <c r="LGV26" s="3"/>
      <c r="LGW26" s="3"/>
      <c r="LGX26" s="3"/>
      <c r="LGY26" s="3"/>
      <c r="LGZ26" s="3"/>
      <c r="LHA26" s="3"/>
      <c r="LHB26" s="3"/>
      <c r="LHC26" s="3"/>
      <c r="LHD26" s="3"/>
      <c r="LHE26" s="3"/>
      <c r="LHF26" s="3"/>
      <c r="LHG26" s="3"/>
      <c r="LHH26" s="3"/>
      <c r="LHI26" s="3"/>
      <c r="LHJ26" s="3"/>
      <c r="LHK26" s="3"/>
      <c r="LHL26" s="3"/>
      <c r="LHM26" s="3"/>
      <c r="LHN26" s="3"/>
      <c r="LHO26" s="3"/>
      <c r="LHP26" s="3"/>
      <c r="LHQ26" s="3"/>
      <c r="LHR26" s="3"/>
      <c r="LHS26" s="3"/>
      <c r="LHT26" s="3"/>
      <c r="LHU26" s="3"/>
      <c r="LHV26" s="3"/>
      <c r="LHW26" s="3"/>
      <c r="LHX26" s="3"/>
      <c r="LHY26" s="3"/>
      <c r="LHZ26" s="3"/>
      <c r="LIA26" s="3"/>
      <c r="LIB26" s="3"/>
      <c r="LIC26" s="3"/>
      <c r="LID26" s="3"/>
      <c r="LIE26" s="3"/>
      <c r="LIF26" s="3"/>
      <c r="LIG26" s="3"/>
      <c r="LIH26" s="3"/>
      <c r="LII26" s="3"/>
      <c r="LIJ26" s="3"/>
      <c r="LIK26" s="3"/>
      <c r="LIL26" s="3"/>
      <c r="LIM26" s="3"/>
      <c r="LIN26" s="3"/>
      <c r="LIO26" s="3"/>
      <c r="LIP26" s="3"/>
      <c r="LIQ26" s="3"/>
      <c r="LIR26" s="3"/>
      <c r="LIS26" s="3"/>
      <c r="LIT26" s="3"/>
      <c r="LIU26" s="3"/>
      <c r="LIV26" s="3"/>
      <c r="LIW26" s="3"/>
      <c r="LIX26" s="3"/>
      <c r="LIY26" s="3"/>
      <c r="LIZ26" s="3"/>
      <c r="LJA26" s="3"/>
      <c r="LJB26" s="3"/>
      <c r="LJC26" s="3"/>
      <c r="LJD26" s="3"/>
      <c r="LJE26" s="3"/>
      <c r="LJF26" s="3"/>
      <c r="LJG26" s="3"/>
      <c r="LJH26" s="3"/>
      <c r="LJI26" s="3"/>
      <c r="LJJ26" s="3"/>
      <c r="LJK26" s="3"/>
      <c r="LJL26" s="3"/>
      <c r="LJM26" s="3"/>
      <c r="LJN26" s="3"/>
      <c r="LJO26" s="3"/>
      <c r="LJP26" s="3"/>
      <c r="LJQ26" s="3"/>
      <c r="LJR26" s="3"/>
      <c r="LJS26" s="3"/>
      <c r="LJT26" s="3"/>
      <c r="LJU26" s="3"/>
      <c r="LJV26" s="3"/>
      <c r="LJW26" s="3"/>
      <c r="LJX26" s="3"/>
      <c r="LJY26" s="3"/>
      <c r="LJZ26" s="3"/>
      <c r="LKA26" s="3"/>
      <c r="LKB26" s="3"/>
      <c r="LKC26" s="3"/>
      <c r="LKD26" s="3"/>
      <c r="LKE26" s="3"/>
      <c r="LKF26" s="3"/>
      <c r="LKG26" s="3"/>
      <c r="LKH26" s="3"/>
      <c r="LKI26" s="3"/>
      <c r="LKJ26" s="3"/>
      <c r="LKK26" s="3"/>
      <c r="LKL26" s="3"/>
      <c r="LKM26" s="3"/>
      <c r="LKN26" s="3"/>
      <c r="LKO26" s="3"/>
      <c r="LKP26" s="3"/>
      <c r="LKQ26" s="3"/>
      <c r="LKR26" s="3"/>
      <c r="LKS26" s="3"/>
      <c r="LKT26" s="3"/>
      <c r="LKU26" s="3"/>
      <c r="LKV26" s="3"/>
      <c r="LKW26" s="3"/>
      <c r="LKX26" s="3"/>
      <c r="LKY26" s="3"/>
      <c r="LKZ26" s="3"/>
      <c r="LLA26" s="3"/>
      <c r="LLB26" s="3"/>
      <c r="LLC26" s="3"/>
      <c r="LLD26" s="3"/>
      <c r="LLE26" s="3"/>
      <c r="LLF26" s="3"/>
      <c r="LLG26" s="3"/>
      <c r="LLH26" s="3"/>
      <c r="LLI26" s="3"/>
      <c r="LLJ26" s="3"/>
      <c r="LLK26" s="3"/>
      <c r="LLL26" s="3"/>
      <c r="LLM26" s="3"/>
      <c r="LLN26" s="3"/>
      <c r="LLO26" s="3"/>
      <c r="LLP26" s="3"/>
      <c r="LLQ26" s="3"/>
      <c r="LLR26" s="3"/>
      <c r="LLS26" s="3"/>
      <c r="LLT26" s="3"/>
      <c r="LLU26" s="3"/>
      <c r="LLV26" s="3"/>
      <c r="LLW26" s="3"/>
      <c r="LLX26" s="3"/>
      <c r="LLY26" s="3"/>
      <c r="LLZ26" s="3"/>
      <c r="LMA26" s="3"/>
      <c r="LMB26" s="3"/>
      <c r="LMC26" s="3"/>
      <c r="LMD26" s="3"/>
      <c r="LME26" s="3"/>
      <c r="LMF26" s="3"/>
      <c r="LMG26" s="3"/>
      <c r="LMH26" s="3"/>
      <c r="LMI26" s="3"/>
      <c r="LMJ26" s="3"/>
      <c r="LMK26" s="3"/>
      <c r="LML26" s="3"/>
      <c r="LMM26" s="3"/>
      <c r="LMN26" s="3"/>
      <c r="LMO26" s="3"/>
      <c r="LMP26" s="3"/>
      <c r="LMQ26" s="3"/>
      <c r="LMR26" s="3"/>
      <c r="LMS26" s="3"/>
      <c r="LMT26" s="3"/>
      <c r="LMU26" s="3"/>
      <c r="LMV26" s="3"/>
      <c r="LMW26" s="3"/>
      <c r="LMX26" s="3"/>
      <c r="LMY26" s="3"/>
      <c r="LMZ26" s="3"/>
      <c r="LNA26" s="3"/>
      <c r="LNB26" s="3"/>
      <c r="LNC26" s="3"/>
      <c r="LND26" s="3"/>
      <c r="LNE26" s="3"/>
      <c r="LNF26" s="3"/>
      <c r="LNG26" s="3"/>
      <c r="LNH26" s="3"/>
      <c r="LNI26" s="3"/>
      <c r="LNJ26" s="3"/>
      <c r="LNK26" s="3"/>
      <c r="LNL26" s="3"/>
      <c r="LNM26" s="3"/>
      <c r="LNN26" s="3"/>
      <c r="LNO26" s="3"/>
      <c r="LNP26" s="3"/>
      <c r="LNQ26" s="3"/>
      <c r="LNR26" s="3"/>
      <c r="LNS26" s="3"/>
      <c r="LNT26" s="3"/>
      <c r="LNU26" s="3"/>
      <c r="LNV26" s="3"/>
      <c r="LNW26" s="3"/>
      <c r="LNX26" s="3"/>
      <c r="LNY26" s="3"/>
      <c r="LNZ26" s="3"/>
      <c r="LOA26" s="3"/>
      <c r="LOB26" s="3"/>
      <c r="LOC26" s="3"/>
      <c r="LOD26" s="3"/>
      <c r="LOE26" s="3"/>
      <c r="LOF26" s="3"/>
      <c r="LOG26" s="3"/>
      <c r="LOH26" s="3"/>
      <c r="LOI26" s="3"/>
      <c r="LOJ26" s="3"/>
      <c r="LOK26" s="3"/>
      <c r="LOL26" s="3"/>
      <c r="LOM26" s="3"/>
      <c r="LON26" s="3"/>
      <c r="LOO26" s="3"/>
      <c r="LOP26" s="3"/>
      <c r="LOQ26" s="3"/>
      <c r="LOR26" s="3"/>
      <c r="LOS26" s="3"/>
      <c r="LOT26" s="3"/>
      <c r="LOU26" s="3"/>
      <c r="LOV26" s="3"/>
      <c r="LOW26" s="3"/>
      <c r="LOX26" s="3"/>
      <c r="LOY26" s="3"/>
      <c r="LOZ26" s="3"/>
      <c r="LPA26" s="3"/>
      <c r="LPB26" s="3"/>
      <c r="LPC26" s="3"/>
      <c r="LPD26" s="3"/>
      <c r="LPE26" s="3"/>
      <c r="LPF26" s="3"/>
      <c r="LPG26" s="3"/>
      <c r="LPH26" s="3"/>
      <c r="LPI26" s="3"/>
      <c r="LPJ26" s="3"/>
      <c r="LPK26" s="3"/>
      <c r="LPL26" s="3"/>
      <c r="LPM26" s="3"/>
      <c r="LPN26" s="3"/>
      <c r="LPO26" s="3"/>
      <c r="LPP26" s="3"/>
      <c r="LPQ26" s="3"/>
      <c r="LPR26" s="3"/>
      <c r="LPS26" s="3"/>
      <c r="LPT26" s="3"/>
      <c r="LPU26" s="3"/>
      <c r="LPV26" s="3"/>
      <c r="LPW26" s="3"/>
      <c r="LPX26" s="3"/>
      <c r="LPY26" s="3"/>
      <c r="LPZ26" s="3"/>
      <c r="LQA26" s="3"/>
      <c r="LQB26" s="3"/>
      <c r="LQC26" s="3"/>
      <c r="LQD26" s="3"/>
      <c r="LQE26" s="3"/>
      <c r="LQF26" s="3"/>
      <c r="LQG26" s="3"/>
      <c r="LQH26" s="3"/>
      <c r="LQI26" s="3"/>
      <c r="LQJ26" s="3"/>
      <c r="LQK26" s="3"/>
      <c r="LQL26" s="3"/>
      <c r="LQM26" s="3"/>
      <c r="LQN26" s="3"/>
      <c r="LQO26" s="3"/>
      <c r="LQP26" s="3"/>
      <c r="LQQ26" s="3"/>
      <c r="LQR26" s="3"/>
      <c r="LQS26" s="3"/>
      <c r="LQT26" s="3"/>
      <c r="LQU26" s="3"/>
      <c r="LQV26" s="3"/>
      <c r="LQW26" s="3"/>
      <c r="LQX26" s="3"/>
      <c r="LQY26" s="3"/>
      <c r="LQZ26" s="3"/>
      <c r="LRA26" s="3"/>
      <c r="LRB26" s="3"/>
      <c r="LRC26" s="3"/>
      <c r="LRD26" s="3"/>
      <c r="LRE26" s="3"/>
      <c r="LRF26" s="3"/>
      <c r="LRG26" s="3"/>
      <c r="LRH26" s="3"/>
      <c r="LRI26" s="3"/>
      <c r="LRJ26" s="3"/>
      <c r="LRK26" s="3"/>
      <c r="LRL26" s="3"/>
      <c r="LRM26" s="3"/>
      <c r="LRN26" s="3"/>
      <c r="LRO26" s="3"/>
      <c r="LRP26" s="3"/>
      <c r="LRQ26" s="3"/>
      <c r="LRR26" s="3"/>
      <c r="LRS26" s="3"/>
      <c r="LRT26" s="3"/>
      <c r="LRU26" s="3"/>
      <c r="LRV26" s="3"/>
      <c r="LRW26" s="3"/>
      <c r="LRX26" s="3"/>
      <c r="LRY26" s="3"/>
      <c r="LRZ26" s="3"/>
      <c r="LSA26" s="3"/>
      <c r="LSB26" s="3"/>
      <c r="LSC26" s="3"/>
      <c r="LSD26" s="3"/>
      <c r="LSE26" s="3"/>
      <c r="LSF26" s="3"/>
      <c r="LSG26" s="3"/>
      <c r="LSH26" s="3"/>
      <c r="LSI26" s="3"/>
      <c r="LSJ26" s="3"/>
      <c r="LSK26" s="3"/>
      <c r="LSL26" s="3"/>
      <c r="LSM26" s="3"/>
      <c r="LSN26" s="3"/>
      <c r="LSO26" s="3"/>
      <c r="LSP26" s="3"/>
      <c r="LSQ26" s="3"/>
      <c r="LSR26" s="3"/>
      <c r="LSS26" s="3"/>
      <c r="LST26" s="3"/>
      <c r="LSU26" s="3"/>
      <c r="LSV26" s="3"/>
      <c r="LSW26" s="3"/>
      <c r="LSX26" s="3"/>
      <c r="LSY26" s="3"/>
      <c r="LSZ26" s="3"/>
      <c r="LTA26" s="3"/>
      <c r="LTB26" s="3"/>
      <c r="LTC26" s="3"/>
      <c r="LTD26" s="3"/>
      <c r="LTE26" s="3"/>
      <c r="LTF26" s="3"/>
      <c r="LTG26" s="3"/>
      <c r="LTH26" s="3"/>
      <c r="LTI26" s="3"/>
      <c r="LTJ26" s="3"/>
      <c r="LTK26" s="3"/>
      <c r="LTL26" s="3"/>
      <c r="LTM26" s="3"/>
      <c r="LTN26" s="3"/>
      <c r="LTO26" s="3"/>
      <c r="LTP26" s="3"/>
      <c r="LTQ26" s="3"/>
      <c r="LTR26" s="3"/>
      <c r="LTS26" s="3"/>
      <c r="LTT26" s="3"/>
      <c r="LTU26" s="3"/>
      <c r="LTV26" s="3"/>
      <c r="LTW26" s="3"/>
      <c r="LTX26" s="3"/>
      <c r="LTY26" s="3"/>
      <c r="LTZ26" s="3"/>
      <c r="LUA26" s="3"/>
      <c r="LUB26" s="3"/>
      <c r="LUC26" s="3"/>
      <c r="LUD26" s="3"/>
      <c r="LUE26" s="3"/>
      <c r="LUF26" s="3"/>
      <c r="LUG26" s="3"/>
      <c r="LUH26" s="3"/>
      <c r="LUI26" s="3"/>
      <c r="LUJ26" s="3"/>
      <c r="LUK26" s="3"/>
      <c r="LUL26" s="3"/>
      <c r="LUM26" s="3"/>
      <c r="LUN26" s="3"/>
      <c r="LUO26" s="3"/>
      <c r="LUP26" s="3"/>
      <c r="LUQ26" s="3"/>
      <c r="LUR26" s="3"/>
      <c r="LUS26" s="3"/>
      <c r="LUT26" s="3"/>
      <c r="LUU26" s="3"/>
      <c r="LUV26" s="3"/>
      <c r="LUW26" s="3"/>
      <c r="LUX26" s="3"/>
      <c r="LUY26" s="3"/>
      <c r="LUZ26" s="3"/>
      <c r="LVA26" s="3"/>
      <c r="LVB26" s="3"/>
      <c r="LVC26" s="3"/>
      <c r="LVD26" s="3"/>
      <c r="LVE26" s="3"/>
      <c r="LVF26" s="3"/>
      <c r="LVG26" s="3"/>
      <c r="LVH26" s="3"/>
      <c r="LVI26" s="3"/>
      <c r="LVJ26" s="3"/>
      <c r="LVK26" s="3"/>
      <c r="LVL26" s="3"/>
      <c r="LVM26" s="3"/>
      <c r="LVN26" s="3"/>
      <c r="LVO26" s="3"/>
      <c r="LVP26" s="3"/>
      <c r="LVQ26" s="3"/>
      <c r="LVR26" s="3"/>
      <c r="LVS26" s="3"/>
      <c r="LVT26" s="3"/>
      <c r="LVU26" s="3"/>
      <c r="LVV26" s="3"/>
      <c r="LVW26" s="3"/>
      <c r="LVX26" s="3"/>
      <c r="LVY26" s="3"/>
      <c r="LVZ26" s="3"/>
      <c r="LWA26" s="3"/>
      <c r="LWB26" s="3"/>
      <c r="LWC26" s="3"/>
      <c r="LWD26" s="3"/>
      <c r="LWE26" s="3"/>
      <c r="LWF26" s="3"/>
      <c r="LWG26" s="3"/>
      <c r="LWH26" s="3"/>
      <c r="LWI26" s="3"/>
      <c r="LWJ26" s="3"/>
      <c r="LWK26" s="3"/>
      <c r="LWL26" s="3"/>
      <c r="LWM26" s="3"/>
      <c r="LWN26" s="3"/>
      <c r="LWO26" s="3"/>
      <c r="LWP26" s="3"/>
      <c r="LWQ26" s="3"/>
      <c r="LWR26" s="3"/>
      <c r="LWS26" s="3"/>
      <c r="LWT26" s="3"/>
      <c r="LWU26" s="3"/>
      <c r="LWV26" s="3"/>
      <c r="LWW26" s="3"/>
      <c r="LWX26" s="3"/>
      <c r="LWY26" s="3"/>
      <c r="LWZ26" s="3"/>
      <c r="LXA26" s="3"/>
      <c r="LXB26" s="3"/>
      <c r="LXC26" s="3"/>
      <c r="LXD26" s="3"/>
      <c r="LXE26" s="3"/>
      <c r="LXF26" s="3"/>
      <c r="LXG26" s="3"/>
      <c r="LXH26" s="3"/>
      <c r="LXI26" s="3"/>
      <c r="LXJ26" s="3"/>
      <c r="LXK26" s="3"/>
      <c r="LXL26" s="3"/>
      <c r="LXM26" s="3"/>
      <c r="LXN26" s="3"/>
      <c r="LXO26" s="3"/>
      <c r="LXP26" s="3"/>
      <c r="LXQ26" s="3"/>
      <c r="LXR26" s="3"/>
      <c r="LXS26" s="3"/>
      <c r="LXT26" s="3"/>
      <c r="LXU26" s="3"/>
      <c r="LXV26" s="3"/>
      <c r="LXW26" s="3"/>
      <c r="LXX26" s="3"/>
      <c r="LXY26" s="3"/>
      <c r="LXZ26" s="3"/>
      <c r="LYA26" s="3"/>
      <c r="LYB26" s="3"/>
      <c r="LYC26" s="3"/>
      <c r="LYD26" s="3"/>
      <c r="LYE26" s="3"/>
      <c r="LYF26" s="3"/>
      <c r="LYG26" s="3"/>
      <c r="LYH26" s="3"/>
      <c r="LYI26" s="3"/>
      <c r="LYJ26" s="3"/>
      <c r="LYK26" s="3"/>
      <c r="LYL26" s="3"/>
      <c r="LYM26" s="3"/>
      <c r="LYN26" s="3"/>
      <c r="LYO26" s="3"/>
      <c r="LYP26" s="3"/>
      <c r="LYQ26" s="3"/>
      <c r="LYR26" s="3"/>
      <c r="LYS26" s="3"/>
      <c r="LYT26" s="3"/>
      <c r="LYU26" s="3"/>
      <c r="LYV26" s="3"/>
      <c r="LYW26" s="3"/>
      <c r="LYX26" s="3"/>
      <c r="LYY26" s="3"/>
      <c r="LYZ26" s="3"/>
      <c r="LZA26" s="3"/>
      <c r="LZB26" s="3"/>
      <c r="LZC26" s="3"/>
      <c r="LZD26" s="3"/>
      <c r="LZE26" s="3"/>
      <c r="LZF26" s="3"/>
      <c r="LZG26" s="3"/>
      <c r="LZH26" s="3"/>
      <c r="LZI26" s="3"/>
      <c r="LZJ26" s="3"/>
      <c r="LZK26" s="3"/>
      <c r="LZL26" s="3"/>
      <c r="LZM26" s="3"/>
      <c r="LZN26" s="3"/>
      <c r="LZO26" s="3"/>
      <c r="LZP26" s="3"/>
      <c r="LZQ26" s="3"/>
      <c r="LZR26" s="3"/>
      <c r="LZS26" s="3"/>
      <c r="LZT26" s="3"/>
      <c r="LZU26" s="3"/>
      <c r="LZV26" s="3"/>
      <c r="LZW26" s="3"/>
      <c r="LZX26" s="3"/>
      <c r="LZY26" s="3"/>
      <c r="LZZ26" s="3"/>
      <c r="MAA26" s="3"/>
      <c r="MAB26" s="3"/>
      <c r="MAC26" s="3"/>
      <c r="MAD26" s="3"/>
      <c r="MAE26" s="3"/>
      <c r="MAF26" s="3"/>
      <c r="MAG26" s="3"/>
      <c r="MAH26" s="3"/>
      <c r="MAI26" s="3"/>
      <c r="MAJ26" s="3"/>
      <c r="MAK26" s="3"/>
      <c r="MAL26" s="3"/>
      <c r="MAM26" s="3"/>
      <c r="MAN26" s="3"/>
      <c r="MAO26" s="3"/>
      <c r="MAP26" s="3"/>
      <c r="MAQ26" s="3"/>
      <c r="MAR26" s="3"/>
      <c r="MAS26" s="3"/>
      <c r="MAT26" s="3"/>
      <c r="MAU26" s="3"/>
      <c r="MAV26" s="3"/>
      <c r="MAW26" s="3"/>
      <c r="MAX26" s="3"/>
      <c r="MAY26" s="3"/>
      <c r="MAZ26" s="3"/>
      <c r="MBA26" s="3"/>
      <c r="MBB26" s="3"/>
      <c r="MBC26" s="3"/>
      <c r="MBD26" s="3"/>
      <c r="MBE26" s="3"/>
      <c r="MBF26" s="3"/>
      <c r="MBG26" s="3"/>
      <c r="MBH26" s="3"/>
      <c r="MBI26" s="3"/>
      <c r="MBJ26" s="3"/>
      <c r="MBK26" s="3"/>
      <c r="MBL26" s="3"/>
      <c r="MBM26" s="3"/>
      <c r="MBN26" s="3"/>
      <c r="MBO26" s="3"/>
      <c r="MBP26" s="3"/>
      <c r="MBQ26" s="3"/>
      <c r="MBR26" s="3"/>
      <c r="MBS26" s="3"/>
      <c r="MBT26" s="3"/>
      <c r="MBU26" s="3"/>
      <c r="MBV26" s="3"/>
      <c r="MBW26" s="3"/>
      <c r="MBX26" s="3"/>
      <c r="MBY26" s="3"/>
      <c r="MBZ26" s="3"/>
      <c r="MCA26" s="3"/>
      <c r="MCB26" s="3"/>
      <c r="MCC26" s="3"/>
      <c r="MCD26" s="3"/>
      <c r="MCE26" s="3"/>
      <c r="MCF26" s="3"/>
      <c r="MCG26" s="3"/>
      <c r="MCH26" s="3"/>
      <c r="MCI26" s="3"/>
      <c r="MCJ26" s="3"/>
      <c r="MCK26" s="3"/>
      <c r="MCL26" s="3"/>
      <c r="MCM26" s="3"/>
      <c r="MCN26" s="3"/>
      <c r="MCO26" s="3"/>
      <c r="MCP26" s="3"/>
      <c r="MCQ26" s="3"/>
      <c r="MCR26" s="3"/>
      <c r="MCS26" s="3"/>
      <c r="MCT26" s="3"/>
      <c r="MCU26" s="3"/>
      <c r="MCV26" s="3"/>
      <c r="MCW26" s="3"/>
      <c r="MCX26" s="3"/>
      <c r="MCY26" s="3"/>
      <c r="MCZ26" s="3"/>
      <c r="MDA26" s="3"/>
      <c r="MDB26" s="3"/>
      <c r="MDC26" s="3"/>
      <c r="MDD26" s="3"/>
      <c r="MDE26" s="3"/>
      <c r="MDF26" s="3"/>
      <c r="MDG26" s="3"/>
      <c r="MDH26" s="3"/>
      <c r="MDI26" s="3"/>
      <c r="MDJ26" s="3"/>
      <c r="MDK26" s="3"/>
      <c r="MDL26" s="3"/>
      <c r="MDM26" s="3"/>
      <c r="MDN26" s="3"/>
      <c r="MDO26" s="3"/>
      <c r="MDP26" s="3"/>
      <c r="MDQ26" s="3"/>
      <c r="MDR26" s="3"/>
      <c r="MDS26" s="3"/>
      <c r="MDT26" s="3"/>
      <c r="MDU26" s="3"/>
      <c r="MDV26" s="3"/>
      <c r="MDW26" s="3"/>
      <c r="MDX26" s="3"/>
      <c r="MDY26" s="3"/>
      <c r="MDZ26" s="3"/>
      <c r="MEA26" s="3"/>
      <c r="MEB26" s="3"/>
      <c r="MEC26" s="3"/>
      <c r="MED26" s="3"/>
      <c r="MEE26" s="3"/>
      <c r="MEF26" s="3"/>
      <c r="MEG26" s="3"/>
      <c r="MEH26" s="3"/>
      <c r="MEI26" s="3"/>
      <c r="MEJ26" s="3"/>
      <c r="MEK26" s="3"/>
      <c r="MEL26" s="3"/>
      <c r="MEM26" s="3"/>
      <c r="MEN26" s="3"/>
      <c r="MEO26" s="3"/>
      <c r="MEP26" s="3"/>
      <c r="MEQ26" s="3"/>
      <c r="MER26" s="3"/>
      <c r="MES26" s="3"/>
      <c r="MET26" s="3"/>
      <c r="MEU26" s="3"/>
      <c r="MEV26" s="3"/>
      <c r="MEW26" s="3"/>
      <c r="MEX26" s="3"/>
      <c r="MEY26" s="3"/>
      <c r="MEZ26" s="3"/>
      <c r="MFA26" s="3"/>
      <c r="MFB26" s="3"/>
      <c r="MFC26" s="3"/>
      <c r="MFD26" s="3"/>
      <c r="MFE26" s="3"/>
      <c r="MFF26" s="3"/>
      <c r="MFG26" s="3"/>
      <c r="MFH26" s="3"/>
      <c r="MFI26" s="3"/>
      <c r="MFJ26" s="3"/>
      <c r="MFK26" s="3"/>
      <c r="MFL26" s="3"/>
      <c r="MFM26" s="3"/>
      <c r="MFN26" s="3"/>
      <c r="MFO26" s="3"/>
      <c r="MFP26" s="3"/>
      <c r="MFQ26" s="3"/>
      <c r="MFR26" s="3"/>
      <c r="MFS26" s="3"/>
      <c r="MFT26" s="3"/>
      <c r="MFU26" s="3"/>
      <c r="MFV26" s="3"/>
      <c r="MFW26" s="3"/>
      <c r="MFX26" s="3"/>
      <c r="MFY26" s="3"/>
      <c r="MFZ26" s="3"/>
      <c r="MGA26" s="3"/>
      <c r="MGB26" s="3"/>
      <c r="MGC26" s="3"/>
      <c r="MGD26" s="3"/>
      <c r="MGE26" s="3"/>
      <c r="MGF26" s="3"/>
      <c r="MGG26" s="3"/>
      <c r="MGH26" s="3"/>
      <c r="MGI26" s="3"/>
      <c r="MGJ26" s="3"/>
      <c r="MGK26" s="3"/>
      <c r="MGL26" s="3"/>
      <c r="MGM26" s="3"/>
      <c r="MGN26" s="3"/>
      <c r="MGO26" s="3"/>
      <c r="MGP26" s="3"/>
      <c r="MGQ26" s="3"/>
      <c r="MGR26" s="3"/>
      <c r="MGS26" s="3"/>
      <c r="MGT26" s="3"/>
      <c r="MGU26" s="3"/>
      <c r="MGV26" s="3"/>
      <c r="MGW26" s="3"/>
      <c r="MGX26" s="3"/>
      <c r="MGY26" s="3"/>
      <c r="MGZ26" s="3"/>
      <c r="MHA26" s="3"/>
      <c r="MHB26" s="3"/>
      <c r="MHC26" s="3"/>
      <c r="MHD26" s="3"/>
      <c r="MHE26" s="3"/>
      <c r="MHF26" s="3"/>
      <c r="MHG26" s="3"/>
      <c r="MHH26" s="3"/>
      <c r="MHI26" s="3"/>
      <c r="MHJ26" s="3"/>
      <c r="MHK26" s="3"/>
      <c r="MHL26" s="3"/>
      <c r="MHM26" s="3"/>
      <c r="MHN26" s="3"/>
      <c r="MHO26" s="3"/>
      <c r="MHP26" s="3"/>
      <c r="MHQ26" s="3"/>
      <c r="MHR26" s="3"/>
      <c r="MHS26" s="3"/>
      <c r="MHT26" s="3"/>
      <c r="MHU26" s="3"/>
      <c r="MHV26" s="3"/>
      <c r="MHW26" s="3"/>
      <c r="MHX26" s="3"/>
      <c r="MHY26" s="3"/>
      <c r="MHZ26" s="3"/>
      <c r="MIA26" s="3"/>
      <c r="MIB26" s="3"/>
      <c r="MIC26" s="3"/>
      <c r="MID26" s="3"/>
      <c r="MIE26" s="3"/>
      <c r="MIF26" s="3"/>
      <c r="MIG26" s="3"/>
      <c r="MIH26" s="3"/>
      <c r="MII26" s="3"/>
      <c r="MIJ26" s="3"/>
      <c r="MIK26" s="3"/>
      <c r="MIL26" s="3"/>
      <c r="MIM26" s="3"/>
      <c r="MIN26" s="3"/>
      <c r="MIO26" s="3"/>
      <c r="MIP26" s="3"/>
      <c r="MIQ26" s="3"/>
      <c r="MIR26" s="3"/>
      <c r="MIS26" s="3"/>
      <c r="MIT26" s="3"/>
      <c r="MIU26" s="3"/>
      <c r="MIV26" s="3"/>
      <c r="MIW26" s="3"/>
      <c r="MIX26" s="3"/>
      <c r="MIY26" s="3"/>
      <c r="MIZ26" s="3"/>
      <c r="MJA26" s="3"/>
      <c r="MJB26" s="3"/>
      <c r="MJC26" s="3"/>
      <c r="MJD26" s="3"/>
      <c r="MJE26" s="3"/>
      <c r="MJF26" s="3"/>
      <c r="MJG26" s="3"/>
      <c r="MJH26" s="3"/>
      <c r="MJI26" s="3"/>
      <c r="MJJ26" s="3"/>
      <c r="MJK26" s="3"/>
      <c r="MJL26" s="3"/>
      <c r="MJM26" s="3"/>
      <c r="MJN26" s="3"/>
      <c r="MJO26" s="3"/>
      <c r="MJP26" s="3"/>
      <c r="MJQ26" s="3"/>
      <c r="MJR26" s="3"/>
      <c r="MJS26" s="3"/>
      <c r="MJT26" s="3"/>
      <c r="MJU26" s="3"/>
      <c r="MJV26" s="3"/>
      <c r="MJW26" s="3"/>
      <c r="MJX26" s="3"/>
      <c r="MJY26" s="3"/>
      <c r="MJZ26" s="3"/>
      <c r="MKA26" s="3"/>
      <c r="MKB26" s="3"/>
      <c r="MKC26" s="3"/>
      <c r="MKD26" s="3"/>
      <c r="MKE26" s="3"/>
      <c r="MKF26" s="3"/>
      <c r="MKG26" s="3"/>
      <c r="MKH26" s="3"/>
      <c r="MKI26" s="3"/>
      <c r="MKJ26" s="3"/>
      <c r="MKK26" s="3"/>
      <c r="MKL26" s="3"/>
      <c r="MKM26" s="3"/>
      <c r="MKN26" s="3"/>
      <c r="MKO26" s="3"/>
      <c r="MKP26" s="3"/>
      <c r="MKQ26" s="3"/>
      <c r="MKR26" s="3"/>
      <c r="MKS26" s="3"/>
      <c r="MKT26" s="3"/>
      <c r="MKU26" s="3"/>
      <c r="MKV26" s="3"/>
      <c r="MKW26" s="3"/>
      <c r="MKX26" s="3"/>
      <c r="MKY26" s="3"/>
      <c r="MKZ26" s="3"/>
      <c r="MLA26" s="3"/>
      <c r="MLB26" s="3"/>
      <c r="MLC26" s="3"/>
      <c r="MLD26" s="3"/>
      <c r="MLE26" s="3"/>
      <c r="MLF26" s="3"/>
      <c r="MLG26" s="3"/>
      <c r="MLH26" s="3"/>
      <c r="MLI26" s="3"/>
      <c r="MLJ26" s="3"/>
      <c r="MLK26" s="3"/>
      <c r="MLL26" s="3"/>
      <c r="MLM26" s="3"/>
      <c r="MLN26" s="3"/>
      <c r="MLO26" s="3"/>
      <c r="MLP26" s="3"/>
      <c r="MLQ26" s="3"/>
      <c r="MLR26" s="3"/>
      <c r="MLS26" s="3"/>
      <c r="MLT26" s="3"/>
      <c r="MLU26" s="3"/>
      <c r="MLV26" s="3"/>
      <c r="MLW26" s="3"/>
      <c r="MLX26" s="3"/>
      <c r="MLY26" s="3"/>
      <c r="MLZ26" s="3"/>
      <c r="MMA26" s="3"/>
      <c r="MMB26" s="3"/>
      <c r="MMC26" s="3"/>
      <c r="MMD26" s="3"/>
      <c r="MME26" s="3"/>
      <c r="MMF26" s="3"/>
      <c r="MMG26" s="3"/>
      <c r="MMH26" s="3"/>
      <c r="MMI26" s="3"/>
      <c r="MMJ26" s="3"/>
      <c r="MMK26" s="3"/>
      <c r="MML26" s="3"/>
      <c r="MMM26" s="3"/>
      <c r="MMN26" s="3"/>
      <c r="MMO26" s="3"/>
      <c r="MMP26" s="3"/>
      <c r="MMQ26" s="3"/>
      <c r="MMR26" s="3"/>
      <c r="MMS26" s="3"/>
      <c r="MMT26" s="3"/>
      <c r="MMU26" s="3"/>
      <c r="MMV26" s="3"/>
      <c r="MMW26" s="3"/>
      <c r="MMX26" s="3"/>
      <c r="MMY26" s="3"/>
      <c r="MMZ26" s="3"/>
      <c r="MNA26" s="3"/>
      <c r="MNB26" s="3"/>
      <c r="MNC26" s="3"/>
      <c r="MND26" s="3"/>
      <c r="MNE26" s="3"/>
      <c r="MNF26" s="3"/>
      <c r="MNG26" s="3"/>
      <c r="MNH26" s="3"/>
      <c r="MNI26" s="3"/>
      <c r="MNJ26" s="3"/>
      <c r="MNK26" s="3"/>
      <c r="MNL26" s="3"/>
      <c r="MNM26" s="3"/>
      <c r="MNN26" s="3"/>
      <c r="MNO26" s="3"/>
      <c r="MNP26" s="3"/>
      <c r="MNQ26" s="3"/>
      <c r="MNR26" s="3"/>
      <c r="MNS26" s="3"/>
      <c r="MNT26" s="3"/>
      <c r="MNU26" s="3"/>
      <c r="MNV26" s="3"/>
      <c r="MNW26" s="3"/>
      <c r="MNX26" s="3"/>
      <c r="MNY26" s="3"/>
      <c r="MNZ26" s="3"/>
      <c r="MOA26" s="3"/>
      <c r="MOB26" s="3"/>
      <c r="MOC26" s="3"/>
      <c r="MOD26" s="3"/>
      <c r="MOE26" s="3"/>
      <c r="MOF26" s="3"/>
      <c r="MOG26" s="3"/>
      <c r="MOH26" s="3"/>
      <c r="MOI26" s="3"/>
      <c r="MOJ26" s="3"/>
      <c r="MOK26" s="3"/>
      <c r="MOL26" s="3"/>
      <c r="MOM26" s="3"/>
      <c r="MON26" s="3"/>
      <c r="MOO26" s="3"/>
      <c r="MOP26" s="3"/>
      <c r="MOQ26" s="3"/>
      <c r="MOR26" s="3"/>
      <c r="MOS26" s="3"/>
      <c r="MOT26" s="3"/>
      <c r="MOU26" s="3"/>
      <c r="MOV26" s="3"/>
      <c r="MOW26" s="3"/>
      <c r="MOX26" s="3"/>
      <c r="MOY26" s="3"/>
      <c r="MOZ26" s="3"/>
      <c r="MPA26" s="3"/>
      <c r="MPB26" s="3"/>
      <c r="MPC26" s="3"/>
      <c r="MPD26" s="3"/>
      <c r="MPE26" s="3"/>
      <c r="MPF26" s="3"/>
      <c r="MPG26" s="3"/>
      <c r="MPH26" s="3"/>
      <c r="MPI26" s="3"/>
      <c r="MPJ26" s="3"/>
      <c r="MPK26" s="3"/>
      <c r="MPL26" s="3"/>
      <c r="MPM26" s="3"/>
      <c r="MPN26" s="3"/>
      <c r="MPO26" s="3"/>
      <c r="MPP26" s="3"/>
      <c r="MPQ26" s="3"/>
      <c r="MPR26" s="3"/>
      <c r="MPS26" s="3"/>
      <c r="MPT26" s="3"/>
      <c r="MPU26" s="3"/>
      <c r="MPV26" s="3"/>
      <c r="MPW26" s="3"/>
      <c r="MPX26" s="3"/>
      <c r="MPY26" s="3"/>
      <c r="MPZ26" s="3"/>
      <c r="MQA26" s="3"/>
      <c r="MQB26" s="3"/>
      <c r="MQC26" s="3"/>
      <c r="MQD26" s="3"/>
      <c r="MQE26" s="3"/>
      <c r="MQF26" s="3"/>
      <c r="MQG26" s="3"/>
      <c r="MQH26" s="3"/>
      <c r="MQI26" s="3"/>
      <c r="MQJ26" s="3"/>
      <c r="MQK26" s="3"/>
      <c r="MQL26" s="3"/>
      <c r="MQM26" s="3"/>
      <c r="MQN26" s="3"/>
      <c r="MQO26" s="3"/>
      <c r="MQP26" s="3"/>
      <c r="MQQ26" s="3"/>
      <c r="MQR26" s="3"/>
      <c r="MQS26" s="3"/>
      <c r="MQT26" s="3"/>
      <c r="MQU26" s="3"/>
      <c r="MQV26" s="3"/>
      <c r="MQW26" s="3"/>
      <c r="MQX26" s="3"/>
      <c r="MQY26" s="3"/>
      <c r="MQZ26" s="3"/>
      <c r="MRA26" s="3"/>
      <c r="MRB26" s="3"/>
      <c r="MRC26" s="3"/>
      <c r="MRD26" s="3"/>
      <c r="MRE26" s="3"/>
      <c r="MRF26" s="3"/>
      <c r="MRG26" s="3"/>
      <c r="MRH26" s="3"/>
      <c r="MRI26" s="3"/>
      <c r="MRJ26" s="3"/>
      <c r="MRK26" s="3"/>
      <c r="MRL26" s="3"/>
      <c r="MRM26" s="3"/>
      <c r="MRN26" s="3"/>
      <c r="MRO26" s="3"/>
      <c r="MRP26" s="3"/>
      <c r="MRQ26" s="3"/>
      <c r="MRR26" s="3"/>
      <c r="MRS26" s="3"/>
      <c r="MRT26" s="3"/>
      <c r="MRU26" s="3"/>
      <c r="MRV26" s="3"/>
      <c r="MRW26" s="3"/>
      <c r="MRX26" s="3"/>
      <c r="MRY26" s="3"/>
      <c r="MRZ26" s="3"/>
      <c r="MSA26" s="3"/>
      <c r="MSB26" s="3"/>
      <c r="MSC26" s="3"/>
      <c r="MSD26" s="3"/>
      <c r="MSE26" s="3"/>
      <c r="MSF26" s="3"/>
      <c r="MSG26" s="3"/>
      <c r="MSH26" s="3"/>
      <c r="MSI26" s="3"/>
      <c r="MSJ26" s="3"/>
      <c r="MSK26" s="3"/>
      <c r="MSL26" s="3"/>
      <c r="MSM26" s="3"/>
      <c r="MSN26" s="3"/>
      <c r="MSO26" s="3"/>
      <c r="MSP26" s="3"/>
      <c r="MSQ26" s="3"/>
      <c r="MSR26" s="3"/>
      <c r="MSS26" s="3"/>
      <c r="MST26" s="3"/>
      <c r="MSU26" s="3"/>
      <c r="MSV26" s="3"/>
      <c r="MSW26" s="3"/>
      <c r="MSX26" s="3"/>
      <c r="MSY26" s="3"/>
      <c r="MSZ26" s="3"/>
      <c r="MTA26" s="3"/>
      <c r="MTB26" s="3"/>
      <c r="MTC26" s="3"/>
      <c r="MTD26" s="3"/>
      <c r="MTE26" s="3"/>
      <c r="MTF26" s="3"/>
      <c r="MTG26" s="3"/>
      <c r="MTH26" s="3"/>
      <c r="MTI26" s="3"/>
      <c r="MTJ26" s="3"/>
      <c r="MTK26" s="3"/>
      <c r="MTL26" s="3"/>
      <c r="MTM26" s="3"/>
      <c r="MTN26" s="3"/>
      <c r="MTO26" s="3"/>
      <c r="MTP26" s="3"/>
      <c r="MTQ26" s="3"/>
      <c r="MTR26" s="3"/>
      <c r="MTS26" s="3"/>
      <c r="MTT26" s="3"/>
      <c r="MTU26" s="3"/>
      <c r="MTV26" s="3"/>
      <c r="MTW26" s="3"/>
      <c r="MTX26" s="3"/>
      <c r="MTY26" s="3"/>
      <c r="MTZ26" s="3"/>
      <c r="MUA26" s="3"/>
      <c r="MUB26" s="3"/>
      <c r="MUC26" s="3"/>
      <c r="MUD26" s="3"/>
      <c r="MUE26" s="3"/>
      <c r="MUF26" s="3"/>
      <c r="MUG26" s="3"/>
      <c r="MUH26" s="3"/>
      <c r="MUI26" s="3"/>
      <c r="MUJ26" s="3"/>
      <c r="MUK26" s="3"/>
      <c r="MUL26" s="3"/>
      <c r="MUM26" s="3"/>
      <c r="MUN26" s="3"/>
      <c r="MUO26" s="3"/>
      <c r="MUP26" s="3"/>
      <c r="MUQ26" s="3"/>
      <c r="MUR26" s="3"/>
      <c r="MUS26" s="3"/>
      <c r="MUT26" s="3"/>
      <c r="MUU26" s="3"/>
      <c r="MUV26" s="3"/>
      <c r="MUW26" s="3"/>
      <c r="MUX26" s="3"/>
      <c r="MUY26" s="3"/>
      <c r="MUZ26" s="3"/>
      <c r="MVA26" s="3"/>
      <c r="MVB26" s="3"/>
      <c r="MVC26" s="3"/>
      <c r="MVD26" s="3"/>
      <c r="MVE26" s="3"/>
      <c r="MVF26" s="3"/>
      <c r="MVG26" s="3"/>
      <c r="MVH26" s="3"/>
      <c r="MVI26" s="3"/>
      <c r="MVJ26" s="3"/>
      <c r="MVK26" s="3"/>
      <c r="MVL26" s="3"/>
      <c r="MVM26" s="3"/>
      <c r="MVN26" s="3"/>
      <c r="MVO26" s="3"/>
      <c r="MVP26" s="3"/>
      <c r="MVQ26" s="3"/>
      <c r="MVR26" s="3"/>
      <c r="MVS26" s="3"/>
      <c r="MVT26" s="3"/>
      <c r="MVU26" s="3"/>
      <c r="MVV26" s="3"/>
      <c r="MVW26" s="3"/>
      <c r="MVX26" s="3"/>
      <c r="MVY26" s="3"/>
      <c r="MVZ26" s="3"/>
      <c r="MWA26" s="3"/>
      <c r="MWB26" s="3"/>
      <c r="MWC26" s="3"/>
      <c r="MWD26" s="3"/>
      <c r="MWE26" s="3"/>
      <c r="MWF26" s="3"/>
      <c r="MWG26" s="3"/>
      <c r="MWH26" s="3"/>
      <c r="MWI26" s="3"/>
      <c r="MWJ26" s="3"/>
      <c r="MWK26" s="3"/>
      <c r="MWL26" s="3"/>
      <c r="MWM26" s="3"/>
      <c r="MWN26" s="3"/>
      <c r="MWO26" s="3"/>
      <c r="MWP26" s="3"/>
      <c r="MWQ26" s="3"/>
      <c r="MWR26" s="3"/>
      <c r="MWS26" s="3"/>
      <c r="MWT26" s="3"/>
      <c r="MWU26" s="3"/>
      <c r="MWV26" s="3"/>
      <c r="MWW26" s="3"/>
      <c r="MWX26" s="3"/>
      <c r="MWY26" s="3"/>
      <c r="MWZ26" s="3"/>
      <c r="MXA26" s="3"/>
      <c r="MXB26" s="3"/>
      <c r="MXC26" s="3"/>
      <c r="MXD26" s="3"/>
      <c r="MXE26" s="3"/>
      <c r="MXF26" s="3"/>
      <c r="MXG26" s="3"/>
      <c r="MXH26" s="3"/>
      <c r="MXI26" s="3"/>
      <c r="MXJ26" s="3"/>
      <c r="MXK26" s="3"/>
      <c r="MXL26" s="3"/>
      <c r="MXM26" s="3"/>
      <c r="MXN26" s="3"/>
      <c r="MXO26" s="3"/>
      <c r="MXP26" s="3"/>
      <c r="MXQ26" s="3"/>
      <c r="MXR26" s="3"/>
      <c r="MXS26" s="3"/>
      <c r="MXT26" s="3"/>
      <c r="MXU26" s="3"/>
      <c r="MXV26" s="3"/>
      <c r="MXW26" s="3"/>
      <c r="MXX26" s="3"/>
      <c r="MXY26" s="3"/>
      <c r="MXZ26" s="3"/>
      <c r="MYA26" s="3"/>
      <c r="MYB26" s="3"/>
      <c r="MYC26" s="3"/>
      <c r="MYD26" s="3"/>
      <c r="MYE26" s="3"/>
      <c r="MYF26" s="3"/>
      <c r="MYG26" s="3"/>
      <c r="MYH26" s="3"/>
      <c r="MYI26" s="3"/>
      <c r="MYJ26" s="3"/>
      <c r="MYK26" s="3"/>
      <c r="MYL26" s="3"/>
      <c r="MYM26" s="3"/>
      <c r="MYN26" s="3"/>
      <c r="MYO26" s="3"/>
      <c r="MYP26" s="3"/>
      <c r="MYQ26" s="3"/>
      <c r="MYR26" s="3"/>
      <c r="MYS26" s="3"/>
      <c r="MYT26" s="3"/>
      <c r="MYU26" s="3"/>
      <c r="MYV26" s="3"/>
      <c r="MYW26" s="3"/>
      <c r="MYX26" s="3"/>
      <c r="MYY26" s="3"/>
      <c r="MYZ26" s="3"/>
      <c r="MZA26" s="3"/>
      <c r="MZB26" s="3"/>
      <c r="MZC26" s="3"/>
      <c r="MZD26" s="3"/>
      <c r="MZE26" s="3"/>
      <c r="MZF26" s="3"/>
      <c r="MZG26" s="3"/>
      <c r="MZH26" s="3"/>
      <c r="MZI26" s="3"/>
      <c r="MZJ26" s="3"/>
      <c r="MZK26" s="3"/>
      <c r="MZL26" s="3"/>
      <c r="MZM26" s="3"/>
      <c r="MZN26" s="3"/>
      <c r="MZO26" s="3"/>
      <c r="MZP26" s="3"/>
      <c r="MZQ26" s="3"/>
      <c r="MZR26" s="3"/>
      <c r="MZS26" s="3"/>
      <c r="MZT26" s="3"/>
      <c r="MZU26" s="3"/>
      <c r="MZV26" s="3"/>
      <c r="MZW26" s="3"/>
      <c r="MZX26" s="3"/>
      <c r="MZY26" s="3"/>
      <c r="MZZ26" s="3"/>
      <c r="NAA26" s="3"/>
      <c r="NAB26" s="3"/>
      <c r="NAC26" s="3"/>
      <c r="NAD26" s="3"/>
      <c r="NAE26" s="3"/>
      <c r="NAF26" s="3"/>
      <c r="NAG26" s="3"/>
      <c r="NAH26" s="3"/>
      <c r="NAI26" s="3"/>
      <c r="NAJ26" s="3"/>
      <c r="NAK26" s="3"/>
      <c r="NAL26" s="3"/>
      <c r="NAM26" s="3"/>
      <c r="NAN26" s="3"/>
      <c r="NAO26" s="3"/>
      <c r="NAP26" s="3"/>
      <c r="NAQ26" s="3"/>
      <c r="NAR26" s="3"/>
      <c r="NAS26" s="3"/>
      <c r="NAT26" s="3"/>
      <c r="NAU26" s="3"/>
      <c r="NAV26" s="3"/>
      <c r="NAW26" s="3"/>
      <c r="NAX26" s="3"/>
      <c r="NAY26" s="3"/>
      <c r="NAZ26" s="3"/>
      <c r="NBA26" s="3"/>
      <c r="NBB26" s="3"/>
      <c r="NBC26" s="3"/>
      <c r="NBD26" s="3"/>
      <c r="NBE26" s="3"/>
      <c r="NBF26" s="3"/>
      <c r="NBG26" s="3"/>
      <c r="NBH26" s="3"/>
      <c r="NBI26" s="3"/>
      <c r="NBJ26" s="3"/>
      <c r="NBK26" s="3"/>
      <c r="NBL26" s="3"/>
      <c r="NBM26" s="3"/>
      <c r="NBN26" s="3"/>
      <c r="NBO26" s="3"/>
      <c r="NBP26" s="3"/>
      <c r="NBQ26" s="3"/>
      <c r="NBR26" s="3"/>
      <c r="NBS26" s="3"/>
      <c r="NBT26" s="3"/>
      <c r="NBU26" s="3"/>
      <c r="NBV26" s="3"/>
      <c r="NBW26" s="3"/>
      <c r="NBX26" s="3"/>
      <c r="NBY26" s="3"/>
      <c r="NBZ26" s="3"/>
      <c r="NCA26" s="3"/>
      <c r="NCB26" s="3"/>
      <c r="NCC26" s="3"/>
      <c r="NCD26" s="3"/>
      <c r="NCE26" s="3"/>
      <c r="NCF26" s="3"/>
      <c r="NCG26" s="3"/>
      <c r="NCH26" s="3"/>
      <c r="NCI26" s="3"/>
      <c r="NCJ26" s="3"/>
      <c r="NCK26" s="3"/>
      <c r="NCL26" s="3"/>
      <c r="NCM26" s="3"/>
      <c r="NCN26" s="3"/>
      <c r="NCO26" s="3"/>
      <c r="NCP26" s="3"/>
      <c r="NCQ26" s="3"/>
      <c r="NCR26" s="3"/>
      <c r="NCS26" s="3"/>
      <c r="NCT26" s="3"/>
      <c r="NCU26" s="3"/>
      <c r="NCV26" s="3"/>
      <c r="NCW26" s="3"/>
      <c r="NCX26" s="3"/>
      <c r="NCY26" s="3"/>
      <c r="NCZ26" s="3"/>
      <c r="NDA26" s="3"/>
      <c r="NDB26" s="3"/>
      <c r="NDC26" s="3"/>
      <c r="NDD26" s="3"/>
      <c r="NDE26" s="3"/>
      <c r="NDF26" s="3"/>
      <c r="NDG26" s="3"/>
      <c r="NDH26" s="3"/>
      <c r="NDI26" s="3"/>
      <c r="NDJ26" s="3"/>
      <c r="NDK26" s="3"/>
      <c r="NDL26" s="3"/>
      <c r="NDM26" s="3"/>
      <c r="NDN26" s="3"/>
      <c r="NDO26" s="3"/>
      <c r="NDP26" s="3"/>
      <c r="NDQ26" s="3"/>
      <c r="NDR26" s="3"/>
      <c r="NDS26" s="3"/>
      <c r="NDT26" s="3"/>
      <c r="NDU26" s="3"/>
      <c r="NDV26" s="3"/>
      <c r="NDW26" s="3"/>
      <c r="NDX26" s="3"/>
      <c r="NDY26" s="3"/>
      <c r="NDZ26" s="3"/>
      <c r="NEA26" s="3"/>
      <c r="NEB26" s="3"/>
      <c r="NEC26" s="3"/>
      <c r="NED26" s="3"/>
      <c r="NEE26" s="3"/>
      <c r="NEF26" s="3"/>
      <c r="NEG26" s="3"/>
      <c r="NEH26" s="3"/>
      <c r="NEI26" s="3"/>
      <c r="NEJ26" s="3"/>
      <c r="NEK26" s="3"/>
      <c r="NEL26" s="3"/>
      <c r="NEM26" s="3"/>
      <c r="NEN26" s="3"/>
      <c r="NEO26" s="3"/>
      <c r="NEP26" s="3"/>
      <c r="NEQ26" s="3"/>
      <c r="NER26" s="3"/>
      <c r="NES26" s="3"/>
      <c r="NET26" s="3"/>
      <c r="NEU26" s="3"/>
      <c r="NEV26" s="3"/>
      <c r="NEW26" s="3"/>
      <c r="NEX26" s="3"/>
      <c r="NEY26" s="3"/>
      <c r="NEZ26" s="3"/>
      <c r="NFA26" s="3"/>
      <c r="NFB26" s="3"/>
      <c r="NFC26" s="3"/>
      <c r="NFD26" s="3"/>
      <c r="NFE26" s="3"/>
      <c r="NFF26" s="3"/>
      <c r="NFG26" s="3"/>
      <c r="NFH26" s="3"/>
      <c r="NFI26" s="3"/>
      <c r="NFJ26" s="3"/>
      <c r="NFK26" s="3"/>
      <c r="NFL26" s="3"/>
      <c r="NFM26" s="3"/>
      <c r="NFN26" s="3"/>
      <c r="NFO26" s="3"/>
      <c r="NFP26" s="3"/>
      <c r="NFQ26" s="3"/>
      <c r="NFR26" s="3"/>
      <c r="NFS26" s="3"/>
      <c r="NFT26" s="3"/>
      <c r="NFU26" s="3"/>
      <c r="NFV26" s="3"/>
      <c r="NFW26" s="3"/>
      <c r="NFX26" s="3"/>
      <c r="NFY26" s="3"/>
      <c r="NFZ26" s="3"/>
      <c r="NGA26" s="3"/>
      <c r="NGB26" s="3"/>
      <c r="NGC26" s="3"/>
      <c r="NGD26" s="3"/>
      <c r="NGE26" s="3"/>
      <c r="NGF26" s="3"/>
      <c r="NGG26" s="3"/>
      <c r="NGH26" s="3"/>
      <c r="NGI26" s="3"/>
      <c r="NGJ26" s="3"/>
      <c r="NGK26" s="3"/>
      <c r="NGL26" s="3"/>
      <c r="NGM26" s="3"/>
      <c r="NGN26" s="3"/>
      <c r="NGO26" s="3"/>
      <c r="NGP26" s="3"/>
      <c r="NGQ26" s="3"/>
      <c r="NGR26" s="3"/>
      <c r="NGS26" s="3"/>
      <c r="NGT26" s="3"/>
      <c r="NGU26" s="3"/>
      <c r="NGV26" s="3"/>
      <c r="NGW26" s="3"/>
      <c r="NGX26" s="3"/>
      <c r="NGY26" s="3"/>
      <c r="NGZ26" s="3"/>
      <c r="NHA26" s="3"/>
      <c r="NHB26" s="3"/>
      <c r="NHC26" s="3"/>
      <c r="NHD26" s="3"/>
      <c r="NHE26" s="3"/>
      <c r="NHF26" s="3"/>
      <c r="NHG26" s="3"/>
      <c r="NHH26" s="3"/>
      <c r="NHI26" s="3"/>
      <c r="NHJ26" s="3"/>
      <c r="NHK26" s="3"/>
      <c r="NHL26" s="3"/>
      <c r="NHM26" s="3"/>
      <c r="NHN26" s="3"/>
      <c r="NHO26" s="3"/>
      <c r="NHP26" s="3"/>
      <c r="NHQ26" s="3"/>
      <c r="NHR26" s="3"/>
      <c r="NHS26" s="3"/>
      <c r="NHT26" s="3"/>
      <c r="NHU26" s="3"/>
      <c r="NHV26" s="3"/>
      <c r="NHW26" s="3"/>
      <c r="NHX26" s="3"/>
      <c r="NHY26" s="3"/>
      <c r="NHZ26" s="3"/>
      <c r="NIA26" s="3"/>
      <c r="NIB26" s="3"/>
      <c r="NIC26" s="3"/>
      <c r="NID26" s="3"/>
      <c r="NIE26" s="3"/>
      <c r="NIF26" s="3"/>
      <c r="NIG26" s="3"/>
      <c r="NIH26" s="3"/>
      <c r="NII26" s="3"/>
      <c r="NIJ26" s="3"/>
      <c r="NIK26" s="3"/>
      <c r="NIL26" s="3"/>
      <c r="NIM26" s="3"/>
      <c r="NIN26" s="3"/>
      <c r="NIO26" s="3"/>
      <c r="NIP26" s="3"/>
      <c r="NIQ26" s="3"/>
      <c r="NIR26" s="3"/>
      <c r="NIS26" s="3"/>
      <c r="NIT26" s="3"/>
      <c r="NIU26" s="3"/>
      <c r="NIV26" s="3"/>
      <c r="NIW26" s="3"/>
      <c r="NIX26" s="3"/>
      <c r="NIY26" s="3"/>
      <c r="NIZ26" s="3"/>
      <c r="NJA26" s="3"/>
      <c r="NJB26" s="3"/>
      <c r="NJC26" s="3"/>
      <c r="NJD26" s="3"/>
      <c r="NJE26" s="3"/>
      <c r="NJF26" s="3"/>
      <c r="NJG26" s="3"/>
      <c r="NJH26" s="3"/>
      <c r="NJI26" s="3"/>
      <c r="NJJ26" s="3"/>
      <c r="NJK26" s="3"/>
      <c r="NJL26" s="3"/>
      <c r="NJM26" s="3"/>
      <c r="NJN26" s="3"/>
      <c r="NJO26" s="3"/>
      <c r="NJP26" s="3"/>
      <c r="NJQ26" s="3"/>
      <c r="NJR26" s="3"/>
      <c r="NJS26" s="3"/>
      <c r="NJT26" s="3"/>
      <c r="NJU26" s="3"/>
      <c r="NJV26" s="3"/>
      <c r="NJW26" s="3"/>
      <c r="NJX26" s="3"/>
      <c r="NJY26" s="3"/>
      <c r="NJZ26" s="3"/>
      <c r="NKA26" s="3"/>
      <c r="NKB26" s="3"/>
      <c r="NKC26" s="3"/>
      <c r="NKD26" s="3"/>
      <c r="NKE26" s="3"/>
      <c r="NKF26" s="3"/>
      <c r="NKG26" s="3"/>
      <c r="NKH26" s="3"/>
      <c r="NKI26" s="3"/>
      <c r="NKJ26" s="3"/>
      <c r="NKK26" s="3"/>
      <c r="NKL26" s="3"/>
      <c r="NKM26" s="3"/>
      <c r="NKN26" s="3"/>
      <c r="NKO26" s="3"/>
      <c r="NKP26" s="3"/>
      <c r="NKQ26" s="3"/>
      <c r="NKR26" s="3"/>
      <c r="NKS26" s="3"/>
      <c r="NKT26" s="3"/>
      <c r="NKU26" s="3"/>
      <c r="NKV26" s="3"/>
      <c r="NKW26" s="3"/>
      <c r="NKX26" s="3"/>
      <c r="NKY26" s="3"/>
      <c r="NKZ26" s="3"/>
      <c r="NLA26" s="3"/>
      <c r="NLB26" s="3"/>
      <c r="NLC26" s="3"/>
      <c r="NLD26" s="3"/>
      <c r="NLE26" s="3"/>
      <c r="NLF26" s="3"/>
      <c r="NLG26" s="3"/>
      <c r="NLH26" s="3"/>
      <c r="NLI26" s="3"/>
      <c r="NLJ26" s="3"/>
      <c r="NLK26" s="3"/>
      <c r="NLL26" s="3"/>
      <c r="NLM26" s="3"/>
      <c r="NLN26" s="3"/>
      <c r="NLO26" s="3"/>
      <c r="NLP26" s="3"/>
      <c r="NLQ26" s="3"/>
      <c r="NLR26" s="3"/>
      <c r="NLS26" s="3"/>
      <c r="NLT26" s="3"/>
      <c r="NLU26" s="3"/>
      <c r="NLV26" s="3"/>
      <c r="NLW26" s="3"/>
      <c r="NLX26" s="3"/>
      <c r="NLY26" s="3"/>
      <c r="NLZ26" s="3"/>
      <c r="NMA26" s="3"/>
      <c r="NMB26" s="3"/>
      <c r="NMC26" s="3"/>
      <c r="NMD26" s="3"/>
      <c r="NME26" s="3"/>
      <c r="NMF26" s="3"/>
      <c r="NMG26" s="3"/>
      <c r="NMH26" s="3"/>
      <c r="NMI26" s="3"/>
      <c r="NMJ26" s="3"/>
      <c r="NMK26" s="3"/>
      <c r="NML26" s="3"/>
      <c r="NMM26" s="3"/>
      <c r="NMN26" s="3"/>
      <c r="NMO26" s="3"/>
      <c r="NMP26" s="3"/>
      <c r="NMQ26" s="3"/>
      <c r="NMR26" s="3"/>
      <c r="NMS26" s="3"/>
      <c r="NMT26" s="3"/>
      <c r="NMU26" s="3"/>
      <c r="NMV26" s="3"/>
      <c r="NMW26" s="3"/>
      <c r="NMX26" s="3"/>
      <c r="NMY26" s="3"/>
      <c r="NMZ26" s="3"/>
      <c r="NNA26" s="3"/>
      <c r="NNB26" s="3"/>
      <c r="NNC26" s="3"/>
      <c r="NND26" s="3"/>
      <c r="NNE26" s="3"/>
      <c r="NNF26" s="3"/>
      <c r="NNG26" s="3"/>
      <c r="NNH26" s="3"/>
      <c r="NNI26" s="3"/>
      <c r="NNJ26" s="3"/>
      <c r="NNK26" s="3"/>
      <c r="NNL26" s="3"/>
      <c r="NNM26" s="3"/>
      <c r="NNN26" s="3"/>
      <c r="NNO26" s="3"/>
      <c r="NNP26" s="3"/>
      <c r="NNQ26" s="3"/>
      <c r="NNR26" s="3"/>
      <c r="NNS26" s="3"/>
      <c r="NNT26" s="3"/>
      <c r="NNU26" s="3"/>
      <c r="NNV26" s="3"/>
      <c r="NNW26" s="3"/>
      <c r="NNX26" s="3"/>
      <c r="NNY26" s="3"/>
      <c r="NNZ26" s="3"/>
      <c r="NOA26" s="3"/>
      <c r="NOB26" s="3"/>
      <c r="NOC26" s="3"/>
      <c r="NOD26" s="3"/>
      <c r="NOE26" s="3"/>
      <c r="NOF26" s="3"/>
      <c r="NOG26" s="3"/>
      <c r="NOH26" s="3"/>
      <c r="NOI26" s="3"/>
      <c r="NOJ26" s="3"/>
      <c r="NOK26" s="3"/>
      <c r="NOL26" s="3"/>
      <c r="NOM26" s="3"/>
      <c r="NON26" s="3"/>
      <c r="NOO26" s="3"/>
      <c r="NOP26" s="3"/>
      <c r="NOQ26" s="3"/>
      <c r="NOR26" s="3"/>
      <c r="NOS26" s="3"/>
      <c r="NOT26" s="3"/>
      <c r="NOU26" s="3"/>
      <c r="NOV26" s="3"/>
      <c r="NOW26" s="3"/>
      <c r="NOX26" s="3"/>
      <c r="NOY26" s="3"/>
      <c r="NOZ26" s="3"/>
      <c r="NPA26" s="3"/>
      <c r="NPB26" s="3"/>
      <c r="NPC26" s="3"/>
      <c r="NPD26" s="3"/>
      <c r="NPE26" s="3"/>
      <c r="NPF26" s="3"/>
      <c r="NPG26" s="3"/>
      <c r="NPH26" s="3"/>
      <c r="NPI26" s="3"/>
      <c r="NPJ26" s="3"/>
      <c r="NPK26" s="3"/>
      <c r="NPL26" s="3"/>
      <c r="NPM26" s="3"/>
      <c r="NPN26" s="3"/>
      <c r="NPO26" s="3"/>
      <c r="NPP26" s="3"/>
      <c r="NPQ26" s="3"/>
      <c r="NPR26" s="3"/>
      <c r="NPS26" s="3"/>
      <c r="NPT26" s="3"/>
      <c r="NPU26" s="3"/>
      <c r="NPV26" s="3"/>
      <c r="NPW26" s="3"/>
      <c r="NPX26" s="3"/>
      <c r="NPY26" s="3"/>
      <c r="NPZ26" s="3"/>
      <c r="NQA26" s="3"/>
      <c r="NQB26" s="3"/>
      <c r="NQC26" s="3"/>
      <c r="NQD26" s="3"/>
      <c r="NQE26" s="3"/>
      <c r="NQF26" s="3"/>
      <c r="NQG26" s="3"/>
      <c r="NQH26" s="3"/>
      <c r="NQI26" s="3"/>
      <c r="NQJ26" s="3"/>
      <c r="NQK26" s="3"/>
      <c r="NQL26" s="3"/>
      <c r="NQM26" s="3"/>
      <c r="NQN26" s="3"/>
      <c r="NQO26" s="3"/>
      <c r="NQP26" s="3"/>
      <c r="NQQ26" s="3"/>
      <c r="NQR26" s="3"/>
      <c r="NQS26" s="3"/>
      <c r="NQT26" s="3"/>
      <c r="NQU26" s="3"/>
      <c r="NQV26" s="3"/>
      <c r="NQW26" s="3"/>
      <c r="NQX26" s="3"/>
      <c r="NQY26" s="3"/>
      <c r="NQZ26" s="3"/>
      <c r="NRA26" s="3"/>
      <c r="NRB26" s="3"/>
      <c r="NRC26" s="3"/>
      <c r="NRD26" s="3"/>
      <c r="NRE26" s="3"/>
      <c r="NRF26" s="3"/>
      <c r="NRG26" s="3"/>
      <c r="NRH26" s="3"/>
      <c r="NRI26" s="3"/>
      <c r="NRJ26" s="3"/>
      <c r="NRK26" s="3"/>
      <c r="NRL26" s="3"/>
      <c r="NRM26" s="3"/>
      <c r="NRN26" s="3"/>
      <c r="NRO26" s="3"/>
      <c r="NRP26" s="3"/>
      <c r="NRQ26" s="3"/>
      <c r="NRR26" s="3"/>
      <c r="NRS26" s="3"/>
      <c r="NRT26" s="3"/>
      <c r="NRU26" s="3"/>
      <c r="NRV26" s="3"/>
      <c r="NRW26" s="3"/>
      <c r="NRX26" s="3"/>
      <c r="NRY26" s="3"/>
      <c r="NRZ26" s="3"/>
      <c r="NSA26" s="3"/>
      <c r="NSB26" s="3"/>
      <c r="NSC26" s="3"/>
      <c r="NSD26" s="3"/>
      <c r="NSE26" s="3"/>
      <c r="NSF26" s="3"/>
      <c r="NSG26" s="3"/>
      <c r="NSH26" s="3"/>
      <c r="NSI26" s="3"/>
      <c r="NSJ26" s="3"/>
      <c r="NSK26" s="3"/>
      <c r="NSL26" s="3"/>
      <c r="NSM26" s="3"/>
      <c r="NSN26" s="3"/>
      <c r="NSO26" s="3"/>
      <c r="NSP26" s="3"/>
      <c r="NSQ26" s="3"/>
      <c r="NSR26" s="3"/>
      <c r="NSS26" s="3"/>
      <c r="NST26" s="3"/>
      <c r="NSU26" s="3"/>
      <c r="NSV26" s="3"/>
      <c r="NSW26" s="3"/>
      <c r="NSX26" s="3"/>
      <c r="NSY26" s="3"/>
      <c r="NSZ26" s="3"/>
      <c r="NTA26" s="3"/>
      <c r="NTB26" s="3"/>
      <c r="NTC26" s="3"/>
      <c r="NTD26" s="3"/>
      <c r="NTE26" s="3"/>
      <c r="NTF26" s="3"/>
      <c r="NTG26" s="3"/>
      <c r="NTH26" s="3"/>
      <c r="NTI26" s="3"/>
      <c r="NTJ26" s="3"/>
      <c r="NTK26" s="3"/>
      <c r="NTL26" s="3"/>
      <c r="NTM26" s="3"/>
      <c r="NTN26" s="3"/>
      <c r="NTO26" s="3"/>
      <c r="NTP26" s="3"/>
      <c r="NTQ26" s="3"/>
      <c r="NTR26" s="3"/>
      <c r="NTS26" s="3"/>
      <c r="NTT26" s="3"/>
      <c r="NTU26" s="3"/>
      <c r="NTV26" s="3"/>
      <c r="NTW26" s="3"/>
      <c r="NTX26" s="3"/>
      <c r="NTY26" s="3"/>
      <c r="NTZ26" s="3"/>
      <c r="NUA26" s="3"/>
      <c r="NUB26" s="3"/>
      <c r="NUC26" s="3"/>
      <c r="NUD26" s="3"/>
      <c r="NUE26" s="3"/>
      <c r="NUF26" s="3"/>
      <c r="NUG26" s="3"/>
      <c r="NUH26" s="3"/>
      <c r="NUI26" s="3"/>
      <c r="NUJ26" s="3"/>
      <c r="NUK26" s="3"/>
      <c r="NUL26" s="3"/>
      <c r="NUM26" s="3"/>
      <c r="NUN26" s="3"/>
      <c r="NUO26" s="3"/>
      <c r="NUP26" s="3"/>
      <c r="NUQ26" s="3"/>
      <c r="NUR26" s="3"/>
      <c r="NUS26" s="3"/>
      <c r="NUT26" s="3"/>
      <c r="NUU26" s="3"/>
      <c r="NUV26" s="3"/>
      <c r="NUW26" s="3"/>
      <c r="NUX26" s="3"/>
      <c r="NUY26" s="3"/>
      <c r="NUZ26" s="3"/>
      <c r="NVA26" s="3"/>
      <c r="NVB26" s="3"/>
      <c r="NVC26" s="3"/>
      <c r="NVD26" s="3"/>
      <c r="NVE26" s="3"/>
      <c r="NVF26" s="3"/>
      <c r="NVG26" s="3"/>
      <c r="NVH26" s="3"/>
      <c r="NVI26" s="3"/>
      <c r="NVJ26" s="3"/>
      <c r="NVK26" s="3"/>
      <c r="NVL26" s="3"/>
      <c r="NVM26" s="3"/>
      <c r="NVN26" s="3"/>
      <c r="NVO26" s="3"/>
      <c r="NVP26" s="3"/>
      <c r="NVQ26" s="3"/>
      <c r="NVR26" s="3"/>
      <c r="NVS26" s="3"/>
      <c r="NVT26" s="3"/>
      <c r="NVU26" s="3"/>
      <c r="NVV26" s="3"/>
      <c r="NVW26" s="3"/>
      <c r="NVX26" s="3"/>
      <c r="NVY26" s="3"/>
      <c r="NVZ26" s="3"/>
      <c r="NWA26" s="3"/>
      <c r="NWB26" s="3"/>
      <c r="NWC26" s="3"/>
      <c r="NWD26" s="3"/>
      <c r="NWE26" s="3"/>
      <c r="NWF26" s="3"/>
      <c r="NWG26" s="3"/>
      <c r="NWH26" s="3"/>
      <c r="NWI26" s="3"/>
      <c r="NWJ26" s="3"/>
      <c r="NWK26" s="3"/>
      <c r="NWL26" s="3"/>
      <c r="NWM26" s="3"/>
      <c r="NWN26" s="3"/>
      <c r="NWO26" s="3"/>
      <c r="NWP26" s="3"/>
      <c r="NWQ26" s="3"/>
      <c r="NWR26" s="3"/>
      <c r="NWS26" s="3"/>
      <c r="NWT26" s="3"/>
      <c r="NWU26" s="3"/>
      <c r="NWV26" s="3"/>
      <c r="NWW26" s="3"/>
      <c r="NWX26" s="3"/>
      <c r="NWY26" s="3"/>
      <c r="NWZ26" s="3"/>
      <c r="NXA26" s="3"/>
      <c r="NXB26" s="3"/>
      <c r="NXC26" s="3"/>
      <c r="NXD26" s="3"/>
      <c r="NXE26" s="3"/>
      <c r="NXF26" s="3"/>
      <c r="NXG26" s="3"/>
      <c r="NXH26" s="3"/>
      <c r="NXI26" s="3"/>
      <c r="NXJ26" s="3"/>
      <c r="NXK26" s="3"/>
      <c r="NXL26" s="3"/>
      <c r="NXM26" s="3"/>
      <c r="NXN26" s="3"/>
      <c r="NXO26" s="3"/>
      <c r="NXP26" s="3"/>
      <c r="NXQ26" s="3"/>
      <c r="NXR26" s="3"/>
      <c r="NXS26" s="3"/>
      <c r="NXT26" s="3"/>
      <c r="NXU26" s="3"/>
      <c r="NXV26" s="3"/>
      <c r="NXW26" s="3"/>
      <c r="NXX26" s="3"/>
      <c r="NXY26" s="3"/>
      <c r="NXZ26" s="3"/>
      <c r="NYA26" s="3"/>
      <c r="NYB26" s="3"/>
      <c r="NYC26" s="3"/>
      <c r="NYD26" s="3"/>
      <c r="NYE26" s="3"/>
      <c r="NYF26" s="3"/>
      <c r="NYG26" s="3"/>
      <c r="NYH26" s="3"/>
      <c r="NYI26" s="3"/>
      <c r="NYJ26" s="3"/>
      <c r="NYK26" s="3"/>
      <c r="NYL26" s="3"/>
      <c r="NYM26" s="3"/>
      <c r="NYN26" s="3"/>
      <c r="NYO26" s="3"/>
      <c r="NYP26" s="3"/>
      <c r="NYQ26" s="3"/>
      <c r="NYR26" s="3"/>
      <c r="NYS26" s="3"/>
      <c r="NYT26" s="3"/>
      <c r="NYU26" s="3"/>
      <c r="NYV26" s="3"/>
      <c r="NYW26" s="3"/>
      <c r="NYX26" s="3"/>
      <c r="NYY26" s="3"/>
      <c r="NYZ26" s="3"/>
      <c r="NZA26" s="3"/>
      <c r="NZB26" s="3"/>
      <c r="NZC26" s="3"/>
      <c r="NZD26" s="3"/>
      <c r="NZE26" s="3"/>
      <c r="NZF26" s="3"/>
      <c r="NZG26" s="3"/>
      <c r="NZH26" s="3"/>
      <c r="NZI26" s="3"/>
      <c r="NZJ26" s="3"/>
      <c r="NZK26" s="3"/>
      <c r="NZL26" s="3"/>
      <c r="NZM26" s="3"/>
      <c r="NZN26" s="3"/>
      <c r="NZO26" s="3"/>
      <c r="NZP26" s="3"/>
      <c r="NZQ26" s="3"/>
      <c r="NZR26" s="3"/>
      <c r="NZS26" s="3"/>
      <c r="NZT26" s="3"/>
      <c r="NZU26" s="3"/>
      <c r="NZV26" s="3"/>
      <c r="NZW26" s="3"/>
      <c r="NZX26" s="3"/>
      <c r="NZY26" s="3"/>
      <c r="NZZ26" s="3"/>
      <c r="OAA26" s="3"/>
      <c r="OAB26" s="3"/>
      <c r="OAC26" s="3"/>
      <c r="OAD26" s="3"/>
      <c r="OAE26" s="3"/>
      <c r="OAF26" s="3"/>
      <c r="OAG26" s="3"/>
      <c r="OAH26" s="3"/>
      <c r="OAI26" s="3"/>
      <c r="OAJ26" s="3"/>
      <c r="OAK26" s="3"/>
      <c r="OAL26" s="3"/>
      <c r="OAM26" s="3"/>
      <c r="OAN26" s="3"/>
      <c r="OAO26" s="3"/>
      <c r="OAP26" s="3"/>
      <c r="OAQ26" s="3"/>
      <c r="OAR26" s="3"/>
      <c r="OAS26" s="3"/>
      <c r="OAT26" s="3"/>
      <c r="OAU26" s="3"/>
      <c r="OAV26" s="3"/>
      <c r="OAW26" s="3"/>
      <c r="OAX26" s="3"/>
      <c r="OAY26" s="3"/>
      <c r="OAZ26" s="3"/>
      <c r="OBA26" s="3"/>
      <c r="OBB26" s="3"/>
      <c r="OBC26" s="3"/>
      <c r="OBD26" s="3"/>
      <c r="OBE26" s="3"/>
      <c r="OBF26" s="3"/>
      <c r="OBG26" s="3"/>
      <c r="OBH26" s="3"/>
      <c r="OBI26" s="3"/>
      <c r="OBJ26" s="3"/>
      <c r="OBK26" s="3"/>
      <c r="OBL26" s="3"/>
      <c r="OBM26" s="3"/>
      <c r="OBN26" s="3"/>
      <c r="OBO26" s="3"/>
      <c r="OBP26" s="3"/>
      <c r="OBQ26" s="3"/>
      <c r="OBR26" s="3"/>
      <c r="OBS26" s="3"/>
      <c r="OBT26" s="3"/>
      <c r="OBU26" s="3"/>
      <c r="OBV26" s="3"/>
      <c r="OBW26" s="3"/>
      <c r="OBX26" s="3"/>
      <c r="OBY26" s="3"/>
      <c r="OBZ26" s="3"/>
      <c r="OCA26" s="3"/>
      <c r="OCB26" s="3"/>
      <c r="OCC26" s="3"/>
      <c r="OCD26" s="3"/>
      <c r="OCE26" s="3"/>
      <c r="OCF26" s="3"/>
      <c r="OCG26" s="3"/>
      <c r="OCH26" s="3"/>
      <c r="OCI26" s="3"/>
      <c r="OCJ26" s="3"/>
      <c r="OCK26" s="3"/>
      <c r="OCL26" s="3"/>
      <c r="OCM26" s="3"/>
      <c r="OCN26" s="3"/>
      <c r="OCO26" s="3"/>
      <c r="OCP26" s="3"/>
      <c r="OCQ26" s="3"/>
      <c r="OCR26" s="3"/>
      <c r="OCS26" s="3"/>
      <c r="OCT26" s="3"/>
      <c r="OCU26" s="3"/>
      <c r="OCV26" s="3"/>
      <c r="OCW26" s="3"/>
      <c r="OCX26" s="3"/>
      <c r="OCY26" s="3"/>
      <c r="OCZ26" s="3"/>
      <c r="ODA26" s="3"/>
      <c r="ODB26" s="3"/>
      <c r="ODC26" s="3"/>
      <c r="ODD26" s="3"/>
      <c r="ODE26" s="3"/>
      <c r="ODF26" s="3"/>
      <c r="ODG26" s="3"/>
      <c r="ODH26" s="3"/>
      <c r="ODI26" s="3"/>
      <c r="ODJ26" s="3"/>
      <c r="ODK26" s="3"/>
      <c r="ODL26" s="3"/>
      <c r="ODM26" s="3"/>
      <c r="ODN26" s="3"/>
      <c r="ODO26" s="3"/>
      <c r="ODP26" s="3"/>
      <c r="ODQ26" s="3"/>
      <c r="ODR26" s="3"/>
      <c r="ODS26" s="3"/>
      <c r="ODT26" s="3"/>
      <c r="ODU26" s="3"/>
      <c r="ODV26" s="3"/>
      <c r="ODW26" s="3"/>
      <c r="ODX26" s="3"/>
      <c r="ODY26" s="3"/>
      <c r="ODZ26" s="3"/>
      <c r="OEA26" s="3"/>
      <c r="OEB26" s="3"/>
      <c r="OEC26" s="3"/>
      <c r="OED26" s="3"/>
      <c r="OEE26" s="3"/>
      <c r="OEF26" s="3"/>
      <c r="OEG26" s="3"/>
      <c r="OEH26" s="3"/>
      <c r="OEI26" s="3"/>
      <c r="OEJ26" s="3"/>
      <c r="OEK26" s="3"/>
      <c r="OEL26" s="3"/>
      <c r="OEM26" s="3"/>
      <c r="OEN26" s="3"/>
      <c r="OEO26" s="3"/>
      <c r="OEP26" s="3"/>
      <c r="OEQ26" s="3"/>
      <c r="OER26" s="3"/>
      <c r="OES26" s="3"/>
      <c r="OET26" s="3"/>
      <c r="OEU26" s="3"/>
      <c r="OEV26" s="3"/>
      <c r="OEW26" s="3"/>
      <c r="OEX26" s="3"/>
      <c r="OEY26" s="3"/>
      <c r="OEZ26" s="3"/>
      <c r="OFA26" s="3"/>
      <c r="OFB26" s="3"/>
      <c r="OFC26" s="3"/>
      <c r="OFD26" s="3"/>
      <c r="OFE26" s="3"/>
      <c r="OFF26" s="3"/>
      <c r="OFG26" s="3"/>
      <c r="OFH26" s="3"/>
      <c r="OFI26" s="3"/>
      <c r="OFJ26" s="3"/>
      <c r="OFK26" s="3"/>
      <c r="OFL26" s="3"/>
      <c r="OFM26" s="3"/>
      <c r="OFN26" s="3"/>
      <c r="OFO26" s="3"/>
      <c r="OFP26" s="3"/>
      <c r="OFQ26" s="3"/>
      <c r="OFR26" s="3"/>
      <c r="OFS26" s="3"/>
      <c r="OFT26" s="3"/>
      <c r="OFU26" s="3"/>
      <c r="OFV26" s="3"/>
      <c r="OFW26" s="3"/>
      <c r="OFX26" s="3"/>
      <c r="OFY26" s="3"/>
      <c r="OFZ26" s="3"/>
      <c r="OGA26" s="3"/>
      <c r="OGB26" s="3"/>
      <c r="OGC26" s="3"/>
      <c r="OGD26" s="3"/>
      <c r="OGE26" s="3"/>
      <c r="OGF26" s="3"/>
      <c r="OGG26" s="3"/>
      <c r="OGH26" s="3"/>
      <c r="OGI26" s="3"/>
      <c r="OGJ26" s="3"/>
      <c r="OGK26" s="3"/>
      <c r="OGL26" s="3"/>
      <c r="OGM26" s="3"/>
      <c r="OGN26" s="3"/>
      <c r="OGO26" s="3"/>
      <c r="OGP26" s="3"/>
      <c r="OGQ26" s="3"/>
      <c r="OGR26" s="3"/>
      <c r="OGS26" s="3"/>
      <c r="OGT26" s="3"/>
      <c r="OGU26" s="3"/>
      <c r="OGV26" s="3"/>
      <c r="OGW26" s="3"/>
      <c r="OGX26" s="3"/>
      <c r="OGY26" s="3"/>
      <c r="OGZ26" s="3"/>
      <c r="OHA26" s="3"/>
      <c r="OHB26" s="3"/>
      <c r="OHC26" s="3"/>
      <c r="OHD26" s="3"/>
      <c r="OHE26" s="3"/>
      <c r="OHF26" s="3"/>
      <c r="OHG26" s="3"/>
      <c r="OHH26" s="3"/>
      <c r="OHI26" s="3"/>
      <c r="OHJ26" s="3"/>
      <c r="OHK26" s="3"/>
      <c r="OHL26" s="3"/>
      <c r="OHM26" s="3"/>
      <c r="OHN26" s="3"/>
      <c r="OHO26" s="3"/>
      <c r="OHP26" s="3"/>
      <c r="OHQ26" s="3"/>
      <c r="OHR26" s="3"/>
      <c r="OHS26" s="3"/>
      <c r="OHT26" s="3"/>
      <c r="OHU26" s="3"/>
      <c r="OHV26" s="3"/>
      <c r="OHW26" s="3"/>
      <c r="OHX26" s="3"/>
      <c r="OHY26" s="3"/>
      <c r="OHZ26" s="3"/>
      <c r="OIA26" s="3"/>
      <c r="OIB26" s="3"/>
      <c r="OIC26" s="3"/>
      <c r="OID26" s="3"/>
      <c r="OIE26" s="3"/>
      <c r="OIF26" s="3"/>
      <c r="OIG26" s="3"/>
      <c r="OIH26" s="3"/>
      <c r="OII26" s="3"/>
      <c r="OIJ26" s="3"/>
      <c r="OIK26" s="3"/>
      <c r="OIL26" s="3"/>
      <c r="OIM26" s="3"/>
      <c r="OIN26" s="3"/>
      <c r="OIO26" s="3"/>
      <c r="OIP26" s="3"/>
      <c r="OIQ26" s="3"/>
      <c r="OIR26" s="3"/>
      <c r="OIS26" s="3"/>
      <c r="OIT26" s="3"/>
      <c r="OIU26" s="3"/>
      <c r="OIV26" s="3"/>
      <c r="OIW26" s="3"/>
      <c r="OIX26" s="3"/>
      <c r="OIY26" s="3"/>
      <c r="OIZ26" s="3"/>
      <c r="OJA26" s="3"/>
      <c r="OJB26" s="3"/>
      <c r="OJC26" s="3"/>
      <c r="OJD26" s="3"/>
      <c r="OJE26" s="3"/>
      <c r="OJF26" s="3"/>
      <c r="OJG26" s="3"/>
      <c r="OJH26" s="3"/>
      <c r="OJI26" s="3"/>
      <c r="OJJ26" s="3"/>
      <c r="OJK26" s="3"/>
      <c r="OJL26" s="3"/>
      <c r="OJM26" s="3"/>
      <c r="OJN26" s="3"/>
      <c r="OJO26" s="3"/>
      <c r="OJP26" s="3"/>
      <c r="OJQ26" s="3"/>
      <c r="OJR26" s="3"/>
      <c r="OJS26" s="3"/>
      <c r="OJT26" s="3"/>
      <c r="OJU26" s="3"/>
      <c r="OJV26" s="3"/>
      <c r="OJW26" s="3"/>
      <c r="OJX26" s="3"/>
      <c r="OJY26" s="3"/>
      <c r="OJZ26" s="3"/>
      <c r="OKA26" s="3"/>
      <c r="OKB26" s="3"/>
      <c r="OKC26" s="3"/>
      <c r="OKD26" s="3"/>
      <c r="OKE26" s="3"/>
      <c r="OKF26" s="3"/>
      <c r="OKG26" s="3"/>
      <c r="OKH26" s="3"/>
      <c r="OKI26" s="3"/>
      <c r="OKJ26" s="3"/>
      <c r="OKK26" s="3"/>
      <c r="OKL26" s="3"/>
      <c r="OKM26" s="3"/>
      <c r="OKN26" s="3"/>
      <c r="OKO26" s="3"/>
      <c r="OKP26" s="3"/>
      <c r="OKQ26" s="3"/>
      <c r="OKR26" s="3"/>
      <c r="OKS26" s="3"/>
      <c r="OKT26" s="3"/>
      <c r="OKU26" s="3"/>
      <c r="OKV26" s="3"/>
      <c r="OKW26" s="3"/>
      <c r="OKX26" s="3"/>
      <c r="OKY26" s="3"/>
      <c r="OKZ26" s="3"/>
      <c r="OLA26" s="3"/>
      <c r="OLB26" s="3"/>
      <c r="OLC26" s="3"/>
      <c r="OLD26" s="3"/>
      <c r="OLE26" s="3"/>
      <c r="OLF26" s="3"/>
      <c r="OLG26" s="3"/>
      <c r="OLH26" s="3"/>
      <c r="OLI26" s="3"/>
      <c r="OLJ26" s="3"/>
      <c r="OLK26" s="3"/>
      <c r="OLL26" s="3"/>
      <c r="OLM26" s="3"/>
      <c r="OLN26" s="3"/>
      <c r="OLO26" s="3"/>
      <c r="OLP26" s="3"/>
      <c r="OLQ26" s="3"/>
      <c r="OLR26" s="3"/>
      <c r="OLS26" s="3"/>
      <c r="OLT26" s="3"/>
      <c r="OLU26" s="3"/>
      <c r="OLV26" s="3"/>
      <c r="OLW26" s="3"/>
      <c r="OLX26" s="3"/>
      <c r="OLY26" s="3"/>
      <c r="OLZ26" s="3"/>
      <c r="OMA26" s="3"/>
      <c r="OMB26" s="3"/>
      <c r="OMC26" s="3"/>
      <c r="OMD26" s="3"/>
      <c r="OME26" s="3"/>
      <c r="OMF26" s="3"/>
      <c r="OMG26" s="3"/>
      <c r="OMH26" s="3"/>
      <c r="OMI26" s="3"/>
      <c r="OMJ26" s="3"/>
      <c r="OMK26" s="3"/>
      <c r="OML26" s="3"/>
      <c r="OMM26" s="3"/>
      <c r="OMN26" s="3"/>
      <c r="OMO26" s="3"/>
      <c r="OMP26" s="3"/>
      <c r="OMQ26" s="3"/>
      <c r="OMR26" s="3"/>
      <c r="OMS26" s="3"/>
      <c r="OMT26" s="3"/>
      <c r="OMU26" s="3"/>
      <c r="OMV26" s="3"/>
      <c r="OMW26" s="3"/>
      <c r="OMX26" s="3"/>
      <c r="OMY26" s="3"/>
      <c r="OMZ26" s="3"/>
      <c r="ONA26" s="3"/>
      <c r="ONB26" s="3"/>
      <c r="ONC26" s="3"/>
      <c r="OND26" s="3"/>
      <c r="ONE26" s="3"/>
      <c r="ONF26" s="3"/>
      <c r="ONG26" s="3"/>
      <c r="ONH26" s="3"/>
      <c r="ONI26" s="3"/>
      <c r="ONJ26" s="3"/>
      <c r="ONK26" s="3"/>
      <c r="ONL26" s="3"/>
      <c r="ONM26" s="3"/>
      <c r="ONN26" s="3"/>
      <c r="ONO26" s="3"/>
      <c r="ONP26" s="3"/>
      <c r="ONQ26" s="3"/>
      <c r="ONR26" s="3"/>
      <c r="ONS26" s="3"/>
      <c r="ONT26" s="3"/>
      <c r="ONU26" s="3"/>
      <c r="ONV26" s="3"/>
      <c r="ONW26" s="3"/>
      <c r="ONX26" s="3"/>
      <c r="ONY26" s="3"/>
      <c r="ONZ26" s="3"/>
      <c r="OOA26" s="3"/>
      <c r="OOB26" s="3"/>
      <c r="OOC26" s="3"/>
      <c r="OOD26" s="3"/>
      <c r="OOE26" s="3"/>
      <c r="OOF26" s="3"/>
      <c r="OOG26" s="3"/>
      <c r="OOH26" s="3"/>
      <c r="OOI26" s="3"/>
      <c r="OOJ26" s="3"/>
      <c r="OOK26" s="3"/>
      <c r="OOL26" s="3"/>
      <c r="OOM26" s="3"/>
      <c r="OON26" s="3"/>
      <c r="OOO26" s="3"/>
      <c r="OOP26" s="3"/>
      <c r="OOQ26" s="3"/>
      <c r="OOR26" s="3"/>
      <c r="OOS26" s="3"/>
      <c r="OOT26" s="3"/>
      <c r="OOU26" s="3"/>
      <c r="OOV26" s="3"/>
      <c r="OOW26" s="3"/>
      <c r="OOX26" s="3"/>
      <c r="OOY26" s="3"/>
      <c r="OOZ26" s="3"/>
      <c r="OPA26" s="3"/>
      <c r="OPB26" s="3"/>
      <c r="OPC26" s="3"/>
      <c r="OPD26" s="3"/>
      <c r="OPE26" s="3"/>
      <c r="OPF26" s="3"/>
      <c r="OPG26" s="3"/>
      <c r="OPH26" s="3"/>
      <c r="OPI26" s="3"/>
      <c r="OPJ26" s="3"/>
      <c r="OPK26" s="3"/>
      <c r="OPL26" s="3"/>
      <c r="OPM26" s="3"/>
      <c r="OPN26" s="3"/>
      <c r="OPO26" s="3"/>
      <c r="OPP26" s="3"/>
      <c r="OPQ26" s="3"/>
      <c r="OPR26" s="3"/>
      <c r="OPS26" s="3"/>
      <c r="OPT26" s="3"/>
      <c r="OPU26" s="3"/>
      <c r="OPV26" s="3"/>
      <c r="OPW26" s="3"/>
      <c r="OPX26" s="3"/>
      <c r="OPY26" s="3"/>
      <c r="OPZ26" s="3"/>
      <c r="OQA26" s="3"/>
      <c r="OQB26" s="3"/>
      <c r="OQC26" s="3"/>
      <c r="OQD26" s="3"/>
      <c r="OQE26" s="3"/>
      <c r="OQF26" s="3"/>
      <c r="OQG26" s="3"/>
      <c r="OQH26" s="3"/>
      <c r="OQI26" s="3"/>
      <c r="OQJ26" s="3"/>
      <c r="OQK26" s="3"/>
      <c r="OQL26" s="3"/>
      <c r="OQM26" s="3"/>
      <c r="OQN26" s="3"/>
      <c r="OQO26" s="3"/>
      <c r="OQP26" s="3"/>
      <c r="OQQ26" s="3"/>
      <c r="OQR26" s="3"/>
      <c r="OQS26" s="3"/>
      <c r="OQT26" s="3"/>
      <c r="OQU26" s="3"/>
      <c r="OQV26" s="3"/>
      <c r="OQW26" s="3"/>
      <c r="OQX26" s="3"/>
      <c r="OQY26" s="3"/>
      <c r="OQZ26" s="3"/>
      <c r="ORA26" s="3"/>
      <c r="ORB26" s="3"/>
      <c r="ORC26" s="3"/>
      <c r="ORD26" s="3"/>
      <c r="ORE26" s="3"/>
      <c r="ORF26" s="3"/>
      <c r="ORG26" s="3"/>
      <c r="ORH26" s="3"/>
      <c r="ORI26" s="3"/>
      <c r="ORJ26" s="3"/>
      <c r="ORK26" s="3"/>
      <c r="ORL26" s="3"/>
      <c r="ORM26" s="3"/>
      <c r="ORN26" s="3"/>
      <c r="ORO26" s="3"/>
      <c r="ORP26" s="3"/>
      <c r="ORQ26" s="3"/>
      <c r="ORR26" s="3"/>
      <c r="ORS26" s="3"/>
      <c r="ORT26" s="3"/>
      <c r="ORU26" s="3"/>
      <c r="ORV26" s="3"/>
      <c r="ORW26" s="3"/>
      <c r="ORX26" s="3"/>
      <c r="ORY26" s="3"/>
      <c r="ORZ26" s="3"/>
      <c r="OSA26" s="3"/>
      <c r="OSB26" s="3"/>
      <c r="OSC26" s="3"/>
      <c r="OSD26" s="3"/>
      <c r="OSE26" s="3"/>
      <c r="OSF26" s="3"/>
      <c r="OSG26" s="3"/>
      <c r="OSH26" s="3"/>
      <c r="OSI26" s="3"/>
      <c r="OSJ26" s="3"/>
      <c r="OSK26" s="3"/>
      <c r="OSL26" s="3"/>
      <c r="OSM26" s="3"/>
      <c r="OSN26" s="3"/>
      <c r="OSO26" s="3"/>
      <c r="OSP26" s="3"/>
      <c r="OSQ26" s="3"/>
      <c r="OSR26" s="3"/>
      <c r="OSS26" s="3"/>
      <c r="OST26" s="3"/>
      <c r="OSU26" s="3"/>
      <c r="OSV26" s="3"/>
      <c r="OSW26" s="3"/>
      <c r="OSX26" s="3"/>
      <c r="OSY26" s="3"/>
      <c r="OSZ26" s="3"/>
      <c r="OTA26" s="3"/>
      <c r="OTB26" s="3"/>
      <c r="OTC26" s="3"/>
      <c r="OTD26" s="3"/>
      <c r="OTE26" s="3"/>
      <c r="OTF26" s="3"/>
      <c r="OTG26" s="3"/>
      <c r="OTH26" s="3"/>
      <c r="OTI26" s="3"/>
      <c r="OTJ26" s="3"/>
      <c r="OTK26" s="3"/>
      <c r="OTL26" s="3"/>
      <c r="OTM26" s="3"/>
      <c r="OTN26" s="3"/>
      <c r="OTO26" s="3"/>
      <c r="OTP26" s="3"/>
      <c r="OTQ26" s="3"/>
      <c r="OTR26" s="3"/>
      <c r="OTS26" s="3"/>
      <c r="OTT26" s="3"/>
      <c r="OTU26" s="3"/>
      <c r="OTV26" s="3"/>
      <c r="OTW26" s="3"/>
      <c r="OTX26" s="3"/>
      <c r="OTY26" s="3"/>
      <c r="OTZ26" s="3"/>
      <c r="OUA26" s="3"/>
      <c r="OUB26" s="3"/>
      <c r="OUC26" s="3"/>
      <c r="OUD26" s="3"/>
      <c r="OUE26" s="3"/>
      <c r="OUF26" s="3"/>
      <c r="OUG26" s="3"/>
      <c r="OUH26" s="3"/>
      <c r="OUI26" s="3"/>
      <c r="OUJ26" s="3"/>
      <c r="OUK26" s="3"/>
      <c r="OUL26" s="3"/>
      <c r="OUM26" s="3"/>
      <c r="OUN26" s="3"/>
      <c r="OUO26" s="3"/>
      <c r="OUP26" s="3"/>
      <c r="OUQ26" s="3"/>
      <c r="OUR26" s="3"/>
      <c r="OUS26" s="3"/>
      <c r="OUT26" s="3"/>
      <c r="OUU26" s="3"/>
      <c r="OUV26" s="3"/>
      <c r="OUW26" s="3"/>
      <c r="OUX26" s="3"/>
      <c r="OUY26" s="3"/>
      <c r="OUZ26" s="3"/>
      <c r="OVA26" s="3"/>
      <c r="OVB26" s="3"/>
      <c r="OVC26" s="3"/>
      <c r="OVD26" s="3"/>
      <c r="OVE26" s="3"/>
      <c r="OVF26" s="3"/>
      <c r="OVG26" s="3"/>
      <c r="OVH26" s="3"/>
      <c r="OVI26" s="3"/>
      <c r="OVJ26" s="3"/>
      <c r="OVK26" s="3"/>
      <c r="OVL26" s="3"/>
      <c r="OVM26" s="3"/>
      <c r="OVN26" s="3"/>
      <c r="OVO26" s="3"/>
      <c r="OVP26" s="3"/>
      <c r="OVQ26" s="3"/>
      <c r="OVR26" s="3"/>
      <c r="OVS26" s="3"/>
      <c r="OVT26" s="3"/>
      <c r="OVU26" s="3"/>
      <c r="OVV26" s="3"/>
      <c r="OVW26" s="3"/>
      <c r="OVX26" s="3"/>
      <c r="OVY26" s="3"/>
      <c r="OVZ26" s="3"/>
      <c r="OWA26" s="3"/>
      <c r="OWB26" s="3"/>
      <c r="OWC26" s="3"/>
      <c r="OWD26" s="3"/>
      <c r="OWE26" s="3"/>
      <c r="OWF26" s="3"/>
      <c r="OWG26" s="3"/>
      <c r="OWH26" s="3"/>
      <c r="OWI26" s="3"/>
      <c r="OWJ26" s="3"/>
      <c r="OWK26" s="3"/>
      <c r="OWL26" s="3"/>
      <c r="OWM26" s="3"/>
      <c r="OWN26" s="3"/>
      <c r="OWO26" s="3"/>
      <c r="OWP26" s="3"/>
      <c r="OWQ26" s="3"/>
      <c r="OWR26" s="3"/>
      <c r="OWS26" s="3"/>
      <c r="OWT26" s="3"/>
      <c r="OWU26" s="3"/>
      <c r="OWV26" s="3"/>
      <c r="OWW26" s="3"/>
      <c r="OWX26" s="3"/>
      <c r="OWY26" s="3"/>
      <c r="OWZ26" s="3"/>
      <c r="OXA26" s="3"/>
      <c r="OXB26" s="3"/>
      <c r="OXC26" s="3"/>
      <c r="OXD26" s="3"/>
      <c r="OXE26" s="3"/>
      <c r="OXF26" s="3"/>
      <c r="OXG26" s="3"/>
      <c r="OXH26" s="3"/>
      <c r="OXI26" s="3"/>
      <c r="OXJ26" s="3"/>
      <c r="OXK26" s="3"/>
      <c r="OXL26" s="3"/>
      <c r="OXM26" s="3"/>
      <c r="OXN26" s="3"/>
      <c r="OXO26" s="3"/>
      <c r="OXP26" s="3"/>
      <c r="OXQ26" s="3"/>
      <c r="OXR26" s="3"/>
      <c r="OXS26" s="3"/>
      <c r="OXT26" s="3"/>
      <c r="OXU26" s="3"/>
      <c r="OXV26" s="3"/>
      <c r="OXW26" s="3"/>
      <c r="OXX26" s="3"/>
      <c r="OXY26" s="3"/>
      <c r="OXZ26" s="3"/>
      <c r="OYA26" s="3"/>
      <c r="OYB26" s="3"/>
      <c r="OYC26" s="3"/>
      <c r="OYD26" s="3"/>
      <c r="OYE26" s="3"/>
      <c r="OYF26" s="3"/>
      <c r="OYG26" s="3"/>
      <c r="OYH26" s="3"/>
      <c r="OYI26" s="3"/>
      <c r="OYJ26" s="3"/>
      <c r="OYK26" s="3"/>
      <c r="OYL26" s="3"/>
      <c r="OYM26" s="3"/>
      <c r="OYN26" s="3"/>
      <c r="OYO26" s="3"/>
      <c r="OYP26" s="3"/>
      <c r="OYQ26" s="3"/>
      <c r="OYR26" s="3"/>
      <c r="OYS26" s="3"/>
      <c r="OYT26" s="3"/>
      <c r="OYU26" s="3"/>
      <c r="OYV26" s="3"/>
      <c r="OYW26" s="3"/>
      <c r="OYX26" s="3"/>
      <c r="OYY26" s="3"/>
      <c r="OYZ26" s="3"/>
      <c r="OZA26" s="3"/>
      <c r="OZB26" s="3"/>
      <c r="OZC26" s="3"/>
      <c r="OZD26" s="3"/>
      <c r="OZE26" s="3"/>
      <c r="OZF26" s="3"/>
      <c r="OZG26" s="3"/>
      <c r="OZH26" s="3"/>
      <c r="OZI26" s="3"/>
      <c r="OZJ26" s="3"/>
      <c r="OZK26" s="3"/>
      <c r="OZL26" s="3"/>
      <c r="OZM26" s="3"/>
      <c r="OZN26" s="3"/>
      <c r="OZO26" s="3"/>
      <c r="OZP26" s="3"/>
      <c r="OZQ26" s="3"/>
      <c r="OZR26" s="3"/>
      <c r="OZS26" s="3"/>
      <c r="OZT26" s="3"/>
      <c r="OZU26" s="3"/>
      <c r="OZV26" s="3"/>
      <c r="OZW26" s="3"/>
      <c r="OZX26" s="3"/>
      <c r="OZY26" s="3"/>
      <c r="OZZ26" s="3"/>
      <c r="PAA26" s="3"/>
      <c r="PAB26" s="3"/>
      <c r="PAC26" s="3"/>
      <c r="PAD26" s="3"/>
      <c r="PAE26" s="3"/>
      <c r="PAF26" s="3"/>
      <c r="PAG26" s="3"/>
      <c r="PAH26" s="3"/>
      <c r="PAI26" s="3"/>
      <c r="PAJ26" s="3"/>
      <c r="PAK26" s="3"/>
      <c r="PAL26" s="3"/>
      <c r="PAM26" s="3"/>
      <c r="PAN26" s="3"/>
      <c r="PAO26" s="3"/>
      <c r="PAP26" s="3"/>
      <c r="PAQ26" s="3"/>
      <c r="PAR26" s="3"/>
      <c r="PAS26" s="3"/>
      <c r="PAT26" s="3"/>
      <c r="PAU26" s="3"/>
      <c r="PAV26" s="3"/>
      <c r="PAW26" s="3"/>
      <c r="PAX26" s="3"/>
      <c r="PAY26" s="3"/>
      <c r="PAZ26" s="3"/>
      <c r="PBA26" s="3"/>
      <c r="PBB26" s="3"/>
      <c r="PBC26" s="3"/>
      <c r="PBD26" s="3"/>
      <c r="PBE26" s="3"/>
      <c r="PBF26" s="3"/>
      <c r="PBG26" s="3"/>
      <c r="PBH26" s="3"/>
      <c r="PBI26" s="3"/>
      <c r="PBJ26" s="3"/>
      <c r="PBK26" s="3"/>
      <c r="PBL26" s="3"/>
      <c r="PBM26" s="3"/>
      <c r="PBN26" s="3"/>
      <c r="PBO26" s="3"/>
      <c r="PBP26" s="3"/>
      <c r="PBQ26" s="3"/>
      <c r="PBR26" s="3"/>
      <c r="PBS26" s="3"/>
      <c r="PBT26" s="3"/>
      <c r="PBU26" s="3"/>
      <c r="PBV26" s="3"/>
      <c r="PBW26" s="3"/>
      <c r="PBX26" s="3"/>
      <c r="PBY26" s="3"/>
      <c r="PBZ26" s="3"/>
      <c r="PCA26" s="3"/>
      <c r="PCB26" s="3"/>
      <c r="PCC26" s="3"/>
      <c r="PCD26" s="3"/>
      <c r="PCE26" s="3"/>
      <c r="PCF26" s="3"/>
      <c r="PCG26" s="3"/>
      <c r="PCH26" s="3"/>
      <c r="PCI26" s="3"/>
      <c r="PCJ26" s="3"/>
      <c r="PCK26" s="3"/>
      <c r="PCL26" s="3"/>
      <c r="PCM26" s="3"/>
      <c r="PCN26" s="3"/>
      <c r="PCO26" s="3"/>
      <c r="PCP26" s="3"/>
      <c r="PCQ26" s="3"/>
      <c r="PCR26" s="3"/>
      <c r="PCS26" s="3"/>
      <c r="PCT26" s="3"/>
      <c r="PCU26" s="3"/>
      <c r="PCV26" s="3"/>
      <c r="PCW26" s="3"/>
      <c r="PCX26" s="3"/>
      <c r="PCY26" s="3"/>
      <c r="PCZ26" s="3"/>
      <c r="PDA26" s="3"/>
      <c r="PDB26" s="3"/>
      <c r="PDC26" s="3"/>
      <c r="PDD26" s="3"/>
      <c r="PDE26" s="3"/>
      <c r="PDF26" s="3"/>
      <c r="PDG26" s="3"/>
      <c r="PDH26" s="3"/>
      <c r="PDI26" s="3"/>
      <c r="PDJ26" s="3"/>
      <c r="PDK26" s="3"/>
      <c r="PDL26" s="3"/>
      <c r="PDM26" s="3"/>
      <c r="PDN26" s="3"/>
      <c r="PDO26" s="3"/>
      <c r="PDP26" s="3"/>
      <c r="PDQ26" s="3"/>
      <c r="PDR26" s="3"/>
      <c r="PDS26" s="3"/>
      <c r="PDT26" s="3"/>
      <c r="PDU26" s="3"/>
      <c r="PDV26" s="3"/>
      <c r="PDW26" s="3"/>
      <c r="PDX26" s="3"/>
      <c r="PDY26" s="3"/>
      <c r="PDZ26" s="3"/>
      <c r="PEA26" s="3"/>
      <c r="PEB26" s="3"/>
      <c r="PEC26" s="3"/>
      <c r="PED26" s="3"/>
      <c r="PEE26" s="3"/>
      <c r="PEF26" s="3"/>
      <c r="PEG26" s="3"/>
      <c r="PEH26" s="3"/>
      <c r="PEI26" s="3"/>
      <c r="PEJ26" s="3"/>
      <c r="PEK26" s="3"/>
      <c r="PEL26" s="3"/>
      <c r="PEM26" s="3"/>
      <c r="PEN26" s="3"/>
      <c r="PEO26" s="3"/>
      <c r="PEP26" s="3"/>
      <c r="PEQ26" s="3"/>
      <c r="PER26" s="3"/>
      <c r="PES26" s="3"/>
      <c r="PET26" s="3"/>
      <c r="PEU26" s="3"/>
      <c r="PEV26" s="3"/>
      <c r="PEW26" s="3"/>
      <c r="PEX26" s="3"/>
      <c r="PEY26" s="3"/>
      <c r="PEZ26" s="3"/>
      <c r="PFA26" s="3"/>
      <c r="PFB26" s="3"/>
      <c r="PFC26" s="3"/>
      <c r="PFD26" s="3"/>
      <c r="PFE26" s="3"/>
      <c r="PFF26" s="3"/>
      <c r="PFG26" s="3"/>
      <c r="PFH26" s="3"/>
      <c r="PFI26" s="3"/>
      <c r="PFJ26" s="3"/>
      <c r="PFK26" s="3"/>
      <c r="PFL26" s="3"/>
      <c r="PFM26" s="3"/>
      <c r="PFN26" s="3"/>
      <c r="PFO26" s="3"/>
      <c r="PFP26" s="3"/>
      <c r="PFQ26" s="3"/>
      <c r="PFR26" s="3"/>
      <c r="PFS26" s="3"/>
      <c r="PFT26" s="3"/>
      <c r="PFU26" s="3"/>
      <c r="PFV26" s="3"/>
      <c r="PFW26" s="3"/>
      <c r="PFX26" s="3"/>
      <c r="PFY26" s="3"/>
      <c r="PFZ26" s="3"/>
      <c r="PGA26" s="3"/>
      <c r="PGB26" s="3"/>
      <c r="PGC26" s="3"/>
      <c r="PGD26" s="3"/>
      <c r="PGE26" s="3"/>
      <c r="PGF26" s="3"/>
      <c r="PGG26" s="3"/>
      <c r="PGH26" s="3"/>
      <c r="PGI26" s="3"/>
      <c r="PGJ26" s="3"/>
      <c r="PGK26" s="3"/>
      <c r="PGL26" s="3"/>
      <c r="PGM26" s="3"/>
      <c r="PGN26" s="3"/>
      <c r="PGO26" s="3"/>
      <c r="PGP26" s="3"/>
      <c r="PGQ26" s="3"/>
      <c r="PGR26" s="3"/>
      <c r="PGS26" s="3"/>
      <c r="PGT26" s="3"/>
      <c r="PGU26" s="3"/>
      <c r="PGV26" s="3"/>
      <c r="PGW26" s="3"/>
      <c r="PGX26" s="3"/>
      <c r="PGY26" s="3"/>
      <c r="PGZ26" s="3"/>
      <c r="PHA26" s="3"/>
      <c r="PHB26" s="3"/>
      <c r="PHC26" s="3"/>
      <c r="PHD26" s="3"/>
      <c r="PHE26" s="3"/>
      <c r="PHF26" s="3"/>
      <c r="PHG26" s="3"/>
      <c r="PHH26" s="3"/>
      <c r="PHI26" s="3"/>
      <c r="PHJ26" s="3"/>
      <c r="PHK26" s="3"/>
      <c r="PHL26" s="3"/>
      <c r="PHM26" s="3"/>
      <c r="PHN26" s="3"/>
      <c r="PHO26" s="3"/>
      <c r="PHP26" s="3"/>
      <c r="PHQ26" s="3"/>
      <c r="PHR26" s="3"/>
      <c r="PHS26" s="3"/>
      <c r="PHT26" s="3"/>
      <c r="PHU26" s="3"/>
      <c r="PHV26" s="3"/>
      <c r="PHW26" s="3"/>
      <c r="PHX26" s="3"/>
      <c r="PHY26" s="3"/>
      <c r="PHZ26" s="3"/>
      <c r="PIA26" s="3"/>
      <c r="PIB26" s="3"/>
      <c r="PIC26" s="3"/>
      <c r="PID26" s="3"/>
      <c r="PIE26" s="3"/>
      <c r="PIF26" s="3"/>
      <c r="PIG26" s="3"/>
      <c r="PIH26" s="3"/>
      <c r="PII26" s="3"/>
      <c r="PIJ26" s="3"/>
      <c r="PIK26" s="3"/>
      <c r="PIL26" s="3"/>
      <c r="PIM26" s="3"/>
      <c r="PIN26" s="3"/>
      <c r="PIO26" s="3"/>
      <c r="PIP26" s="3"/>
      <c r="PIQ26" s="3"/>
      <c r="PIR26" s="3"/>
      <c r="PIS26" s="3"/>
      <c r="PIT26" s="3"/>
      <c r="PIU26" s="3"/>
      <c r="PIV26" s="3"/>
      <c r="PIW26" s="3"/>
      <c r="PIX26" s="3"/>
      <c r="PIY26" s="3"/>
      <c r="PIZ26" s="3"/>
      <c r="PJA26" s="3"/>
      <c r="PJB26" s="3"/>
      <c r="PJC26" s="3"/>
      <c r="PJD26" s="3"/>
      <c r="PJE26" s="3"/>
      <c r="PJF26" s="3"/>
      <c r="PJG26" s="3"/>
      <c r="PJH26" s="3"/>
      <c r="PJI26" s="3"/>
      <c r="PJJ26" s="3"/>
      <c r="PJK26" s="3"/>
      <c r="PJL26" s="3"/>
      <c r="PJM26" s="3"/>
      <c r="PJN26" s="3"/>
      <c r="PJO26" s="3"/>
      <c r="PJP26" s="3"/>
      <c r="PJQ26" s="3"/>
      <c r="PJR26" s="3"/>
      <c r="PJS26" s="3"/>
      <c r="PJT26" s="3"/>
      <c r="PJU26" s="3"/>
      <c r="PJV26" s="3"/>
      <c r="PJW26" s="3"/>
      <c r="PJX26" s="3"/>
      <c r="PJY26" s="3"/>
      <c r="PJZ26" s="3"/>
      <c r="PKA26" s="3"/>
      <c r="PKB26" s="3"/>
      <c r="PKC26" s="3"/>
      <c r="PKD26" s="3"/>
      <c r="PKE26" s="3"/>
      <c r="PKF26" s="3"/>
      <c r="PKG26" s="3"/>
      <c r="PKH26" s="3"/>
      <c r="PKI26" s="3"/>
      <c r="PKJ26" s="3"/>
      <c r="PKK26" s="3"/>
      <c r="PKL26" s="3"/>
      <c r="PKM26" s="3"/>
      <c r="PKN26" s="3"/>
      <c r="PKO26" s="3"/>
      <c r="PKP26" s="3"/>
      <c r="PKQ26" s="3"/>
      <c r="PKR26" s="3"/>
      <c r="PKS26" s="3"/>
      <c r="PKT26" s="3"/>
      <c r="PKU26" s="3"/>
      <c r="PKV26" s="3"/>
      <c r="PKW26" s="3"/>
      <c r="PKX26" s="3"/>
      <c r="PKY26" s="3"/>
      <c r="PKZ26" s="3"/>
      <c r="PLA26" s="3"/>
      <c r="PLB26" s="3"/>
      <c r="PLC26" s="3"/>
      <c r="PLD26" s="3"/>
      <c r="PLE26" s="3"/>
      <c r="PLF26" s="3"/>
      <c r="PLG26" s="3"/>
      <c r="PLH26" s="3"/>
      <c r="PLI26" s="3"/>
      <c r="PLJ26" s="3"/>
      <c r="PLK26" s="3"/>
      <c r="PLL26" s="3"/>
      <c r="PLM26" s="3"/>
      <c r="PLN26" s="3"/>
      <c r="PLO26" s="3"/>
      <c r="PLP26" s="3"/>
      <c r="PLQ26" s="3"/>
      <c r="PLR26" s="3"/>
      <c r="PLS26" s="3"/>
      <c r="PLT26" s="3"/>
      <c r="PLU26" s="3"/>
      <c r="PLV26" s="3"/>
      <c r="PLW26" s="3"/>
      <c r="PLX26" s="3"/>
      <c r="PLY26" s="3"/>
      <c r="PLZ26" s="3"/>
      <c r="PMA26" s="3"/>
      <c r="PMB26" s="3"/>
      <c r="PMC26" s="3"/>
      <c r="PMD26" s="3"/>
      <c r="PME26" s="3"/>
      <c r="PMF26" s="3"/>
      <c r="PMG26" s="3"/>
      <c r="PMH26" s="3"/>
      <c r="PMI26" s="3"/>
      <c r="PMJ26" s="3"/>
      <c r="PMK26" s="3"/>
      <c r="PML26" s="3"/>
      <c r="PMM26" s="3"/>
      <c r="PMN26" s="3"/>
      <c r="PMO26" s="3"/>
      <c r="PMP26" s="3"/>
      <c r="PMQ26" s="3"/>
      <c r="PMR26" s="3"/>
      <c r="PMS26" s="3"/>
      <c r="PMT26" s="3"/>
      <c r="PMU26" s="3"/>
      <c r="PMV26" s="3"/>
      <c r="PMW26" s="3"/>
      <c r="PMX26" s="3"/>
      <c r="PMY26" s="3"/>
      <c r="PMZ26" s="3"/>
      <c r="PNA26" s="3"/>
      <c r="PNB26" s="3"/>
      <c r="PNC26" s="3"/>
      <c r="PND26" s="3"/>
      <c r="PNE26" s="3"/>
      <c r="PNF26" s="3"/>
      <c r="PNG26" s="3"/>
      <c r="PNH26" s="3"/>
      <c r="PNI26" s="3"/>
      <c r="PNJ26" s="3"/>
      <c r="PNK26" s="3"/>
      <c r="PNL26" s="3"/>
      <c r="PNM26" s="3"/>
      <c r="PNN26" s="3"/>
      <c r="PNO26" s="3"/>
      <c r="PNP26" s="3"/>
      <c r="PNQ26" s="3"/>
      <c r="PNR26" s="3"/>
      <c r="PNS26" s="3"/>
      <c r="PNT26" s="3"/>
      <c r="PNU26" s="3"/>
      <c r="PNV26" s="3"/>
      <c r="PNW26" s="3"/>
      <c r="PNX26" s="3"/>
      <c r="PNY26" s="3"/>
      <c r="PNZ26" s="3"/>
      <c r="POA26" s="3"/>
      <c r="POB26" s="3"/>
      <c r="POC26" s="3"/>
      <c r="POD26" s="3"/>
      <c r="POE26" s="3"/>
      <c r="POF26" s="3"/>
      <c r="POG26" s="3"/>
      <c r="POH26" s="3"/>
      <c r="POI26" s="3"/>
      <c r="POJ26" s="3"/>
      <c r="POK26" s="3"/>
      <c r="POL26" s="3"/>
      <c r="POM26" s="3"/>
      <c r="PON26" s="3"/>
      <c r="POO26" s="3"/>
      <c r="POP26" s="3"/>
      <c r="POQ26" s="3"/>
      <c r="POR26" s="3"/>
      <c r="POS26" s="3"/>
      <c r="POT26" s="3"/>
      <c r="POU26" s="3"/>
      <c r="POV26" s="3"/>
      <c r="POW26" s="3"/>
      <c r="POX26" s="3"/>
      <c r="POY26" s="3"/>
      <c r="POZ26" s="3"/>
      <c r="PPA26" s="3"/>
      <c r="PPB26" s="3"/>
      <c r="PPC26" s="3"/>
      <c r="PPD26" s="3"/>
      <c r="PPE26" s="3"/>
      <c r="PPF26" s="3"/>
      <c r="PPG26" s="3"/>
      <c r="PPH26" s="3"/>
      <c r="PPI26" s="3"/>
      <c r="PPJ26" s="3"/>
      <c r="PPK26" s="3"/>
      <c r="PPL26" s="3"/>
      <c r="PPM26" s="3"/>
      <c r="PPN26" s="3"/>
      <c r="PPO26" s="3"/>
      <c r="PPP26" s="3"/>
      <c r="PPQ26" s="3"/>
      <c r="PPR26" s="3"/>
      <c r="PPS26" s="3"/>
      <c r="PPT26" s="3"/>
      <c r="PPU26" s="3"/>
      <c r="PPV26" s="3"/>
      <c r="PPW26" s="3"/>
      <c r="PPX26" s="3"/>
      <c r="PPY26" s="3"/>
      <c r="PPZ26" s="3"/>
      <c r="PQA26" s="3"/>
      <c r="PQB26" s="3"/>
      <c r="PQC26" s="3"/>
      <c r="PQD26" s="3"/>
      <c r="PQE26" s="3"/>
      <c r="PQF26" s="3"/>
      <c r="PQG26" s="3"/>
      <c r="PQH26" s="3"/>
      <c r="PQI26" s="3"/>
      <c r="PQJ26" s="3"/>
      <c r="PQK26" s="3"/>
      <c r="PQL26" s="3"/>
      <c r="PQM26" s="3"/>
      <c r="PQN26" s="3"/>
      <c r="PQO26" s="3"/>
      <c r="PQP26" s="3"/>
      <c r="PQQ26" s="3"/>
      <c r="PQR26" s="3"/>
      <c r="PQS26" s="3"/>
      <c r="PQT26" s="3"/>
      <c r="PQU26" s="3"/>
      <c r="PQV26" s="3"/>
      <c r="PQW26" s="3"/>
      <c r="PQX26" s="3"/>
      <c r="PQY26" s="3"/>
      <c r="PQZ26" s="3"/>
      <c r="PRA26" s="3"/>
      <c r="PRB26" s="3"/>
      <c r="PRC26" s="3"/>
      <c r="PRD26" s="3"/>
      <c r="PRE26" s="3"/>
      <c r="PRF26" s="3"/>
      <c r="PRG26" s="3"/>
      <c r="PRH26" s="3"/>
      <c r="PRI26" s="3"/>
      <c r="PRJ26" s="3"/>
      <c r="PRK26" s="3"/>
      <c r="PRL26" s="3"/>
      <c r="PRM26" s="3"/>
      <c r="PRN26" s="3"/>
      <c r="PRO26" s="3"/>
      <c r="PRP26" s="3"/>
      <c r="PRQ26" s="3"/>
      <c r="PRR26" s="3"/>
      <c r="PRS26" s="3"/>
      <c r="PRT26" s="3"/>
      <c r="PRU26" s="3"/>
      <c r="PRV26" s="3"/>
      <c r="PRW26" s="3"/>
      <c r="PRX26" s="3"/>
      <c r="PRY26" s="3"/>
      <c r="PRZ26" s="3"/>
      <c r="PSA26" s="3"/>
      <c r="PSB26" s="3"/>
      <c r="PSC26" s="3"/>
      <c r="PSD26" s="3"/>
      <c r="PSE26" s="3"/>
      <c r="PSF26" s="3"/>
      <c r="PSG26" s="3"/>
      <c r="PSH26" s="3"/>
      <c r="PSI26" s="3"/>
      <c r="PSJ26" s="3"/>
      <c r="PSK26" s="3"/>
      <c r="PSL26" s="3"/>
      <c r="PSM26" s="3"/>
      <c r="PSN26" s="3"/>
      <c r="PSO26" s="3"/>
      <c r="PSP26" s="3"/>
      <c r="PSQ26" s="3"/>
      <c r="PSR26" s="3"/>
      <c r="PSS26" s="3"/>
      <c r="PST26" s="3"/>
      <c r="PSU26" s="3"/>
      <c r="PSV26" s="3"/>
      <c r="PSW26" s="3"/>
      <c r="PSX26" s="3"/>
      <c r="PSY26" s="3"/>
      <c r="PSZ26" s="3"/>
      <c r="PTA26" s="3"/>
      <c r="PTB26" s="3"/>
      <c r="PTC26" s="3"/>
      <c r="PTD26" s="3"/>
      <c r="PTE26" s="3"/>
      <c r="PTF26" s="3"/>
      <c r="PTG26" s="3"/>
      <c r="PTH26" s="3"/>
      <c r="PTI26" s="3"/>
      <c r="PTJ26" s="3"/>
      <c r="PTK26" s="3"/>
      <c r="PTL26" s="3"/>
      <c r="PTM26" s="3"/>
      <c r="PTN26" s="3"/>
      <c r="PTO26" s="3"/>
      <c r="PTP26" s="3"/>
      <c r="PTQ26" s="3"/>
      <c r="PTR26" s="3"/>
      <c r="PTS26" s="3"/>
      <c r="PTT26" s="3"/>
      <c r="PTU26" s="3"/>
      <c r="PTV26" s="3"/>
      <c r="PTW26" s="3"/>
      <c r="PTX26" s="3"/>
      <c r="PTY26" s="3"/>
      <c r="PTZ26" s="3"/>
      <c r="PUA26" s="3"/>
      <c r="PUB26" s="3"/>
      <c r="PUC26" s="3"/>
      <c r="PUD26" s="3"/>
      <c r="PUE26" s="3"/>
      <c r="PUF26" s="3"/>
      <c r="PUG26" s="3"/>
      <c r="PUH26" s="3"/>
      <c r="PUI26" s="3"/>
      <c r="PUJ26" s="3"/>
      <c r="PUK26" s="3"/>
      <c r="PUL26" s="3"/>
      <c r="PUM26" s="3"/>
      <c r="PUN26" s="3"/>
      <c r="PUO26" s="3"/>
      <c r="PUP26" s="3"/>
      <c r="PUQ26" s="3"/>
      <c r="PUR26" s="3"/>
      <c r="PUS26" s="3"/>
      <c r="PUT26" s="3"/>
      <c r="PUU26" s="3"/>
      <c r="PUV26" s="3"/>
      <c r="PUW26" s="3"/>
      <c r="PUX26" s="3"/>
      <c r="PUY26" s="3"/>
      <c r="PUZ26" s="3"/>
      <c r="PVA26" s="3"/>
      <c r="PVB26" s="3"/>
      <c r="PVC26" s="3"/>
      <c r="PVD26" s="3"/>
      <c r="PVE26" s="3"/>
      <c r="PVF26" s="3"/>
      <c r="PVG26" s="3"/>
      <c r="PVH26" s="3"/>
      <c r="PVI26" s="3"/>
      <c r="PVJ26" s="3"/>
      <c r="PVK26" s="3"/>
      <c r="PVL26" s="3"/>
      <c r="PVM26" s="3"/>
      <c r="PVN26" s="3"/>
      <c r="PVO26" s="3"/>
      <c r="PVP26" s="3"/>
      <c r="PVQ26" s="3"/>
      <c r="PVR26" s="3"/>
      <c r="PVS26" s="3"/>
      <c r="PVT26" s="3"/>
      <c r="PVU26" s="3"/>
      <c r="PVV26" s="3"/>
      <c r="PVW26" s="3"/>
      <c r="PVX26" s="3"/>
      <c r="PVY26" s="3"/>
      <c r="PVZ26" s="3"/>
      <c r="PWA26" s="3"/>
      <c r="PWB26" s="3"/>
      <c r="PWC26" s="3"/>
      <c r="PWD26" s="3"/>
      <c r="PWE26" s="3"/>
      <c r="PWF26" s="3"/>
      <c r="PWG26" s="3"/>
      <c r="PWH26" s="3"/>
      <c r="PWI26" s="3"/>
      <c r="PWJ26" s="3"/>
      <c r="PWK26" s="3"/>
      <c r="PWL26" s="3"/>
      <c r="PWM26" s="3"/>
      <c r="PWN26" s="3"/>
      <c r="PWO26" s="3"/>
      <c r="PWP26" s="3"/>
      <c r="PWQ26" s="3"/>
      <c r="PWR26" s="3"/>
      <c r="PWS26" s="3"/>
      <c r="PWT26" s="3"/>
      <c r="PWU26" s="3"/>
      <c r="PWV26" s="3"/>
      <c r="PWW26" s="3"/>
      <c r="PWX26" s="3"/>
      <c r="PWY26" s="3"/>
      <c r="PWZ26" s="3"/>
      <c r="PXA26" s="3"/>
      <c r="PXB26" s="3"/>
      <c r="PXC26" s="3"/>
      <c r="PXD26" s="3"/>
      <c r="PXE26" s="3"/>
      <c r="PXF26" s="3"/>
      <c r="PXG26" s="3"/>
      <c r="PXH26" s="3"/>
      <c r="PXI26" s="3"/>
      <c r="PXJ26" s="3"/>
      <c r="PXK26" s="3"/>
      <c r="PXL26" s="3"/>
      <c r="PXM26" s="3"/>
      <c r="PXN26" s="3"/>
      <c r="PXO26" s="3"/>
      <c r="PXP26" s="3"/>
      <c r="PXQ26" s="3"/>
      <c r="PXR26" s="3"/>
      <c r="PXS26" s="3"/>
      <c r="PXT26" s="3"/>
      <c r="PXU26" s="3"/>
      <c r="PXV26" s="3"/>
      <c r="PXW26" s="3"/>
      <c r="PXX26" s="3"/>
      <c r="PXY26" s="3"/>
      <c r="PXZ26" s="3"/>
      <c r="PYA26" s="3"/>
      <c r="PYB26" s="3"/>
      <c r="PYC26" s="3"/>
      <c r="PYD26" s="3"/>
      <c r="PYE26" s="3"/>
      <c r="PYF26" s="3"/>
      <c r="PYG26" s="3"/>
      <c r="PYH26" s="3"/>
      <c r="PYI26" s="3"/>
      <c r="PYJ26" s="3"/>
      <c r="PYK26" s="3"/>
      <c r="PYL26" s="3"/>
      <c r="PYM26" s="3"/>
      <c r="PYN26" s="3"/>
      <c r="PYO26" s="3"/>
      <c r="PYP26" s="3"/>
      <c r="PYQ26" s="3"/>
      <c r="PYR26" s="3"/>
      <c r="PYS26" s="3"/>
      <c r="PYT26" s="3"/>
      <c r="PYU26" s="3"/>
      <c r="PYV26" s="3"/>
      <c r="PYW26" s="3"/>
      <c r="PYX26" s="3"/>
      <c r="PYY26" s="3"/>
      <c r="PYZ26" s="3"/>
      <c r="PZA26" s="3"/>
      <c r="PZB26" s="3"/>
      <c r="PZC26" s="3"/>
      <c r="PZD26" s="3"/>
      <c r="PZE26" s="3"/>
      <c r="PZF26" s="3"/>
      <c r="PZG26" s="3"/>
      <c r="PZH26" s="3"/>
      <c r="PZI26" s="3"/>
      <c r="PZJ26" s="3"/>
      <c r="PZK26" s="3"/>
      <c r="PZL26" s="3"/>
      <c r="PZM26" s="3"/>
      <c r="PZN26" s="3"/>
      <c r="PZO26" s="3"/>
      <c r="PZP26" s="3"/>
      <c r="PZQ26" s="3"/>
      <c r="PZR26" s="3"/>
      <c r="PZS26" s="3"/>
      <c r="PZT26" s="3"/>
      <c r="PZU26" s="3"/>
      <c r="PZV26" s="3"/>
      <c r="PZW26" s="3"/>
      <c r="PZX26" s="3"/>
      <c r="PZY26" s="3"/>
      <c r="PZZ26" s="3"/>
      <c r="QAA26" s="3"/>
      <c r="QAB26" s="3"/>
      <c r="QAC26" s="3"/>
      <c r="QAD26" s="3"/>
      <c r="QAE26" s="3"/>
      <c r="QAF26" s="3"/>
      <c r="QAG26" s="3"/>
      <c r="QAH26" s="3"/>
      <c r="QAI26" s="3"/>
      <c r="QAJ26" s="3"/>
      <c r="QAK26" s="3"/>
      <c r="QAL26" s="3"/>
      <c r="QAM26" s="3"/>
      <c r="QAN26" s="3"/>
      <c r="QAO26" s="3"/>
      <c r="QAP26" s="3"/>
      <c r="QAQ26" s="3"/>
      <c r="QAR26" s="3"/>
      <c r="QAS26" s="3"/>
      <c r="QAT26" s="3"/>
      <c r="QAU26" s="3"/>
      <c r="QAV26" s="3"/>
      <c r="QAW26" s="3"/>
      <c r="QAX26" s="3"/>
      <c r="QAY26" s="3"/>
      <c r="QAZ26" s="3"/>
      <c r="QBA26" s="3"/>
      <c r="QBB26" s="3"/>
      <c r="QBC26" s="3"/>
      <c r="QBD26" s="3"/>
      <c r="QBE26" s="3"/>
      <c r="QBF26" s="3"/>
      <c r="QBG26" s="3"/>
      <c r="QBH26" s="3"/>
      <c r="QBI26" s="3"/>
      <c r="QBJ26" s="3"/>
      <c r="QBK26" s="3"/>
      <c r="QBL26" s="3"/>
      <c r="QBM26" s="3"/>
      <c r="QBN26" s="3"/>
      <c r="QBO26" s="3"/>
      <c r="QBP26" s="3"/>
      <c r="QBQ26" s="3"/>
      <c r="QBR26" s="3"/>
      <c r="QBS26" s="3"/>
      <c r="QBT26" s="3"/>
      <c r="QBU26" s="3"/>
      <c r="QBV26" s="3"/>
      <c r="QBW26" s="3"/>
      <c r="QBX26" s="3"/>
      <c r="QBY26" s="3"/>
      <c r="QBZ26" s="3"/>
      <c r="QCA26" s="3"/>
      <c r="QCB26" s="3"/>
      <c r="QCC26" s="3"/>
      <c r="QCD26" s="3"/>
      <c r="QCE26" s="3"/>
      <c r="QCF26" s="3"/>
      <c r="QCG26" s="3"/>
      <c r="QCH26" s="3"/>
      <c r="QCI26" s="3"/>
      <c r="QCJ26" s="3"/>
      <c r="QCK26" s="3"/>
      <c r="QCL26" s="3"/>
      <c r="QCM26" s="3"/>
      <c r="QCN26" s="3"/>
      <c r="QCO26" s="3"/>
      <c r="QCP26" s="3"/>
      <c r="QCQ26" s="3"/>
      <c r="QCR26" s="3"/>
      <c r="QCS26" s="3"/>
      <c r="QCT26" s="3"/>
      <c r="QCU26" s="3"/>
      <c r="QCV26" s="3"/>
      <c r="QCW26" s="3"/>
      <c r="QCX26" s="3"/>
      <c r="QCY26" s="3"/>
      <c r="QCZ26" s="3"/>
      <c r="QDA26" s="3"/>
      <c r="QDB26" s="3"/>
      <c r="QDC26" s="3"/>
      <c r="QDD26" s="3"/>
      <c r="QDE26" s="3"/>
      <c r="QDF26" s="3"/>
      <c r="QDG26" s="3"/>
      <c r="QDH26" s="3"/>
      <c r="QDI26" s="3"/>
      <c r="QDJ26" s="3"/>
      <c r="QDK26" s="3"/>
      <c r="QDL26" s="3"/>
      <c r="QDM26" s="3"/>
      <c r="QDN26" s="3"/>
      <c r="QDO26" s="3"/>
      <c r="QDP26" s="3"/>
      <c r="QDQ26" s="3"/>
      <c r="QDR26" s="3"/>
      <c r="QDS26" s="3"/>
      <c r="QDT26" s="3"/>
      <c r="QDU26" s="3"/>
      <c r="QDV26" s="3"/>
      <c r="QDW26" s="3"/>
      <c r="QDX26" s="3"/>
      <c r="QDY26" s="3"/>
      <c r="QDZ26" s="3"/>
      <c r="QEA26" s="3"/>
      <c r="QEB26" s="3"/>
      <c r="QEC26" s="3"/>
      <c r="QED26" s="3"/>
      <c r="QEE26" s="3"/>
      <c r="QEF26" s="3"/>
      <c r="QEG26" s="3"/>
      <c r="QEH26" s="3"/>
      <c r="QEI26" s="3"/>
      <c r="QEJ26" s="3"/>
      <c r="QEK26" s="3"/>
      <c r="QEL26" s="3"/>
      <c r="QEM26" s="3"/>
      <c r="QEN26" s="3"/>
      <c r="QEO26" s="3"/>
      <c r="QEP26" s="3"/>
      <c r="QEQ26" s="3"/>
      <c r="QER26" s="3"/>
      <c r="QES26" s="3"/>
      <c r="QET26" s="3"/>
      <c r="QEU26" s="3"/>
      <c r="QEV26" s="3"/>
      <c r="QEW26" s="3"/>
      <c r="QEX26" s="3"/>
      <c r="QEY26" s="3"/>
      <c r="QEZ26" s="3"/>
      <c r="QFA26" s="3"/>
      <c r="QFB26" s="3"/>
      <c r="QFC26" s="3"/>
      <c r="QFD26" s="3"/>
      <c r="QFE26" s="3"/>
      <c r="QFF26" s="3"/>
      <c r="QFG26" s="3"/>
      <c r="QFH26" s="3"/>
      <c r="QFI26" s="3"/>
      <c r="QFJ26" s="3"/>
      <c r="QFK26" s="3"/>
      <c r="QFL26" s="3"/>
      <c r="QFM26" s="3"/>
      <c r="QFN26" s="3"/>
      <c r="QFO26" s="3"/>
      <c r="QFP26" s="3"/>
      <c r="QFQ26" s="3"/>
      <c r="QFR26" s="3"/>
      <c r="QFS26" s="3"/>
      <c r="QFT26" s="3"/>
      <c r="QFU26" s="3"/>
      <c r="QFV26" s="3"/>
      <c r="QFW26" s="3"/>
      <c r="QFX26" s="3"/>
      <c r="QFY26" s="3"/>
      <c r="QFZ26" s="3"/>
      <c r="QGA26" s="3"/>
      <c r="QGB26" s="3"/>
      <c r="QGC26" s="3"/>
      <c r="QGD26" s="3"/>
      <c r="QGE26" s="3"/>
      <c r="QGF26" s="3"/>
      <c r="QGG26" s="3"/>
      <c r="QGH26" s="3"/>
      <c r="QGI26" s="3"/>
      <c r="QGJ26" s="3"/>
      <c r="QGK26" s="3"/>
      <c r="QGL26" s="3"/>
      <c r="QGM26" s="3"/>
      <c r="QGN26" s="3"/>
      <c r="QGO26" s="3"/>
      <c r="QGP26" s="3"/>
      <c r="QGQ26" s="3"/>
      <c r="QGR26" s="3"/>
      <c r="QGS26" s="3"/>
      <c r="QGT26" s="3"/>
      <c r="QGU26" s="3"/>
      <c r="QGV26" s="3"/>
      <c r="QGW26" s="3"/>
      <c r="QGX26" s="3"/>
      <c r="QGY26" s="3"/>
      <c r="QGZ26" s="3"/>
      <c r="QHA26" s="3"/>
      <c r="QHB26" s="3"/>
      <c r="QHC26" s="3"/>
      <c r="QHD26" s="3"/>
      <c r="QHE26" s="3"/>
      <c r="QHF26" s="3"/>
      <c r="QHG26" s="3"/>
      <c r="QHH26" s="3"/>
      <c r="QHI26" s="3"/>
      <c r="QHJ26" s="3"/>
      <c r="QHK26" s="3"/>
      <c r="QHL26" s="3"/>
      <c r="QHM26" s="3"/>
      <c r="QHN26" s="3"/>
      <c r="QHO26" s="3"/>
      <c r="QHP26" s="3"/>
      <c r="QHQ26" s="3"/>
      <c r="QHR26" s="3"/>
      <c r="QHS26" s="3"/>
      <c r="QHT26" s="3"/>
      <c r="QHU26" s="3"/>
      <c r="QHV26" s="3"/>
      <c r="QHW26" s="3"/>
      <c r="QHX26" s="3"/>
      <c r="QHY26" s="3"/>
      <c r="QHZ26" s="3"/>
      <c r="QIA26" s="3"/>
      <c r="QIB26" s="3"/>
      <c r="QIC26" s="3"/>
      <c r="QID26" s="3"/>
      <c r="QIE26" s="3"/>
      <c r="QIF26" s="3"/>
      <c r="QIG26" s="3"/>
      <c r="QIH26" s="3"/>
      <c r="QII26" s="3"/>
      <c r="QIJ26" s="3"/>
      <c r="QIK26" s="3"/>
      <c r="QIL26" s="3"/>
      <c r="QIM26" s="3"/>
      <c r="QIN26" s="3"/>
      <c r="QIO26" s="3"/>
      <c r="QIP26" s="3"/>
      <c r="QIQ26" s="3"/>
      <c r="QIR26" s="3"/>
      <c r="QIS26" s="3"/>
      <c r="QIT26" s="3"/>
      <c r="QIU26" s="3"/>
      <c r="QIV26" s="3"/>
      <c r="QIW26" s="3"/>
      <c r="QIX26" s="3"/>
      <c r="QIY26" s="3"/>
      <c r="QIZ26" s="3"/>
      <c r="QJA26" s="3"/>
      <c r="QJB26" s="3"/>
      <c r="QJC26" s="3"/>
      <c r="QJD26" s="3"/>
      <c r="QJE26" s="3"/>
      <c r="QJF26" s="3"/>
      <c r="QJG26" s="3"/>
      <c r="QJH26" s="3"/>
      <c r="QJI26" s="3"/>
      <c r="QJJ26" s="3"/>
      <c r="QJK26" s="3"/>
      <c r="QJL26" s="3"/>
      <c r="QJM26" s="3"/>
      <c r="QJN26" s="3"/>
      <c r="QJO26" s="3"/>
      <c r="QJP26" s="3"/>
      <c r="QJQ26" s="3"/>
      <c r="QJR26" s="3"/>
      <c r="QJS26" s="3"/>
      <c r="QJT26" s="3"/>
      <c r="QJU26" s="3"/>
      <c r="QJV26" s="3"/>
      <c r="QJW26" s="3"/>
      <c r="QJX26" s="3"/>
      <c r="QJY26" s="3"/>
      <c r="QJZ26" s="3"/>
      <c r="QKA26" s="3"/>
      <c r="QKB26" s="3"/>
      <c r="QKC26" s="3"/>
      <c r="QKD26" s="3"/>
      <c r="QKE26" s="3"/>
      <c r="QKF26" s="3"/>
      <c r="QKG26" s="3"/>
      <c r="QKH26" s="3"/>
      <c r="QKI26" s="3"/>
      <c r="QKJ26" s="3"/>
      <c r="QKK26" s="3"/>
      <c r="QKL26" s="3"/>
      <c r="QKM26" s="3"/>
      <c r="QKN26" s="3"/>
      <c r="QKO26" s="3"/>
      <c r="QKP26" s="3"/>
      <c r="QKQ26" s="3"/>
      <c r="QKR26" s="3"/>
      <c r="QKS26" s="3"/>
      <c r="QKT26" s="3"/>
      <c r="QKU26" s="3"/>
      <c r="QKV26" s="3"/>
      <c r="QKW26" s="3"/>
      <c r="QKX26" s="3"/>
      <c r="QKY26" s="3"/>
      <c r="QKZ26" s="3"/>
      <c r="QLA26" s="3"/>
      <c r="QLB26" s="3"/>
      <c r="QLC26" s="3"/>
      <c r="QLD26" s="3"/>
      <c r="QLE26" s="3"/>
      <c r="QLF26" s="3"/>
      <c r="QLG26" s="3"/>
      <c r="QLH26" s="3"/>
      <c r="QLI26" s="3"/>
      <c r="QLJ26" s="3"/>
      <c r="QLK26" s="3"/>
      <c r="QLL26" s="3"/>
      <c r="QLM26" s="3"/>
      <c r="QLN26" s="3"/>
      <c r="QLO26" s="3"/>
      <c r="QLP26" s="3"/>
      <c r="QLQ26" s="3"/>
      <c r="QLR26" s="3"/>
      <c r="QLS26" s="3"/>
      <c r="QLT26" s="3"/>
      <c r="QLU26" s="3"/>
      <c r="QLV26" s="3"/>
      <c r="QLW26" s="3"/>
      <c r="QLX26" s="3"/>
      <c r="QLY26" s="3"/>
      <c r="QLZ26" s="3"/>
      <c r="QMA26" s="3"/>
      <c r="QMB26" s="3"/>
      <c r="QMC26" s="3"/>
      <c r="QMD26" s="3"/>
      <c r="QME26" s="3"/>
      <c r="QMF26" s="3"/>
      <c r="QMG26" s="3"/>
      <c r="QMH26" s="3"/>
      <c r="QMI26" s="3"/>
      <c r="QMJ26" s="3"/>
      <c r="QMK26" s="3"/>
      <c r="QML26" s="3"/>
      <c r="QMM26" s="3"/>
      <c r="QMN26" s="3"/>
      <c r="QMO26" s="3"/>
      <c r="QMP26" s="3"/>
      <c r="QMQ26" s="3"/>
      <c r="QMR26" s="3"/>
      <c r="QMS26" s="3"/>
      <c r="QMT26" s="3"/>
      <c r="QMU26" s="3"/>
      <c r="QMV26" s="3"/>
      <c r="QMW26" s="3"/>
      <c r="QMX26" s="3"/>
      <c r="QMY26" s="3"/>
      <c r="QMZ26" s="3"/>
      <c r="QNA26" s="3"/>
      <c r="QNB26" s="3"/>
      <c r="QNC26" s="3"/>
      <c r="QND26" s="3"/>
      <c r="QNE26" s="3"/>
      <c r="QNF26" s="3"/>
      <c r="QNG26" s="3"/>
      <c r="QNH26" s="3"/>
      <c r="QNI26" s="3"/>
      <c r="QNJ26" s="3"/>
      <c r="QNK26" s="3"/>
      <c r="QNL26" s="3"/>
      <c r="QNM26" s="3"/>
      <c r="QNN26" s="3"/>
      <c r="QNO26" s="3"/>
      <c r="QNP26" s="3"/>
      <c r="QNQ26" s="3"/>
      <c r="QNR26" s="3"/>
      <c r="QNS26" s="3"/>
      <c r="QNT26" s="3"/>
      <c r="QNU26" s="3"/>
      <c r="QNV26" s="3"/>
      <c r="QNW26" s="3"/>
      <c r="QNX26" s="3"/>
      <c r="QNY26" s="3"/>
      <c r="QNZ26" s="3"/>
      <c r="QOA26" s="3"/>
      <c r="QOB26" s="3"/>
      <c r="QOC26" s="3"/>
      <c r="QOD26" s="3"/>
      <c r="QOE26" s="3"/>
      <c r="QOF26" s="3"/>
      <c r="QOG26" s="3"/>
      <c r="QOH26" s="3"/>
      <c r="QOI26" s="3"/>
      <c r="QOJ26" s="3"/>
      <c r="QOK26" s="3"/>
      <c r="QOL26" s="3"/>
      <c r="QOM26" s="3"/>
      <c r="QON26" s="3"/>
      <c r="QOO26" s="3"/>
      <c r="QOP26" s="3"/>
      <c r="QOQ26" s="3"/>
      <c r="QOR26" s="3"/>
      <c r="QOS26" s="3"/>
      <c r="QOT26" s="3"/>
      <c r="QOU26" s="3"/>
      <c r="QOV26" s="3"/>
      <c r="QOW26" s="3"/>
      <c r="QOX26" s="3"/>
      <c r="QOY26" s="3"/>
      <c r="QOZ26" s="3"/>
      <c r="QPA26" s="3"/>
      <c r="QPB26" s="3"/>
      <c r="QPC26" s="3"/>
      <c r="QPD26" s="3"/>
      <c r="QPE26" s="3"/>
      <c r="QPF26" s="3"/>
      <c r="QPG26" s="3"/>
      <c r="QPH26" s="3"/>
      <c r="QPI26" s="3"/>
      <c r="QPJ26" s="3"/>
      <c r="QPK26" s="3"/>
      <c r="QPL26" s="3"/>
      <c r="QPM26" s="3"/>
      <c r="QPN26" s="3"/>
      <c r="QPO26" s="3"/>
      <c r="QPP26" s="3"/>
      <c r="QPQ26" s="3"/>
      <c r="QPR26" s="3"/>
      <c r="QPS26" s="3"/>
      <c r="QPT26" s="3"/>
      <c r="QPU26" s="3"/>
      <c r="QPV26" s="3"/>
      <c r="QPW26" s="3"/>
      <c r="QPX26" s="3"/>
      <c r="QPY26" s="3"/>
      <c r="QPZ26" s="3"/>
      <c r="QQA26" s="3"/>
      <c r="QQB26" s="3"/>
      <c r="QQC26" s="3"/>
      <c r="QQD26" s="3"/>
      <c r="QQE26" s="3"/>
      <c r="QQF26" s="3"/>
      <c r="QQG26" s="3"/>
      <c r="QQH26" s="3"/>
      <c r="QQI26" s="3"/>
      <c r="QQJ26" s="3"/>
      <c r="QQK26" s="3"/>
      <c r="QQL26" s="3"/>
      <c r="QQM26" s="3"/>
      <c r="QQN26" s="3"/>
      <c r="QQO26" s="3"/>
      <c r="QQP26" s="3"/>
      <c r="QQQ26" s="3"/>
      <c r="QQR26" s="3"/>
      <c r="QQS26" s="3"/>
      <c r="QQT26" s="3"/>
      <c r="QQU26" s="3"/>
      <c r="QQV26" s="3"/>
      <c r="QQW26" s="3"/>
      <c r="QQX26" s="3"/>
      <c r="QQY26" s="3"/>
      <c r="QQZ26" s="3"/>
      <c r="QRA26" s="3"/>
      <c r="QRB26" s="3"/>
      <c r="QRC26" s="3"/>
      <c r="QRD26" s="3"/>
      <c r="QRE26" s="3"/>
      <c r="QRF26" s="3"/>
      <c r="QRG26" s="3"/>
      <c r="QRH26" s="3"/>
      <c r="QRI26" s="3"/>
      <c r="QRJ26" s="3"/>
      <c r="QRK26" s="3"/>
      <c r="QRL26" s="3"/>
      <c r="QRM26" s="3"/>
      <c r="QRN26" s="3"/>
      <c r="QRO26" s="3"/>
      <c r="QRP26" s="3"/>
      <c r="QRQ26" s="3"/>
      <c r="QRR26" s="3"/>
      <c r="QRS26" s="3"/>
      <c r="QRT26" s="3"/>
      <c r="QRU26" s="3"/>
      <c r="QRV26" s="3"/>
      <c r="QRW26" s="3"/>
      <c r="QRX26" s="3"/>
      <c r="QRY26" s="3"/>
      <c r="QRZ26" s="3"/>
      <c r="QSA26" s="3"/>
      <c r="QSB26" s="3"/>
      <c r="QSC26" s="3"/>
      <c r="QSD26" s="3"/>
      <c r="QSE26" s="3"/>
      <c r="QSF26" s="3"/>
      <c r="QSG26" s="3"/>
      <c r="QSH26" s="3"/>
      <c r="QSI26" s="3"/>
      <c r="QSJ26" s="3"/>
      <c r="QSK26" s="3"/>
      <c r="QSL26" s="3"/>
      <c r="QSM26" s="3"/>
      <c r="QSN26" s="3"/>
      <c r="QSO26" s="3"/>
      <c r="QSP26" s="3"/>
      <c r="QSQ26" s="3"/>
      <c r="QSR26" s="3"/>
      <c r="QSS26" s="3"/>
      <c r="QST26" s="3"/>
      <c r="QSU26" s="3"/>
      <c r="QSV26" s="3"/>
      <c r="QSW26" s="3"/>
      <c r="QSX26" s="3"/>
      <c r="QSY26" s="3"/>
      <c r="QSZ26" s="3"/>
      <c r="QTA26" s="3"/>
      <c r="QTB26" s="3"/>
      <c r="QTC26" s="3"/>
      <c r="QTD26" s="3"/>
      <c r="QTE26" s="3"/>
      <c r="QTF26" s="3"/>
      <c r="QTG26" s="3"/>
      <c r="QTH26" s="3"/>
      <c r="QTI26" s="3"/>
      <c r="QTJ26" s="3"/>
      <c r="QTK26" s="3"/>
      <c r="QTL26" s="3"/>
      <c r="QTM26" s="3"/>
      <c r="QTN26" s="3"/>
      <c r="QTO26" s="3"/>
      <c r="QTP26" s="3"/>
      <c r="QTQ26" s="3"/>
      <c r="QTR26" s="3"/>
      <c r="QTS26" s="3"/>
      <c r="QTT26" s="3"/>
      <c r="QTU26" s="3"/>
      <c r="QTV26" s="3"/>
      <c r="QTW26" s="3"/>
      <c r="QTX26" s="3"/>
      <c r="QTY26" s="3"/>
      <c r="QTZ26" s="3"/>
      <c r="QUA26" s="3"/>
      <c r="QUB26" s="3"/>
      <c r="QUC26" s="3"/>
      <c r="QUD26" s="3"/>
      <c r="QUE26" s="3"/>
      <c r="QUF26" s="3"/>
      <c r="QUG26" s="3"/>
      <c r="QUH26" s="3"/>
      <c r="QUI26" s="3"/>
      <c r="QUJ26" s="3"/>
      <c r="QUK26" s="3"/>
      <c r="QUL26" s="3"/>
      <c r="QUM26" s="3"/>
      <c r="QUN26" s="3"/>
      <c r="QUO26" s="3"/>
      <c r="QUP26" s="3"/>
      <c r="QUQ26" s="3"/>
      <c r="QUR26" s="3"/>
      <c r="QUS26" s="3"/>
      <c r="QUT26" s="3"/>
      <c r="QUU26" s="3"/>
      <c r="QUV26" s="3"/>
      <c r="QUW26" s="3"/>
      <c r="QUX26" s="3"/>
      <c r="QUY26" s="3"/>
      <c r="QUZ26" s="3"/>
      <c r="QVA26" s="3"/>
      <c r="QVB26" s="3"/>
      <c r="QVC26" s="3"/>
      <c r="QVD26" s="3"/>
      <c r="QVE26" s="3"/>
      <c r="QVF26" s="3"/>
      <c r="QVG26" s="3"/>
      <c r="QVH26" s="3"/>
      <c r="QVI26" s="3"/>
      <c r="QVJ26" s="3"/>
      <c r="QVK26" s="3"/>
      <c r="QVL26" s="3"/>
      <c r="QVM26" s="3"/>
      <c r="QVN26" s="3"/>
      <c r="QVO26" s="3"/>
      <c r="QVP26" s="3"/>
      <c r="QVQ26" s="3"/>
      <c r="QVR26" s="3"/>
      <c r="QVS26" s="3"/>
      <c r="QVT26" s="3"/>
      <c r="QVU26" s="3"/>
      <c r="QVV26" s="3"/>
      <c r="QVW26" s="3"/>
      <c r="QVX26" s="3"/>
      <c r="QVY26" s="3"/>
      <c r="QVZ26" s="3"/>
      <c r="QWA26" s="3"/>
      <c r="QWB26" s="3"/>
      <c r="QWC26" s="3"/>
      <c r="QWD26" s="3"/>
      <c r="QWE26" s="3"/>
      <c r="QWF26" s="3"/>
      <c r="QWG26" s="3"/>
      <c r="QWH26" s="3"/>
      <c r="QWI26" s="3"/>
      <c r="QWJ26" s="3"/>
      <c r="QWK26" s="3"/>
      <c r="QWL26" s="3"/>
      <c r="QWM26" s="3"/>
      <c r="QWN26" s="3"/>
      <c r="QWO26" s="3"/>
      <c r="QWP26" s="3"/>
      <c r="QWQ26" s="3"/>
      <c r="QWR26" s="3"/>
      <c r="QWS26" s="3"/>
      <c r="QWT26" s="3"/>
      <c r="QWU26" s="3"/>
      <c r="QWV26" s="3"/>
      <c r="QWW26" s="3"/>
      <c r="QWX26" s="3"/>
      <c r="QWY26" s="3"/>
      <c r="QWZ26" s="3"/>
      <c r="QXA26" s="3"/>
      <c r="QXB26" s="3"/>
      <c r="QXC26" s="3"/>
      <c r="QXD26" s="3"/>
      <c r="QXE26" s="3"/>
      <c r="QXF26" s="3"/>
      <c r="QXG26" s="3"/>
      <c r="QXH26" s="3"/>
      <c r="QXI26" s="3"/>
      <c r="QXJ26" s="3"/>
      <c r="QXK26" s="3"/>
      <c r="QXL26" s="3"/>
      <c r="QXM26" s="3"/>
      <c r="QXN26" s="3"/>
      <c r="QXO26" s="3"/>
      <c r="QXP26" s="3"/>
      <c r="QXQ26" s="3"/>
      <c r="QXR26" s="3"/>
      <c r="QXS26" s="3"/>
      <c r="QXT26" s="3"/>
      <c r="QXU26" s="3"/>
      <c r="QXV26" s="3"/>
      <c r="QXW26" s="3"/>
      <c r="QXX26" s="3"/>
      <c r="QXY26" s="3"/>
      <c r="QXZ26" s="3"/>
      <c r="QYA26" s="3"/>
      <c r="QYB26" s="3"/>
      <c r="QYC26" s="3"/>
      <c r="QYD26" s="3"/>
      <c r="QYE26" s="3"/>
      <c r="QYF26" s="3"/>
      <c r="QYG26" s="3"/>
      <c r="QYH26" s="3"/>
      <c r="QYI26" s="3"/>
      <c r="QYJ26" s="3"/>
      <c r="QYK26" s="3"/>
      <c r="QYL26" s="3"/>
      <c r="QYM26" s="3"/>
      <c r="QYN26" s="3"/>
      <c r="QYO26" s="3"/>
      <c r="QYP26" s="3"/>
      <c r="QYQ26" s="3"/>
      <c r="QYR26" s="3"/>
      <c r="QYS26" s="3"/>
      <c r="QYT26" s="3"/>
      <c r="QYU26" s="3"/>
      <c r="QYV26" s="3"/>
      <c r="QYW26" s="3"/>
      <c r="QYX26" s="3"/>
      <c r="QYY26" s="3"/>
      <c r="QYZ26" s="3"/>
      <c r="QZA26" s="3"/>
      <c r="QZB26" s="3"/>
      <c r="QZC26" s="3"/>
      <c r="QZD26" s="3"/>
      <c r="QZE26" s="3"/>
      <c r="QZF26" s="3"/>
      <c r="QZG26" s="3"/>
      <c r="QZH26" s="3"/>
      <c r="QZI26" s="3"/>
      <c r="QZJ26" s="3"/>
      <c r="QZK26" s="3"/>
      <c r="QZL26" s="3"/>
      <c r="QZM26" s="3"/>
      <c r="QZN26" s="3"/>
      <c r="QZO26" s="3"/>
      <c r="QZP26" s="3"/>
      <c r="QZQ26" s="3"/>
      <c r="QZR26" s="3"/>
      <c r="QZS26" s="3"/>
      <c r="QZT26" s="3"/>
      <c r="QZU26" s="3"/>
      <c r="QZV26" s="3"/>
      <c r="QZW26" s="3"/>
      <c r="QZX26" s="3"/>
      <c r="QZY26" s="3"/>
      <c r="QZZ26" s="3"/>
      <c r="RAA26" s="3"/>
      <c r="RAB26" s="3"/>
      <c r="RAC26" s="3"/>
      <c r="RAD26" s="3"/>
      <c r="RAE26" s="3"/>
      <c r="RAF26" s="3"/>
      <c r="RAG26" s="3"/>
      <c r="RAH26" s="3"/>
      <c r="RAI26" s="3"/>
      <c r="RAJ26" s="3"/>
      <c r="RAK26" s="3"/>
      <c r="RAL26" s="3"/>
      <c r="RAM26" s="3"/>
      <c r="RAN26" s="3"/>
      <c r="RAO26" s="3"/>
      <c r="RAP26" s="3"/>
      <c r="RAQ26" s="3"/>
      <c r="RAR26" s="3"/>
      <c r="RAS26" s="3"/>
      <c r="RAT26" s="3"/>
      <c r="RAU26" s="3"/>
      <c r="RAV26" s="3"/>
      <c r="RAW26" s="3"/>
      <c r="RAX26" s="3"/>
      <c r="RAY26" s="3"/>
      <c r="RAZ26" s="3"/>
      <c r="RBA26" s="3"/>
      <c r="RBB26" s="3"/>
      <c r="RBC26" s="3"/>
      <c r="RBD26" s="3"/>
      <c r="RBE26" s="3"/>
      <c r="RBF26" s="3"/>
      <c r="RBG26" s="3"/>
      <c r="RBH26" s="3"/>
      <c r="RBI26" s="3"/>
      <c r="RBJ26" s="3"/>
      <c r="RBK26" s="3"/>
      <c r="RBL26" s="3"/>
      <c r="RBM26" s="3"/>
      <c r="RBN26" s="3"/>
      <c r="RBO26" s="3"/>
      <c r="RBP26" s="3"/>
      <c r="RBQ26" s="3"/>
      <c r="RBR26" s="3"/>
      <c r="RBS26" s="3"/>
      <c r="RBT26" s="3"/>
      <c r="RBU26" s="3"/>
      <c r="RBV26" s="3"/>
      <c r="RBW26" s="3"/>
      <c r="RBX26" s="3"/>
      <c r="RBY26" s="3"/>
      <c r="RBZ26" s="3"/>
      <c r="RCA26" s="3"/>
      <c r="RCB26" s="3"/>
      <c r="RCC26" s="3"/>
      <c r="RCD26" s="3"/>
      <c r="RCE26" s="3"/>
      <c r="RCF26" s="3"/>
      <c r="RCG26" s="3"/>
      <c r="RCH26" s="3"/>
      <c r="RCI26" s="3"/>
      <c r="RCJ26" s="3"/>
      <c r="RCK26" s="3"/>
      <c r="RCL26" s="3"/>
      <c r="RCM26" s="3"/>
      <c r="RCN26" s="3"/>
      <c r="RCO26" s="3"/>
      <c r="RCP26" s="3"/>
      <c r="RCQ26" s="3"/>
      <c r="RCR26" s="3"/>
      <c r="RCS26" s="3"/>
      <c r="RCT26" s="3"/>
      <c r="RCU26" s="3"/>
      <c r="RCV26" s="3"/>
      <c r="RCW26" s="3"/>
      <c r="RCX26" s="3"/>
      <c r="RCY26" s="3"/>
      <c r="RCZ26" s="3"/>
      <c r="RDA26" s="3"/>
      <c r="RDB26" s="3"/>
      <c r="RDC26" s="3"/>
      <c r="RDD26" s="3"/>
      <c r="RDE26" s="3"/>
      <c r="RDF26" s="3"/>
      <c r="RDG26" s="3"/>
      <c r="RDH26" s="3"/>
      <c r="RDI26" s="3"/>
      <c r="RDJ26" s="3"/>
      <c r="RDK26" s="3"/>
      <c r="RDL26" s="3"/>
      <c r="RDM26" s="3"/>
      <c r="RDN26" s="3"/>
      <c r="RDO26" s="3"/>
      <c r="RDP26" s="3"/>
      <c r="RDQ26" s="3"/>
      <c r="RDR26" s="3"/>
      <c r="RDS26" s="3"/>
      <c r="RDT26" s="3"/>
      <c r="RDU26" s="3"/>
      <c r="RDV26" s="3"/>
      <c r="RDW26" s="3"/>
      <c r="RDX26" s="3"/>
      <c r="RDY26" s="3"/>
      <c r="RDZ26" s="3"/>
      <c r="REA26" s="3"/>
      <c r="REB26" s="3"/>
      <c r="REC26" s="3"/>
      <c r="RED26" s="3"/>
      <c r="REE26" s="3"/>
      <c r="REF26" s="3"/>
      <c r="REG26" s="3"/>
      <c r="REH26" s="3"/>
      <c r="REI26" s="3"/>
      <c r="REJ26" s="3"/>
      <c r="REK26" s="3"/>
      <c r="REL26" s="3"/>
      <c r="REM26" s="3"/>
      <c r="REN26" s="3"/>
      <c r="REO26" s="3"/>
      <c r="REP26" s="3"/>
      <c r="REQ26" s="3"/>
      <c r="RER26" s="3"/>
      <c r="RES26" s="3"/>
      <c r="RET26" s="3"/>
      <c r="REU26" s="3"/>
      <c r="REV26" s="3"/>
      <c r="REW26" s="3"/>
      <c r="REX26" s="3"/>
      <c r="REY26" s="3"/>
      <c r="REZ26" s="3"/>
      <c r="RFA26" s="3"/>
      <c r="RFB26" s="3"/>
      <c r="RFC26" s="3"/>
      <c r="RFD26" s="3"/>
      <c r="RFE26" s="3"/>
      <c r="RFF26" s="3"/>
      <c r="RFG26" s="3"/>
      <c r="RFH26" s="3"/>
      <c r="RFI26" s="3"/>
      <c r="RFJ26" s="3"/>
      <c r="RFK26" s="3"/>
      <c r="RFL26" s="3"/>
      <c r="RFM26" s="3"/>
      <c r="RFN26" s="3"/>
      <c r="RFO26" s="3"/>
      <c r="RFP26" s="3"/>
      <c r="RFQ26" s="3"/>
      <c r="RFR26" s="3"/>
      <c r="RFS26" s="3"/>
      <c r="RFT26" s="3"/>
      <c r="RFU26" s="3"/>
      <c r="RFV26" s="3"/>
      <c r="RFW26" s="3"/>
      <c r="RFX26" s="3"/>
      <c r="RFY26" s="3"/>
      <c r="RFZ26" s="3"/>
      <c r="RGA26" s="3"/>
      <c r="RGB26" s="3"/>
      <c r="RGC26" s="3"/>
      <c r="RGD26" s="3"/>
      <c r="RGE26" s="3"/>
      <c r="RGF26" s="3"/>
      <c r="RGG26" s="3"/>
      <c r="RGH26" s="3"/>
      <c r="RGI26" s="3"/>
      <c r="RGJ26" s="3"/>
      <c r="RGK26" s="3"/>
      <c r="RGL26" s="3"/>
      <c r="RGM26" s="3"/>
      <c r="RGN26" s="3"/>
      <c r="RGO26" s="3"/>
      <c r="RGP26" s="3"/>
      <c r="RGQ26" s="3"/>
      <c r="RGR26" s="3"/>
      <c r="RGS26" s="3"/>
      <c r="RGT26" s="3"/>
      <c r="RGU26" s="3"/>
      <c r="RGV26" s="3"/>
      <c r="RGW26" s="3"/>
      <c r="RGX26" s="3"/>
      <c r="RGY26" s="3"/>
      <c r="RGZ26" s="3"/>
      <c r="RHA26" s="3"/>
      <c r="RHB26" s="3"/>
      <c r="RHC26" s="3"/>
      <c r="RHD26" s="3"/>
      <c r="RHE26" s="3"/>
      <c r="RHF26" s="3"/>
      <c r="RHG26" s="3"/>
      <c r="RHH26" s="3"/>
      <c r="RHI26" s="3"/>
      <c r="RHJ26" s="3"/>
      <c r="RHK26" s="3"/>
      <c r="RHL26" s="3"/>
      <c r="RHM26" s="3"/>
      <c r="RHN26" s="3"/>
      <c r="RHO26" s="3"/>
      <c r="RHP26" s="3"/>
      <c r="RHQ26" s="3"/>
      <c r="RHR26" s="3"/>
      <c r="RHS26" s="3"/>
      <c r="RHT26" s="3"/>
      <c r="RHU26" s="3"/>
      <c r="RHV26" s="3"/>
      <c r="RHW26" s="3"/>
      <c r="RHX26" s="3"/>
      <c r="RHY26" s="3"/>
      <c r="RHZ26" s="3"/>
      <c r="RIA26" s="3"/>
      <c r="RIB26" s="3"/>
      <c r="RIC26" s="3"/>
      <c r="RID26" s="3"/>
      <c r="RIE26" s="3"/>
      <c r="RIF26" s="3"/>
      <c r="RIG26" s="3"/>
      <c r="RIH26" s="3"/>
      <c r="RII26" s="3"/>
      <c r="RIJ26" s="3"/>
      <c r="RIK26" s="3"/>
      <c r="RIL26" s="3"/>
      <c r="RIM26" s="3"/>
      <c r="RIN26" s="3"/>
      <c r="RIO26" s="3"/>
      <c r="RIP26" s="3"/>
      <c r="RIQ26" s="3"/>
      <c r="RIR26" s="3"/>
      <c r="RIS26" s="3"/>
      <c r="RIT26" s="3"/>
      <c r="RIU26" s="3"/>
      <c r="RIV26" s="3"/>
      <c r="RIW26" s="3"/>
      <c r="RIX26" s="3"/>
      <c r="RIY26" s="3"/>
      <c r="RIZ26" s="3"/>
      <c r="RJA26" s="3"/>
      <c r="RJB26" s="3"/>
      <c r="RJC26" s="3"/>
      <c r="RJD26" s="3"/>
      <c r="RJE26" s="3"/>
      <c r="RJF26" s="3"/>
      <c r="RJG26" s="3"/>
      <c r="RJH26" s="3"/>
      <c r="RJI26" s="3"/>
      <c r="RJJ26" s="3"/>
      <c r="RJK26" s="3"/>
      <c r="RJL26" s="3"/>
      <c r="RJM26" s="3"/>
      <c r="RJN26" s="3"/>
      <c r="RJO26" s="3"/>
      <c r="RJP26" s="3"/>
      <c r="RJQ26" s="3"/>
      <c r="RJR26" s="3"/>
      <c r="RJS26" s="3"/>
      <c r="RJT26" s="3"/>
      <c r="RJU26" s="3"/>
      <c r="RJV26" s="3"/>
      <c r="RJW26" s="3"/>
      <c r="RJX26" s="3"/>
      <c r="RJY26" s="3"/>
      <c r="RJZ26" s="3"/>
      <c r="RKA26" s="3"/>
      <c r="RKB26" s="3"/>
      <c r="RKC26" s="3"/>
      <c r="RKD26" s="3"/>
      <c r="RKE26" s="3"/>
      <c r="RKF26" s="3"/>
      <c r="RKG26" s="3"/>
      <c r="RKH26" s="3"/>
      <c r="RKI26" s="3"/>
      <c r="RKJ26" s="3"/>
      <c r="RKK26" s="3"/>
      <c r="RKL26" s="3"/>
      <c r="RKM26" s="3"/>
      <c r="RKN26" s="3"/>
      <c r="RKO26" s="3"/>
      <c r="RKP26" s="3"/>
      <c r="RKQ26" s="3"/>
      <c r="RKR26" s="3"/>
      <c r="RKS26" s="3"/>
      <c r="RKT26" s="3"/>
      <c r="RKU26" s="3"/>
      <c r="RKV26" s="3"/>
      <c r="RKW26" s="3"/>
      <c r="RKX26" s="3"/>
      <c r="RKY26" s="3"/>
      <c r="RKZ26" s="3"/>
      <c r="RLA26" s="3"/>
      <c r="RLB26" s="3"/>
      <c r="RLC26" s="3"/>
      <c r="RLD26" s="3"/>
      <c r="RLE26" s="3"/>
      <c r="RLF26" s="3"/>
      <c r="RLG26" s="3"/>
      <c r="RLH26" s="3"/>
      <c r="RLI26" s="3"/>
      <c r="RLJ26" s="3"/>
      <c r="RLK26" s="3"/>
      <c r="RLL26" s="3"/>
      <c r="RLM26" s="3"/>
      <c r="RLN26" s="3"/>
      <c r="RLO26" s="3"/>
      <c r="RLP26" s="3"/>
      <c r="RLQ26" s="3"/>
      <c r="RLR26" s="3"/>
      <c r="RLS26" s="3"/>
      <c r="RLT26" s="3"/>
      <c r="RLU26" s="3"/>
      <c r="RLV26" s="3"/>
      <c r="RLW26" s="3"/>
      <c r="RLX26" s="3"/>
      <c r="RLY26" s="3"/>
      <c r="RLZ26" s="3"/>
      <c r="RMA26" s="3"/>
      <c r="RMB26" s="3"/>
      <c r="RMC26" s="3"/>
      <c r="RMD26" s="3"/>
      <c r="RME26" s="3"/>
      <c r="RMF26" s="3"/>
      <c r="RMG26" s="3"/>
      <c r="RMH26" s="3"/>
      <c r="RMI26" s="3"/>
      <c r="RMJ26" s="3"/>
      <c r="RMK26" s="3"/>
      <c r="RML26" s="3"/>
      <c r="RMM26" s="3"/>
      <c r="RMN26" s="3"/>
      <c r="RMO26" s="3"/>
      <c r="RMP26" s="3"/>
      <c r="RMQ26" s="3"/>
      <c r="RMR26" s="3"/>
      <c r="RMS26" s="3"/>
      <c r="RMT26" s="3"/>
      <c r="RMU26" s="3"/>
      <c r="RMV26" s="3"/>
      <c r="RMW26" s="3"/>
      <c r="RMX26" s="3"/>
      <c r="RMY26" s="3"/>
      <c r="RMZ26" s="3"/>
      <c r="RNA26" s="3"/>
      <c r="RNB26" s="3"/>
      <c r="RNC26" s="3"/>
      <c r="RND26" s="3"/>
      <c r="RNE26" s="3"/>
      <c r="RNF26" s="3"/>
      <c r="RNG26" s="3"/>
      <c r="RNH26" s="3"/>
      <c r="RNI26" s="3"/>
      <c r="RNJ26" s="3"/>
      <c r="RNK26" s="3"/>
      <c r="RNL26" s="3"/>
      <c r="RNM26" s="3"/>
      <c r="RNN26" s="3"/>
      <c r="RNO26" s="3"/>
      <c r="RNP26" s="3"/>
      <c r="RNQ26" s="3"/>
      <c r="RNR26" s="3"/>
      <c r="RNS26" s="3"/>
      <c r="RNT26" s="3"/>
      <c r="RNU26" s="3"/>
      <c r="RNV26" s="3"/>
      <c r="RNW26" s="3"/>
      <c r="RNX26" s="3"/>
      <c r="RNY26" s="3"/>
      <c r="RNZ26" s="3"/>
      <c r="ROA26" s="3"/>
      <c r="ROB26" s="3"/>
      <c r="ROC26" s="3"/>
      <c r="ROD26" s="3"/>
      <c r="ROE26" s="3"/>
      <c r="ROF26" s="3"/>
      <c r="ROG26" s="3"/>
      <c r="ROH26" s="3"/>
      <c r="ROI26" s="3"/>
      <c r="ROJ26" s="3"/>
      <c r="ROK26" s="3"/>
      <c r="ROL26" s="3"/>
      <c r="ROM26" s="3"/>
      <c r="RON26" s="3"/>
      <c r="ROO26" s="3"/>
      <c r="ROP26" s="3"/>
      <c r="ROQ26" s="3"/>
      <c r="ROR26" s="3"/>
      <c r="ROS26" s="3"/>
      <c r="ROT26" s="3"/>
      <c r="ROU26" s="3"/>
      <c r="ROV26" s="3"/>
      <c r="ROW26" s="3"/>
      <c r="ROX26" s="3"/>
      <c r="ROY26" s="3"/>
      <c r="ROZ26" s="3"/>
      <c r="RPA26" s="3"/>
      <c r="RPB26" s="3"/>
      <c r="RPC26" s="3"/>
      <c r="RPD26" s="3"/>
      <c r="RPE26" s="3"/>
      <c r="RPF26" s="3"/>
      <c r="RPG26" s="3"/>
      <c r="RPH26" s="3"/>
      <c r="RPI26" s="3"/>
      <c r="RPJ26" s="3"/>
      <c r="RPK26" s="3"/>
      <c r="RPL26" s="3"/>
      <c r="RPM26" s="3"/>
      <c r="RPN26" s="3"/>
      <c r="RPO26" s="3"/>
      <c r="RPP26" s="3"/>
      <c r="RPQ26" s="3"/>
      <c r="RPR26" s="3"/>
      <c r="RPS26" s="3"/>
      <c r="RPT26" s="3"/>
      <c r="RPU26" s="3"/>
      <c r="RPV26" s="3"/>
      <c r="RPW26" s="3"/>
      <c r="RPX26" s="3"/>
      <c r="RPY26" s="3"/>
      <c r="RPZ26" s="3"/>
      <c r="RQA26" s="3"/>
      <c r="RQB26" s="3"/>
      <c r="RQC26" s="3"/>
      <c r="RQD26" s="3"/>
      <c r="RQE26" s="3"/>
      <c r="RQF26" s="3"/>
      <c r="RQG26" s="3"/>
      <c r="RQH26" s="3"/>
      <c r="RQI26" s="3"/>
      <c r="RQJ26" s="3"/>
      <c r="RQK26" s="3"/>
      <c r="RQL26" s="3"/>
      <c r="RQM26" s="3"/>
      <c r="RQN26" s="3"/>
      <c r="RQO26" s="3"/>
      <c r="RQP26" s="3"/>
      <c r="RQQ26" s="3"/>
      <c r="RQR26" s="3"/>
      <c r="RQS26" s="3"/>
      <c r="RQT26" s="3"/>
      <c r="RQU26" s="3"/>
      <c r="RQV26" s="3"/>
      <c r="RQW26" s="3"/>
      <c r="RQX26" s="3"/>
      <c r="RQY26" s="3"/>
      <c r="RQZ26" s="3"/>
      <c r="RRA26" s="3"/>
      <c r="RRB26" s="3"/>
      <c r="RRC26" s="3"/>
      <c r="RRD26" s="3"/>
      <c r="RRE26" s="3"/>
      <c r="RRF26" s="3"/>
      <c r="RRG26" s="3"/>
      <c r="RRH26" s="3"/>
      <c r="RRI26" s="3"/>
      <c r="RRJ26" s="3"/>
      <c r="RRK26" s="3"/>
      <c r="RRL26" s="3"/>
      <c r="RRM26" s="3"/>
      <c r="RRN26" s="3"/>
      <c r="RRO26" s="3"/>
      <c r="RRP26" s="3"/>
      <c r="RRQ26" s="3"/>
      <c r="RRR26" s="3"/>
      <c r="RRS26" s="3"/>
      <c r="RRT26" s="3"/>
      <c r="RRU26" s="3"/>
      <c r="RRV26" s="3"/>
      <c r="RRW26" s="3"/>
      <c r="RRX26" s="3"/>
      <c r="RRY26" s="3"/>
      <c r="RRZ26" s="3"/>
      <c r="RSA26" s="3"/>
      <c r="RSB26" s="3"/>
      <c r="RSC26" s="3"/>
      <c r="RSD26" s="3"/>
      <c r="RSE26" s="3"/>
      <c r="RSF26" s="3"/>
      <c r="RSG26" s="3"/>
      <c r="RSH26" s="3"/>
      <c r="RSI26" s="3"/>
      <c r="RSJ26" s="3"/>
      <c r="RSK26" s="3"/>
      <c r="RSL26" s="3"/>
      <c r="RSM26" s="3"/>
      <c r="RSN26" s="3"/>
      <c r="RSO26" s="3"/>
      <c r="RSP26" s="3"/>
      <c r="RSQ26" s="3"/>
      <c r="RSR26" s="3"/>
      <c r="RSS26" s="3"/>
      <c r="RST26" s="3"/>
      <c r="RSU26" s="3"/>
      <c r="RSV26" s="3"/>
      <c r="RSW26" s="3"/>
      <c r="RSX26" s="3"/>
      <c r="RSY26" s="3"/>
      <c r="RSZ26" s="3"/>
      <c r="RTA26" s="3"/>
      <c r="RTB26" s="3"/>
      <c r="RTC26" s="3"/>
      <c r="RTD26" s="3"/>
      <c r="RTE26" s="3"/>
      <c r="RTF26" s="3"/>
      <c r="RTG26" s="3"/>
      <c r="RTH26" s="3"/>
      <c r="RTI26" s="3"/>
      <c r="RTJ26" s="3"/>
      <c r="RTK26" s="3"/>
      <c r="RTL26" s="3"/>
      <c r="RTM26" s="3"/>
      <c r="RTN26" s="3"/>
      <c r="RTO26" s="3"/>
      <c r="RTP26" s="3"/>
      <c r="RTQ26" s="3"/>
      <c r="RTR26" s="3"/>
      <c r="RTS26" s="3"/>
      <c r="RTT26" s="3"/>
      <c r="RTU26" s="3"/>
      <c r="RTV26" s="3"/>
      <c r="RTW26" s="3"/>
      <c r="RTX26" s="3"/>
      <c r="RTY26" s="3"/>
      <c r="RTZ26" s="3"/>
      <c r="RUA26" s="3"/>
      <c r="RUB26" s="3"/>
      <c r="RUC26" s="3"/>
      <c r="RUD26" s="3"/>
      <c r="RUE26" s="3"/>
      <c r="RUF26" s="3"/>
      <c r="RUG26" s="3"/>
      <c r="RUH26" s="3"/>
      <c r="RUI26" s="3"/>
      <c r="RUJ26" s="3"/>
      <c r="RUK26" s="3"/>
      <c r="RUL26" s="3"/>
      <c r="RUM26" s="3"/>
      <c r="RUN26" s="3"/>
      <c r="RUO26" s="3"/>
      <c r="RUP26" s="3"/>
      <c r="RUQ26" s="3"/>
      <c r="RUR26" s="3"/>
      <c r="RUS26" s="3"/>
      <c r="RUT26" s="3"/>
      <c r="RUU26" s="3"/>
      <c r="RUV26" s="3"/>
      <c r="RUW26" s="3"/>
      <c r="RUX26" s="3"/>
      <c r="RUY26" s="3"/>
      <c r="RUZ26" s="3"/>
      <c r="RVA26" s="3"/>
      <c r="RVB26" s="3"/>
      <c r="RVC26" s="3"/>
      <c r="RVD26" s="3"/>
      <c r="RVE26" s="3"/>
      <c r="RVF26" s="3"/>
      <c r="RVG26" s="3"/>
      <c r="RVH26" s="3"/>
      <c r="RVI26" s="3"/>
      <c r="RVJ26" s="3"/>
      <c r="RVK26" s="3"/>
      <c r="RVL26" s="3"/>
      <c r="RVM26" s="3"/>
      <c r="RVN26" s="3"/>
      <c r="RVO26" s="3"/>
      <c r="RVP26" s="3"/>
      <c r="RVQ26" s="3"/>
      <c r="RVR26" s="3"/>
      <c r="RVS26" s="3"/>
      <c r="RVT26" s="3"/>
      <c r="RVU26" s="3"/>
      <c r="RVV26" s="3"/>
      <c r="RVW26" s="3"/>
      <c r="RVX26" s="3"/>
      <c r="RVY26" s="3"/>
      <c r="RVZ26" s="3"/>
      <c r="RWA26" s="3"/>
      <c r="RWB26" s="3"/>
      <c r="RWC26" s="3"/>
      <c r="RWD26" s="3"/>
      <c r="RWE26" s="3"/>
      <c r="RWF26" s="3"/>
      <c r="RWG26" s="3"/>
      <c r="RWH26" s="3"/>
      <c r="RWI26" s="3"/>
      <c r="RWJ26" s="3"/>
      <c r="RWK26" s="3"/>
      <c r="RWL26" s="3"/>
      <c r="RWM26" s="3"/>
      <c r="RWN26" s="3"/>
      <c r="RWO26" s="3"/>
      <c r="RWP26" s="3"/>
      <c r="RWQ26" s="3"/>
      <c r="RWR26" s="3"/>
      <c r="RWS26" s="3"/>
      <c r="RWT26" s="3"/>
      <c r="RWU26" s="3"/>
      <c r="RWV26" s="3"/>
      <c r="RWW26" s="3"/>
      <c r="RWX26" s="3"/>
      <c r="RWY26" s="3"/>
      <c r="RWZ26" s="3"/>
      <c r="RXA26" s="3"/>
      <c r="RXB26" s="3"/>
      <c r="RXC26" s="3"/>
      <c r="RXD26" s="3"/>
      <c r="RXE26" s="3"/>
      <c r="RXF26" s="3"/>
      <c r="RXG26" s="3"/>
      <c r="RXH26" s="3"/>
      <c r="RXI26" s="3"/>
      <c r="RXJ26" s="3"/>
      <c r="RXK26" s="3"/>
      <c r="RXL26" s="3"/>
      <c r="RXM26" s="3"/>
      <c r="RXN26" s="3"/>
      <c r="RXO26" s="3"/>
      <c r="RXP26" s="3"/>
      <c r="RXQ26" s="3"/>
      <c r="RXR26" s="3"/>
      <c r="RXS26" s="3"/>
      <c r="RXT26" s="3"/>
      <c r="RXU26" s="3"/>
      <c r="RXV26" s="3"/>
      <c r="RXW26" s="3"/>
      <c r="RXX26" s="3"/>
      <c r="RXY26" s="3"/>
      <c r="RXZ26" s="3"/>
      <c r="RYA26" s="3"/>
      <c r="RYB26" s="3"/>
      <c r="RYC26" s="3"/>
      <c r="RYD26" s="3"/>
      <c r="RYE26" s="3"/>
      <c r="RYF26" s="3"/>
      <c r="RYG26" s="3"/>
      <c r="RYH26" s="3"/>
      <c r="RYI26" s="3"/>
      <c r="RYJ26" s="3"/>
      <c r="RYK26" s="3"/>
      <c r="RYL26" s="3"/>
      <c r="RYM26" s="3"/>
      <c r="RYN26" s="3"/>
      <c r="RYO26" s="3"/>
      <c r="RYP26" s="3"/>
      <c r="RYQ26" s="3"/>
      <c r="RYR26" s="3"/>
      <c r="RYS26" s="3"/>
      <c r="RYT26" s="3"/>
      <c r="RYU26" s="3"/>
      <c r="RYV26" s="3"/>
      <c r="RYW26" s="3"/>
      <c r="RYX26" s="3"/>
      <c r="RYY26" s="3"/>
      <c r="RYZ26" s="3"/>
      <c r="RZA26" s="3"/>
      <c r="RZB26" s="3"/>
      <c r="RZC26" s="3"/>
      <c r="RZD26" s="3"/>
      <c r="RZE26" s="3"/>
      <c r="RZF26" s="3"/>
      <c r="RZG26" s="3"/>
      <c r="RZH26" s="3"/>
      <c r="RZI26" s="3"/>
      <c r="RZJ26" s="3"/>
      <c r="RZK26" s="3"/>
      <c r="RZL26" s="3"/>
      <c r="RZM26" s="3"/>
      <c r="RZN26" s="3"/>
      <c r="RZO26" s="3"/>
      <c r="RZP26" s="3"/>
      <c r="RZQ26" s="3"/>
      <c r="RZR26" s="3"/>
      <c r="RZS26" s="3"/>
      <c r="RZT26" s="3"/>
      <c r="RZU26" s="3"/>
      <c r="RZV26" s="3"/>
      <c r="RZW26" s="3"/>
      <c r="RZX26" s="3"/>
      <c r="RZY26" s="3"/>
      <c r="RZZ26" s="3"/>
      <c r="SAA26" s="3"/>
      <c r="SAB26" s="3"/>
      <c r="SAC26" s="3"/>
      <c r="SAD26" s="3"/>
      <c r="SAE26" s="3"/>
      <c r="SAF26" s="3"/>
      <c r="SAG26" s="3"/>
      <c r="SAH26" s="3"/>
      <c r="SAI26" s="3"/>
      <c r="SAJ26" s="3"/>
      <c r="SAK26" s="3"/>
      <c r="SAL26" s="3"/>
      <c r="SAM26" s="3"/>
      <c r="SAN26" s="3"/>
      <c r="SAO26" s="3"/>
      <c r="SAP26" s="3"/>
      <c r="SAQ26" s="3"/>
      <c r="SAR26" s="3"/>
      <c r="SAS26" s="3"/>
      <c r="SAT26" s="3"/>
      <c r="SAU26" s="3"/>
      <c r="SAV26" s="3"/>
      <c r="SAW26" s="3"/>
      <c r="SAX26" s="3"/>
      <c r="SAY26" s="3"/>
      <c r="SAZ26" s="3"/>
      <c r="SBA26" s="3"/>
      <c r="SBB26" s="3"/>
      <c r="SBC26" s="3"/>
      <c r="SBD26" s="3"/>
      <c r="SBE26" s="3"/>
      <c r="SBF26" s="3"/>
      <c r="SBG26" s="3"/>
      <c r="SBH26" s="3"/>
      <c r="SBI26" s="3"/>
      <c r="SBJ26" s="3"/>
      <c r="SBK26" s="3"/>
      <c r="SBL26" s="3"/>
      <c r="SBM26" s="3"/>
      <c r="SBN26" s="3"/>
      <c r="SBO26" s="3"/>
      <c r="SBP26" s="3"/>
      <c r="SBQ26" s="3"/>
      <c r="SBR26" s="3"/>
      <c r="SBS26" s="3"/>
      <c r="SBT26" s="3"/>
      <c r="SBU26" s="3"/>
      <c r="SBV26" s="3"/>
      <c r="SBW26" s="3"/>
      <c r="SBX26" s="3"/>
      <c r="SBY26" s="3"/>
      <c r="SBZ26" s="3"/>
      <c r="SCA26" s="3"/>
      <c r="SCB26" s="3"/>
      <c r="SCC26" s="3"/>
      <c r="SCD26" s="3"/>
      <c r="SCE26" s="3"/>
      <c r="SCF26" s="3"/>
      <c r="SCG26" s="3"/>
      <c r="SCH26" s="3"/>
      <c r="SCI26" s="3"/>
      <c r="SCJ26" s="3"/>
      <c r="SCK26" s="3"/>
      <c r="SCL26" s="3"/>
      <c r="SCM26" s="3"/>
      <c r="SCN26" s="3"/>
      <c r="SCO26" s="3"/>
      <c r="SCP26" s="3"/>
      <c r="SCQ26" s="3"/>
      <c r="SCR26" s="3"/>
      <c r="SCS26" s="3"/>
      <c r="SCT26" s="3"/>
      <c r="SCU26" s="3"/>
      <c r="SCV26" s="3"/>
      <c r="SCW26" s="3"/>
      <c r="SCX26" s="3"/>
      <c r="SCY26" s="3"/>
      <c r="SCZ26" s="3"/>
      <c r="SDA26" s="3"/>
      <c r="SDB26" s="3"/>
      <c r="SDC26" s="3"/>
      <c r="SDD26" s="3"/>
      <c r="SDE26" s="3"/>
      <c r="SDF26" s="3"/>
      <c r="SDG26" s="3"/>
      <c r="SDH26" s="3"/>
      <c r="SDI26" s="3"/>
      <c r="SDJ26" s="3"/>
      <c r="SDK26" s="3"/>
      <c r="SDL26" s="3"/>
      <c r="SDM26" s="3"/>
      <c r="SDN26" s="3"/>
      <c r="SDO26" s="3"/>
      <c r="SDP26" s="3"/>
      <c r="SDQ26" s="3"/>
      <c r="SDR26" s="3"/>
      <c r="SDS26" s="3"/>
      <c r="SDT26" s="3"/>
      <c r="SDU26" s="3"/>
      <c r="SDV26" s="3"/>
      <c r="SDW26" s="3"/>
      <c r="SDX26" s="3"/>
      <c r="SDY26" s="3"/>
      <c r="SDZ26" s="3"/>
      <c r="SEA26" s="3"/>
      <c r="SEB26" s="3"/>
      <c r="SEC26" s="3"/>
      <c r="SED26" s="3"/>
      <c r="SEE26" s="3"/>
      <c r="SEF26" s="3"/>
      <c r="SEG26" s="3"/>
      <c r="SEH26" s="3"/>
      <c r="SEI26" s="3"/>
      <c r="SEJ26" s="3"/>
      <c r="SEK26" s="3"/>
      <c r="SEL26" s="3"/>
      <c r="SEM26" s="3"/>
      <c r="SEN26" s="3"/>
      <c r="SEO26" s="3"/>
      <c r="SEP26" s="3"/>
      <c r="SEQ26" s="3"/>
      <c r="SER26" s="3"/>
      <c r="SES26" s="3"/>
      <c r="SET26" s="3"/>
      <c r="SEU26" s="3"/>
      <c r="SEV26" s="3"/>
      <c r="SEW26" s="3"/>
      <c r="SEX26" s="3"/>
      <c r="SEY26" s="3"/>
      <c r="SEZ26" s="3"/>
      <c r="SFA26" s="3"/>
      <c r="SFB26" s="3"/>
      <c r="SFC26" s="3"/>
      <c r="SFD26" s="3"/>
      <c r="SFE26" s="3"/>
      <c r="SFF26" s="3"/>
      <c r="SFG26" s="3"/>
      <c r="SFH26" s="3"/>
      <c r="SFI26" s="3"/>
      <c r="SFJ26" s="3"/>
      <c r="SFK26" s="3"/>
      <c r="SFL26" s="3"/>
      <c r="SFM26" s="3"/>
      <c r="SFN26" s="3"/>
      <c r="SFO26" s="3"/>
      <c r="SFP26" s="3"/>
      <c r="SFQ26" s="3"/>
      <c r="SFR26" s="3"/>
      <c r="SFS26" s="3"/>
      <c r="SFT26" s="3"/>
      <c r="SFU26" s="3"/>
      <c r="SFV26" s="3"/>
      <c r="SFW26" s="3"/>
      <c r="SFX26" s="3"/>
      <c r="SFY26" s="3"/>
      <c r="SFZ26" s="3"/>
      <c r="SGA26" s="3"/>
      <c r="SGB26" s="3"/>
      <c r="SGC26" s="3"/>
      <c r="SGD26" s="3"/>
      <c r="SGE26" s="3"/>
      <c r="SGF26" s="3"/>
      <c r="SGG26" s="3"/>
      <c r="SGH26" s="3"/>
      <c r="SGI26" s="3"/>
      <c r="SGJ26" s="3"/>
      <c r="SGK26" s="3"/>
      <c r="SGL26" s="3"/>
      <c r="SGM26" s="3"/>
      <c r="SGN26" s="3"/>
      <c r="SGO26" s="3"/>
      <c r="SGP26" s="3"/>
      <c r="SGQ26" s="3"/>
      <c r="SGR26" s="3"/>
      <c r="SGS26" s="3"/>
      <c r="SGT26" s="3"/>
      <c r="SGU26" s="3"/>
      <c r="SGV26" s="3"/>
      <c r="SGW26" s="3"/>
      <c r="SGX26" s="3"/>
      <c r="SGY26" s="3"/>
      <c r="SGZ26" s="3"/>
      <c r="SHA26" s="3"/>
      <c r="SHB26" s="3"/>
      <c r="SHC26" s="3"/>
      <c r="SHD26" s="3"/>
      <c r="SHE26" s="3"/>
      <c r="SHF26" s="3"/>
      <c r="SHG26" s="3"/>
      <c r="SHH26" s="3"/>
      <c r="SHI26" s="3"/>
      <c r="SHJ26" s="3"/>
      <c r="SHK26" s="3"/>
      <c r="SHL26" s="3"/>
      <c r="SHM26" s="3"/>
      <c r="SHN26" s="3"/>
      <c r="SHO26" s="3"/>
      <c r="SHP26" s="3"/>
      <c r="SHQ26" s="3"/>
      <c r="SHR26" s="3"/>
      <c r="SHS26" s="3"/>
      <c r="SHT26" s="3"/>
      <c r="SHU26" s="3"/>
      <c r="SHV26" s="3"/>
      <c r="SHW26" s="3"/>
      <c r="SHX26" s="3"/>
      <c r="SHY26" s="3"/>
      <c r="SHZ26" s="3"/>
      <c r="SIA26" s="3"/>
      <c r="SIB26" s="3"/>
      <c r="SIC26" s="3"/>
      <c r="SID26" s="3"/>
      <c r="SIE26" s="3"/>
      <c r="SIF26" s="3"/>
      <c r="SIG26" s="3"/>
      <c r="SIH26" s="3"/>
      <c r="SII26" s="3"/>
      <c r="SIJ26" s="3"/>
      <c r="SIK26" s="3"/>
      <c r="SIL26" s="3"/>
      <c r="SIM26" s="3"/>
      <c r="SIN26" s="3"/>
      <c r="SIO26" s="3"/>
      <c r="SIP26" s="3"/>
      <c r="SIQ26" s="3"/>
      <c r="SIR26" s="3"/>
      <c r="SIS26" s="3"/>
      <c r="SIT26" s="3"/>
      <c r="SIU26" s="3"/>
      <c r="SIV26" s="3"/>
      <c r="SIW26" s="3"/>
      <c r="SIX26" s="3"/>
      <c r="SIY26" s="3"/>
      <c r="SIZ26" s="3"/>
      <c r="SJA26" s="3"/>
      <c r="SJB26" s="3"/>
      <c r="SJC26" s="3"/>
      <c r="SJD26" s="3"/>
      <c r="SJE26" s="3"/>
      <c r="SJF26" s="3"/>
      <c r="SJG26" s="3"/>
      <c r="SJH26" s="3"/>
      <c r="SJI26" s="3"/>
      <c r="SJJ26" s="3"/>
      <c r="SJK26" s="3"/>
      <c r="SJL26" s="3"/>
      <c r="SJM26" s="3"/>
      <c r="SJN26" s="3"/>
      <c r="SJO26" s="3"/>
      <c r="SJP26" s="3"/>
      <c r="SJQ26" s="3"/>
      <c r="SJR26" s="3"/>
      <c r="SJS26" s="3"/>
      <c r="SJT26" s="3"/>
      <c r="SJU26" s="3"/>
      <c r="SJV26" s="3"/>
      <c r="SJW26" s="3"/>
      <c r="SJX26" s="3"/>
      <c r="SJY26" s="3"/>
      <c r="SJZ26" s="3"/>
      <c r="SKA26" s="3"/>
      <c r="SKB26" s="3"/>
      <c r="SKC26" s="3"/>
      <c r="SKD26" s="3"/>
      <c r="SKE26" s="3"/>
      <c r="SKF26" s="3"/>
      <c r="SKG26" s="3"/>
      <c r="SKH26" s="3"/>
      <c r="SKI26" s="3"/>
      <c r="SKJ26" s="3"/>
      <c r="SKK26" s="3"/>
      <c r="SKL26" s="3"/>
      <c r="SKM26" s="3"/>
      <c r="SKN26" s="3"/>
      <c r="SKO26" s="3"/>
      <c r="SKP26" s="3"/>
      <c r="SKQ26" s="3"/>
      <c r="SKR26" s="3"/>
      <c r="SKS26" s="3"/>
      <c r="SKT26" s="3"/>
      <c r="SKU26" s="3"/>
      <c r="SKV26" s="3"/>
      <c r="SKW26" s="3"/>
      <c r="SKX26" s="3"/>
      <c r="SKY26" s="3"/>
      <c r="SKZ26" s="3"/>
      <c r="SLA26" s="3"/>
      <c r="SLB26" s="3"/>
      <c r="SLC26" s="3"/>
      <c r="SLD26" s="3"/>
      <c r="SLE26" s="3"/>
      <c r="SLF26" s="3"/>
      <c r="SLG26" s="3"/>
      <c r="SLH26" s="3"/>
      <c r="SLI26" s="3"/>
      <c r="SLJ26" s="3"/>
      <c r="SLK26" s="3"/>
      <c r="SLL26" s="3"/>
      <c r="SLM26" s="3"/>
      <c r="SLN26" s="3"/>
      <c r="SLO26" s="3"/>
      <c r="SLP26" s="3"/>
      <c r="SLQ26" s="3"/>
      <c r="SLR26" s="3"/>
      <c r="SLS26" s="3"/>
      <c r="SLT26" s="3"/>
      <c r="SLU26" s="3"/>
      <c r="SLV26" s="3"/>
      <c r="SLW26" s="3"/>
      <c r="SLX26" s="3"/>
      <c r="SLY26" s="3"/>
      <c r="SLZ26" s="3"/>
      <c r="SMA26" s="3"/>
      <c r="SMB26" s="3"/>
      <c r="SMC26" s="3"/>
      <c r="SMD26" s="3"/>
      <c r="SME26" s="3"/>
      <c r="SMF26" s="3"/>
      <c r="SMG26" s="3"/>
      <c r="SMH26" s="3"/>
      <c r="SMI26" s="3"/>
      <c r="SMJ26" s="3"/>
      <c r="SMK26" s="3"/>
      <c r="SML26" s="3"/>
      <c r="SMM26" s="3"/>
      <c r="SMN26" s="3"/>
      <c r="SMO26" s="3"/>
      <c r="SMP26" s="3"/>
      <c r="SMQ26" s="3"/>
      <c r="SMR26" s="3"/>
      <c r="SMS26" s="3"/>
      <c r="SMT26" s="3"/>
      <c r="SMU26" s="3"/>
      <c r="SMV26" s="3"/>
      <c r="SMW26" s="3"/>
      <c r="SMX26" s="3"/>
      <c r="SMY26" s="3"/>
      <c r="SMZ26" s="3"/>
      <c r="SNA26" s="3"/>
      <c r="SNB26" s="3"/>
      <c r="SNC26" s="3"/>
      <c r="SND26" s="3"/>
      <c r="SNE26" s="3"/>
      <c r="SNF26" s="3"/>
      <c r="SNG26" s="3"/>
      <c r="SNH26" s="3"/>
      <c r="SNI26" s="3"/>
      <c r="SNJ26" s="3"/>
      <c r="SNK26" s="3"/>
      <c r="SNL26" s="3"/>
      <c r="SNM26" s="3"/>
      <c r="SNN26" s="3"/>
      <c r="SNO26" s="3"/>
      <c r="SNP26" s="3"/>
      <c r="SNQ26" s="3"/>
      <c r="SNR26" s="3"/>
      <c r="SNS26" s="3"/>
      <c r="SNT26" s="3"/>
      <c r="SNU26" s="3"/>
      <c r="SNV26" s="3"/>
      <c r="SNW26" s="3"/>
      <c r="SNX26" s="3"/>
      <c r="SNY26" s="3"/>
      <c r="SNZ26" s="3"/>
      <c r="SOA26" s="3"/>
      <c r="SOB26" s="3"/>
      <c r="SOC26" s="3"/>
      <c r="SOD26" s="3"/>
      <c r="SOE26" s="3"/>
      <c r="SOF26" s="3"/>
      <c r="SOG26" s="3"/>
      <c r="SOH26" s="3"/>
      <c r="SOI26" s="3"/>
      <c r="SOJ26" s="3"/>
      <c r="SOK26" s="3"/>
      <c r="SOL26" s="3"/>
      <c r="SOM26" s="3"/>
      <c r="SON26" s="3"/>
      <c r="SOO26" s="3"/>
      <c r="SOP26" s="3"/>
      <c r="SOQ26" s="3"/>
      <c r="SOR26" s="3"/>
      <c r="SOS26" s="3"/>
      <c r="SOT26" s="3"/>
      <c r="SOU26" s="3"/>
      <c r="SOV26" s="3"/>
      <c r="SOW26" s="3"/>
      <c r="SOX26" s="3"/>
      <c r="SOY26" s="3"/>
      <c r="SOZ26" s="3"/>
      <c r="SPA26" s="3"/>
      <c r="SPB26" s="3"/>
      <c r="SPC26" s="3"/>
      <c r="SPD26" s="3"/>
      <c r="SPE26" s="3"/>
      <c r="SPF26" s="3"/>
      <c r="SPG26" s="3"/>
      <c r="SPH26" s="3"/>
      <c r="SPI26" s="3"/>
      <c r="SPJ26" s="3"/>
      <c r="SPK26" s="3"/>
      <c r="SPL26" s="3"/>
      <c r="SPM26" s="3"/>
      <c r="SPN26" s="3"/>
      <c r="SPO26" s="3"/>
      <c r="SPP26" s="3"/>
      <c r="SPQ26" s="3"/>
      <c r="SPR26" s="3"/>
      <c r="SPS26" s="3"/>
      <c r="SPT26" s="3"/>
      <c r="SPU26" s="3"/>
      <c r="SPV26" s="3"/>
      <c r="SPW26" s="3"/>
      <c r="SPX26" s="3"/>
      <c r="SPY26" s="3"/>
      <c r="SPZ26" s="3"/>
      <c r="SQA26" s="3"/>
      <c r="SQB26" s="3"/>
      <c r="SQC26" s="3"/>
      <c r="SQD26" s="3"/>
      <c r="SQE26" s="3"/>
      <c r="SQF26" s="3"/>
      <c r="SQG26" s="3"/>
      <c r="SQH26" s="3"/>
      <c r="SQI26" s="3"/>
      <c r="SQJ26" s="3"/>
      <c r="SQK26" s="3"/>
      <c r="SQL26" s="3"/>
      <c r="SQM26" s="3"/>
      <c r="SQN26" s="3"/>
      <c r="SQO26" s="3"/>
      <c r="SQP26" s="3"/>
      <c r="SQQ26" s="3"/>
      <c r="SQR26" s="3"/>
      <c r="SQS26" s="3"/>
      <c r="SQT26" s="3"/>
      <c r="SQU26" s="3"/>
      <c r="SQV26" s="3"/>
      <c r="SQW26" s="3"/>
      <c r="SQX26" s="3"/>
      <c r="SQY26" s="3"/>
      <c r="SQZ26" s="3"/>
      <c r="SRA26" s="3"/>
      <c r="SRB26" s="3"/>
      <c r="SRC26" s="3"/>
      <c r="SRD26" s="3"/>
      <c r="SRE26" s="3"/>
      <c r="SRF26" s="3"/>
      <c r="SRG26" s="3"/>
      <c r="SRH26" s="3"/>
      <c r="SRI26" s="3"/>
      <c r="SRJ26" s="3"/>
      <c r="SRK26" s="3"/>
      <c r="SRL26" s="3"/>
      <c r="SRM26" s="3"/>
      <c r="SRN26" s="3"/>
      <c r="SRO26" s="3"/>
      <c r="SRP26" s="3"/>
      <c r="SRQ26" s="3"/>
      <c r="SRR26" s="3"/>
      <c r="SRS26" s="3"/>
      <c r="SRT26" s="3"/>
      <c r="SRU26" s="3"/>
      <c r="SRV26" s="3"/>
      <c r="SRW26" s="3"/>
      <c r="SRX26" s="3"/>
      <c r="SRY26" s="3"/>
      <c r="SRZ26" s="3"/>
      <c r="SSA26" s="3"/>
      <c r="SSB26" s="3"/>
      <c r="SSC26" s="3"/>
      <c r="SSD26" s="3"/>
      <c r="SSE26" s="3"/>
      <c r="SSF26" s="3"/>
      <c r="SSG26" s="3"/>
      <c r="SSH26" s="3"/>
      <c r="SSI26" s="3"/>
      <c r="SSJ26" s="3"/>
      <c r="SSK26" s="3"/>
      <c r="SSL26" s="3"/>
      <c r="SSM26" s="3"/>
      <c r="SSN26" s="3"/>
      <c r="SSO26" s="3"/>
      <c r="SSP26" s="3"/>
      <c r="SSQ26" s="3"/>
      <c r="SSR26" s="3"/>
      <c r="SSS26" s="3"/>
      <c r="SST26" s="3"/>
      <c r="SSU26" s="3"/>
      <c r="SSV26" s="3"/>
      <c r="SSW26" s="3"/>
      <c r="SSX26" s="3"/>
      <c r="SSY26" s="3"/>
      <c r="SSZ26" s="3"/>
      <c r="STA26" s="3"/>
      <c r="STB26" s="3"/>
      <c r="STC26" s="3"/>
      <c r="STD26" s="3"/>
      <c r="STE26" s="3"/>
      <c r="STF26" s="3"/>
      <c r="STG26" s="3"/>
      <c r="STH26" s="3"/>
      <c r="STI26" s="3"/>
      <c r="STJ26" s="3"/>
      <c r="STK26" s="3"/>
      <c r="STL26" s="3"/>
      <c r="STM26" s="3"/>
      <c r="STN26" s="3"/>
      <c r="STO26" s="3"/>
      <c r="STP26" s="3"/>
      <c r="STQ26" s="3"/>
      <c r="STR26" s="3"/>
      <c r="STS26" s="3"/>
      <c r="STT26" s="3"/>
      <c r="STU26" s="3"/>
      <c r="STV26" s="3"/>
      <c r="STW26" s="3"/>
      <c r="STX26" s="3"/>
      <c r="STY26" s="3"/>
      <c r="STZ26" s="3"/>
      <c r="SUA26" s="3"/>
      <c r="SUB26" s="3"/>
      <c r="SUC26" s="3"/>
      <c r="SUD26" s="3"/>
      <c r="SUE26" s="3"/>
      <c r="SUF26" s="3"/>
      <c r="SUG26" s="3"/>
      <c r="SUH26" s="3"/>
      <c r="SUI26" s="3"/>
      <c r="SUJ26" s="3"/>
      <c r="SUK26" s="3"/>
      <c r="SUL26" s="3"/>
      <c r="SUM26" s="3"/>
      <c r="SUN26" s="3"/>
      <c r="SUO26" s="3"/>
      <c r="SUP26" s="3"/>
      <c r="SUQ26" s="3"/>
      <c r="SUR26" s="3"/>
      <c r="SUS26" s="3"/>
      <c r="SUT26" s="3"/>
      <c r="SUU26" s="3"/>
      <c r="SUV26" s="3"/>
      <c r="SUW26" s="3"/>
      <c r="SUX26" s="3"/>
      <c r="SUY26" s="3"/>
      <c r="SUZ26" s="3"/>
      <c r="SVA26" s="3"/>
      <c r="SVB26" s="3"/>
      <c r="SVC26" s="3"/>
      <c r="SVD26" s="3"/>
      <c r="SVE26" s="3"/>
      <c r="SVF26" s="3"/>
      <c r="SVG26" s="3"/>
      <c r="SVH26" s="3"/>
      <c r="SVI26" s="3"/>
      <c r="SVJ26" s="3"/>
      <c r="SVK26" s="3"/>
      <c r="SVL26" s="3"/>
      <c r="SVM26" s="3"/>
      <c r="SVN26" s="3"/>
      <c r="SVO26" s="3"/>
      <c r="SVP26" s="3"/>
      <c r="SVQ26" s="3"/>
      <c r="SVR26" s="3"/>
      <c r="SVS26" s="3"/>
      <c r="SVT26" s="3"/>
      <c r="SVU26" s="3"/>
      <c r="SVV26" s="3"/>
      <c r="SVW26" s="3"/>
      <c r="SVX26" s="3"/>
      <c r="SVY26" s="3"/>
      <c r="SVZ26" s="3"/>
      <c r="SWA26" s="3"/>
      <c r="SWB26" s="3"/>
      <c r="SWC26" s="3"/>
      <c r="SWD26" s="3"/>
      <c r="SWE26" s="3"/>
      <c r="SWF26" s="3"/>
      <c r="SWG26" s="3"/>
      <c r="SWH26" s="3"/>
      <c r="SWI26" s="3"/>
      <c r="SWJ26" s="3"/>
      <c r="SWK26" s="3"/>
      <c r="SWL26" s="3"/>
      <c r="SWM26" s="3"/>
      <c r="SWN26" s="3"/>
      <c r="SWO26" s="3"/>
      <c r="SWP26" s="3"/>
      <c r="SWQ26" s="3"/>
      <c r="SWR26" s="3"/>
      <c r="SWS26" s="3"/>
      <c r="SWT26" s="3"/>
      <c r="SWU26" s="3"/>
      <c r="SWV26" s="3"/>
      <c r="SWW26" s="3"/>
      <c r="SWX26" s="3"/>
      <c r="SWY26" s="3"/>
      <c r="SWZ26" s="3"/>
      <c r="SXA26" s="3"/>
      <c r="SXB26" s="3"/>
      <c r="SXC26" s="3"/>
      <c r="SXD26" s="3"/>
      <c r="SXE26" s="3"/>
      <c r="SXF26" s="3"/>
      <c r="SXG26" s="3"/>
      <c r="SXH26" s="3"/>
      <c r="SXI26" s="3"/>
      <c r="SXJ26" s="3"/>
      <c r="SXK26" s="3"/>
      <c r="SXL26" s="3"/>
      <c r="SXM26" s="3"/>
      <c r="SXN26" s="3"/>
      <c r="SXO26" s="3"/>
      <c r="SXP26" s="3"/>
      <c r="SXQ26" s="3"/>
      <c r="SXR26" s="3"/>
      <c r="SXS26" s="3"/>
      <c r="SXT26" s="3"/>
      <c r="SXU26" s="3"/>
      <c r="SXV26" s="3"/>
      <c r="SXW26" s="3"/>
      <c r="SXX26" s="3"/>
      <c r="SXY26" s="3"/>
      <c r="SXZ26" s="3"/>
      <c r="SYA26" s="3"/>
      <c r="SYB26" s="3"/>
      <c r="SYC26" s="3"/>
      <c r="SYD26" s="3"/>
      <c r="SYE26" s="3"/>
      <c r="SYF26" s="3"/>
      <c r="SYG26" s="3"/>
      <c r="SYH26" s="3"/>
      <c r="SYI26" s="3"/>
      <c r="SYJ26" s="3"/>
      <c r="SYK26" s="3"/>
      <c r="SYL26" s="3"/>
      <c r="SYM26" s="3"/>
      <c r="SYN26" s="3"/>
      <c r="SYO26" s="3"/>
      <c r="SYP26" s="3"/>
      <c r="SYQ26" s="3"/>
      <c r="SYR26" s="3"/>
      <c r="SYS26" s="3"/>
      <c r="SYT26" s="3"/>
      <c r="SYU26" s="3"/>
      <c r="SYV26" s="3"/>
      <c r="SYW26" s="3"/>
      <c r="SYX26" s="3"/>
      <c r="SYY26" s="3"/>
      <c r="SYZ26" s="3"/>
      <c r="SZA26" s="3"/>
      <c r="SZB26" s="3"/>
      <c r="SZC26" s="3"/>
      <c r="SZD26" s="3"/>
      <c r="SZE26" s="3"/>
      <c r="SZF26" s="3"/>
      <c r="SZG26" s="3"/>
      <c r="SZH26" s="3"/>
      <c r="SZI26" s="3"/>
      <c r="SZJ26" s="3"/>
      <c r="SZK26" s="3"/>
      <c r="SZL26" s="3"/>
      <c r="SZM26" s="3"/>
      <c r="SZN26" s="3"/>
      <c r="SZO26" s="3"/>
      <c r="SZP26" s="3"/>
      <c r="SZQ26" s="3"/>
      <c r="SZR26" s="3"/>
      <c r="SZS26" s="3"/>
      <c r="SZT26" s="3"/>
      <c r="SZU26" s="3"/>
      <c r="SZV26" s="3"/>
      <c r="SZW26" s="3"/>
      <c r="SZX26" s="3"/>
      <c r="SZY26" s="3"/>
      <c r="SZZ26" s="3"/>
      <c r="TAA26" s="3"/>
      <c r="TAB26" s="3"/>
      <c r="TAC26" s="3"/>
      <c r="TAD26" s="3"/>
      <c r="TAE26" s="3"/>
      <c r="TAF26" s="3"/>
      <c r="TAG26" s="3"/>
      <c r="TAH26" s="3"/>
      <c r="TAI26" s="3"/>
      <c r="TAJ26" s="3"/>
      <c r="TAK26" s="3"/>
      <c r="TAL26" s="3"/>
      <c r="TAM26" s="3"/>
      <c r="TAN26" s="3"/>
      <c r="TAO26" s="3"/>
      <c r="TAP26" s="3"/>
      <c r="TAQ26" s="3"/>
      <c r="TAR26" s="3"/>
      <c r="TAS26" s="3"/>
      <c r="TAT26" s="3"/>
      <c r="TAU26" s="3"/>
      <c r="TAV26" s="3"/>
      <c r="TAW26" s="3"/>
      <c r="TAX26" s="3"/>
      <c r="TAY26" s="3"/>
      <c r="TAZ26" s="3"/>
      <c r="TBA26" s="3"/>
      <c r="TBB26" s="3"/>
      <c r="TBC26" s="3"/>
      <c r="TBD26" s="3"/>
      <c r="TBE26" s="3"/>
      <c r="TBF26" s="3"/>
      <c r="TBG26" s="3"/>
      <c r="TBH26" s="3"/>
      <c r="TBI26" s="3"/>
      <c r="TBJ26" s="3"/>
      <c r="TBK26" s="3"/>
      <c r="TBL26" s="3"/>
      <c r="TBM26" s="3"/>
      <c r="TBN26" s="3"/>
      <c r="TBO26" s="3"/>
      <c r="TBP26" s="3"/>
      <c r="TBQ26" s="3"/>
      <c r="TBR26" s="3"/>
      <c r="TBS26" s="3"/>
      <c r="TBT26" s="3"/>
      <c r="TBU26" s="3"/>
      <c r="TBV26" s="3"/>
      <c r="TBW26" s="3"/>
      <c r="TBX26" s="3"/>
      <c r="TBY26" s="3"/>
      <c r="TBZ26" s="3"/>
      <c r="TCA26" s="3"/>
      <c r="TCB26" s="3"/>
      <c r="TCC26" s="3"/>
      <c r="TCD26" s="3"/>
      <c r="TCE26" s="3"/>
      <c r="TCF26" s="3"/>
      <c r="TCG26" s="3"/>
      <c r="TCH26" s="3"/>
      <c r="TCI26" s="3"/>
      <c r="TCJ26" s="3"/>
      <c r="TCK26" s="3"/>
      <c r="TCL26" s="3"/>
      <c r="TCM26" s="3"/>
      <c r="TCN26" s="3"/>
      <c r="TCO26" s="3"/>
      <c r="TCP26" s="3"/>
      <c r="TCQ26" s="3"/>
      <c r="TCR26" s="3"/>
      <c r="TCS26" s="3"/>
      <c r="TCT26" s="3"/>
      <c r="TCU26" s="3"/>
      <c r="TCV26" s="3"/>
      <c r="TCW26" s="3"/>
      <c r="TCX26" s="3"/>
      <c r="TCY26" s="3"/>
      <c r="TCZ26" s="3"/>
      <c r="TDA26" s="3"/>
      <c r="TDB26" s="3"/>
      <c r="TDC26" s="3"/>
      <c r="TDD26" s="3"/>
      <c r="TDE26" s="3"/>
      <c r="TDF26" s="3"/>
      <c r="TDG26" s="3"/>
      <c r="TDH26" s="3"/>
      <c r="TDI26" s="3"/>
      <c r="TDJ26" s="3"/>
      <c r="TDK26" s="3"/>
      <c r="TDL26" s="3"/>
      <c r="TDM26" s="3"/>
      <c r="TDN26" s="3"/>
      <c r="TDO26" s="3"/>
      <c r="TDP26" s="3"/>
      <c r="TDQ26" s="3"/>
      <c r="TDR26" s="3"/>
      <c r="TDS26" s="3"/>
      <c r="TDT26" s="3"/>
      <c r="TDU26" s="3"/>
      <c r="TDV26" s="3"/>
      <c r="TDW26" s="3"/>
      <c r="TDX26" s="3"/>
      <c r="TDY26" s="3"/>
      <c r="TDZ26" s="3"/>
      <c r="TEA26" s="3"/>
      <c r="TEB26" s="3"/>
      <c r="TEC26" s="3"/>
      <c r="TED26" s="3"/>
      <c r="TEE26" s="3"/>
      <c r="TEF26" s="3"/>
      <c r="TEG26" s="3"/>
      <c r="TEH26" s="3"/>
      <c r="TEI26" s="3"/>
      <c r="TEJ26" s="3"/>
      <c r="TEK26" s="3"/>
      <c r="TEL26" s="3"/>
      <c r="TEM26" s="3"/>
      <c r="TEN26" s="3"/>
      <c r="TEO26" s="3"/>
      <c r="TEP26" s="3"/>
      <c r="TEQ26" s="3"/>
      <c r="TER26" s="3"/>
      <c r="TES26" s="3"/>
      <c r="TET26" s="3"/>
      <c r="TEU26" s="3"/>
      <c r="TEV26" s="3"/>
      <c r="TEW26" s="3"/>
      <c r="TEX26" s="3"/>
      <c r="TEY26" s="3"/>
      <c r="TEZ26" s="3"/>
      <c r="TFA26" s="3"/>
      <c r="TFB26" s="3"/>
      <c r="TFC26" s="3"/>
      <c r="TFD26" s="3"/>
      <c r="TFE26" s="3"/>
      <c r="TFF26" s="3"/>
      <c r="TFG26" s="3"/>
      <c r="TFH26" s="3"/>
      <c r="TFI26" s="3"/>
      <c r="TFJ26" s="3"/>
      <c r="TFK26" s="3"/>
      <c r="TFL26" s="3"/>
      <c r="TFM26" s="3"/>
      <c r="TFN26" s="3"/>
      <c r="TFO26" s="3"/>
      <c r="TFP26" s="3"/>
      <c r="TFQ26" s="3"/>
      <c r="TFR26" s="3"/>
      <c r="TFS26" s="3"/>
      <c r="TFT26" s="3"/>
      <c r="TFU26" s="3"/>
      <c r="TFV26" s="3"/>
      <c r="TFW26" s="3"/>
      <c r="TFX26" s="3"/>
      <c r="TFY26" s="3"/>
      <c r="TFZ26" s="3"/>
      <c r="TGA26" s="3"/>
      <c r="TGB26" s="3"/>
      <c r="TGC26" s="3"/>
      <c r="TGD26" s="3"/>
      <c r="TGE26" s="3"/>
      <c r="TGF26" s="3"/>
      <c r="TGG26" s="3"/>
      <c r="TGH26" s="3"/>
      <c r="TGI26" s="3"/>
      <c r="TGJ26" s="3"/>
      <c r="TGK26" s="3"/>
      <c r="TGL26" s="3"/>
      <c r="TGM26" s="3"/>
      <c r="TGN26" s="3"/>
      <c r="TGO26" s="3"/>
      <c r="TGP26" s="3"/>
      <c r="TGQ26" s="3"/>
      <c r="TGR26" s="3"/>
      <c r="TGS26" s="3"/>
      <c r="TGT26" s="3"/>
      <c r="TGU26" s="3"/>
      <c r="TGV26" s="3"/>
      <c r="TGW26" s="3"/>
      <c r="TGX26" s="3"/>
      <c r="TGY26" s="3"/>
      <c r="TGZ26" s="3"/>
      <c r="THA26" s="3"/>
      <c r="THB26" s="3"/>
      <c r="THC26" s="3"/>
      <c r="THD26" s="3"/>
      <c r="THE26" s="3"/>
      <c r="THF26" s="3"/>
      <c r="THG26" s="3"/>
      <c r="THH26" s="3"/>
      <c r="THI26" s="3"/>
      <c r="THJ26" s="3"/>
      <c r="THK26" s="3"/>
      <c r="THL26" s="3"/>
      <c r="THM26" s="3"/>
      <c r="THN26" s="3"/>
      <c r="THO26" s="3"/>
      <c r="THP26" s="3"/>
      <c r="THQ26" s="3"/>
      <c r="THR26" s="3"/>
      <c r="THS26" s="3"/>
      <c r="THT26" s="3"/>
      <c r="THU26" s="3"/>
      <c r="THV26" s="3"/>
      <c r="THW26" s="3"/>
      <c r="THX26" s="3"/>
      <c r="THY26" s="3"/>
      <c r="THZ26" s="3"/>
      <c r="TIA26" s="3"/>
      <c r="TIB26" s="3"/>
      <c r="TIC26" s="3"/>
      <c r="TID26" s="3"/>
      <c r="TIE26" s="3"/>
      <c r="TIF26" s="3"/>
      <c r="TIG26" s="3"/>
      <c r="TIH26" s="3"/>
      <c r="TII26" s="3"/>
      <c r="TIJ26" s="3"/>
      <c r="TIK26" s="3"/>
      <c r="TIL26" s="3"/>
      <c r="TIM26" s="3"/>
      <c r="TIN26" s="3"/>
      <c r="TIO26" s="3"/>
      <c r="TIP26" s="3"/>
      <c r="TIQ26" s="3"/>
      <c r="TIR26" s="3"/>
      <c r="TIS26" s="3"/>
      <c r="TIT26" s="3"/>
      <c r="TIU26" s="3"/>
      <c r="TIV26" s="3"/>
      <c r="TIW26" s="3"/>
      <c r="TIX26" s="3"/>
      <c r="TIY26" s="3"/>
      <c r="TIZ26" s="3"/>
      <c r="TJA26" s="3"/>
      <c r="TJB26" s="3"/>
      <c r="TJC26" s="3"/>
      <c r="TJD26" s="3"/>
      <c r="TJE26" s="3"/>
      <c r="TJF26" s="3"/>
      <c r="TJG26" s="3"/>
      <c r="TJH26" s="3"/>
      <c r="TJI26" s="3"/>
      <c r="TJJ26" s="3"/>
      <c r="TJK26" s="3"/>
      <c r="TJL26" s="3"/>
      <c r="TJM26" s="3"/>
      <c r="TJN26" s="3"/>
      <c r="TJO26" s="3"/>
      <c r="TJP26" s="3"/>
      <c r="TJQ26" s="3"/>
      <c r="TJR26" s="3"/>
      <c r="TJS26" s="3"/>
      <c r="TJT26" s="3"/>
      <c r="TJU26" s="3"/>
      <c r="TJV26" s="3"/>
      <c r="TJW26" s="3"/>
      <c r="TJX26" s="3"/>
      <c r="TJY26" s="3"/>
      <c r="TJZ26" s="3"/>
      <c r="TKA26" s="3"/>
      <c r="TKB26" s="3"/>
      <c r="TKC26" s="3"/>
      <c r="TKD26" s="3"/>
      <c r="TKE26" s="3"/>
      <c r="TKF26" s="3"/>
      <c r="TKG26" s="3"/>
      <c r="TKH26" s="3"/>
      <c r="TKI26" s="3"/>
      <c r="TKJ26" s="3"/>
      <c r="TKK26" s="3"/>
      <c r="TKL26" s="3"/>
      <c r="TKM26" s="3"/>
      <c r="TKN26" s="3"/>
      <c r="TKO26" s="3"/>
      <c r="TKP26" s="3"/>
      <c r="TKQ26" s="3"/>
      <c r="TKR26" s="3"/>
      <c r="TKS26" s="3"/>
      <c r="TKT26" s="3"/>
      <c r="TKU26" s="3"/>
      <c r="TKV26" s="3"/>
      <c r="TKW26" s="3"/>
      <c r="TKX26" s="3"/>
      <c r="TKY26" s="3"/>
      <c r="TKZ26" s="3"/>
      <c r="TLA26" s="3"/>
      <c r="TLB26" s="3"/>
      <c r="TLC26" s="3"/>
      <c r="TLD26" s="3"/>
      <c r="TLE26" s="3"/>
      <c r="TLF26" s="3"/>
      <c r="TLG26" s="3"/>
      <c r="TLH26" s="3"/>
      <c r="TLI26" s="3"/>
      <c r="TLJ26" s="3"/>
      <c r="TLK26" s="3"/>
      <c r="TLL26" s="3"/>
      <c r="TLM26" s="3"/>
      <c r="TLN26" s="3"/>
      <c r="TLO26" s="3"/>
      <c r="TLP26" s="3"/>
      <c r="TLQ26" s="3"/>
      <c r="TLR26" s="3"/>
      <c r="TLS26" s="3"/>
      <c r="TLT26" s="3"/>
      <c r="TLU26" s="3"/>
      <c r="TLV26" s="3"/>
      <c r="TLW26" s="3"/>
      <c r="TLX26" s="3"/>
      <c r="TLY26" s="3"/>
      <c r="TLZ26" s="3"/>
      <c r="TMA26" s="3"/>
      <c r="TMB26" s="3"/>
      <c r="TMC26" s="3"/>
      <c r="TMD26" s="3"/>
      <c r="TME26" s="3"/>
      <c r="TMF26" s="3"/>
      <c r="TMG26" s="3"/>
      <c r="TMH26" s="3"/>
      <c r="TMI26" s="3"/>
      <c r="TMJ26" s="3"/>
      <c r="TMK26" s="3"/>
      <c r="TML26" s="3"/>
      <c r="TMM26" s="3"/>
      <c r="TMN26" s="3"/>
      <c r="TMO26" s="3"/>
      <c r="TMP26" s="3"/>
      <c r="TMQ26" s="3"/>
      <c r="TMR26" s="3"/>
      <c r="TMS26" s="3"/>
      <c r="TMT26" s="3"/>
      <c r="TMU26" s="3"/>
      <c r="TMV26" s="3"/>
      <c r="TMW26" s="3"/>
      <c r="TMX26" s="3"/>
      <c r="TMY26" s="3"/>
      <c r="TMZ26" s="3"/>
      <c r="TNA26" s="3"/>
      <c r="TNB26" s="3"/>
      <c r="TNC26" s="3"/>
      <c r="TND26" s="3"/>
      <c r="TNE26" s="3"/>
      <c r="TNF26" s="3"/>
      <c r="TNG26" s="3"/>
      <c r="TNH26" s="3"/>
      <c r="TNI26" s="3"/>
      <c r="TNJ26" s="3"/>
      <c r="TNK26" s="3"/>
      <c r="TNL26" s="3"/>
      <c r="TNM26" s="3"/>
      <c r="TNN26" s="3"/>
      <c r="TNO26" s="3"/>
      <c r="TNP26" s="3"/>
      <c r="TNQ26" s="3"/>
      <c r="TNR26" s="3"/>
      <c r="TNS26" s="3"/>
      <c r="TNT26" s="3"/>
      <c r="TNU26" s="3"/>
      <c r="TNV26" s="3"/>
      <c r="TNW26" s="3"/>
      <c r="TNX26" s="3"/>
      <c r="TNY26" s="3"/>
      <c r="TNZ26" s="3"/>
      <c r="TOA26" s="3"/>
      <c r="TOB26" s="3"/>
      <c r="TOC26" s="3"/>
      <c r="TOD26" s="3"/>
      <c r="TOE26" s="3"/>
      <c r="TOF26" s="3"/>
      <c r="TOG26" s="3"/>
      <c r="TOH26" s="3"/>
      <c r="TOI26" s="3"/>
      <c r="TOJ26" s="3"/>
      <c r="TOK26" s="3"/>
      <c r="TOL26" s="3"/>
      <c r="TOM26" s="3"/>
      <c r="TON26" s="3"/>
      <c r="TOO26" s="3"/>
      <c r="TOP26" s="3"/>
      <c r="TOQ26" s="3"/>
      <c r="TOR26" s="3"/>
      <c r="TOS26" s="3"/>
      <c r="TOT26" s="3"/>
      <c r="TOU26" s="3"/>
      <c r="TOV26" s="3"/>
      <c r="TOW26" s="3"/>
      <c r="TOX26" s="3"/>
      <c r="TOY26" s="3"/>
      <c r="TOZ26" s="3"/>
      <c r="TPA26" s="3"/>
      <c r="TPB26" s="3"/>
      <c r="TPC26" s="3"/>
      <c r="TPD26" s="3"/>
      <c r="TPE26" s="3"/>
      <c r="TPF26" s="3"/>
      <c r="TPG26" s="3"/>
      <c r="TPH26" s="3"/>
      <c r="TPI26" s="3"/>
      <c r="TPJ26" s="3"/>
      <c r="TPK26" s="3"/>
      <c r="TPL26" s="3"/>
      <c r="TPM26" s="3"/>
      <c r="TPN26" s="3"/>
      <c r="TPO26" s="3"/>
      <c r="TPP26" s="3"/>
      <c r="TPQ26" s="3"/>
      <c r="TPR26" s="3"/>
      <c r="TPS26" s="3"/>
      <c r="TPT26" s="3"/>
      <c r="TPU26" s="3"/>
      <c r="TPV26" s="3"/>
      <c r="TPW26" s="3"/>
      <c r="TPX26" s="3"/>
      <c r="TPY26" s="3"/>
      <c r="TPZ26" s="3"/>
      <c r="TQA26" s="3"/>
      <c r="TQB26" s="3"/>
      <c r="TQC26" s="3"/>
      <c r="TQD26" s="3"/>
      <c r="TQE26" s="3"/>
      <c r="TQF26" s="3"/>
      <c r="TQG26" s="3"/>
      <c r="TQH26" s="3"/>
      <c r="TQI26" s="3"/>
      <c r="TQJ26" s="3"/>
      <c r="TQK26" s="3"/>
      <c r="TQL26" s="3"/>
      <c r="TQM26" s="3"/>
      <c r="TQN26" s="3"/>
      <c r="TQO26" s="3"/>
      <c r="TQP26" s="3"/>
      <c r="TQQ26" s="3"/>
      <c r="TQR26" s="3"/>
      <c r="TQS26" s="3"/>
      <c r="TQT26" s="3"/>
      <c r="TQU26" s="3"/>
      <c r="TQV26" s="3"/>
      <c r="TQW26" s="3"/>
      <c r="TQX26" s="3"/>
      <c r="TQY26" s="3"/>
      <c r="TQZ26" s="3"/>
      <c r="TRA26" s="3"/>
      <c r="TRB26" s="3"/>
      <c r="TRC26" s="3"/>
      <c r="TRD26" s="3"/>
      <c r="TRE26" s="3"/>
      <c r="TRF26" s="3"/>
      <c r="TRG26" s="3"/>
      <c r="TRH26" s="3"/>
      <c r="TRI26" s="3"/>
      <c r="TRJ26" s="3"/>
      <c r="TRK26" s="3"/>
      <c r="TRL26" s="3"/>
      <c r="TRM26" s="3"/>
      <c r="TRN26" s="3"/>
      <c r="TRO26" s="3"/>
      <c r="TRP26" s="3"/>
      <c r="TRQ26" s="3"/>
      <c r="TRR26" s="3"/>
      <c r="TRS26" s="3"/>
      <c r="TRT26" s="3"/>
      <c r="TRU26" s="3"/>
      <c r="TRV26" s="3"/>
      <c r="TRW26" s="3"/>
      <c r="TRX26" s="3"/>
      <c r="TRY26" s="3"/>
      <c r="TRZ26" s="3"/>
      <c r="TSA26" s="3"/>
      <c r="TSB26" s="3"/>
      <c r="TSC26" s="3"/>
      <c r="TSD26" s="3"/>
      <c r="TSE26" s="3"/>
      <c r="TSF26" s="3"/>
      <c r="TSG26" s="3"/>
      <c r="TSH26" s="3"/>
      <c r="TSI26" s="3"/>
      <c r="TSJ26" s="3"/>
      <c r="TSK26" s="3"/>
      <c r="TSL26" s="3"/>
      <c r="TSM26" s="3"/>
      <c r="TSN26" s="3"/>
      <c r="TSO26" s="3"/>
      <c r="TSP26" s="3"/>
      <c r="TSQ26" s="3"/>
      <c r="TSR26" s="3"/>
      <c r="TSS26" s="3"/>
      <c r="TST26" s="3"/>
      <c r="TSU26" s="3"/>
      <c r="TSV26" s="3"/>
      <c r="TSW26" s="3"/>
      <c r="TSX26" s="3"/>
      <c r="TSY26" s="3"/>
      <c r="TSZ26" s="3"/>
      <c r="TTA26" s="3"/>
      <c r="TTB26" s="3"/>
      <c r="TTC26" s="3"/>
      <c r="TTD26" s="3"/>
      <c r="TTE26" s="3"/>
      <c r="TTF26" s="3"/>
      <c r="TTG26" s="3"/>
      <c r="TTH26" s="3"/>
      <c r="TTI26" s="3"/>
      <c r="TTJ26" s="3"/>
      <c r="TTK26" s="3"/>
      <c r="TTL26" s="3"/>
      <c r="TTM26" s="3"/>
      <c r="TTN26" s="3"/>
      <c r="TTO26" s="3"/>
      <c r="TTP26" s="3"/>
      <c r="TTQ26" s="3"/>
      <c r="TTR26" s="3"/>
      <c r="TTS26" s="3"/>
      <c r="TTT26" s="3"/>
      <c r="TTU26" s="3"/>
      <c r="TTV26" s="3"/>
      <c r="TTW26" s="3"/>
      <c r="TTX26" s="3"/>
      <c r="TTY26" s="3"/>
      <c r="TTZ26" s="3"/>
      <c r="TUA26" s="3"/>
      <c r="TUB26" s="3"/>
      <c r="TUC26" s="3"/>
      <c r="TUD26" s="3"/>
      <c r="TUE26" s="3"/>
      <c r="TUF26" s="3"/>
      <c r="TUG26" s="3"/>
      <c r="TUH26" s="3"/>
      <c r="TUI26" s="3"/>
      <c r="TUJ26" s="3"/>
      <c r="TUK26" s="3"/>
      <c r="TUL26" s="3"/>
      <c r="TUM26" s="3"/>
      <c r="TUN26" s="3"/>
      <c r="TUO26" s="3"/>
      <c r="TUP26" s="3"/>
      <c r="TUQ26" s="3"/>
      <c r="TUR26" s="3"/>
      <c r="TUS26" s="3"/>
      <c r="TUT26" s="3"/>
      <c r="TUU26" s="3"/>
      <c r="TUV26" s="3"/>
      <c r="TUW26" s="3"/>
      <c r="TUX26" s="3"/>
      <c r="TUY26" s="3"/>
      <c r="TUZ26" s="3"/>
      <c r="TVA26" s="3"/>
      <c r="TVB26" s="3"/>
      <c r="TVC26" s="3"/>
      <c r="TVD26" s="3"/>
      <c r="TVE26" s="3"/>
      <c r="TVF26" s="3"/>
      <c r="TVG26" s="3"/>
      <c r="TVH26" s="3"/>
      <c r="TVI26" s="3"/>
      <c r="TVJ26" s="3"/>
      <c r="TVK26" s="3"/>
      <c r="TVL26" s="3"/>
      <c r="TVM26" s="3"/>
      <c r="TVN26" s="3"/>
      <c r="TVO26" s="3"/>
      <c r="TVP26" s="3"/>
      <c r="TVQ26" s="3"/>
      <c r="TVR26" s="3"/>
      <c r="TVS26" s="3"/>
      <c r="TVT26" s="3"/>
      <c r="TVU26" s="3"/>
      <c r="TVV26" s="3"/>
      <c r="TVW26" s="3"/>
      <c r="TVX26" s="3"/>
      <c r="TVY26" s="3"/>
      <c r="TVZ26" s="3"/>
      <c r="TWA26" s="3"/>
      <c r="TWB26" s="3"/>
      <c r="TWC26" s="3"/>
      <c r="TWD26" s="3"/>
      <c r="TWE26" s="3"/>
      <c r="TWF26" s="3"/>
      <c r="TWG26" s="3"/>
      <c r="TWH26" s="3"/>
      <c r="TWI26" s="3"/>
      <c r="TWJ26" s="3"/>
      <c r="TWK26" s="3"/>
      <c r="TWL26" s="3"/>
      <c r="TWM26" s="3"/>
      <c r="TWN26" s="3"/>
      <c r="TWO26" s="3"/>
      <c r="TWP26" s="3"/>
      <c r="TWQ26" s="3"/>
      <c r="TWR26" s="3"/>
      <c r="TWS26" s="3"/>
      <c r="TWT26" s="3"/>
      <c r="TWU26" s="3"/>
      <c r="TWV26" s="3"/>
      <c r="TWW26" s="3"/>
      <c r="TWX26" s="3"/>
      <c r="TWY26" s="3"/>
      <c r="TWZ26" s="3"/>
      <c r="TXA26" s="3"/>
      <c r="TXB26" s="3"/>
      <c r="TXC26" s="3"/>
      <c r="TXD26" s="3"/>
      <c r="TXE26" s="3"/>
      <c r="TXF26" s="3"/>
      <c r="TXG26" s="3"/>
      <c r="TXH26" s="3"/>
      <c r="TXI26" s="3"/>
      <c r="TXJ26" s="3"/>
      <c r="TXK26" s="3"/>
      <c r="TXL26" s="3"/>
      <c r="TXM26" s="3"/>
      <c r="TXN26" s="3"/>
      <c r="TXO26" s="3"/>
      <c r="TXP26" s="3"/>
      <c r="TXQ26" s="3"/>
      <c r="TXR26" s="3"/>
      <c r="TXS26" s="3"/>
      <c r="TXT26" s="3"/>
      <c r="TXU26" s="3"/>
      <c r="TXV26" s="3"/>
      <c r="TXW26" s="3"/>
      <c r="TXX26" s="3"/>
      <c r="TXY26" s="3"/>
      <c r="TXZ26" s="3"/>
      <c r="TYA26" s="3"/>
      <c r="TYB26" s="3"/>
      <c r="TYC26" s="3"/>
      <c r="TYD26" s="3"/>
      <c r="TYE26" s="3"/>
      <c r="TYF26" s="3"/>
      <c r="TYG26" s="3"/>
      <c r="TYH26" s="3"/>
      <c r="TYI26" s="3"/>
      <c r="TYJ26" s="3"/>
      <c r="TYK26" s="3"/>
      <c r="TYL26" s="3"/>
      <c r="TYM26" s="3"/>
      <c r="TYN26" s="3"/>
      <c r="TYO26" s="3"/>
      <c r="TYP26" s="3"/>
      <c r="TYQ26" s="3"/>
      <c r="TYR26" s="3"/>
      <c r="TYS26" s="3"/>
      <c r="TYT26" s="3"/>
      <c r="TYU26" s="3"/>
      <c r="TYV26" s="3"/>
      <c r="TYW26" s="3"/>
      <c r="TYX26" s="3"/>
      <c r="TYY26" s="3"/>
      <c r="TYZ26" s="3"/>
      <c r="TZA26" s="3"/>
      <c r="TZB26" s="3"/>
      <c r="TZC26" s="3"/>
      <c r="TZD26" s="3"/>
      <c r="TZE26" s="3"/>
      <c r="TZF26" s="3"/>
      <c r="TZG26" s="3"/>
      <c r="TZH26" s="3"/>
      <c r="TZI26" s="3"/>
      <c r="TZJ26" s="3"/>
      <c r="TZK26" s="3"/>
      <c r="TZL26" s="3"/>
      <c r="TZM26" s="3"/>
      <c r="TZN26" s="3"/>
      <c r="TZO26" s="3"/>
      <c r="TZP26" s="3"/>
      <c r="TZQ26" s="3"/>
      <c r="TZR26" s="3"/>
      <c r="TZS26" s="3"/>
      <c r="TZT26" s="3"/>
      <c r="TZU26" s="3"/>
      <c r="TZV26" s="3"/>
      <c r="TZW26" s="3"/>
      <c r="TZX26" s="3"/>
      <c r="TZY26" s="3"/>
      <c r="TZZ26" s="3"/>
      <c r="UAA26" s="3"/>
      <c r="UAB26" s="3"/>
      <c r="UAC26" s="3"/>
      <c r="UAD26" s="3"/>
      <c r="UAE26" s="3"/>
      <c r="UAF26" s="3"/>
      <c r="UAG26" s="3"/>
      <c r="UAH26" s="3"/>
      <c r="UAI26" s="3"/>
      <c r="UAJ26" s="3"/>
      <c r="UAK26" s="3"/>
      <c r="UAL26" s="3"/>
      <c r="UAM26" s="3"/>
      <c r="UAN26" s="3"/>
      <c r="UAO26" s="3"/>
      <c r="UAP26" s="3"/>
      <c r="UAQ26" s="3"/>
      <c r="UAR26" s="3"/>
      <c r="UAS26" s="3"/>
      <c r="UAT26" s="3"/>
      <c r="UAU26" s="3"/>
      <c r="UAV26" s="3"/>
      <c r="UAW26" s="3"/>
      <c r="UAX26" s="3"/>
      <c r="UAY26" s="3"/>
      <c r="UAZ26" s="3"/>
      <c r="UBA26" s="3"/>
      <c r="UBB26" s="3"/>
      <c r="UBC26" s="3"/>
      <c r="UBD26" s="3"/>
      <c r="UBE26" s="3"/>
      <c r="UBF26" s="3"/>
      <c r="UBG26" s="3"/>
      <c r="UBH26" s="3"/>
      <c r="UBI26" s="3"/>
      <c r="UBJ26" s="3"/>
      <c r="UBK26" s="3"/>
      <c r="UBL26" s="3"/>
      <c r="UBM26" s="3"/>
      <c r="UBN26" s="3"/>
      <c r="UBO26" s="3"/>
      <c r="UBP26" s="3"/>
      <c r="UBQ26" s="3"/>
      <c r="UBR26" s="3"/>
      <c r="UBS26" s="3"/>
      <c r="UBT26" s="3"/>
      <c r="UBU26" s="3"/>
      <c r="UBV26" s="3"/>
      <c r="UBW26" s="3"/>
      <c r="UBX26" s="3"/>
      <c r="UBY26" s="3"/>
      <c r="UBZ26" s="3"/>
      <c r="UCA26" s="3"/>
      <c r="UCB26" s="3"/>
      <c r="UCC26" s="3"/>
      <c r="UCD26" s="3"/>
      <c r="UCE26" s="3"/>
      <c r="UCF26" s="3"/>
      <c r="UCG26" s="3"/>
      <c r="UCH26" s="3"/>
      <c r="UCI26" s="3"/>
      <c r="UCJ26" s="3"/>
      <c r="UCK26" s="3"/>
      <c r="UCL26" s="3"/>
      <c r="UCM26" s="3"/>
      <c r="UCN26" s="3"/>
      <c r="UCO26" s="3"/>
      <c r="UCP26" s="3"/>
      <c r="UCQ26" s="3"/>
      <c r="UCR26" s="3"/>
      <c r="UCS26" s="3"/>
      <c r="UCT26" s="3"/>
      <c r="UCU26" s="3"/>
      <c r="UCV26" s="3"/>
      <c r="UCW26" s="3"/>
      <c r="UCX26" s="3"/>
      <c r="UCY26" s="3"/>
      <c r="UCZ26" s="3"/>
      <c r="UDA26" s="3"/>
      <c r="UDB26" s="3"/>
      <c r="UDC26" s="3"/>
      <c r="UDD26" s="3"/>
      <c r="UDE26" s="3"/>
      <c r="UDF26" s="3"/>
      <c r="UDG26" s="3"/>
      <c r="UDH26" s="3"/>
      <c r="UDI26" s="3"/>
      <c r="UDJ26" s="3"/>
      <c r="UDK26" s="3"/>
      <c r="UDL26" s="3"/>
      <c r="UDM26" s="3"/>
      <c r="UDN26" s="3"/>
      <c r="UDO26" s="3"/>
      <c r="UDP26" s="3"/>
      <c r="UDQ26" s="3"/>
      <c r="UDR26" s="3"/>
      <c r="UDS26" s="3"/>
      <c r="UDT26" s="3"/>
      <c r="UDU26" s="3"/>
      <c r="UDV26" s="3"/>
      <c r="UDW26" s="3"/>
      <c r="UDX26" s="3"/>
      <c r="UDY26" s="3"/>
      <c r="UDZ26" s="3"/>
      <c r="UEA26" s="3"/>
      <c r="UEB26" s="3"/>
      <c r="UEC26" s="3"/>
      <c r="UED26" s="3"/>
      <c r="UEE26" s="3"/>
      <c r="UEF26" s="3"/>
      <c r="UEG26" s="3"/>
      <c r="UEH26" s="3"/>
      <c r="UEI26" s="3"/>
      <c r="UEJ26" s="3"/>
      <c r="UEK26" s="3"/>
      <c r="UEL26" s="3"/>
      <c r="UEM26" s="3"/>
      <c r="UEN26" s="3"/>
      <c r="UEO26" s="3"/>
      <c r="UEP26" s="3"/>
      <c r="UEQ26" s="3"/>
      <c r="UER26" s="3"/>
      <c r="UES26" s="3"/>
      <c r="UET26" s="3"/>
      <c r="UEU26" s="3"/>
      <c r="UEV26" s="3"/>
      <c r="UEW26" s="3"/>
      <c r="UEX26" s="3"/>
      <c r="UEY26" s="3"/>
      <c r="UEZ26" s="3"/>
      <c r="UFA26" s="3"/>
      <c r="UFB26" s="3"/>
      <c r="UFC26" s="3"/>
      <c r="UFD26" s="3"/>
      <c r="UFE26" s="3"/>
      <c r="UFF26" s="3"/>
      <c r="UFG26" s="3"/>
      <c r="UFH26" s="3"/>
      <c r="UFI26" s="3"/>
      <c r="UFJ26" s="3"/>
      <c r="UFK26" s="3"/>
      <c r="UFL26" s="3"/>
      <c r="UFM26" s="3"/>
      <c r="UFN26" s="3"/>
      <c r="UFO26" s="3"/>
      <c r="UFP26" s="3"/>
      <c r="UFQ26" s="3"/>
      <c r="UFR26" s="3"/>
      <c r="UFS26" s="3"/>
      <c r="UFT26" s="3"/>
      <c r="UFU26" s="3"/>
      <c r="UFV26" s="3"/>
      <c r="UFW26" s="3"/>
      <c r="UFX26" s="3"/>
      <c r="UFY26" s="3"/>
      <c r="UFZ26" s="3"/>
      <c r="UGA26" s="3"/>
      <c r="UGB26" s="3"/>
      <c r="UGC26" s="3"/>
      <c r="UGD26" s="3"/>
      <c r="UGE26" s="3"/>
      <c r="UGF26" s="3"/>
      <c r="UGG26" s="3"/>
      <c r="UGH26" s="3"/>
      <c r="UGI26" s="3"/>
      <c r="UGJ26" s="3"/>
      <c r="UGK26" s="3"/>
      <c r="UGL26" s="3"/>
      <c r="UGM26" s="3"/>
      <c r="UGN26" s="3"/>
      <c r="UGO26" s="3"/>
      <c r="UGP26" s="3"/>
      <c r="UGQ26" s="3"/>
      <c r="UGR26" s="3"/>
      <c r="UGS26" s="3"/>
      <c r="UGT26" s="3"/>
      <c r="UGU26" s="3"/>
      <c r="UGV26" s="3"/>
      <c r="UGW26" s="3"/>
      <c r="UGX26" s="3"/>
      <c r="UGY26" s="3"/>
      <c r="UGZ26" s="3"/>
      <c r="UHA26" s="3"/>
      <c r="UHB26" s="3"/>
      <c r="UHC26" s="3"/>
      <c r="UHD26" s="3"/>
      <c r="UHE26" s="3"/>
      <c r="UHF26" s="3"/>
      <c r="UHG26" s="3"/>
      <c r="UHH26" s="3"/>
      <c r="UHI26" s="3"/>
      <c r="UHJ26" s="3"/>
      <c r="UHK26" s="3"/>
      <c r="UHL26" s="3"/>
      <c r="UHM26" s="3"/>
      <c r="UHN26" s="3"/>
      <c r="UHO26" s="3"/>
      <c r="UHP26" s="3"/>
      <c r="UHQ26" s="3"/>
      <c r="UHR26" s="3"/>
      <c r="UHS26" s="3"/>
      <c r="UHT26" s="3"/>
      <c r="UHU26" s="3"/>
      <c r="UHV26" s="3"/>
      <c r="UHW26" s="3"/>
      <c r="UHX26" s="3"/>
      <c r="UHY26" s="3"/>
      <c r="UHZ26" s="3"/>
      <c r="UIA26" s="3"/>
      <c r="UIB26" s="3"/>
      <c r="UIC26" s="3"/>
      <c r="UID26" s="3"/>
      <c r="UIE26" s="3"/>
      <c r="UIF26" s="3"/>
      <c r="UIG26" s="3"/>
      <c r="UIH26" s="3"/>
      <c r="UII26" s="3"/>
      <c r="UIJ26" s="3"/>
      <c r="UIK26" s="3"/>
      <c r="UIL26" s="3"/>
      <c r="UIM26" s="3"/>
      <c r="UIN26" s="3"/>
      <c r="UIO26" s="3"/>
      <c r="UIP26" s="3"/>
      <c r="UIQ26" s="3"/>
      <c r="UIR26" s="3"/>
      <c r="UIS26" s="3"/>
      <c r="UIT26" s="3"/>
      <c r="UIU26" s="3"/>
      <c r="UIV26" s="3"/>
      <c r="UIW26" s="3"/>
      <c r="UIX26" s="3"/>
      <c r="UIY26" s="3"/>
      <c r="UIZ26" s="3"/>
      <c r="UJA26" s="3"/>
      <c r="UJB26" s="3"/>
      <c r="UJC26" s="3"/>
      <c r="UJD26" s="3"/>
      <c r="UJE26" s="3"/>
      <c r="UJF26" s="3"/>
      <c r="UJG26" s="3"/>
      <c r="UJH26" s="3"/>
      <c r="UJI26" s="3"/>
      <c r="UJJ26" s="3"/>
      <c r="UJK26" s="3"/>
      <c r="UJL26" s="3"/>
      <c r="UJM26" s="3"/>
      <c r="UJN26" s="3"/>
      <c r="UJO26" s="3"/>
      <c r="UJP26" s="3"/>
      <c r="UJQ26" s="3"/>
      <c r="UJR26" s="3"/>
      <c r="UJS26" s="3"/>
      <c r="UJT26" s="3"/>
      <c r="UJU26" s="3"/>
      <c r="UJV26" s="3"/>
      <c r="UJW26" s="3"/>
      <c r="UJX26" s="3"/>
      <c r="UJY26" s="3"/>
      <c r="UJZ26" s="3"/>
      <c r="UKA26" s="3"/>
      <c r="UKB26" s="3"/>
      <c r="UKC26" s="3"/>
      <c r="UKD26" s="3"/>
      <c r="UKE26" s="3"/>
      <c r="UKF26" s="3"/>
      <c r="UKG26" s="3"/>
      <c r="UKH26" s="3"/>
      <c r="UKI26" s="3"/>
      <c r="UKJ26" s="3"/>
      <c r="UKK26" s="3"/>
      <c r="UKL26" s="3"/>
      <c r="UKM26" s="3"/>
      <c r="UKN26" s="3"/>
      <c r="UKO26" s="3"/>
      <c r="UKP26" s="3"/>
      <c r="UKQ26" s="3"/>
      <c r="UKR26" s="3"/>
      <c r="UKS26" s="3"/>
      <c r="UKT26" s="3"/>
      <c r="UKU26" s="3"/>
      <c r="UKV26" s="3"/>
      <c r="UKW26" s="3"/>
      <c r="UKX26" s="3"/>
      <c r="UKY26" s="3"/>
      <c r="UKZ26" s="3"/>
      <c r="ULA26" s="3"/>
      <c r="ULB26" s="3"/>
      <c r="ULC26" s="3"/>
      <c r="ULD26" s="3"/>
      <c r="ULE26" s="3"/>
      <c r="ULF26" s="3"/>
      <c r="ULG26" s="3"/>
      <c r="ULH26" s="3"/>
      <c r="ULI26" s="3"/>
      <c r="ULJ26" s="3"/>
      <c r="ULK26" s="3"/>
      <c r="ULL26" s="3"/>
      <c r="ULM26" s="3"/>
      <c r="ULN26" s="3"/>
      <c r="ULO26" s="3"/>
      <c r="ULP26" s="3"/>
      <c r="ULQ26" s="3"/>
      <c r="ULR26" s="3"/>
      <c r="ULS26" s="3"/>
      <c r="ULT26" s="3"/>
      <c r="ULU26" s="3"/>
      <c r="ULV26" s="3"/>
      <c r="ULW26" s="3"/>
      <c r="ULX26" s="3"/>
      <c r="ULY26" s="3"/>
      <c r="ULZ26" s="3"/>
      <c r="UMA26" s="3"/>
      <c r="UMB26" s="3"/>
      <c r="UMC26" s="3"/>
      <c r="UMD26" s="3"/>
      <c r="UME26" s="3"/>
      <c r="UMF26" s="3"/>
      <c r="UMG26" s="3"/>
      <c r="UMH26" s="3"/>
      <c r="UMI26" s="3"/>
      <c r="UMJ26" s="3"/>
      <c r="UMK26" s="3"/>
      <c r="UML26" s="3"/>
      <c r="UMM26" s="3"/>
      <c r="UMN26" s="3"/>
      <c r="UMO26" s="3"/>
      <c r="UMP26" s="3"/>
      <c r="UMQ26" s="3"/>
      <c r="UMR26" s="3"/>
      <c r="UMS26" s="3"/>
      <c r="UMT26" s="3"/>
      <c r="UMU26" s="3"/>
      <c r="UMV26" s="3"/>
      <c r="UMW26" s="3"/>
      <c r="UMX26" s="3"/>
      <c r="UMY26" s="3"/>
      <c r="UMZ26" s="3"/>
      <c r="UNA26" s="3"/>
      <c r="UNB26" s="3"/>
      <c r="UNC26" s="3"/>
      <c r="UND26" s="3"/>
      <c r="UNE26" s="3"/>
      <c r="UNF26" s="3"/>
      <c r="UNG26" s="3"/>
      <c r="UNH26" s="3"/>
      <c r="UNI26" s="3"/>
      <c r="UNJ26" s="3"/>
      <c r="UNK26" s="3"/>
      <c r="UNL26" s="3"/>
      <c r="UNM26" s="3"/>
      <c r="UNN26" s="3"/>
      <c r="UNO26" s="3"/>
      <c r="UNP26" s="3"/>
      <c r="UNQ26" s="3"/>
      <c r="UNR26" s="3"/>
      <c r="UNS26" s="3"/>
      <c r="UNT26" s="3"/>
      <c r="UNU26" s="3"/>
      <c r="UNV26" s="3"/>
      <c r="UNW26" s="3"/>
      <c r="UNX26" s="3"/>
      <c r="UNY26" s="3"/>
      <c r="UNZ26" s="3"/>
      <c r="UOA26" s="3"/>
      <c r="UOB26" s="3"/>
      <c r="UOC26" s="3"/>
      <c r="UOD26" s="3"/>
      <c r="UOE26" s="3"/>
      <c r="UOF26" s="3"/>
      <c r="UOG26" s="3"/>
      <c r="UOH26" s="3"/>
      <c r="UOI26" s="3"/>
      <c r="UOJ26" s="3"/>
      <c r="UOK26" s="3"/>
      <c r="UOL26" s="3"/>
      <c r="UOM26" s="3"/>
      <c r="UON26" s="3"/>
      <c r="UOO26" s="3"/>
      <c r="UOP26" s="3"/>
      <c r="UOQ26" s="3"/>
      <c r="UOR26" s="3"/>
      <c r="UOS26" s="3"/>
      <c r="UOT26" s="3"/>
      <c r="UOU26" s="3"/>
      <c r="UOV26" s="3"/>
      <c r="UOW26" s="3"/>
      <c r="UOX26" s="3"/>
      <c r="UOY26" s="3"/>
      <c r="UOZ26" s="3"/>
      <c r="UPA26" s="3"/>
      <c r="UPB26" s="3"/>
      <c r="UPC26" s="3"/>
      <c r="UPD26" s="3"/>
      <c r="UPE26" s="3"/>
      <c r="UPF26" s="3"/>
      <c r="UPG26" s="3"/>
      <c r="UPH26" s="3"/>
      <c r="UPI26" s="3"/>
      <c r="UPJ26" s="3"/>
      <c r="UPK26" s="3"/>
      <c r="UPL26" s="3"/>
      <c r="UPM26" s="3"/>
      <c r="UPN26" s="3"/>
      <c r="UPO26" s="3"/>
      <c r="UPP26" s="3"/>
      <c r="UPQ26" s="3"/>
      <c r="UPR26" s="3"/>
      <c r="UPS26" s="3"/>
      <c r="UPT26" s="3"/>
      <c r="UPU26" s="3"/>
      <c r="UPV26" s="3"/>
      <c r="UPW26" s="3"/>
      <c r="UPX26" s="3"/>
      <c r="UPY26" s="3"/>
      <c r="UPZ26" s="3"/>
      <c r="UQA26" s="3"/>
      <c r="UQB26" s="3"/>
      <c r="UQC26" s="3"/>
      <c r="UQD26" s="3"/>
      <c r="UQE26" s="3"/>
      <c r="UQF26" s="3"/>
      <c r="UQG26" s="3"/>
      <c r="UQH26" s="3"/>
      <c r="UQI26" s="3"/>
      <c r="UQJ26" s="3"/>
      <c r="UQK26" s="3"/>
      <c r="UQL26" s="3"/>
      <c r="UQM26" s="3"/>
      <c r="UQN26" s="3"/>
      <c r="UQO26" s="3"/>
      <c r="UQP26" s="3"/>
      <c r="UQQ26" s="3"/>
      <c r="UQR26" s="3"/>
      <c r="UQS26" s="3"/>
      <c r="UQT26" s="3"/>
      <c r="UQU26" s="3"/>
      <c r="UQV26" s="3"/>
      <c r="UQW26" s="3"/>
      <c r="UQX26" s="3"/>
      <c r="UQY26" s="3"/>
      <c r="UQZ26" s="3"/>
      <c r="URA26" s="3"/>
      <c r="URB26" s="3"/>
      <c r="URC26" s="3"/>
      <c r="URD26" s="3"/>
      <c r="URE26" s="3"/>
      <c r="URF26" s="3"/>
      <c r="URG26" s="3"/>
      <c r="URH26" s="3"/>
      <c r="URI26" s="3"/>
      <c r="URJ26" s="3"/>
      <c r="URK26" s="3"/>
      <c r="URL26" s="3"/>
      <c r="URM26" s="3"/>
      <c r="URN26" s="3"/>
      <c r="URO26" s="3"/>
      <c r="URP26" s="3"/>
      <c r="URQ26" s="3"/>
      <c r="URR26" s="3"/>
      <c r="URS26" s="3"/>
      <c r="URT26" s="3"/>
      <c r="URU26" s="3"/>
      <c r="URV26" s="3"/>
      <c r="URW26" s="3"/>
      <c r="URX26" s="3"/>
      <c r="URY26" s="3"/>
      <c r="URZ26" s="3"/>
      <c r="USA26" s="3"/>
      <c r="USB26" s="3"/>
      <c r="USC26" s="3"/>
      <c r="USD26" s="3"/>
      <c r="USE26" s="3"/>
      <c r="USF26" s="3"/>
      <c r="USG26" s="3"/>
      <c r="USH26" s="3"/>
      <c r="USI26" s="3"/>
      <c r="USJ26" s="3"/>
      <c r="USK26" s="3"/>
      <c r="USL26" s="3"/>
      <c r="USM26" s="3"/>
      <c r="USN26" s="3"/>
      <c r="USO26" s="3"/>
      <c r="USP26" s="3"/>
      <c r="USQ26" s="3"/>
      <c r="USR26" s="3"/>
      <c r="USS26" s="3"/>
      <c r="UST26" s="3"/>
      <c r="USU26" s="3"/>
      <c r="USV26" s="3"/>
      <c r="USW26" s="3"/>
      <c r="USX26" s="3"/>
      <c r="USY26" s="3"/>
      <c r="USZ26" s="3"/>
      <c r="UTA26" s="3"/>
      <c r="UTB26" s="3"/>
      <c r="UTC26" s="3"/>
      <c r="UTD26" s="3"/>
      <c r="UTE26" s="3"/>
      <c r="UTF26" s="3"/>
      <c r="UTG26" s="3"/>
      <c r="UTH26" s="3"/>
      <c r="UTI26" s="3"/>
      <c r="UTJ26" s="3"/>
      <c r="UTK26" s="3"/>
      <c r="UTL26" s="3"/>
      <c r="UTM26" s="3"/>
      <c r="UTN26" s="3"/>
      <c r="UTO26" s="3"/>
      <c r="UTP26" s="3"/>
      <c r="UTQ26" s="3"/>
      <c r="UTR26" s="3"/>
      <c r="UTS26" s="3"/>
      <c r="UTT26" s="3"/>
      <c r="UTU26" s="3"/>
      <c r="UTV26" s="3"/>
      <c r="UTW26" s="3"/>
      <c r="UTX26" s="3"/>
      <c r="UTY26" s="3"/>
      <c r="UTZ26" s="3"/>
      <c r="UUA26" s="3"/>
      <c r="UUB26" s="3"/>
      <c r="UUC26" s="3"/>
      <c r="UUD26" s="3"/>
      <c r="UUE26" s="3"/>
      <c r="UUF26" s="3"/>
      <c r="UUG26" s="3"/>
      <c r="UUH26" s="3"/>
      <c r="UUI26" s="3"/>
      <c r="UUJ26" s="3"/>
      <c r="UUK26" s="3"/>
      <c r="UUL26" s="3"/>
      <c r="UUM26" s="3"/>
      <c r="UUN26" s="3"/>
      <c r="UUO26" s="3"/>
      <c r="UUP26" s="3"/>
      <c r="UUQ26" s="3"/>
      <c r="UUR26" s="3"/>
      <c r="UUS26" s="3"/>
      <c r="UUT26" s="3"/>
      <c r="UUU26" s="3"/>
      <c r="UUV26" s="3"/>
      <c r="UUW26" s="3"/>
      <c r="UUX26" s="3"/>
      <c r="UUY26" s="3"/>
      <c r="UUZ26" s="3"/>
      <c r="UVA26" s="3"/>
      <c r="UVB26" s="3"/>
      <c r="UVC26" s="3"/>
      <c r="UVD26" s="3"/>
      <c r="UVE26" s="3"/>
      <c r="UVF26" s="3"/>
      <c r="UVG26" s="3"/>
      <c r="UVH26" s="3"/>
      <c r="UVI26" s="3"/>
      <c r="UVJ26" s="3"/>
      <c r="UVK26" s="3"/>
      <c r="UVL26" s="3"/>
      <c r="UVM26" s="3"/>
      <c r="UVN26" s="3"/>
      <c r="UVO26" s="3"/>
      <c r="UVP26" s="3"/>
      <c r="UVQ26" s="3"/>
      <c r="UVR26" s="3"/>
      <c r="UVS26" s="3"/>
      <c r="UVT26" s="3"/>
      <c r="UVU26" s="3"/>
      <c r="UVV26" s="3"/>
      <c r="UVW26" s="3"/>
      <c r="UVX26" s="3"/>
      <c r="UVY26" s="3"/>
      <c r="UVZ26" s="3"/>
      <c r="UWA26" s="3"/>
      <c r="UWB26" s="3"/>
      <c r="UWC26" s="3"/>
      <c r="UWD26" s="3"/>
      <c r="UWE26" s="3"/>
      <c r="UWF26" s="3"/>
      <c r="UWG26" s="3"/>
      <c r="UWH26" s="3"/>
      <c r="UWI26" s="3"/>
      <c r="UWJ26" s="3"/>
      <c r="UWK26" s="3"/>
      <c r="UWL26" s="3"/>
      <c r="UWM26" s="3"/>
      <c r="UWN26" s="3"/>
      <c r="UWO26" s="3"/>
      <c r="UWP26" s="3"/>
      <c r="UWQ26" s="3"/>
      <c r="UWR26" s="3"/>
      <c r="UWS26" s="3"/>
      <c r="UWT26" s="3"/>
      <c r="UWU26" s="3"/>
      <c r="UWV26" s="3"/>
      <c r="UWW26" s="3"/>
      <c r="UWX26" s="3"/>
      <c r="UWY26" s="3"/>
      <c r="UWZ26" s="3"/>
      <c r="UXA26" s="3"/>
      <c r="UXB26" s="3"/>
      <c r="UXC26" s="3"/>
      <c r="UXD26" s="3"/>
      <c r="UXE26" s="3"/>
      <c r="UXF26" s="3"/>
      <c r="UXG26" s="3"/>
      <c r="UXH26" s="3"/>
      <c r="UXI26" s="3"/>
      <c r="UXJ26" s="3"/>
      <c r="UXK26" s="3"/>
      <c r="UXL26" s="3"/>
      <c r="UXM26" s="3"/>
      <c r="UXN26" s="3"/>
      <c r="UXO26" s="3"/>
      <c r="UXP26" s="3"/>
      <c r="UXQ26" s="3"/>
      <c r="UXR26" s="3"/>
      <c r="UXS26" s="3"/>
      <c r="UXT26" s="3"/>
      <c r="UXU26" s="3"/>
      <c r="UXV26" s="3"/>
      <c r="UXW26" s="3"/>
      <c r="UXX26" s="3"/>
      <c r="UXY26" s="3"/>
      <c r="UXZ26" s="3"/>
      <c r="UYA26" s="3"/>
      <c r="UYB26" s="3"/>
      <c r="UYC26" s="3"/>
      <c r="UYD26" s="3"/>
      <c r="UYE26" s="3"/>
      <c r="UYF26" s="3"/>
      <c r="UYG26" s="3"/>
      <c r="UYH26" s="3"/>
      <c r="UYI26" s="3"/>
      <c r="UYJ26" s="3"/>
      <c r="UYK26" s="3"/>
      <c r="UYL26" s="3"/>
      <c r="UYM26" s="3"/>
      <c r="UYN26" s="3"/>
      <c r="UYO26" s="3"/>
      <c r="UYP26" s="3"/>
      <c r="UYQ26" s="3"/>
      <c r="UYR26" s="3"/>
      <c r="UYS26" s="3"/>
      <c r="UYT26" s="3"/>
      <c r="UYU26" s="3"/>
      <c r="UYV26" s="3"/>
      <c r="UYW26" s="3"/>
      <c r="UYX26" s="3"/>
      <c r="UYY26" s="3"/>
      <c r="UYZ26" s="3"/>
      <c r="UZA26" s="3"/>
      <c r="UZB26" s="3"/>
      <c r="UZC26" s="3"/>
      <c r="UZD26" s="3"/>
      <c r="UZE26" s="3"/>
      <c r="UZF26" s="3"/>
      <c r="UZG26" s="3"/>
      <c r="UZH26" s="3"/>
      <c r="UZI26" s="3"/>
      <c r="UZJ26" s="3"/>
      <c r="UZK26" s="3"/>
      <c r="UZL26" s="3"/>
      <c r="UZM26" s="3"/>
      <c r="UZN26" s="3"/>
      <c r="UZO26" s="3"/>
      <c r="UZP26" s="3"/>
      <c r="UZQ26" s="3"/>
      <c r="UZR26" s="3"/>
      <c r="UZS26" s="3"/>
      <c r="UZT26" s="3"/>
      <c r="UZU26" s="3"/>
      <c r="UZV26" s="3"/>
      <c r="UZW26" s="3"/>
      <c r="UZX26" s="3"/>
      <c r="UZY26" s="3"/>
      <c r="UZZ26" s="3"/>
      <c r="VAA26" s="3"/>
      <c r="VAB26" s="3"/>
      <c r="VAC26" s="3"/>
      <c r="VAD26" s="3"/>
      <c r="VAE26" s="3"/>
      <c r="VAF26" s="3"/>
      <c r="VAG26" s="3"/>
      <c r="VAH26" s="3"/>
      <c r="VAI26" s="3"/>
      <c r="VAJ26" s="3"/>
      <c r="VAK26" s="3"/>
      <c r="VAL26" s="3"/>
      <c r="VAM26" s="3"/>
      <c r="VAN26" s="3"/>
      <c r="VAO26" s="3"/>
      <c r="VAP26" s="3"/>
      <c r="VAQ26" s="3"/>
      <c r="VAR26" s="3"/>
      <c r="VAS26" s="3"/>
      <c r="VAT26" s="3"/>
      <c r="VAU26" s="3"/>
      <c r="VAV26" s="3"/>
      <c r="VAW26" s="3"/>
      <c r="VAX26" s="3"/>
      <c r="VAY26" s="3"/>
      <c r="VAZ26" s="3"/>
      <c r="VBA26" s="3"/>
      <c r="VBB26" s="3"/>
      <c r="VBC26" s="3"/>
      <c r="VBD26" s="3"/>
      <c r="VBE26" s="3"/>
      <c r="VBF26" s="3"/>
      <c r="VBG26" s="3"/>
      <c r="VBH26" s="3"/>
      <c r="VBI26" s="3"/>
      <c r="VBJ26" s="3"/>
      <c r="VBK26" s="3"/>
      <c r="VBL26" s="3"/>
      <c r="VBM26" s="3"/>
      <c r="VBN26" s="3"/>
      <c r="VBO26" s="3"/>
      <c r="VBP26" s="3"/>
      <c r="VBQ26" s="3"/>
      <c r="VBR26" s="3"/>
      <c r="VBS26" s="3"/>
      <c r="VBT26" s="3"/>
      <c r="VBU26" s="3"/>
      <c r="VBV26" s="3"/>
      <c r="VBW26" s="3"/>
      <c r="VBX26" s="3"/>
      <c r="VBY26" s="3"/>
      <c r="VBZ26" s="3"/>
      <c r="VCA26" s="3"/>
      <c r="VCB26" s="3"/>
      <c r="VCC26" s="3"/>
      <c r="VCD26" s="3"/>
      <c r="VCE26" s="3"/>
      <c r="VCF26" s="3"/>
      <c r="VCG26" s="3"/>
      <c r="VCH26" s="3"/>
      <c r="VCI26" s="3"/>
      <c r="VCJ26" s="3"/>
      <c r="VCK26" s="3"/>
      <c r="VCL26" s="3"/>
      <c r="VCM26" s="3"/>
      <c r="VCN26" s="3"/>
      <c r="VCO26" s="3"/>
      <c r="VCP26" s="3"/>
      <c r="VCQ26" s="3"/>
      <c r="VCR26" s="3"/>
      <c r="VCS26" s="3"/>
      <c r="VCT26" s="3"/>
      <c r="VCU26" s="3"/>
      <c r="VCV26" s="3"/>
      <c r="VCW26" s="3"/>
      <c r="VCX26" s="3"/>
      <c r="VCY26" s="3"/>
      <c r="VCZ26" s="3"/>
      <c r="VDA26" s="3"/>
      <c r="VDB26" s="3"/>
      <c r="VDC26" s="3"/>
      <c r="VDD26" s="3"/>
      <c r="VDE26" s="3"/>
      <c r="VDF26" s="3"/>
      <c r="VDG26" s="3"/>
      <c r="VDH26" s="3"/>
      <c r="VDI26" s="3"/>
      <c r="VDJ26" s="3"/>
      <c r="VDK26" s="3"/>
      <c r="VDL26" s="3"/>
      <c r="VDM26" s="3"/>
      <c r="VDN26" s="3"/>
      <c r="VDO26" s="3"/>
      <c r="VDP26" s="3"/>
      <c r="VDQ26" s="3"/>
      <c r="VDR26" s="3"/>
      <c r="VDS26" s="3"/>
      <c r="VDT26" s="3"/>
      <c r="VDU26" s="3"/>
      <c r="VDV26" s="3"/>
      <c r="VDW26" s="3"/>
      <c r="VDX26" s="3"/>
      <c r="VDY26" s="3"/>
      <c r="VDZ26" s="3"/>
      <c r="VEA26" s="3"/>
      <c r="VEB26" s="3"/>
      <c r="VEC26" s="3"/>
      <c r="VED26" s="3"/>
      <c r="VEE26" s="3"/>
      <c r="VEF26" s="3"/>
      <c r="VEG26" s="3"/>
      <c r="VEH26" s="3"/>
      <c r="VEI26" s="3"/>
      <c r="VEJ26" s="3"/>
      <c r="VEK26" s="3"/>
      <c r="VEL26" s="3"/>
      <c r="VEM26" s="3"/>
      <c r="VEN26" s="3"/>
      <c r="VEO26" s="3"/>
      <c r="VEP26" s="3"/>
      <c r="VEQ26" s="3"/>
      <c r="VER26" s="3"/>
      <c r="VES26" s="3"/>
      <c r="VET26" s="3"/>
      <c r="VEU26" s="3"/>
      <c r="VEV26" s="3"/>
      <c r="VEW26" s="3"/>
      <c r="VEX26" s="3"/>
      <c r="VEY26" s="3"/>
      <c r="VEZ26" s="3"/>
      <c r="VFA26" s="3"/>
      <c r="VFB26" s="3"/>
      <c r="VFC26" s="3"/>
      <c r="VFD26" s="3"/>
      <c r="VFE26" s="3"/>
      <c r="VFF26" s="3"/>
      <c r="VFG26" s="3"/>
      <c r="VFH26" s="3"/>
      <c r="VFI26" s="3"/>
      <c r="VFJ26" s="3"/>
      <c r="VFK26" s="3"/>
      <c r="VFL26" s="3"/>
      <c r="VFM26" s="3"/>
      <c r="VFN26" s="3"/>
      <c r="VFO26" s="3"/>
      <c r="VFP26" s="3"/>
      <c r="VFQ26" s="3"/>
      <c r="VFR26" s="3"/>
      <c r="VFS26" s="3"/>
      <c r="VFT26" s="3"/>
      <c r="VFU26" s="3"/>
      <c r="VFV26" s="3"/>
      <c r="VFW26" s="3"/>
      <c r="VFX26" s="3"/>
      <c r="VFY26" s="3"/>
      <c r="VFZ26" s="3"/>
      <c r="VGA26" s="3"/>
      <c r="VGB26" s="3"/>
      <c r="VGC26" s="3"/>
      <c r="VGD26" s="3"/>
      <c r="VGE26" s="3"/>
      <c r="VGF26" s="3"/>
      <c r="VGG26" s="3"/>
      <c r="VGH26" s="3"/>
      <c r="VGI26" s="3"/>
      <c r="VGJ26" s="3"/>
      <c r="VGK26" s="3"/>
      <c r="VGL26" s="3"/>
      <c r="VGM26" s="3"/>
      <c r="VGN26" s="3"/>
      <c r="VGO26" s="3"/>
      <c r="VGP26" s="3"/>
      <c r="VGQ26" s="3"/>
      <c r="VGR26" s="3"/>
      <c r="VGS26" s="3"/>
      <c r="VGT26" s="3"/>
      <c r="VGU26" s="3"/>
      <c r="VGV26" s="3"/>
      <c r="VGW26" s="3"/>
      <c r="VGX26" s="3"/>
      <c r="VGY26" s="3"/>
      <c r="VGZ26" s="3"/>
      <c r="VHA26" s="3"/>
      <c r="VHB26" s="3"/>
      <c r="VHC26" s="3"/>
      <c r="VHD26" s="3"/>
      <c r="VHE26" s="3"/>
      <c r="VHF26" s="3"/>
      <c r="VHG26" s="3"/>
      <c r="VHH26" s="3"/>
      <c r="VHI26" s="3"/>
      <c r="VHJ26" s="3"/>
      <c r="VHK26" s="3"/>
      <c r="VHL26" s="3"/>
      <c r="VHM26" s="3"/>
      <c r="VHN26" s="3"/>
      <c r="VHO26" s="3"/>
      <c r="VHP26" s="3"/>
      <c r="VHQ26" s="3"/>
      <c r="VHR26" s="3"/>
      <c r="VHS26" s="3"/>
      <c r="VHT26" s="3"/>
      <c r="VHU26" s="3"/>
      <c r="VHV26" s="3"/>
      <c r="VHW26" s="3"/>
      <c r="VHX26" s="3"/>
      <c r="VHY26" s="3"/>
      <c r="VHZ26" s="3"/>
      <c r="VIA26" s="3"/>
      <c r="VIB26" s="3"/>
      <c r="VIC26" s="3"/>
      <c r="VID26" s="3"/>
      <c r="VIE26" s="3"/>
      <c r="VIF26" s="3"/>
      <c r="VIG26" s="3"/>
      <c r="VIH26" s="3"/>
      <c r="VII26" s="3"/>
      <c r="VIJ26" s="3"/>
      <c r="VIK26" s="3"/>
      <c r="VIL26" s="3"/>
      <c r="VIM26" s="3"/>
      <c r="VIN26" s="3"/>
      <c r="VIO26" s="3"/>
      <c r="VIP26" s="3"/>
      <c r="VIQ26" s="3"/>
      <c r="VIR26" s="3"/>
      <c r="VIS26" s="3"/>
      <c r="VIT26" s="3"/>
      <c r="VIU26" s="3"/>
      <c r="VIV26" s="3"/>
      <c r="VIW26" s="3"/>
      <c r="VIX26" s="3"/>
      <c r="VIY26" s="3"/>
      <c r="VIZ26" s="3"/>
      <c r="VJA26" s="3"/>
      <c r="VJB26" s="3"/>
      <c r="VJC26" s="3"/>
      <c r="VJD26" s="3"/>
      <c r="VJE26" s="3"/>
      <c r="VJF26" s="3"/>
      <c r="VJG26" s="3"/>
      <c r="VJH26" s="3"/>
      <c r="VJI26" s="3"/>
      <c r="VJJ26" s="3"/>
      <c r="VJK26" s="3"/>
      <c r="VJL26" s="3"/>
      <c r="VJM26" s="3"/>
      <c r="VJN26" s="3"/>
      <c r="VJO26" s="3"/>
      <c r="VJP26" s="3"/>
      <c r="VJQ26" s="3"/>
      <c r="VJR26" s="3"/>
      <c r="VJS26" s="3"/>
      <c r="VJT26" s="3"/>
      <c r="VJU26" s="3"/>
      <c r="VJV26" s="3"/>
      <c r="VJW26" s="3"/>
      <c r="VJX26" s="3"/>
      <c r="VJY26" s="3"/>
      <c r="VJZ26" s="3"/>
      <c r="VKA26" s="3"/>
      <c r="VKB26" s="3"/>
      <c r="VKC26" s="3"/>
      <c r="VKD26" s="3"/>
      <c r="VKE26" s="3"/>
      <c r="VKF26" s="3"/>
      <c r="VKG26" s="3"/>
      <c r="VKH26" s="3"/>
      <c r="VKI26" s="3"/>
      <c r="VKJ26" s="3"/>
      <c r="VKK26" s="3"/>
      <c r="VKL26" s="3"/>
      <c r="VKM26" s="3"/>
      <c r="VKN26" s="3"/>
      <c r="VKO26" s="3"/>
      <c r="VKP26" s="3"/>
      <c r="VKQ26" s="3"/>
      <c r="VKR26" s="3"/>
      <c r="VKS26" s="3"/>
      <c r="VKT26" s="3"/>
      <c r="VKU26" s="3"/>
      <c r="VKV26" s="3"/>
      <c r="VKW26" s="3"/>
      <c r="VKX26" s="3"/>
      <c r="VKY26" s="3"/>
      <c r="VKZ26" s="3"/>
      <c r="VLA26" s="3"/>
      <c r="VLB26" s="3"/>
      <c r="VLC26" s="3"/>
      <c r="VLD26" s="3"/>
      <c r="VLE26" s="3"/>
      <c r="VLF26" s="3"/>
      <c r="VLG26" s="3"/>
      <c r="VLH26" s="3"/>
      <c r="VLI26" s="3"/>
      <c r="VLJ26" s="3"/>
      <c r="VLK26" s="3"/>
      <c r="VLL26" s="3"/>
      <c r="VLM26" s="3"/>
      <c r="VLN26" s="3"/>
      <c r="VLO26" s="3"/>
      <c r="VLP26" s="3"/>
      <c r="VLQ26" s="3"/>
      <c r="VLR26" s="3"/>
      <c r="VLS26" s="3"/>
      <c r="VLT26" s="3"/>
      <c r="VLU26" s="3"/>
      <c r="VLV26" s="3"/>
      <c r="VLW26" s="3"/>
      <c r="VLX26" s="3"/>
      <c r="VLY26" s="3"/>
      <c r="VLZ26" s="3"/>
      <c r="VMA26" s="3"/>
      <c r="VMB26" s="3"/>
      <c r="VMC26" s="3"/>
      <c r="VMD26" s="3"/>
      <c r="VME26" s="3"/>
      <c r="VMF26" s="3"/>
      <c r="VMG26" s="3"/>
      <c r="VMH26" s="3"/>
      <c r="VMI26" s="3"/>
      <c r="VMJ26" s="3"/>
      <c r="VMK26" s="3"/>
      <c r="VML26" s="3"/>
      <c r="VMM26" s="3"/>
      <c r="VMN26" s="3"/>
      <c r="VMO26" s="3"/>
      <c r="VMP26" s="3"/>
      <c r="VMQ26" s="3"/>
      <c r="VMR26" s="3"/>
      <c r="VMS26" s="3"/>
      <c r="VMT26" s="3"/>
      <c r="VMU26" s="3"/>
      <c r="VMV26" s="3"/>
      <c r="VMW26" s="3"/>
      <c r="VMX26" s="3"/>
      <c r="VMY26" s="3"/>
      <c r="VMZ26" s="3"/>
      <c r="VNA26" s="3"/>
      <c r="VNB26" s="3"/>
      <c r="VNC26" s="3"/>
      <c r="VND26" s="3"/>
      <c r="VNE26" s="3"/>
      <c r="VNF26" s="3"/>
      <c r="VNG26" s="3"/>
      <c r="VNH26" s="3"/>
      <c r="VNI26" s="3"/>
      <c r="VNJ26" s="3"/>
      <c r="VNK26" s="3"/>
      <c r="VNL26" s="3"/>
      <c r="VNM26" s="3"/>
      <c r="VNN26" s="3"/>
      <c r="VNO26" s="3"/>
      <c r="VNP26" s="3"/>
      <c r="VNQ26" s="3"/>
      <c r="VNR26" s="3"/>
      <c r="VNS26" s="3"/>
      <c r="VNT26" s="3"/>
      <c r="VNU26" s="3"/>
      <c r="VNV26" s="3"/>
      <c r="VNW26" s="3"/>
      <c r="VNX26" s="3"/>
      <c r="VNY26" s="3"/>
      <c r="VNZ26" s="3"/>
      <c r="VOA26" s="3"/>
      <c r="VOB26" s="3"/>
      <c r="VOC26" s="3"/>
      <c r="VOD26" s="3"/>
      <c r="VOE26" s="3"/>
      <c r="VOF26" s="3"/>
      <c r="VOG26" s="3"/>
      <c r="VOH26" s="3"/>
      <c r="VOI26" s="3"/>
      <c r="VOJ26" s="3"/>
      <c r="VOK26" s="3"/>
      <c r="VOL26" s="3"/>
      <c r="VOM26" s="3"/>
      <c r="VON26" s="3"/>
      <c r="VOO26" s="3"/>
      <c r="VOP26" s="3"/>
      <c r="VOQ26" s="3"/>
      <c r="VOR26" s="3"/>
      <c r="VOS26" s="3"/>
      <c r="VOT26" s="3"/>
      <c r="VOU26" s="3"/>
      <c r="VOV26" s="3"/>
      <c r="VOW26" s="3"/>
      <c r="VOX26" s="3"/>
      <c r="VOY26" s="3"/>
      <c r="VOZ26" s="3"/>
      <c r="VPA26" s="3"/>
      <c r="VPB26" s="3"/>
      <c r="VPC26" s="3"/>
      <c r="VPD26" s="3"/>
      <c r="VPE26" s="3"/>
      <c r="VPF26" s="3"/>
      <c r="VPG26" s="3"/>
      <c r="VPH26" s="3"/>
      <c r="VPI26" s="3"/>
      <c r="VPJ26" s="3"/>
      <c r="VPK26" s="3"/>
      <c r="VPL26" s="3"/>
      <c r="VPM26" s="3"/>
      <c r="VPN26" s="3"/>
      <c r="VPO26" s="3"/>
      <c r="VPP26" s="3"/>
      <c r="VPQ26" s="3"/>
      <c r="VPR26" s="3"/>
      <c r="VPS26" s="3"/>
      <c r="VPT26" s="3"/>
      <c r="VPU26" s="3"/>
      <c r="VPV26" s="3"/>
      <c r="VPW26" s="3"/>
      <c r="VPX26" s="3"/>
      <c r="VPY26" s="3"/>
      <c r="VPZ26" s="3"/>
      <c r="VQA26" s="3"/>
      <c r="VQB26" s="3"/>
      <c r="VQC26" s="3"/>
      <c r="VQD26" s="3"/>
      <c r="VQE26" s="3"/>
      <c r="VQF26" s="3"/>
      <c r="VQG26" s="3"/>
      <c r="VQH26" s="3"/>
      <c r="VQI26" s="3"/>
      <c r="VQJ26" s="3"/>
      <c r="VQK26" s="3"/>
      <c r="VQL26" s="3"/>
      <c r="VQM26" s="3"/>
      <c r="VQN26" s="3"/>
      <c r="VQO26" s="3"/>
      <c r="VQP26" s="3"/>
      <c r="VQQ26" s="3"/>
      <c r="VQR26" s="3"/>
      <c r="VQS26" s="3"/>
      <c r="VQT26" s="3"/>
      <c r="VQU26" s="3"/>
      <c r="VQV26" s="3"/>
      <c r="VQW26" s="3"/>
      <c r="VQX26" s="3"/>
      <c r="VQY26" s="3"/>
      <c r="VQZ26" s="3"/>
      <c r="VRA26" s="3"/>
      <c r="VRB26" s="3"/>
      <c r="VRC26" s="3"/>
      <c r="VRD26" s="3"/>
      <c r="VRE26" s="3"/>
      <c r="VRF26" s="3"/>
      <c r="VRG26" s="3"/>
      <c r="VRH26" s="3"/>
      <c r="VRI26" s="3"/>
      <c r="VRJ26" s="3"/>
      <c r="VRK26" s="3"/>
      <c r="VRL26" s="3"/>
      <c r="VRM26" s="3"/>
      <c r="VRN26" s="3"/>
      <c r="VRO26" s="3"/>
      <c r="VRP26" s="3"/>
      <c r="VRQ26" s="3"/>
      <c r="VRR26" s="3"/>
      <c r="VRS26" s="3"/>
      <c r="VRT26" s="3"/>
      <c r="VRU26" s="3"/>
      <c r="VRV26" s="3"/>
      <c r="VRW26" s="3"/>
      <c r="VRX26" s="3"/>
      <c r="VRY26" s="3"/>
      <c r="VRZ26" s="3"/>
      <c r="VSA26" s="3"/>
      <c r="VSB26" s="3"/>
      <c r="VSC26" s="3"/>
      <c r="VSD26" s="3"/>
      <c r="VSE26" s="3"/>
      <c r="VSF26" s="3"/>
      <c r="VSG26" s="3"/>
      <c r="VSH26" s="3"/>
      <c r="VSI26" s="3"/>
      <c r="VSJ26" s="3"/>
      <c r="VSK26" s="3"/>
      <c r="VSL26" s="3"/>
      <c r="VSM26" s="3"/>
      <c r="VSN26" s="3"/>
      <c r="VSO26" s="3"/>
      <c r="VSP26" s="3"/>
      <c r="VSQ26" s="3"/>
      <c r="VSR26" s="3"/>
      <c r="VSS26" s="3"/>
      <c r="VST26" s="3"/>
      <c r="VSU26" s="3"/>
      <c r="VSV26" s="3"/>
      <c r="VSW26" s="3"/>
      <c r="VSX26" s="3"/>
      <c r="VSY26" s="3"/>
      <c r="VSZ26" s="3"/>
      <c r="VTA26" s="3"/>
      <c r="VTB26" s="3"/>
      <c r="VTC26" s="3"/>
      <c r="VTD26" s="3"/>
      <c r="VTE26" s="3"/>
      <c r="VTF26" s="3"/>
      <c r="VTG26" s="3"/>
      <c r="VTH26" s="3"/>
      <c r="VTI26" s="3"/>
      <c r="VTJ26" s="3"/>
      <c r="VTK26" s="3"/>
      <c r="VTL26" s="3"/>
      <c r="VTM26" s="3"/>
      <c r="VTN26" s="3"/>
      <c r="VTO26" s="3"/>
      <c r="VTP26" s="3"/>
      <c r="VTQ26" s="3"/>
      <c r="VTR26" s="3"/>
      <c r="VTS26" s="3"/>
      <c r="VTT26" s="3"/>
      <c r="VTU26" s="3"/>
      <c r="VTV26" s="3"/>
      <c r="VTW26" s="3"/>
      <c r="VTX26" s="3"/>
      <c r="VTY26" s="3"/>
      <c r="VTZ26" s="3"/>
      <c r="VUA26" s="3"/>
      <c r="VUB26" s="3"/>
      <c r="VUC26" s="3"/>
      <c r="VUD26" s="3"/>
      <c r="VUE26" s="3"/>
      <c r="VUF26" s="3"/>
      <c r="VUG26" s="3"/>
      <c r="VUH26" s="3"/>
      <c r="VUI26" s="3"/>
      <c r="VUJ26" s="3"/>
      <c r="VUK26" s="3"/>
      <c r="VUL26" s="3"/>
      <c r="VUM26" s="3"/>
      <c r="VUN26" s="3"/>
      <c r="VUO26" s="3"/>
      <c r="VUP26" s="3"/>
      <c r="VUQ26" s="3"/>
      <c r="VUR26" s="3"/>
      <c r="VUS26" s="3"/>
      <c r="VUT26" s="3"/>
      <c r="VUU26" s="3"/>
      <c r="VUV26" s="3"/>
      <c r="VUW26" s="3"/>
      <c r="VUX26" s="3"/>
      <c r="VUY26" s="3"/>
      <c r="VUZ26" s="3"/>
      <c r="VVA26" s="3"/>
      <c r="VVB26" s="3"/>
      <c r="VVC26" s="3"/>
      <c r="VVD26" s="3"/>
      <c r="VVE26" s="3"/>
      <c r="VVF26" s="3"/>
      <c r="VVG26" s="3"/>
      <c r="VVH26" s="3"/>
      <c r="VVI26" s="3"/>
      <c r="VVJ26" s="3"/>
      <c r="VVK26" s="3"/>
      <c r="VVL26" s="3"/>
      <c r="VVM26" s="3"/>
      <c r="VVN26" s="3"/>
      <c r="VVO26" s="3"/>
      <c r="VVP26" s="3"/>
      <c r="VVQ26" s="3"/>
      <c r="VVR26" s="3"/>
      <c r="VVS26" s="3"/>
      <c r="VVT26" s="3"/>
      <c r="VVU26" s="3"/>
      <c r="VVV26" s="3"/>
      <c r="VVW26" s="3"/>
      <c r="VVX26" s="3"/>
      <c r="VVY26" s="3"/>
      <c r="VVZ26" s="3"/>
      <c r="VWA26" s="3"/>
      <c r="VWB26" s="3"/>
      <c r="VWC26" s="3"/>
      <c r="VWD26" s="3"/>
      <c r="VWE26" s="3"/>
      <c r="VWF26" s="3"/>
      <c r="VWG26" s="3"/>
      <c r="VWH26" s="3"/>
      <c r="VWI26" s="3"/>
      <c r="VWJ26" s="3"/>
      <c r="VWK26" s="3"/>
      <c r="VWL26" s="3"/>
      <c r="VWM26" s="3"/>
      <c r="VWN26" s="3"/>
      <c r="VWO26" s="3"/>
      <c r="VWP26" s="3"/>
      <c r="VWQ26" s="3"/>
      <c r="VWR26" s="3"/>
      <c r="VWS26" s="3"/>
      <c r="VWT26" s="3"/>
      <c r="VWU26" s="3"/>
      <c r="VWV26" s="3"/>
      <c r="VWW26" s="3"/>
      <c r="VWX26" s="3"/>
      <c r="VWY26" s="3"/>
      <c r="VWZ26" s="3"/>
      <c r="VXA26" s="3"/>
      <c r="VXB26" s="3"/>
      <c r="VXC26" s="3"/>
      <c r="VXD26" s="3"/>
      <c r="VXE26" s="3"/>
      <c r="VXF26" s="3"/>
      <c r="VXG26" s="3"/>
      <c r="VXH26" s="3"/>
      <c r="VXI26" s="3"/>
      <c r="VXJ26" s="3"/>
      <c r="VXK26" s="3"/>
      <c r="VXL26" s="3"/>
      <c r="VXM26" s="3"/>
      <c r="VXN26" s="3"/>
      <c r="VXO26" s="3"/>
      <c r="VXP26" s="3"/>
      <c r="VXQ26" s="3"/>
      <c r="VXR26" s="3"/>
      <c r="VXS26" s="3"/>
      <c r="VXT26" s="3"/>
      <c r="VXU26" s="3"/>
      <c r="VXV26" s="3"/>
      <c r="VXW26" s="3"/>
      <c r="VXX26" s="3"/>
      <c r="VXY26" s="3"/>
      <c r="VXZ26" s="3"/>
      <c r="VYA26" s="3"/>
      <c r="VYB26" s="3"/>
      <c r="VYC26" s="3"/>
      <c r="VYD26" s="3"/>
      <c r="VYE26" s="3"/>
      <c r="VYF26" s="3"/>
      <c r="VYG26" s="3"/>
      <c r="VYH26" s="3"/>
      <c r="VYI26" s="3"/>
      <c r="VYJ26" s="3"/>
      <c r="VYK26" s="3"/>
      <c r="VYL26" s="3"/>
      <c r="VYM26" s="3"/>
      <c r="VYN26" s="3"/>
      <c r="VYO26" s="3"/>
      <c r="VYP26" s="3"/>
      <c r="VYQ26" s="3"/>
      <c r="VYR26" s="3"/>
      <c r="VYS26" s="3"/>
      <c r="VYT26" s="3"/>
      <c r="VYU26" s="3"/>
      <c r="VYV26" s="3"/>
      <c r="VYW26" s="3"/>
      <c r="VYX26" s="3"/>
      <c r="VYY26" s="3"/>
      <c r="VYZ26" s="3"/>
      <c r="VZA26" s="3"/>
      <c r="VZB26" s="3"/>
      <c r="VZC26" s="3"/>
      <c r="VZD26" s="3"/>
      <c r="VZE26" s="3"/>
      <c r="VZF26" s="3"/>
      <c r="VZG26" s="3"/>
      <c r="VZH26" s="3"/>
      <c r="VZI26" s="3"/>
      <c r="VZJ26" s="3"/>
      <c r="VZK26" s="3"/>
      <c r="VZL26" s="3"/>
      <c r="VZM26" s="3"/>
      <c r="VZN26" s="3"/>
      <c r="VZO26" s="3"/>
      <c r="VZP26" s="3"/>
      <c r="VZQ26" s="3"/>
      <c r="VZR26" s="3"/>
      <c r="VZS26" s="3"/>
      <c r="VZT26" s="3"/>
      <c r="VZU26" s="3"/>
      <c r="VZV26" s="3"/>
      <c r="VZW26" s="3"/>
      <c r="VZX26" s="3"/>
      <c r="VZY26" s="3"/>
      <c r="VZZ26" s="3"/>
      <c r="WAA26" s="3"/>
      <c r="WAB26" s="3"/>
      <c r="WAC26" s="3"/>
      <c r="WAD26" s="3"/>
      <c r="WAE26" s="3"/>
      <c r="WAF26" s="3"/>
      <c r="WAG26" s="3"/>
      <c r="WAH26" s="3"/>
      <c r="WAI26" s="3"/>
      <c r="WAJ26" s="3"/>
      <c r="WAK26" s="3"/>
      <c r="WAL26" s="3"/>
      <c r="WAM26" s="3"/>
      <c r="WAN26" s="3"/>
      <c r="WAO26" s="3"/>
      <c r="WAP26" s="3"/>
      <c r="WAQ26" s="3"/>
      <c r="WAR26" s="3"/>
      <c r="WAS26" s="3"/>
      <c r="WAT26" s="3"/>
      <c r="WAU26" s="3"/>
      <c r="WAV26" s="3"/>
      <c r="WAW26" s="3"/>
      <c r="WAX26" s="3"/>
      <c r="WAY26" s="3"/>
      <c r="WAZ26" s="3"/>
      <c r="WBA26" s="3"/>
      <c r="WBB26" s="3"/>
      <c r="WBC26" s="3"/>
      <c r="WBD26" s="3"/>
      <c r="WBE26" s="3"/>
      <c r="WBF26" s="3"/>
      <c r="WBG26" s="3"/>
      <c r="WBH26" s="3"/>
      <c r="WBI26" s="3"/>
      <c r="WBJ26" s="3"/>
      <c r="WBK26" s="3"/>
      <c r="WBL26" s="3"/>
      <c r="WBM26" s="3"/>
      <c r="WBN26" s="3"/>
      <c r="WBO26" s="3"/>
      <c r="WBP26" s="3"/>
      <c r="WBQ26" s="3"/>
      <c r="WBR26" s="3"/>
      <c r="WBS26" s="3"/>
      <c r="WBT26" s="3"/>
      <c r="WBU26" s="3"/>
      <c r="WBV26" s="3"/>
      <c r="WBW26" s="3"/>
      <c r="WBX26" s="3"/>
      <c r="WBY26" s="3"/>
      <c r="WBZ26" s="3"/>
      <c r="WCA26" s="3"/>
      <c r="WCB26" s="3"/>
      <c r="WCC26" s="3"/>
      <c r="WCD26" s="3"/>
      <c r="WCE26" s="3"/>
      <c r="WCF26" s="3"/>
      <c r="WCG26" s="3"/>
      <c r="WCH26" s="3"/>
      <c r="WCI26" s="3"/>
      <c r="WCJ26" s="3"/>
      <c r="WCK26" s="3"/>
      <c r="WCL26" s="3"/>
      <c r="WCM26" s="3"/>
      <c r="WCN26" s="3"/>
      <c r="WCO26" s="3"/>
      <c r="WCP26" s="3"/>
      <c r="WCQ26" s="3"/>
      <c r="WCR26" s="3"/>
      <c r="WCS26" s="3"/>
      <c r="WCT26" s="3"/>
      <c r="WCU26" s="3"/>
      <c r="WCV26" s="3"/>
      <c r="WCW26" s="3"/>
      <c r="WCX26" s="3"/>
      <c r="WCY26" s="3"/>
      <c r="WCZ26" s="3"/>
      <c r="WDA26" s="3"/>
      <c r="WDB26" s="3"/>
      <c r="WDC26" s="3"/>
      <c r="WDD26" s="3"/>
      <c r="WDE26" s="3"/>
      <c r="WDF26" s="3"/>
      <c r="WDG26" s="3"/>
      <c r="WDH26" s="3"/>
      <c r="WDI26" s="3"/>
      <c r="WDJ26" s="3"/>
      <c r="WDK26" s="3"/>
      <c r="WDL26" s="3"/>
      <c r="WDM26" s="3"/>
      <c r="WDN26" s="3"/>
      <c r="WDO26" s="3"/>
      <c r="WDP26" s="3"/>
      <c r="WDQ26" s="3"/>
      <c r="WDR26" s="3"/>
      <c r="WDS26" s="3"/>
      <c r="WDT26" s="3"/>
      <c r="WDU26" s="3"/>
      <c r="WDV26" s="3"/>
      <c r="WDW26" s="3"/>
      <c r="WDX26" s="3"/>
      <c r="WDY26" s="3"/>
      <c r="WDZ26" s="3"/>
      <c r="WEA26" s="3"/>
      <c r="WEB26" s="3"/>
      <c r="WEC26" s="3"/>
      <c r="WED26" s="3"/>
      <c r="WEE26" s="3"/>
      <c r="WEF26" s="3"/>
      <c r="WEG26" s="3"/>
      <c r="WEH26" s="3"/>
      <c r="WEI26" s="3"/>
      <c r="WEJ26" s="3"/>
      <c r="WEK26" s="3"/>
      <c r="WEL26" s="3"/>
      <c r="WEM26" s="3"/>
      <c r="WEN26" s="3"/>
      <c r="WEO26" s="3"/>
      <c r="WEP26" s="3"/>
      <c r="WEQ26" s="3"/>
      <c r="WER26" s="3"/>
      <c r="WES26" s="3"/>
      <c r="WET26" s="3"/>
      <c r="WEU26" s="3"/>
      <c r="WEV26" s="3"/>
      <c r="WEW26" s="3"/>
      <c r="WEX26" s="3"/>
      <c r="WEY26" s="3"/>
      <c r="WEZ26" s="3"/>
      <c r="WFA26" s="3"/>
      <c r="WFB26" s="3"/>
      <c r="WFC26" s="3"/>
      <c r="WFD26" s="3"/>
      <c r="WFE26" s="3"/>
      <c r="WFF26" s="3"/>
      <c r="WFG26" s="3"/>
      <c r="WFH26" s="3"/>
      <c r="WFI26" s="3"/>
      <c r="WFJ26" s="3"/>
      <c r="WFK26" s="3"/>
      <c r="WFL26" s="3"/>
      <c r="WFM26" s="3"/>
      <c r="WFN26" s="3"/>
      <c r="WFO26" s="3"/>
      <c r="WFP26" s="3"/>
      <c r="WFQ26" s="3"/>
      <c r="WFR26" s="3"/>
      <c r="WFS26" s="3"/>
      <c r="WFT26" s="3"/>
      <c r="WFU26" s="3"/>
      <c r="WFV26" s="3"/>
      <c r="WFW26" s="3"/>
      <c r="WFX26" s="3"/>
      <c r="WFY26" s="3"/>
      <c r="WFZ26" s="3"/>
      <c r="WGA26" s="3"/>
      <c r="WGB26" s="3"/>
      <c r="WGC26" s="3"/>
      <c r="WGD26" s="3"/>
      <c r="WGE26" s="3"/>
      <c r="WGF26" s="3"/>
      <c r="WGG26" s="3"/>
      <c r="WGH26" s="3"/>
      <c r="WGI26" s="3"/>
      <c r="WGJ26" s="3"/>
      <c r="WGK26" s="3"/>
      <c r="WGL26" s="3"/>
      <c r="WGM26" s="3"/>
      <c r="WGN26" s="3"/>
      <c r="WGO26" s="3"/>
      <c r="WGP26" s="3"/>
      <c r="WGQ26" s="3"/>
      <c r="WGR26" s="3"/>
      <c r="WGS26" s="3"/>
      <c r="WGT26" s="3"/>
      <c r="WGU26" s="3"/>
      <c r="WGV26" s="3"/>
      <c r="WGW26" s="3"/>
      <c r="WGX26" s="3"/>
      <c r="WGY26" s="3"/>
      <c r="WGZ26" s="3"/>
      <c r="WHA26" s="3"/>
      <c r="WHB26" s="3"/>
      <c r="WHC26" s="3"/>
      <c r="WHD26" s="3"/>
      <c r="WHE26" s="3"/>
      <c r="WHF26" s="3"/>
      <c r="WHG26" s="3"/>
      <c r="WHH26" s="3"/>
      <c r="WHI26" s="3"/>
      <c r="WHJ26" s="3"/>
      <c r="WHK26" s="3"/>
      <c r="WHL26" s="3"/>
      <c r="WHM26" s="3"/>
      <c r="WHN26" s="3"/>
      <c r="WHO26" s="3"/>
      <c r="WHP26" s="3"/>
      <c r="WHQ26" s="3"/>
      <c r="WHR26" s="3"/>
      <c r="WHS26" s="3"/>
      <c r="WHT26" s="3"/>
      <c r="WHU26" s="3"/>
      <c r="WHV26" s="3"/>
      <c r="WHW26" s="3"/>
      <c r="WHX26" s="3"/>
      <c r="WHY26" s="3"/>
      <c r="WHZ26" s="3"/>
      <c r="WIA26" s="3"/>
      <c r="WIB26" s="3"/>
      <c r="WIC26" s="3"/>
      <c r="WID26" s="3"/>
      <c r="WIE26" s="3"/>
      <c r="WIF26" s="3"/>
      <c r="WIG26" s="3"/>
      <c r="WIH26" s="3"/>
      <c r="WII26" s="3"/>
      <c r="WIJ26" s="3"/>
      <c r="WIK26" s="3"/>
      <c r="WIL26" s="3"/>
      <c r="WIM26" s="3"/>
      <c r="WIN26" s="3"/>
      <c r="WIO26" s="3"/>
      <c r="WIP26" s="3"/>
      <c r="WIQ26" s="3"/>
      <c r="WIR26" s="3"/>
      <c r="WIS26" s="3"/>
      <c r="WIT26" s="3"/>
      <c r="WIU26" s="3"/>
      <c r="WIV26" s="3"/>
      <c r="WIW26" s="3"/>
      <c r="WIX26" s="3"/>
      <c r="WIY26" s="3"/>
      <c r="WIZ26" s="3"/>
      <c r="WJA26" s="3"/>
      <c r="WJB26" s="3"/>
      <c r="WJC26" s="3"/>
      <c r="WJD26" s="3"/>
      <c r="WJE26" s="3"/>
      <c r="WJF26" s="3"/>
      <c r="WJG26" s="3"/>
      <c r="WJH26" s="3"/>
      <c r="WJI26" s="3"/>
      <c r="WJJ26" s="3"/>
      <c r="WJK26" s="3"/>
      <c r="WJL26" s="3"/>
      <c r="WJM26" s="3"/>
      <c r="WJN26" s="3"/>
      <c r="WJO26" s="3"/>
      <c r="WJP26" s="3"/>
      <c r="WJQ26" s="3"/>
      <c r="WJR26" s="3"/>
      <c r="WJS26" s="3"/>
      <c r="WJT26" s="3"/>
      <c r="WJU26" s="3"/>
      <c r="WJV26" s="3"/>
      <c r="WJW26" s="3"/>
      <c r="WJX26" s="3"/>
      <c r="WJY26" s="3"/>
      <c r="WJZ26" s="3"/>
      <c r="WKA26" s="3"/>
      <c r="WKB26" s="3"/>
      <c r="WKC26" s="3"/>
      <c r="WKD26" s="3"/>
      <c r="WKE26" s="3"/>
      <c r="WKF26" s="3"/>
      <c r="WKG26" s="3"/>
      <c r="WKH26" s="3"/>
      <c r="WKI26" s="3"/>
      <c r="WKJ26" s="3"/>
      <c r="WKK26" s="3"/>
      <c r="WKL26" s="3"/>
      <c r="WKM26" s="3"/>
      <c r="WKN26" s="3"/>
      <c r="WKO26" s="3"/>
      <c r="WKP26" s="3"/>
      <c r="WKQ26" s="3"/>
      <c r="WKR26" s="3"/>
      <c r="WKS26" s="3"/>
      <c r="WKT26" s="3"/>
      <c r="WKU26" s="3"/>
      <c r="WKV26" s="3"/>
      <c r="WKW26" s="3"/>
      <c r="WKX26" s="3"/>
      <c r="WKY26" s="3"/>
      <c r="WKZ26" s="3"/>
      <c r="WLA26" s="3"/>
      <c r="WLB26" s="3"/>
      <c r="WLC26" s="3"/>
      <c r="WLD26" s="3"/>
      <c r="WLE26" s="3"/>
      <c r="WLF26" s="3"/>
      <c r="WLG26" s="3"/>
      <c r="WLH26" s="3"/>
      <c r="WLI26" s="3"/>
      <c r="WLJ26" s="3"/>
      <c r="WLK26" s="3"/>
      <c r="WLL26" s="3"/>
      <c r="WLM26" s="3"/>
      <c r="WLN26" s="3"/>
      <c r="WLO26" s="3"/>
      <c r="WLP26" s="3"/>
      <c r="WLQ26" s="3"/>
      <c r="WLR26" s="3"/>
      <c r="WLS26" s="3"/>
      <c r="WLT26" s="3"/>
      <c r="WLU26" s="3"/>
      <c r="WLV26" s="3"/>
      <c r="WLW26" s="3"/>
      <c r="WLX26" s="3"/>
      <c r="WLY26" s="3"/>
      <c r="WLZ26" s="3"/>
      <c r="WMA26" s="3"/>
      <c r="WMB26" s="3"/>
      <c r="WMC26" s="3"/>
      <c r="WMD26" s="3"/>
      <c r="WME26" s="3"/>
      <c r="WMF26" s="3"/>
      <c r="WMG26" s="3"/>
      <c r="WMH26" s="3"/>
      <c r="WMI26" s="3"/>
      <c r="WMJ26" s="3"/>
      <c r="WMK26" s="3"/>
      <c r="WML26" s="3"/>
      <c r="WMM26" s="3"/>
      <c r="WMN26" s="3"/>
      <c r="WMO26" s="3"/>
      <c r="WMP26" s="3"/>
      <c r="WMQ26" s="3"/>
      <c r="WMR26" s="3"/>
      <c r="WMS26" s="3"/>
      <c r="WMT26" s="3"/>
      <c r="WMU26" s="3"/>
      <c r="WMV26" s="3"/>
      <c r="WMW26" s="3"/>
      <c r="WMX26" s="3"/>
      <c r="WMY26" s="3"/>
      <c r="WMZ26" s="3"/>
      <c r="WNA26" s="3"/>
      <c r="WNB26" s="3"/>
      <c r="WNC26" s="3"/>
      <c r="WND26" s="3"/>
      <c r="WNE26" s="3"/>
      <c r="WNF26" s="3"/>
      <c r="WNG26" s="3"/>
      <c r="WNH26" s="3"/>
      <c r="WNI26" s="3"/>
      <c r="WNJ26" s="3"/>
      <c r="WNK26" s="3"/>
      <c r="WNL26" s="3"/>
      <c r="WNM26" s="3"/>
      <c r="WNN26" s="3"/>
      <c r="WNO26" s="3"/>
      <c r="WNP26" s="3"/>
      <c r="WNQ26" s="3"/>
      <c r="WNR26" s="3"/>
      <c r="WNS26" s="3"/>
      <c r="WNT26" s="3"/>
      <c r="WNU26" s="3"/>
      <c r="WNV26" s="3"/>
      <c r="WNW26" s="3"/>
      <c r="WNX26" s="3"/>
      <c r="WNY26" s="3"/>
      <c r="WNZ26" s="3"/>
      <c r="WOA26" s="3"/>
      <c r="WOB26" s="3"/>
      <c r="WOC26" s="3"/>
      <c r="WOD26" s="3"/>
      <c r="WOE26" s="3"/>
      <c r="WOF26" s="3"/>
      <c r="WOG26" s="3"/>
      <c r="WOH26" s="3"/>
      <c r="WOI26" s="3"/>
      <c r="WOJ26" s="3"/>
      <c r="WOK26" s="3"/>
      <c r="WOL26" s="3"/>
      <c r="WOM26" s="3"/>
      <c r="WON26" s="3"/>
      <c r="WOO26" s="3"/>
      <c r="WOP26" s="3"/>
      <c r="WOQ26" s="3"/>
      <c r="WOR26" s="3"/>
      <c r="WOS26" s="3"/>
      <c r="WOT26" s="3"/>
      <c r="WOU26" s="3"/>
      <c r="WOV26" s="3"/>
      <c r="WOW26" s="3"/>
      <c r="WOX26" s="3"/>
      <c r="WOY26" s="3"/>
      <c r="WOZ26" s="3"/>
      <c r="WPA26" s="3"/>
      <c r="WPB26" s="3"/>
      <c r="WPC26" s="3"/>
      <c r="WPD26" s="3"/>
      <c r="WPE26" s="3"/>
      <c r="WPF26" s="3"/>
      <c r="WPG26" s="3"/>
      <c r="WPH26" s="3"/>
      <c r="WPI26" s="3"/>
      <c r="WPJ26" s="3"/>
      <c r="WPK26" s="3"/>
      <c r="WPL26" s="3"/>
      <c r="WPM26" s="3"/>
      <c r="WPN26" s="3"/>
      <c r="WPO26" s="3"/>
      <c r="WPP26" s="3"/>
      <c r="WPQ26" s="3"/>
      <c r="WPR26" s="3"/>
      <c r="WPS26" s="3"/>
      <c r="WPT26" s="3"/>
      <c r="WPU26" s="3"/>
      <c r="WPV26" s="3"/>
      <c r="WPW26" s="3"/>
      <c r="WPX26" s="3"/>
      <c r="WPY26" s="3"/>
      <c r="WPZ26" s="3"/>
      <c r="WQA26" s="3"/>
      <c r="WQB26" s="3"/>
      <c r="WQC26" s="3"/>
      <c r="WQD26" s="3"/>
      <c r="WQE26" s="3"/>
      <c r="WQF26" s="3"/>
      <c r="WQG26" s="3"/>
      <c r="WQH26" s="3"/>
      <c r="WQI26" s="3"/>
      <c r="WQJ26" s="3"/>
      <c r="WQK26" s="3"/>
      <c r="WQL26" s="3"/>
      <c r="WQM26" s="3"/>
      <c r="WQN26" s="3"/>
      <c r="WQO26" s="3"/>
      <c r="WQP26" s="3"/>
      <c r="WQQ26" s="3"/>
      <c r="WQR26" s="3"/>
      <c r="WQS26" s="3"/>
      <c r="WQT26" s="3"/>
      <c r="WQU26" s="3"/>
      <c r="WQV26" s="3"/>
      <c r="WQW26" s="3"/>
      <c r="WQX26" s="3"/>
      <c r="WQY26" s="3"/>
      <c r="WQZ26" s="3"/>
      <c r="WRA26" s="3"/>
      <c r="WRB26" s="3"/>
      <c r="WRC26" s="3"/>
      <c r="WRD26" s="3"/>
      <c r="WRE26" s="3"/>
      <c r="WRF26" s="3"/>
      <c r="WRG26" s="3"/>
      <c r="WRH26" s="3"/>
      <c r="WRI26" s="3"/>
      <c r="WRJ26" s="3"/>
      <c r="WRK26" s="3"/>
      <c r="WRL26" s="3"/>
      <c r="WRM26" s="3"/>
      <c r="WRN26" s="3"/>
      <c r="WRO26" s="3"/>
      <c r="WRP26" s="3"/>
      <c r="WRQ26" s="3"/>
      <c r="WRR26" s="3"/>
      <c r="WRS26" s="3"/>
      <c r="WRT26" s="3"/>
      <c r="WRU26" s="3"/>
      <c r="WRV26" s="3"/>
      <c r="WRW26" s="3"/>
      <c r="WRX26" s="3"/>
      <c r="WRY26" s="3"/>
      <c r="WRZ26" s="3"/>
      <c r="WSA26" s="3"/>
      <c r="WSB26" s="3"/>
      <c r="WSC26" s="3"/>
      <c r="WSD26" s="3"/>
      <c r="WSE26" s="3"/>
      <c r="WSF26" s="3"/>
      <c r="WSG26" s="3"/>
      <c r="WSH26" s="3"/>
      <c r="WSI26" s="3"/>
      <c r="WSJ26" s="3"/>
      <c r="WSK26" s="3"/>
      <c r="WSL26" s="3"/>
      <c r="WSM26" s="3"/>
      <c r="WSN26" s="3"/>
      <c r="WSO26" s="3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1:16384" s="3" customFormat="1">
      <c r="B27" s="11">
        <v>104</v>
      </c>
      <c r="C27" s="12">
        <v>1767925</v>
      </c>
      <c r="D27" s="13">
        <f>C27/(SUM(C27:C30))*100</f>
        <v>99.6149336332426</v>
      </c>
      <c r="E27" s="307">
        <v>4.75</v>
      </c>
      <c r="F27" s="308">
        <v>2.0099999999999998</v>
      </c>
      <c r="G27" s="13">
        <v>4.3499999999999996</v>
      </c>
      <c r="H27" s="13">
        <v>2.0499999999999998</v>
      </c>
      <c r="J27" s="19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1:16384" s="3" customFormat="1">
      <c r="B28" s="11">
        <v>105</v>
      </c>
      <c r="C28" s="12">
        <v>6834</v>
      </c>
      <c r="D28" s="13">
        <f>C28/(SUM(C27:C30))*100</f>
        <v>0.38506636675740197</v>
      </c>
      <c r="E28" s="307"/>
      <c r="F28" s="308"/>
      <c r="G28" s="13">
        <v>6.06</v>
      </c>
      <c r="H28" s="13">
        <v>1.91</v>
      </c>
      <c r="J28" s="19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1:16384">
      <c r="B29" s="11">
        <v>106</v>
      </c>
      <c r="C29" s="12">
        <v>0</v>
      </c>
      <c r="D29" s="13">
        <f>C29/(SUM(C27:C30))*100</f>
        <v>0</v>
      </c>
      <c r="E29" s="307"/>
      <c r="F29" s="308"/>
      <c r="G29" s="13"/>
      <c r="H29" s="13"/>
      <c r="J29" s="19"/>
    </row>
    <row r="30" spans="1:16384" s="1" customFormat="1">
      <c r="A30" s="3"/>
      <c r="B30" s="11">
        <v>107</v>
      </c>
      <c r="C30" s="12">
        <v>0</v>
      </c>
      <c r="D30" s="13">
        <f>C30/(SUM(C27:C30))*100</f>
        <v>0</v>
      </c>
      <c r="E30" s="307"/>
      <c r="F30" s="308"/>
      <c r="G30" s="13"/>
      <c r="H30" s="13"/>
      <c r="I30" s="3"/>
      <c r="J30" s="1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  <c r="DWF30" s="3"/>
      <c r="DWG30" s="3"/>
      <c r="DWH30" s="3"/>
      <c r="DWI30" s="3"/>
      <c r="DWJ30" s="3"/>
      <c r="DWK30" s="3"/>
      <c r="DWL30" s="3"/>
      <c r="DWM30" s="3"/>
      <c r="DWN30" s="3"/>
      <c r="DWO30" s="3"/>
      <c r="DWP30" s="3"/>
      <c r="DWQ30" s="3"/>
      <c r="DWR30" s="3"/>
      <c r="DWS30" s="3"/>
      <c r="DWT30" s="3"/>
      <c r="DWU30" s="3"/>
      <c r="DWV30" s="3"/>
      <c r="DWW30" s="3"/>
      <c r="DWX30" s="3"/>
      <c r="DWY30" s="3"/>
      <c r="DWZ30" s="3"/>
      <c r="DXA30" s="3"/>
      <c r="DXB30" s="3"/>
      <c r="DXC30" s="3"/>
      <c r="DXD30" s="3"/>
      <c r="DXE30" s="3"/>
      <c r="DXF30" s="3"/>
      <c r="DXG30" s="3"/>
      <c r="DXH30" s="3"/>
      <c r="DXI30" s="3"/>
      <c r="DXJ30" s="3"/>
      <c r="DXK30" s="3"/>
      <c r="DXL30" s="3"/>
      <c r="DXM30" s="3"/>
      <c r="DXN30" s="3"/>
      <c r="DXO30" s="3"/>
      <c r="DXP30" s="3"/>
      <c r="DXQ30" s="3"/>
      <c r="DXR30" s="3"/>
      <c r="DXS30" s="3"/>
      <c r="DXT30" s="3"/>
      <c r="DXU30" s="3"/>
      <c r="DXV30" s="3"/>
      <c r="DXW30" s="3"/>
      <c r="DXX30" s="3"/>
      <c r="DXY30" s="3"/>
      <c r="DXZ30" s="3"/>
      <c r="DYA30" s="3"/>
      <c r="DYB30" s="3"/>
      <c r="DYC30" s="3"/>
      <c r="DYD30" s="3"/>
      <c r="DYE30" s="3"/>
      <c r="DYF30" s="3"/>
      <c r="DYG30" s="3"/>
      <c r="DYH30" s="3"/>
      <c r="DYI30" s="3"/>
      <c r="DYJ30" s="3"/>
      <c r="DYK30" s="3"/>
      <c r="DYL30" s="3"/>
      <c r="DYM30" s="3"/>
      <c r="DYN30" s="3"/>
      <c r="DYO30" s="3"/>
      <c r="DYP30" s="3"/>
      <c r="DYQ30" s="3"/>
      <c r="DYR30" s="3"/>
      <c r="DYS30" s="3"/>
      <c r="DYT30" s="3"/>
      <c r="DYU30" s="3"/>
      <c r="DYV30" s="3"/>
      <c r="DYW30" s="3"/>
      <c r="DYX30" s="3"/>
      <c r="DYY30" s="3"/>
      <c r="DYZ30" s="3"/>
      <c r="DZA30" s="3"/>
      <c r="DZB30" s="3"/>
      <c r="DZC30" s="3"/>
      <c r="DZD30" s="3"/>
      <c r="DZE30" s="3"/>
      <c r="DZF30" s="3"/>
      <c r="DZG30" s="3"/>
      <c r="DZH30" s="3"/>
      <c r="DZI30" s="3"/>
      <c r="DZJ30" s="3"/>
      <c r="DZK30" s="3"/>
      <c r="DZL30" s="3"/>
      <c r="DZM30" s="3"/>
      <c r="DZN30" s="3"/>
      <c r="DZO30" s="3"/>
      <c r="DZP30" s="3"/>
      <c r="DZQ30" s="3"/>
      <c r="DZR30" s="3"/>
      <c r="DZS30" s="3"/>
      <c r="DZT30" s="3"/>
      <c r="DZU30" s="3"/>
      <c r="DZV30" s="3"/>
      <c r="DZW30" s="3"/>
      <c r="DZX30" s="3"/>
      <c r="DZY30" s="3"/>
      <c r="DZZ30" s="3"/>
      <c r="EAA30" s="3"/>
      <c r="EAB30" s="3"/>
      <c r="EAC30" s="3"/>
      <c r="EAD30" s="3"/>
      <c r="EAE30" s="3"/>
      <c r="EAF30" s="3"/>
      <c r="EAG30" s="3"/>
      <c r="EAH30" s="3"/>
      <c r="EAI30" s="3"/>
      <c r="EAJ30" s="3"/>
      <c r="EAK30" s="3"/>
      <c r="EAL30" s="3"/>
      <c r="EAM30" s="3"/>
      <c r="EAN30" s="3"/>
      <c r="EAO30" s="3"/>
      <c r="EAP30" s="3"/>
      <c r="EAQ30" s="3"/>
      <c r="EAR30" s="3"/>
      <c r="EAS30" s="3"/>
      <c r="EAT30" s="3"/>
      <c r="EAU30" s="3"/>
      <c r="EAV30" s="3"/>
      <c r="EAW30" s="3"/>
      <c r="EAX30" s="3"/>
      <c r="EAY30" s="3"/>
      <c r="EAZ30" s="3"/>
      <c r="EBA30" s="3"/>
      <c r="EBB30" s="3"/>
      <c r="EBC30" s="3"/>
      <c r="EBD30" s="3"/>
      <c r="EBE30" s="3"/>
      <c r="EBF30" s="3"/>
      <c r="EBG30" s="3"/>
      <c r="EBH30" s="3"/>
      <c r="EBI30" s="3"/>
      <c r="EBJ30" s="3"/>
      <c r="EBK30" s="3"/>
      <c r="EBL30" s="3"/>
      <c r="EBM30" s="3"/>
      <c r="EBN30" s="3"/>
      <c r="EBO30" s="3"/>
      <c r="EBP30" s="3"/>
      <c r="EBQ30" s="3"/>
      <c r="EBR30" s="3"/>
      <c r="EBS30" s="3"/>
      <c r="EBT30" s="3"/>
      <c r="EBU30" s="3"/>
      <c r="EBV30" s="3"/>
      <c r="EBW30" s="3"/>
      <c r="EBX30" s="3"/>
      <c r="EBY30" s="3"/>
      <c r="EBZ30" s="3"/>
      <c r="ECA30" s="3"/>
      <c r="ECB30" s="3"/>
      <c r="ECC30" s="3"/>
      <c r="ECD30" s="3"/>
      <c r="ECE30" s="3"/>
      <c r="ECF30" s="3"/>
      <c r="ECG30" s="3"/>
      <c r="ECH30" s="3"/>
      <c r="ECI30" s="3"/>
      <c r="ECJ30" s="3"/>
      <c r="ECK30" s="3"/>
      <c r="ECL30" s="3"/>
      <c r="ECM30" s="3"/>
      <c r="ECN30" s="3"/>
      <c r="ECO30" s="3"/>
      <c r="ECP30" s="3"/>
      <c r="ECQ30" s="3"/>
      <c r="ECR30" s="3"/>
      <c r="ECS30" s="3"/>
      <c r="ECT30" s="3"/>
      <c r="ECU30" s="3"/>
      <c r="ECV30" s="3"/>
      <c r="ECW30" s="3"/>
      <c r="ECX30" s="3"/>
      <c r="ECY30" s="3"/>
      <c r="ECZ30" s="3"/>
      <c r="EDA30" s="3"/>
      <c r="EDB30" s="3"/>
      <c r="EDC30" s="3"/>
      <c r="EDD30" s="3"/>
      <c r="EDE30" s="3"/>
      <c r="EDF30" s="3"/>
      <c r="EDG30" s="3"/>
      <c r="EDH30" s="3"/>
      <c r="EDI30" s="3"/>
      <c r="EDJ30" s="3"/>
      <c r="EDK30" s="3"/>
      <c r="EDL30" s="3"/>
      <c r="EDM30" s="3"/>
      <c r="EDN30" s="3"/>
      <c r="EDO30" s="3"/>
      <c r="EDP30" s="3"/>
      <c r="EDQ30" s="3"/>
      <c r="EDR30" s="3"/>
      <c r="EDS30" s="3"/>
      <c r="EDT30" s="3"/>
      <c r="EDU30" s="3"/>
      <c r="EDV30" s="3"/>
      <c r="EDW30" s="3"/>
      <c r="EDX30" s="3"/>
      <c r="EDY30" s="3"/>
      <c r="EDZ30" s="3"/>
      <c r="EEA30" s="3"/>
      <c r="EEB30" s="3"/>
      <c r="EEC30" s="3"/>
      <c r="EED30" s="3"/>
      <c r="EEE30" s="3"/>
      <c r="EEF30" s="3"/>
      <c r="EEG30" s="3"/>
      <c r="EEH30" s="3"/>
      <c r="EEI30" s="3"/>
      <c r="EEJ30" s="3"/>
      <c r="EEK30" s="3"/>
      <c r="EEL30" s="3"/>
      <c r="EEM30" s="3"/>
      <c r="EEN30" s="3"/>
      <c r="EEO30" s="3"/>
      <c r="EEP30" s="3"/>
      <c r="EEQ30" s="3"/>
      <c r="EER30" s="3"/>
      <c r="EES30" s="3"/>
      <c r="EET30" s="3"/>
      <c r="EEU30" s="3"/>
      <c r="EEV30" s="3"/>
      <c r="EEW30" s="3"/>
      <c r="EEX30" s="3"/>
      <c r="EEY30" s="3"/>
      <c r="EEZ30" s="3"/>
      <c r="EFA30" s="3"/>
      <c r="EFB30" s="3"/>
      <c r="EFC30" s="3"/>
      <c r="EFD30" s="3"/>
      <c r="EFE30" s="3"/>
      <c r="EFF30" s="3"/>
      <c r="EFG30" s="3"/>
      <c r="EFH30" s="3"/>
      <c r="EFI30" s="3"/>
      <c r="EFJ30" s="3"/>
      <c r="EFK30" s="3"/>
      <c r="EFL30" s="3"/>
      <c r="EFM30" s="3"/>
      <c r="EFN30" s="3"/>
      <c r="EFO30" s="3"/>
      <c r="EFP30" s="3"/>
      <c r="EFQ30" s="3"/>
      <c r="EFR30" s="3"/>
      <c r="EFS30" s="3"/>
      <c r="EFT30" s="3"/>
      <c r="EFU30" s="3"/>
      <c r="EFV30" s="3"/>
      <c r="EFW30" s="3"/>
      <c r="EFX30" s="3"/>
      <c r="EFY30" s="3"/>
      <c r="EFZ30" s="3"/>
      <c r="EGA30" s="3"/>
      <c r="EGB30" s="3"/>
      <c r="EGC30" s="3"/>
      <c r="EGD30" s="3"/>
      <c r="EGE30" s="3"/>
      <c r="EGF30" s="3"/>
      <c r="EGG30" s="3"/>
      <c r="EGH30" s="3"/>
      <c r="EGI30" s="3"/>
      <c r="EGJ30" s="3"/>
      <c r="EGK30" s="3"/>
      <c r="EGL30" s="3"/>
      <c r="EGM30" s="3"/>
      <c r="EGN30" s="3"/>
      <c r="EGO30" s="3"/>
      <c r="EGP30" s="3"/>
      <c r="EGQ30" s="3"/>
      <c r="EGR30" s="3"/>
      <c r="EGS30" s="3"/>
      <c r="EGT30" s="3"/>
      <c r="EGU30" s="3"/>
      <c r="EGV30" s="3"/>
      <c r="EGW30" s="3"/>
      <c r="EGX30" s="3"/>
      <c r="EGY30" s="3"/>
      <c r="EGZ30" s="3"/>
      <c r="EHA30" s="3"/>
      <c r="EHB30" s="3"/>
      <c r="EHC30" s="3"/>
      <c r="EHD30" s="3"/>
      <c r="EHE30" s="3"/>
      <c r="EHF30" s="3"/>
      <c r="EHG30" s="3"/>
      <c r="EHH30" s="3"/>
      <c r="EHI30" s="3"/>
      <c r="EHJ30" s="3"/>
      <c r="EHK30" s="3"/>
      <c r="EHL30" s="3"/>
      <c r="EHM30" s="3"/>
      <c r="EHN30" s="3"/>
      <c r="EHO30" s="3"/>
      <c r="EHP30" s="3"/>
      <c r="EHQ30" s="3"/>
      <c r="EHR30" s="3"/>
      <c r="EHS30" s="3"/>
      <c r="EHT30" s="3"/>
      <c r="EHU30" s="3"/>
      <c r="EHV30" s="3"/>
      <c r="EHW30" s="3"/>
      <c r="EHX30" s="3"/>
      <c r="EHY30" s="3"/>
      <c r="EHZ30" s="3"/>
      <c r="EIA30" s="3"/>
      <c r="EIB30" s="3"/>
      <c r="EIC30" s="3"/>
      <c r="EID30" s="3"/>
      <c r="EIE30" s="3"/>
      <c r="EIF30" s="3"/>
      <c r="EIG30" s="3"/>
      <c r="EIH30" s="3"/>
      <c r="EII30" s="3"/>
      <c r="EIJ30" s="3"/>
      <c r="EIK30" s="3"/>
      <c r="EIL30" s="3"/>
      <c r="EIM30" s="3"/>
      <c r="EIN30" s="3"/>
      <c r="EIO30" s="3"/>
      <c r="EIP30" s="3"/>
      <c r="EIQ30" s="3"/>
      <c r="EIR30" s="3"/>
      <c r="EIS30" s="3"/>
      <c r="EIT30" s="3"/>
      <c r="EIU30" s="3"/>
      <c r="EIV30" s="3"/>
      <c r="EIW30" s="3"/>
      <c r="EIX30" s="3"/>
      <c r="EIY30" s="3"/>
      <c r="EIZ30" s="3"/>
      <c r="EJA30" s="3"/>
      <c r="EJB30" s="3"/>
      <c r="EJC30" s="3"/>
      <c r="EJD30" s="3"/>
      <c r="EJE30" s="3"/>
      <c r="EJF30" s="3"/>
      <c r="EJG30" s="3"/>
      <c r="EJH30" s="3"/>
      <c r="EJI30" s="3"/>
      <c r="EJJ30" s="3"/>
      <c r="EJK30" s="3"/>
      <c r="EJL30" s="3"/>
      <c r="EJM30" s="3"/>
      <c r="EJN30" s="3"/>
      <c r="EJO30" s="3"/>
      <c r="EJP30" s="3"/>
      <c r="EJQ30" s="3"/>
      <c r="EJR30" s="3"/>
      <c r="EJS30" s="3"/>
      <c r="EJT30" s="3"/>
      <c r="EJU30" s="3"/>
      <c r="EJV30" s="3"/>
      <c r="EJW30" s="3"/>
      <c r="EJX30" s="3"/>
      <c r="EJY30" s="3"/>
      <c r="EJZ30" s="3"/>
      <c r="EKA30" s="3"/>
      <c r="EKB30" s="3"/>
      <c r="EKC30" s="3"/>
      <c r="EKD30" s="3"/>
      <c r="EKE30" s="3"/>
      <c r="EKF30" s="3"/>
      <c r="EKG30" s="3"/>
      <c r="EKH30" s="3"/>
      <c r="EKI30" s="3"/>
      <c r="EKJ30" s="3"/>
      <c r="EKK30" s="3"/>
      <c r="EKL30" s="3"/>
      <c r="EKM30" s="3"/>
      <c r="EKN30" s="3"/>
      <c r="EKO30" s="3"/>
      <c r="EKP30" s="3"/>
      <c r="EKQ30" s="3"/>
      <c r="EKR30" s="3"/>
      <c r="EKS30" s="3"/>
      <c r="EKT30" s="3"/>
      <c r="EKU30" s="3"/>
      <c r="EKV30" s="3"/>
      <c r="EKW30" s="3"/>
      <c r="EKX30" s="3"/>
      <c r="EKY30" s="3"/>
      <c r="EKZ30" s="3"/>
      <c r="ELA30" s="3"/>
      <c r="ELB30" s="3"/>
      <c r="ELC30" s="3"/>
      <c r="ELD30" s="3"/>
      <c r="ELE30" s="3"/>
      <c r="ELF30" s="3"/>
      <c r="ELG30" s="3"/>
      <c r="ELH30" s="3"/>
      <c r="ELI30" s="3"/>
      <c r="ELJ30" s="3"/>
      <c r="ELK30" s="3"/>
      <c r="ELL30" s="3"/>
      <c r="ELM30" s="3"/>
      <c r="ELN30" s="3"/>
      <c r="ELO30" s="3"/>
      <c r="ELP30" s="3"/>
      <c r="ELQ30" s="3"/>
      <c r="ELR30" s="3"/>
      <c r="ELS30" s="3"/>
      <c r="ELT30" s="3"/>
      <c r="ELU30" s="3"/>
      <c r="ELV30" s="3"/>
      <c r="ELW30" s="3"/>
      <c r="ELX30" s="3"/>
      <c r="ELY30" s="3"/>
      <c r="ELZ30" s="3"/>
      <c r="EMA30" s="3"/>
      <c r="EMB30" s="3"/>
      <c r="EMC30" s="3"/>
      <c r="EMD30" s="3"/>
      <c r="EME30" s="3"/>
      <c r="EMF30" s="3"/>
      <c r="EMG30" s="3"/>
      <c r="EMH30" s="3"/>
      <c r="EMI30" s="3"/>
      <c r="EMJ30" s="3"/>
      <c r="EMK30" s="3"/>
      <c r="EML30" s="3"/>
      <c r="EMM30" s="3"/>
      <c r="EMN30" s="3"/>
      <c r="EMO30" s="3"/>
      <c r="EMP30" s="3"/>
      <c r="EMQ30" s="3"/>
      <c r="EMR30" s="3"/>
      <c r="EMS30" s="3"/>
      <c r="EMT30" s="3"/>
      <c r="EMU30" s="3"/>
      <c r="EMV30" s="3"/>
      <c r="EMW30" s="3"/>
      <c r="EMX30" s="3"/>
      <c r="EMY30" s="3"/>
      <c r="EMZ30" s="3"/>
      <c r="ENA30" s="3"/>
      <c r="ENB30" s="3"/>
      <c r="ENC30" s="3"/>
      <c r="END30" s="3"/>
      <c r="ENE30" s="3"/>
      <c r="ENF30" s="3"/>
      <c r="ENG30" s="3"/>
      <c r="ENH30" s="3"/>
      <c r="ENI30" s="3"/>
      <c r="ENJ30" s="3"/>
      <c r="ENK30" s="3"/>
      <c r="ENL30" s="3"/>
      <c r="ENM30" s="3"/>
      <c r="ENN30" s="3"/>
      <c r="ENO30" s="3"/>
      <c r="ENP30" s="3"/>
      <c r="ENQ30" s="3"/>
      <c r="ENR30" s="3"/>
      <c r="ENS30" s="3"/>
      <c r="ENT30" s="3"/>
      <c r="ENU30" s="3"/>
      <c r="ENV30" s="3"/>
      <c r="ENW30" s="3"/>
      <c r="ENX30" s="3"/>
      <c r="ENY30" s="3"/>
      <c r="ENZ30" s="3"/>
      <c r="EOA30" s="3"/>
      <c r="EOB30" s="3"/>
      <c r="EOC30" s="3"/>
      <c r="EOD30" s="3"/>
      <c r="EOE30" s="3"/>
      <c r="EOF30" s="3"/>
      <c r="EOG30" s="3"/>
      <c r="EOH30" s="3"/>
      <c r="EOI30" s="3"/>
      <c r="EOJ30" s="3"/>
      <c r="EOK30" s="3"/>
      <c r="EOL30" s="3"/>
      <c r="EOM30" s="3"/>
      <c r="EON30" s="3"/>
      <c r="EOO30" s="3"/>
      <c r="EOP30" s="3"/>
      <c r="EOQ30" s="3"/>
      <c r="EOR30" s="3"/>
      <c r="EOS30" s="3"/>
      <c r="EOT30" s="3"/>
      <c r="EOU30" s="3"/>
      <c r="EOV30" s="3"/>
      <c r="EOW30" s="3"/>
      <c r="EOX30" s="3"/>
      <c r="EOY30" s="3"/>
      <c r="EOZ30" s="3"/>
      <c r="EPA30" s="3"/>
      <c r="EPB30" s="3"/>
      <c r="EPC30" s="3"/>
      <c r="EPD30" s="3"/>
      <c r="EPE30" s="3"/>
      <c r="EPF30" s="3"/>
      <c r="EPG30" s="3"/>
      <c r="EPH30" s="3"/>
      <c r="EPI30" s="3"/>
      <c r="EPJ30" s="3"/>
      <c r="EPK30" s="3"/>
      <c r="EPL30" s="3"/>
      <c r="EPM30" s="3"/>
      <c r="EPN30" s="3"/>
      <c r="EPO30" s="3"/>
      <c r="EPP30" s="3"/>
      <c r="EPQ30" s="3"/>
      <c r="EPR30" s="3"/>
      <c r="EPS30" s="3"/>
      <c r="EPT30" s="3"/>
      <c r="EPU30" s="3"/>
      <c r="EPV30" s="3"/>
      <c r="EPW30" s="3"/>
      <c r="EPX30" s="3"/>
      <c r="EPY30" s="3"/>
      <c r="EPZ30" s="3"/>
      <c r="EQA30" s="3"/>
      <c r="EQB30" s="3"/>
      <c r="EQC30" s="3"/>
      <c r="EQD30" s="3"/>
      <c r="EQE30" s="3"/>
      <c r="EQF30" s="3"/>
      <c r="EQG30" s="3"/>
      <c r="EQH30" s="3"/>
      <c r="EQI30" s="3"/>
      <c r="EQJ30" s="3"/>
      <c r="EQK30" s="3"/>
      <c r="EQL30" s="3"/>
      <c r="EQM30" s="3"/>
      <c r="EQN30" s="3"/>
      <c r="EQO30" s="3"/>
      <c r="EQP30" s="3"/>
      <c r="EQQ30" s="3"/>
      <c r="EQR30" s="3"/>
      <c r="EQS30" s="3"/>
      <c r="EQT30" s="3"/>
      <c r="EQU30" s="3"/>
      <c r="EQV30" s="3"/>
      <c r="EQW30" s="3"/>
      <c r="EQX30" s="3"/>
      <c r="EQY30" s="3"/>
      <c r="EQZ30" s="3"/>
      <c r="ERA30" s="3"/>
      <c r="ERB30" s="3"/>
      <c r="ERC30" s="3"/>
      <c r="ERD30" s="3"/>
      <c r="ERE30" s="3"/>
      <c r="ERF30" s="3"/>
      <c r="ERG30" s="3"/>
      <c r="ERH30" s="3"/>
      <c r="ERI30" s="3"/>
      <c r="ERJ30" s="3"/>
      <c r="ERK30" s="3"/>
      <c r="ERL30" s="3"/>
      <c r="ERM30" s="3"/>
      <c r="ERN30" s="3"/>
      <c r="ERO30" s="3"/>
      <c r="ERP30" s="3"/>
      <c r="ERQ30" s="3"/>
      <c r="ERR30" s="3"/>
      <c r="ERS30" s="3"/>
      <c r="ERT30" s="3"/>
      <c r="ERU30" s="3"/>
      <c r="ERV30" s="3"/>
      <c r="ERW30" s="3"/>
      <c r="ERX30" s="3"/>
      <c r="ERY30" s="3"/>
      <c r="ERZ30" s="3"/>
      <c r="ESA30" s="3"/>
      <c r="ESB30" s="3"/>
      <c r="ESC30" s="3"/>
      <c r="ESD30" s="3"/>
      <c r="ESE30" s="3"/>
      <c r="ESF30" s="3"/>
      <c r="ESG30" s="3"/>
      <c r="ESH30" s="3"/>
      <c r="ESI30" s="3"/>
      <c r="ESJ30" s="3"/>
      <c r="ESK30" s="3"/>
      <c r="ESL30" s="3"/>
      <c r="ESM30" s="3"/>
      <c r="ESN30" s="3"/>
      <c r="ESO30" s="3"/>
      <c r="ESP30" s="3"/>
      <c r="ESQ30" s="3"/>
      <c r="ESR30" s="3"/>
      <c r="ESS30" s="3"/>
      <c r="EST30" s="3"/>
      <c r="ESU30" s="3"/>
      <c r="ESV30" s="3"/>
      <c r="ESW30" s="3"/>
      <c r="ESX30" s="3"/>
      <c r="ESY30" s="3"/>
      <c r="ESZ30" s="3"/>
      <c r="ETA30" s="3"/>
      <c r="ETB30" s="3"/>
      <c r="ETC30" s="3"/>
      <c r="ETD30" s="3"/>
      <c r="ETE30" s="3"/>
      <c r="ETF30" s="3"/>
      <c r="ETG30" s="3"/>
      <c r="ETH30" s="3"/>
      <c r="ETI30" s="3"/>
      <c r="ETJ30" s="3"/>
      <c r="ETK30" s="3"/>
      <c r="ETL30" s="3"/>
      <c r="ETM30" s="3"/>
      <c r="ETN30" s="3"/>
      <c r="ETO30" s="3"/>
      <c r="ETP30" s="3"/>
      <c r="ETQ30" s="3"/>
      <c r="ETR30" s="3"/>
      <c r="ETS30" s="3"/>
      <c r="ETT30" s="3"/>
      <c r="ETU30" s="3"/>
      <c r="ETV30" s="3"/>
      <c r="ETW30" s="3"/>
      <c r="ETX30" s="3"/>
      <c r="ETY30" s="3"/>
      <c r="ETZ30" s="3"/>
      <c r="EUA30" s="3"/>
      <c r="EUB30" s="3"/>
      <c r="EUC30" s="3"/>
      <c r="EUD30" s="3"/>
      <c r="EUE30" s="3"/>
      <c r="EUF30" s="3"/>
      <c r="EUG30" s="3"/>
      <c r="EUH30" s="3"/>
      <c r="EUI30" s="3"/>
      <c r="EUJ30" s="3"/>
      <c r="EUK30" s="3"/>
      <c r="EUL30" s="3"/>
      <c r="EUM30" s="3"/>
      <c r="EUN30" s="3"/>
      <c r="EUO30" s="3"/>
      <c r="EUP30" s="3"/>
      <c r="EUQ30" s="3"/>
      <c r="EUR30" s="3"/>
      <c r="EUS30" s="3"/>
      <c r="EUT30" s="3"/>
      <c r="EUU30" s="3"/>
      <c r="EUV30" s="3"/>
      <c r="EUW30" s="3"/>
      <c r="EUX30" s="3"/>
      <c r="EUY30" s="3"/>
      <c r="EUZ30" s="3"/>
      <c r="EVA30" s="3"/>
      <c r="EVB30" s="3"/>
      <c r="EVC30" s="3"/>
      <c r="EVD30" s="3"/>
      <c r="EVE30" s="3"/>
      <c r="EVF30" s="3"/>
      <c r="EVG30" s="3"/>
      <c r="EVH30" s="3"/>
      <c r="EVI30" s="3"/>
      <c r="EVJ30" s="3"/>
      <c r="EVK30" s="3"/>
      <c r="EVL30" s="3"/>
      <c r="EVM30" s="3"/>
      <c r="EVN30" s="3"/>
      <c r="EVO30" s="3"/>
      <c r="EVP30" s="3"/>
      <c r="EVQ30" s="3"/>
      <c r="EVR30" s="3"/>
      <c r="EVS30" s="3"/>
      <c r="EVT30" s="3"/>
      <c r="EVU30" s="3"/>
      <c r="EVV30" s="3"/>
      <c r="EVW30" s="3"/>
      <c r="EVX30" s="3"/>
      <c r="EVY30" s="3"/>
      <c r="EVZ30" s="3"/>
      <c r="EWA30" s="3"/>
      <c r="EWB30" s="3"/>
      <c r="EWC30" s="3"/>
      <c r="EWD30" s="3"/>
      <c r="EWE30" s="3"/>
      <c r="EWF30" s="3"/>
      <c r="EWG30" s="3"/>
      <c r="EWH30" s="3"/>
      <c r="EWI30" s="3"/>
      <c r="EWJ30" s="3"/>
      <c r="EWK30" s="3"/>
      <c r="EWL30" s="3"/>
      <c r="EWM30" s="3"/>
      <c r="EWN30" s="3"/>
      <c r="EWO30" s="3"/>
      <c r="EWP30" s="3"/>
      <c r="EWQ30" s="3"/>
      <c r="EWR30" s="3"/>
      <c r="EWS30" s="3"/>
      <c r="EWT30" s="3"/>
      <c r="EWU30" s="3"/>
      <c r="EWV30" s="3"/>
      <c r="EWW30" s="3"/>
      <c r="EWX30" s="3"/>
      <c r="EWY30" s="3"/>
      <c r="EWZ30" s="3"/>
      <c r="EXA30" s="3"/>
      <c r="EXB30" s="3"/>
      <c r="EXC30" s="3"/>
      <c r="EXD30" s="3"/>
      <c r="EXE30" s="3"/>
      <c r="EXF30" s="3"/>
      <c r="EXG30" s="3"/>
      <c r="EXH30" s="3"/>
      <c r="EXI30" s="3"/>
      <c r="EXJ30" s="3"/>
      <c r="EXK30" s="3"/>
      <c r="EXL30" s="3"/>
      <c r="EXM30" s="3"/>
      <c r="EXN30" s="3"/>
      <c r="EXO30" s="3"/>
      <c r="EXP30" s="3"/>
      <c r="EXQ30" s="3"/>
      <c r="EXR30" s="3"/>
      <c r="EXS30" s="3"/>
      <c r="EXT30" s="3"/>
      <c r="EXU30" s="3"/>
      <c r="EXV30" s="3"/>
      <c r="EXW30" s="3"/>
      <c r="EXX30" s="3"/>
      <c r="EXY30" s="3"/>
      <c r="EXZ30" s="3"/>
      <c r="EYA30" s="3"/>
      <c r="EYB30" s="3"/>
      <c r="EYC30" s="3"/>
      <c r="EYD30" s="3"/>
      <c r="EYE30" s="3"/>
      <c r="EYF30" s="3"/>
      <c r="EYG30" s="3"/>
      <c r="EYH30" s="3"/>
      <c r="EYI30" s="3"/>
      <c r="EYJ30" s="3"/>
      <c r="EYK30" s="3"/>
      <c r="EYL30" s="3"/>
      <c r="EYM30" s="3"/>
      <c r="EYN30" s="3"/>
      <c r="EYO30" s="3"/>
      <c r="EYP30" s="3"/>
      <c r="EYQ30" s="3"/>
      <c r="EYR30" s="3"/>
      <c r="EYS30" s="3"/>
      <c r="EYT30" s="3"/>
      <c r="EYU30" s="3"/>
      <c r="EYV30" s="3"/>
      <c r="EYW30" s="3"/>
      <c r="EYX30" s="3"/>
      <c r="EYY30" s="3"/>
      <c r="EYZ30" s="3"/>
      <c r="EZA30" s="3"/>
      <c r="EZB30" s="3"/>
      <c r="EZC30" s="3"/>
      <c r="EZD30" s="3"/>
      <c r="EZE30" s="3"/>
      <c r="EZF30" s="3"/>
      <c r="EZG30" s="3"/>
      <c r="EZH30" s="3"/>
      <c r="EZI30" s="3"/>
      <c r="EZJ30" s="3"/>
      <c r="EZK30" s="3"/>
      <c r="EZL30" s="3"/>
      <c r="EZM30" s="3"/>
      <c r="EZN30" s="3"/>
      <c r="EZO30" s="3"/>
      <c r="EZP30" s="3"/>
      <c r="EZQ30" s="3"/>
      <c r="EZR30" s="3"/>
      <c r="EZS30" s="3"/>
      <c r="EZT30" s="3"/>
      <c r="EZU30" s="3"/>
      <c r="EZV30" s="3"/>
      <c r="EZW30" s="3"/>
      <c r="EZX30" s="3"/>
      <c r="EZY30" s="3"/>
      <c r="EZZ30" s="3"/>
      <c r="FAA30" s="3"/>
      <c r="FAB30" s="3"/>
      <c r="FAC30" s="3"/>
      <c r="FAD30" s="3"/>
      <c r="FAE30" s="3"/>
      <c r="FAF30" s="3"/>
      <c r="FAG30" s="3"/>
      <c r="FAH30" s="3"/>
      <c r="FAI30" s="3"/>
      <c r="FAJ30" s="3"/>
      <c r="FAK30" s="3"/>
      <c r="FAL30" s="3"/>
      <c r="FAM30" s="3"/>
      <c r="FAN30" s="3"/>
      <c r="FAO30" s="3"/>
      <c r="FAP30" s="3"/>
      <c r="FAQ30" s="3"/>
      <c r="FAR30" s="3"/>
      <c r="FAS30" s="3"/>
      <c r="FAT30" s="3"/>
      <c r="FAU30" s="3"/>
      <c r="FAV30" s="3"/>
      <c r="FAW30" s="3"/>
      <c r="FAX30" s="3"/>
      <c r="FAY30" s="3"/>
      <c r="FAZ30" s="3"/>
      <c r="FBA30" s="3"/>
      <c r="FBB30" s="3"/>
      <c r="FBC30" s="3"/>
      <c r="FBD30" s="3"/>
      <c r="FBE30" s="3"/>
      <c r="FBF30" s="3"/>
      <c r="FBG30" s="3"/>
      <c r="FBH30" s="3"/>
      <c r="FBI30" s="3"/>
      <c r="FBJ30" s="3"/>
      <c r="FBK30" s="3"/>
      <c r="FBL30" s="3"/>
      <c r="FBM30" s="3"/>
      <c r="FBN30" s="3"/>
      <c r="FBO30" s="3"/>
      <c r="FBP30" s="3"/>
      <c r="FBQ30" s="3"/>
      <c r="FBR30" s="3"/>
      <c r="FBS30" s="3"/>
      <c r="FBT30" s="3"/>
      <c r="FBU30" s="3"/>
      <c r="FBV30" s="3"/>
      <c r="FBW30" s="3"/>
      <c r="FBX30" s="3"/>
      <c r="FBY30" s="3"/>
      <c r="FBZ30" s="3"/>
      <c r="FCA30" s="3"/>
      <c r="FCB30" s="3"/>
      <c r="FCC30" s="3"/>
      <c r="FCD30" s="3"/>
      <c r="FCE30" s="3"/>
      <c r="FCF30" s="3"/>
      <c r="FCG30" s="3"/>
      <c r="FCH30" s="3"/>
      <c r="FCI30" s="3"/>
      <c r="FCJ30" s="3"/>
      <c r="FCK30" s="3"/>
      <c r="FCL30" s="3"/>
      <c r="FCM30" s="3"/>
      <c r="FCN30" s="3"/>
      <c r="FCO30" s="3"/>
      <c r="FCP30" s="3"/>
      <c r="FCQ30" s="3"/>
      <c r="FCR30" s="3"/>
      <c r="FCS30" s="3"/>
      <c r="FCT30" s="3"/>
      <c r="FCU30" s="3"/>
      <c r="FCV30" s="3"/>
      <c r="FCW30" s="3"/>
      <c r="FCX30" s="3"/>
      <c r="FCY30" s="3"/>
      <c r="FCZ30" s="3"/>
      <c r="FDA30" s="3"/>
      <c r="FDB30" s="3"/>
      <c r="FDC30" s="3"/>
      <c r="FDD30" s="3"/>
      <c r="FDE30" s="3"/>
      <c r="FDF30" s="3"/>
      <c r="FDG30" s="3"/>
      <c r="FDH30" s="3"/>
      <c r="FDI30" s="3"/>
      <c r="FDJ30" s="3"/>
      <c r="FDK30" s="3"/>
      <c r="FDL30" s="3"/>
      <c r="FDM30" s="3"/>
      <c r="FDN30" s="3"/>
      <c r="FDO30" s="3"/>
      <c r="FDP30" s="3"/>
      <c r="FDQ30" s="3"/>
      <c r="FDR30" s="3"/>
      <c r="FDS30" s="3"/>
      <c r="FDT30" s="3"/>
      <c r="FDU30" s="3"/>
      <c r="FDV30" s="3"/>
      <c r="FDW30" s="3"/>
      <c r="FDX30" s="3"/>
      <c r="FDY30" s="3"/>
      <c r="FDZ30" s="3"/>
      <c r="FEA30" s="3"/>
      <c r="FEB30" s="3"/>
      <c r="FEC30" s="3"/>
      <c r="FED30" s="3"/>
      <c r="FEE30" s="3"/>
      <c r="FEF30" s="3"/>
      <c r="FEG30" s="3"/>
      <c r="FEH30" s="3"/>
      <c r="FEI30" s="3"/>
      <c r="FEJ30" s="3"/>
      <c r="FEK30" s="3"/>
      <c r="FEL30" s="3"/>
      <c r="FEM30" s="3"/>
      <c r="FEN30" s="3"/>
      <c r="FEO30" s="3"/>
      <c r="FEP30" s="3"/>
      <c r="FEQ30" s="3"/>
      <c r="FER30" s="3"/>
      <c r="FES30" s="3"/>
      <c r="FET30" s="3"/>
      <c r="FEU30" s="3"/>
      <c r="FEV30" s="3"/>
      <c r="FEW30" s="3"/>
      <c r="FEX30" s="3"/>
      <c r="FEY30" s="3"/>
      <c r="FEZ30" s="3"/>
      <c r="FFA30" s="3"/>
      <c r="FFB30" s="3"/>
      <c r="FFC30" s="3"/>
      <c r="FFD30" s="3"/>
      <c r="FFE30" s="3"/>
      <c r="FFF30" s="3"/>
      <c r="FFG30" s="3"/>
      <c r="FFH30" s="3"/>
      <c r="FFI30" s="3"/>
      <c r="FFJ30" s="3"/>
      <c r="FFK30" s="3"/>
      <c r="FFL30" s="3"/>
      <c r="FFM30" s="3"/>
      <c r="FFN30" s="3"/>
      <c r="FFO30" s="3"/>
      <c r="FFP30" s="3"/>
      <c r="FFQ30" s="3"/>
      <c r="FFR30" s="3"/>
      <c r="FFS30" s="3"/>
      <c r="FFT30" s="3"/>
      <c r="FFU30" s="3"/>
      <c r="FFV30" s="3"/>
      <c r="FFW30" s="3"/>
      <c r="FFX30" s="3"/>
      <c r="FFY30" s="3"/>
      <c r="FFZ30" s="3"/>
      <c r="FGA30" s="3"/>
      <c r="FGB30" s="3"/>
      <c r="FGC30" s="3"/>
      <c r="FGD30" s="3"/>
      <c r="FGE30" s="3"/>
      <c r="FGF30" s="3"/>
      <c r="FGG30" s="3"/>
      <c r="FGH30" s="3"/>
      <c r="FGI30" s="3"/>
      <c r="FGJ30" s="3"/>
      <c r="FGK30" s="3"/>
      <c r="FGL30" s="3"/>
      <c r="FGM30" s="3"/>
      <c r="FGN30" s="3"/>
      <c r="FGO30" s="3"/>
      <c r="FGP30" s="3"/>
      <c r="FGQ30" s="3"/>
      <c r="FGR30" s="3"/>
      <c r="FGS30" s="3"/>
      <c r="FGT30" s="3"/>
      <c r="FGU30" s="3"/>
      <c r="FGV30" s="3"/>
      <c r="FGW30" s="3"/>
      <c r="FGX30" s="3"/>
      <c r="FGY30" s="3"/>
      <c r="FGZ30" s="3"/>
      <c r="FHA30" s="3"/>
      <c r="FHB30" s="3"/>
      <c r="FHC30" s="3"/>
      <c r="FHD30" s="3"/>
      <c r="FHE30" s="3"/>
      <c r="FHF30" s="3"/>
      <c r="FHG30" s="3"/>
      <c r="FHH30" s="3"/>
      <c r="FHI30" s="3"/>
      <c r="FHJ30" s="3"/>
      <c r="FHK30" s="3"/>
      <c r="FHL30" s="3"/>
      <c r="FHM30" s="3"/>
      <c r="FHN30" s="3"/>
      <c r="FHO30" s="3"/>
      <c r="FHP30" s="3"/>
      <c r="FHQ30" s="3"/>
      <c r="FHR30" s="3"/>
      <c r="FHS30" s="3"/>
      <c r="FHT30" s="3"/>
      <c r="FHU30" s="3"/>
      <c r="FHV30" s="3"/>
      <c r="FHW30" s="3"/>
      <c r="FHX30" s="3"/>
      <c r="FHY30" s="3"/>
      <c r="FHZ30" s="3"/>
      <c r="FIA30" s="3"/>
      <c r="FIB30" s="3"/>
      <c r="FIC30" s="3"/>
      <c r="FID30" s="3"/>
      <c r="FIE30" s="3"/>
      <c r="FIF30" s="3"/>
      <c r="FIG30" s="3"/>
      <c r="FIH30" s="3"/>
      <c r="FII30" s="3"/>
      <c r="FIJ30" s="3"/>
      <c r="FIK30" s="3"/>
      <c r="FIL30" s="3"/>
      <c r="FIM30" s="3"/>
      <c r="FIN30" s="3"/>
      <c r="FIO30" s="3"/>
      <c r="FIP30" s="3"/>
      <c r="FIQ30" s="3"/>
      <c r="FIR30" s="3"/>
      <c r="FIS30" s="3"/>
      <c r="FIT30" s="3"/>
      <c r="FIU30" s="3"/>
      <c r="FIV30" s="3"/>
      <c r="FIW30" s="3"/>
      <c r="FIX30" s="3"/>
      <c r="FIY30" s="3"/>
      <c r="FIZ30" s="3"/>
      <c r="FJA30" s="3"/>
      <c r="FJB30" s="3"/>
      <c r="FJC30" s="3"/>
      <c r="FJD30" s="3"/>
      <c r="FJE30" s="3"/>
      <c r="FJF30" s="3"/>
      <c r="FJG30" s="3"/>
      <c r="FJH30" s="3"/>
      <c r="FJI30" s="3"/>
      <c r="FJJ30" s="3"/>
      <c r="FJK30" s="3"/>
      <c r="FJL30" s="3"/>
      <c r="FJM30" s="3"/>
      <c r="FJN30" s="3"/>
      <c r="FJO30" s="3"/>
      <c r="FJP30" s="3"/>
      <c r="FJQ30" s="3"/>
      <c r="FJR30" s="3"/>
      <c r="FJS30" s="3"/>
      <c r="FJT30" s="3"/>
      <c r="FJU30" s="3"/>
      <c r="FJV30" s="3"/>
      <c r="FJW30" s="3"/>
      <c r="FJX30" s="3"/>
      <c r="FJY30" s="3"/>
      <c r="FJZ30" s="3"/>
      <c r="FKA30" s="3"/>
      <c r="FKB30" s="3"/>
      <c r="FKC30" s="3"/>
      <c r="FKD30" s="3"/>
      <c r="FKE30" s="3"/>
      <c r="FKF30" s="3"/>
      <c r="FKG30" s="3"/>
      <c r="FKH30" s="3"/>
      <c r="FKI30" s="3"/>
      <c r="FKJ30" s="3"/>
      <c r="FKK30" s="3"/>
      <c r="FKL30" s="3"/>
      <c r="FKM30" s="3"/>
      <c r="FKN30" s="3"/>
      <c r="FKO30" s="3"/>
      <c r="FKP30" s="3"/>
      <c r="FKQ30" s="3"/>
      <c r="FKR30" s="3"/>
      <c r="FKS30" s="3"/>
      <c r="FKT30" s="3"/>
      <c r="FKU30" s="3"/>
      <c r="FKV30" s="3"/>
      <c r="FKW30" s="3"/>
      <c r="FKX30" s="3"/>
      <c r="FKY30" s="3"/>
      <c r="FKZ30" s="3"/>
      <c r="FLA30" s="3"/>
      <c r="FLB30" s="3"/>
      <c r="FLC30" s="3"/>
      <c r="FLD30" s="3"/>
      <c r="FLE30" s="3"/>
      <c r="FLF30" s="3"/>
      <c r="FLG30" s="3"/>
      <c r="FLH30" s="3"/>
      <c r="FLI30" s="3"/>
      <c r="FLJ30" s="3"/>
      <c r="FLK30" s="3"/>
      <c r="FLL30" s="3"/>
      <c r="FLM30" s="3"/>
      <c r="FLN30" s="3"/>
      <c r="FLO30" s="3"/>
      <c r="FLP30" s="3"/>
      <c r="FLQ30" s="3"/>
      <c r="FLR30" s="3"/>
      <c r="FLS30" s="3"/>
      <c r="FLT30" s="3"/>
      <c r="FLU30" s="3"/>
      <c r="FLV30" s="3"/>
      <c r="FLW30" s="3"/>
      <c r="FLX30" s="3"/>
      <c r="FLY30" s="3"/>
      <c r="FLZ30" s="3"/>
      <c r="FMA30" s="3"/>
      <c r="FMB30" s="3"/>
      <c r="FMC30" s="3"/>
      <c r="FMD30" s="3"/>
      <c r="FME30" s="3"/>
      <c r="FMF30" s="3"/>
      <c r="FMG30" s="3"/>
      <c r="FMH30" s="3"/>
      <c r="FMI30" s="3"/>
      <c r="FMJ30" s="3"/>
      <c r="FMK30" s="3"/>
      <c r="FML30" s="3"/>
      <c r="FMM30" s="3"/>
      <c r="FMN30" s="3"/>
      <c r="FMO30" s="3"/>
      <c r="FMP30" s="3"/>
      <c r="FMQ30" s="3"/>
      <c r="FMR30" s="3"/>
      <c r="FMS30" s="3"/>
      <c r="FMT30" s="3"/>
      <c r="FMU30" s="3"/>
      <c r="FMV30" s="3"/>
      <c r="FMW30" s="3"/>
      <c r="FMX30" s="3"/>
      <c r="FMY30" s="3"/>
      <c r="FMZ30" s="3"/>
      <c r="FNA30" s="3"/>
      <c r="FNB30" s="3"/>
      <c r="FNC30" s="3"/>
      <c r="FND30" s="3"/>
      <c r="FNE30" s="3"/>
      <c r="FNF30" s="3"/>
      <c r="FNG30" s="3"/>
      <c r="FNH30" s="3"/>
      <c r="FNI30" s="3"/>
      <c r="FNJ30" s="3"/>
      <c r="FNK30" s="3"/>
      <c r="FNL30" s="3"/>
      <c r="FNM30" s="3"/>
      <c r="FNN30" s="3"/>
      <c r="FNO30" s="3"/>
      <c r="FNP30" s="3"/>
      <c r="FNQ30" s="3"/>
      <c r="FNR30" s="3"/>
      <c r="FNS30" s="3"/>
      <c r="FNT30" s="3"/>
      <c r="FNU30" s="3"/>
      <c r="FNV30" s="3"/>
      <c r="FNW30" s="3"/>
      <c r="FNX30" s="3"/>
      <c r="FNY30" s="3"/>
      <c r="FNZ30" s="3"/>
      <c r="FOA30" s="3"/>
      <c r="FOB30" s="3"/>
      <c r="FOC30" s="3"/>
      <c r="FOD30" s="3"/>
      <c r="FOE30" s="3"/>
      <c r="FOF30" s="3"/>
      <c r="FOG30" s="3"/>
      <c r="FOH30" s="3"/>
      <c r="FOI30" s="3"/>
      <c r="FOJ30" s="3"/>
      <c r="FOK30" s="3"/>
      <c r="FOL30" s="3"/>
      <c r="FOM30" s="3"/>
      <c r="FON30" s="3"/>
      <c r="FOO30" s="3"/>
      <c r="FOP30" s="3"/>
      <c r="FOQ30" s="3"/>
      <c r="FOR30" s="3"/>
      <c r="FOS30" s="3"/>
      <c r="FOT30" s="3"/>
      <c r="FOU30" s="3"/>
      <c r="FOV30" s="3"/>
      <c r="FOW30" s="3"/>
      <c r="FOX30" s="3"/>
      <c r="FOY30" s="3"/>
      <c r="FOZ30" s="3"/>
      <c r="FPA30" s="3"/>
      <c r="FPB30" s="3"/>
      <c r="FPC30" s="3"/>
      <c r="FPD30" s="3"/>
      <c r="FPE30" s="3"/>
      <c r="FPF30" s="3"/>
      <c r="FPG30" s="3"/>
      <c r="FPH30" s="3"/>
      <c r="FPI30" s="3"/>
      <c r="FPJ30" s="3"/>
      <c r="FPK30" s="3"/>
      <c r="FPL30" s="3"/>
      <c r="FPM30" s="3"/>
      <c r="FPN30" s="3"/>
      <c r="FPO30" s="3"/>
      <c r="FPP30" s="3"/>
      <c r="FPQ30" s="3"/>
      <c r="FPR30" s="3"/>
      <c r="FPS30" s="3"/>
      <c r="FPT30" s="3"/>
      <c r="FPU30" s="3"/>
      <c r="FPV30" s="3"/>
      <c r="FPW30" s="3"/>
      <c r="FPX30" s="3"/>
      <c r="FPY30" s="3"/>
      <c r="FPZ30" s="3"/>
      <c r="FQA30" s="3"/>
      <c r="FQB30" s="3"/>
      <c r="FQC30" s="3"/>
      <c r="FQD30" s="3"/>
      <c r="FQE30" s="3"/>
      <c r="FQF30" s="3"/>
      <c r="FQG30" s="3"/>
      <c r="FQH30" s="3"/>
      <c r="FQI30" s="3"/>
      <c r="FQJ30" s="3"/>
      <c r="FQK30" s="3"/>
      <c r="FQL30" s="3"/>
      <c r="FQM30" s="3"/>
      <c r="FQN30" s="3"/>
      <c r="FQO30" s="3"/>
      <c r="FQP30" s="3"/>
      <c r="FQQ30" s="3"/>
      <c r="FQR30" s="3"/>
      <c r="FQS30" s="3"/>
      <c r="FQT30" s="3"/>
      <c r="FQU30" s="3"/>
      <c r="FQV30" s="3"/>
      <c r="FQW30" s="3"/>
      <c r="FQX30" s="3"/>
      <c r="FQY30" s="3"/>
      <c r="FQZ30" s="3"/>
      <c r="FRA30" s="3"/>
      <c r="FRB30" s="3"/>
      <c r="FRC30" s="3"/>
      <c r="FRD30" s="3"/>
      <c r="FRE30" s="3"/>
      <c r="FRF30" s="3"/>
      <c r="FRG30" s="3"/>
      <c r="FRH30" s="3"/>
      <c r="FRI30" s="3"/>
      <c r="FRJ30" s="3"/>
      <c r="FRK30" s="3"/>
      <c r="FRL30" s="3"/>
      <c r="FRM30" s="3"/>
      <c r="FRN30" s="3"/>
      <c r="FRO30" s="3"/>
      <c r="FRP30" s="3"/>
      <c r="FRQ30" s="3"/>
      <c r="FRR30" s="3"/>
      <c r="FRS30" s="3"/>
      <c r="FRT30" s="3"/>
      <c r="FRU30" s="3"/>
      <c r="FRV30" s="3"/>
      <c r="FRW30" s="3"/>
      <c r="FRX30" s="3"/>
      <c r="FRY30" s="3"/>
      <c r="FRZ30" s="3"/>
      <c r="FSA30" s="3"/>
      <c r="FSB30" s="3"/>
      <c r="FSC30" s="3"/>
      <c r="FSD30" s="3"/>
      <c r="FSE30" s="3"/>
      <c r="FSF30" s="3"/>
      <c r="FSG30" s="3"/>
      <c r="FSH30" s="3"/>
      <c r="FSI30" s="3"/>
      <c r="FSJ30" s="3"/>
      <c r="FSK30" s="3"/>
      <c r="FSL30" s="3"/>
      <c r="FSM30" s="3"/>
      <c r="FSN30" s="3"/>
      <c r="FSO30" s="3"/>
      <c r="FSP30" s="3"/>
      <c r="FSQ30" s="3"/>
      <c r="FSR30" s="3"/>
      <c r="FSS30" s="3"/>
      <c r="FST30" s="3"/>
      <c r="FSU30" s="3"/>
      <c r="FSV30" s="3"/>
      <c r="FSW30" s="3"/>
      <c r="FSX30" s="3"/>
      <c r="FSY30" s="3"/>
      <c r="FSZ30" s="3"/>
      <c r="FTA30" s="3"/>
      <c r="FTB30" s="3"/>
      <c r="FTC30" s="3"/>
      <c r="FTD30" s="3"/>
      <c r="FTE30" s="3"/>
      <c r="FTF30" s="3"/>
      <c r="FTG30" s="3"/>
      <c r="FTH30" s="3"/>
      <c r="FTI30" s="3"/>
      <c r="FTJ30" s="3"/>
      <c r="FTK30" s="3"/>
      <c r="FTL30" s="3"/>
      <c r="FTM30" s="3"/>
      <c r="FTN30" s="3"/>
      <c r="FTO30" s="3"/>
      <c r="FTP30" s="3"/>
      <c r="FTQ30" s="3"/>
      <c r="FTR30" s="3"/>
      <c r="FTS30" s="3"/>
      <c r="FTT30" s="3"/>
      <c r="FTU30" s="3"/>
      <c r="FTV30" s="3"/>
      <c r="FTW30" s="3"/>
      <c r="FTX30" s="3"/>
      <c r="FTY30" s="3"/>
      <c r="FTZ30" s="3"/>
      <c r="FUA30" s="3"/>
      <c r="FUB30" s="3"/>
      <c r="FUC30" s="3"/>
      <c r="FUD30" s="3"/>
      <c r="FUE30" s="3"/>
      <c r="FUF30" s="3"/>
      <c r="FUG30" s="3"/>
      <c r="FUH30" s="3"/>
      <c r="FUI30" s="3"/>
      <c r="FUJ30" s="3"/>
      <c r="FUK30" s="3"/>
      <c r="FUL30" s="3"/>
      <c r="FUM30" s="3"/>
      <c r="FUN30" s="3"/>
      <c r="FUO30" s="3"/>
      <c r="FUP30" s="3"/>
      <c r="FUQ30" s="3"/>
      <c r="FUR30" s="3"/>
      <c r="FUS30" s="3"/>
      <c r="FUT30" s="3"/>
      <c r="FUU30" s="3"/>
      <c r="FUV30" s="3"/>
      <c r="FUW30" s="3"/>
      <c r="FUX30" s="3"/>
      <c r="FUY30" s="3"/>
      <c r="FUZ30" s="3"/>
      <c r="FVA30" s="3"/>
      <c r="FVB30" s="3"/>
      <c r="FVC30" s="3"/>
      <c r="FVD30" s="3"/>
      <c r="FVE30" s="3"/>
      <c r="FVF30" s="3"/>
      <c r="FVG30" s="3"/>
      <c r="FVH30" s="3"/>
      <c r="FVI30" s="3"/>
      <c r="FVJ30" s="3"/>
      <c r="FVK30" s="3"/>
      <c r="FVL30" s="3"/>
      <c r="FVM30" s="3"/>
      <c r="FVN30" s="3"/>
      <c r="FVO30" s="3"/>
      <c r="FVP30" s="3"/>
      <c r="FVQ30" s="3"/>
      <c r="FVR30" s="3"/>
      <c r="FVS30" s="3"/>
      <c r="FVT30" s="3"/>
      <c r="FVU30" s="3"/>
      <c r="FVV30" s="3"/>
      <c r="FVW30" s="3"/>
      <c r="FVX30" s="3"/>
      <c r="FVY30" s="3"/>
      <c r="FVZ30" s="3"/>
      <c r="FWA30" s="3"/>
      <c r="FWB30" s="3"/>
      <c r="FWC30" s="3"/>
      <c r="FWD30" s="3"/>
      <c r="FWE30" s="3"/>
      <c r="FWF30" s="3"/>
      <c r="FWG30" s="3"/>
      <c r="FWH30" s="3"/>
      <c r="FWI30" s="3"/>
      <c r="FWJ30" s="3"/>
      <c r="FWK30" s="3"/>
      <c r="FWL30" s="3"/>
      <c r="FWM30" s="3"/>
      <c r="FWN30" s="3"/>
      <c r="FWO30" s="3"/>
      <c r="FWP30" s="3"/>
      <c r="FWQ30" s="3"/>
      <c r="FWR30" s="3"/>
      <c r="FWS30" s="3"/>
      <c r="FWT30" s="3"/>
      <c r="FWU30" s="3"/>
      <c r="FWV30" s="3"/>
      <c r="FWW30" s="3"/>
      <c r="FWX30" s="3"/>
      <c r="FWY30" s="3"/>
      <c r="FWZ30" s="3"/>
      <c r="FXA30" s="3"/>
      <c r="FXB30" s="3"/>
      <c r="FXC30" s="3"/>
      <c r="FXD30" s="3"/>
      <c r="FXE30" s="3"/>
      <c r="FXF30" s="3"/>
      <c r="FXG30" s="3"/>
      <c r="FXH30" s="3"/>
      <c r="FXI30" s="3"/>
      <c r="FXJ30" s="3"/>
      <c r="FXK30" s="3"/>
      <c r="FXL30" s="3"/>
      <c r="FXM30" s="3"/>
      <c r="FXN30" s="3"/>
      <c r="FXO30" s="3"/>
      <c r="FXP30" s="3"/>
      <c r="FXQ30" s="3"/>
      <c r="FXR30" s="3"/>
      <c r="FXS30" s="3"/>
      <c r="FXT30" s="3"/>
      <c r="FXU30" s="3"/>
      <c r="FXV30" s="3"/>
      <c r="FXW30" s="3"/>
      <c r="FXX30" s="3"/>
      <c r="FXY30" s="3"/>
      <c r="FXZ30" s="3"/>
      <c r="FYA30" s="3"/>
      <c r="FYB30" s="3"/>
      <c r="FYC30" s="3"/>
      <c r="FYD30" s="3"/>
      <c r="FYE30" s="3"/>
      <c r="FYF30" s="3"/>
      <c r="FYG30" s="3"/>
      <c r="FYH30" s="3"/>
      <c r="FYI30" s="3"/>
      <c r="FYJ30" s="3"/>
      <c r="FYK30" s="3"/>
      <c r="FYL30" s="3"/>
      <c r="FYM30" s="3"/>
      <c r="FYN30" s="3"/>
      <c r="FYO30" s="3"/>
      <c r="FYP30" s="3"/>
      <c r="FYQ30" s="3"/>
      <c r="FYR30" s="3"/>
      <c r="FYS30" s="3"/>
      <c r="FYT30" s="3"/>
      <c r="FYU30" s="3"/>
      <c r="FYV30" s="3"/>
      <c r="FYW30" s="3"/>
      <c r="FYX30" s="3"/>
      <c r="FYY30" s="3"/>
      <c r="FYZ30" s="3"/>
      <c r="FZA30" s="3"/>
      <c r="FZB30" s="3"/>
      <c r="FZC30" s="3"/>
      <c r="FZD30" s="3"/>
      <c r="FZE30" s="3"/>
      <c r="FZF30" s="3"/>
      <c r="FZG30" s="3"/>
      <c r="FZH30" s="3"/>
      <c r="FZI30" s="3"/>
      <c r="FZJ30" s="3"/>
      <c r="FZK30" s="3"/>
      <c r="FZL30" s="3"/>
      <c r="FZM30" s="3"/>
      <c r="FZN30" s="3"/>
      <c r="FZO30" s="3"/>
      <c r="FZP30" s="3"/>
      <c r="FZQ30" s="3"/>
      <c r="FZR30" s="3"/>
      <c r="FZS30" s="3"/>
      <c r="FZT30" s="3"/>
      <c r="FZU30" s="3"/>
      <c r="FZV30" s="3"/>
      <c r="FZW30" s="3"/>
      <c r="FZX30" s="3"/>
      <c r="FZY30" s="3"/>
      <c r="FZZ30" s="3"/>
      <c r="GAA30" s="3"/>
      <c r="GAB30" s="3"/>
      <c r="GAC30" s="3"/>
      <c r="GAD30" s="3"/>
      <c r="GAE30" s="3"/>
      <c r="GAF30" s="3"/>
      <c r="GAG30" s="3"/>
      <c r="GAH30" s="3"/>
      <c r="GAI30" s="3"/>
      <c r="GAJ30" s="3"/>
      <c r="GAK30" s="3"/>
      <c r="GAL30" s="3"/>
      <c r="GAM30" s="3"/>
      <c r="GAN30" s="3"/>
      <c r="GAO30" s="3"/>
      <c r="GAP30" s="3"/>
      <c r="GAQ30" s="3"/>
      <c r="GAR30" s="3"/>
      <c r="GAS30" s="3"/>
      <c r="GAT30" s="3"/>
      <c r="GAU30" s="3"/>
      <c r="GAV30" s="3"/>
      <c r="GAW30" s="3"/>
      <c r="GAX30" s="3"/>
      <c r="GAY30" s="3"/>
      <c r="GAZ30" s="3"/>
      <c r="GBA30" s="3"/>
      <c r="GBB30" s="3"/>
      <c r="GBC30" s="3"/>
      <c r="GBD30" s="3"/>
      <c r="GBE30" s="3"/>
      <c r="GBF30" s="3"/>
      <c r="GBG30" s="3"/>
      <c r="GBH30" s="3"/>
      <c r="GBI30" s="3"/>
      <c r="GBJ30" s="3"/>
      <c r="GBK30" s="3"/>
      <c r="GBL30" s="3"/>
      <c r="GBM30" s="3"/>
      <c r="GBN30" s="3"/>
      <c r="GBO30" s="3"/>
      <c r="GBP30" s="3"/>
      <c r="GBQ30" s="3"/>
      <c r="GBR30" s="3"/>
      <c r="GBS30" s="3"/>
      <c r="GBT30" s="3"/>
      <c r="GBU30" s="3"/>
      <c r="GBV30" s="3"/>
      <c r="GBW30" s="3"/>
      <c r="GBX30" s="3"/>
      <c r="GBY30" s="3"/>
      <c r="GBZ30" s="3"/>
      <c r="GCA30" s="3"/>
      <c r="GCB30" s="3"/>
      <c r="GCC30" s="3"/>
      <c r="GCD30" s="3"/>
      <c r="GCE30" s="3"/>
      <c r="GCF30" s="3"/>
      <c r="GCG30" s="3"/>
      <c r="GCH30" s="3"/>
      <c r="GCI30" s="3"/>
      <c r="GCJ30" s="3"/>
      <c r="GCK30" s="3"/>
      <c r="GCL30" s="3"/>
      <c r="GCM30" s="3"/>
      <c r="GCN30" s="3"/>
      <c r="GCO30" s="3"/>
      <c r="GCP30" s="3"/>
      <c r="GCQ30" s="3"/>
      <c r="GCR30" s="3"/>
      <c r="GCS30" s="3"/>
      <c r="GCT30" s="3"/>
      <c r="GCU30" s="3"/>
      <c r="GCV30" s="3"/>
      <c r="GCW30" s="3"/>
      <c r="GCX30" s="3"/>
      <c r="GCY30" s="3"/>
      <c r="GCZ30" s="3"/>
      <c r="GDA30" s="3"/>
      <c r="GDB30" s="3"/>
      <c r="GDC30" s="3"/>
      <c r="GDD30" s="3"/>
      <c r="GDE30" s="3"/>
      <c r="GDF30" s="3"/>
      <c r="GDG30" s="3"/>
      <c r="GDH30" s="3"/>
      <c r="GDI30" s="3"/>
      <c r="GDJ30" s="3"/>
      <c r="GDK30" s="3"/>
      <c r="GDL30" s="3"/>
      <c r="GDM30" s="3"/>
      <c r="GDN30" s="3"/>
      <c r="GDO30" s="3"/>
      <c r="GDP30" s="3"/>
      <c r="GDQ30" s="3"/>
      <c r="GDR30" s="3"/>
      <c r="GDS30" s="3"/>
      <c r="GDT30" s="3"/>
      <c r="GDU30" s="3"/>
      <c r="GDV30" s="3"/>
      <c r="GDW30" s="3"/>
      <c r="GDX30" s="3"/>
      <c r="GDY30" s="3"/>
      <c r="GDZ30" s="3"/>
      <c r="GEA30" s="3"/>
      <c r="GEB30" s="3"/>
      <c r="GEC30" s="3"/>
      <c r="GED30" s="3"/>
      <c r="GEE30" s="3"/>
      <c r="GEF30" s="3"/>
      <c r="GEG30" s="3"/>
      <c r="GEH30" s="3"/>
      <c r="GEI30" s="3"/>
      <c r="GEJ30" s="3"/>
      <c r="GEK30" s="3"/>
      <c r="GEL30" s="3"/>
      <c r="GEM30" s="3"/>
      <c r="GEN30" s="3"/>
      <c r="GEO30" s="3"/>
      <c r="GEP30" s="3"/>
      <c r="GEQ30" s="3"/>
      <c r="GER30" s="3"/>
      <c r="GES30" s="3"/>
      <c r="GET30" s="3"/>
      <c r="GEU30" s="3"/>
      <c r="GEV30" s="3"/>
      <c r="GEW30" s="3"/>
      <c r="GEX30" s="3"/>
      <c r="GEY30" s="3"/>
      <c r="GEZ30" s="3"/>
      <c r="GFA30" s="3"/>
      <c r="GFB30" s="3"/>
      <c r="GFC30" s="3"/>
      <c r="GFD30" s="3"/>
      <c r="GFE30" s="3"/>
      <c r="GFF30" s="3"/>
      <c r="GFG30" s="3"/>
      <c r="GFH30" s="3"/>
      <c r="GFI30" s="3"/>
      <c r="GFJ30" s="3"/>
      <c r="GFK30" s="3"/>
      <c r="GFL30" s="3"/>
      <c r="GFM30" s="3"/>
      <c r="GFN30" s="3"/>
      <c r="GFO30" s="3"/>
      <c r="GFP30" s="3"/>
      <c r="GFQ30" s="3"/>
      <c r="GFR30" s="3"/>
      <c r="GFS30" s="3"/>
      <c r="GFT30" s="3"/>
      <c r="GFU30" s="3"/>
      <c r="GFV30" s="3"/>
      <c r="GFW30" s="3"/>
      <c r="GFX30" s="3"/>
      <c r="GFY30" s="3"/>
      <c r="GFZ30" s="3"/>
      <c r="GGA30" s="3"/>
      <c r="GGB30" s="3"/>
      <c r="GGC30" s="3"/>
      <c r="GGD30" s="3"/>
      <c r="GGE30" s="3"/>
      <c r="GGF30" s="3"/>
      <c r="GGG30" s="3"/>
      <c r="GGH30" s="3"/>
      <c r="GGI30" s="3"/>
      <c r="GGJ30" s="3"/>
      <c r="GGK30" s="3"/>
      <c r="GGL30" s="3"/>
      <c r="GGM30" s="3"/>
      <c r="GGN30" s="3"/>
      <c r="GGO30" s="3"/>
      <c r="GGP30" s="3"/>
      <c r="GGQ30" s="3"/>
      <c r="GGR30" s="3"/>
      <c r="GGS30" s="3"/>
      <c r="GGT30" s="3"/>
      <c r="GGU30" s="3"/>
      <c r="GGV30" s="3"/>
      <c r="GGW30" s="3"/>
      <c r="GGX30" s="3"/>
      <c r="GGY30" s="3"/>
      <c r="GGZ30" s="3"/>
      <c r="GHA30" s="3"/>
      <c r="GHB30" s="3"/>
      <c r="GHC30" s="3"/>
      <c r="GHD30" s="3"/>
      <c r="GHE30" s="3"/>
      <c r="GHF30" s="3"/>
      <c r="GHG30" s="3"/>
      <c r="GHH30" s="3"/>
      <c r="GHI30" s="3"/>
      <c r="GHJ30" s="3"/>
      <c r="GHK30" s="3"/>
      <c r="GHL30" s="3"/>
      <c r="GHM30" s="3"/>
      <c r="GHN30" s="3"/>
      <c r="GHO30" s="3"/>
      <c r="GHP30" s="3"/>
      <c r="GHQ30" s="3"/>
      <c r="GHR30" s="3"/>
      <c r="GHS30" s="3"/>
      <c r="GHT30" s="3"/>
      <c r="GHU30" s="3"/>
      <c r="GHV30" s="3"/>
      <c r="GHW30" s="3"/>
      <c r="GHX30" s="3"/>
      <c r="GHY30" s="3"/>
      <c r="GHZ30" s="3"/>
      <c r="GIA30" s="3"/>
      <c r="GIB30" s="3"/>
      <c r="GIC30" s="3"/>
      <c r="GID30" s="3"/>
      <c r="GIE30" s="3"/>
      <c r="GIF30" s="3"/>
      <c r="GIG30" s="3"/>
      <c r="GIH30" s="3"/>
      <c r="GII30" s="3"/>
      <c r="GIJ30" s="3"/>
      <c r="GIK30" s="3"/>
      <c r="GIL30" s="3"/>
      <c r="GIM30" s="3"/>
      <c r="GIN30" s="3"/>
      <c r="GIO30" s="3"/>
      <c r="GIP30" s="3"/>
      <c r="GIQ30" s="3"/>
      <c r="GIR30" s="3"/>
      <c r="GIS30" s="3"/>
      <c r="GIT30" s="3"/>
      <c r="GIU30" s="3"/>
      <c r="GIV30" s="3"/>
      <c r="GIW30" s="3"/>
      <c r="GIX30" s="3"/>
      <c r="GIY30" s="3"/>
      <c r="GIZ30" s="3"/>
      <c r="GJA30" s="3"/>
      <c r="GJB30" s="3"/>
      <c r="GJC30" s="3"/>
      <c r="GJD30" s="3"/>
      <c r="GJE30" s="3"/>
      <c r="GJF30" s="3"/>
      <c r="GJG30" s="3"/>
      <c r="GJH30" s="3"/>
      <c r="GJI30" s="3"/>
      <c r="GJJ30" s="3"/>
      <c r="GJK30" s="3"/>
      <c r="GJL30" s="3"/>
      <c r="GJM30" s="3"/>
      <c r="GJN30" s="3"/>
      <c r="GJO30" s="3"/>
      <c r="GJP30" s="3"/>
      <c r="GJQ30" s="3"/>
      <c r="GJR30" s="3"/>
      <c r="GJS30" s="3"/>
      <c r="GJT30" s="3"/>
      <c r="GJU30" s="3"/>
      <c r="GJV30" s="3"/>
      <c r="GJW30" s="3"/>
      <c r="GJX30" s="3"/>
      <c r="GJY30" s="3"/>
      <c r="GJZ30" s="3"/>
      <c r="GKA30" s="3"/>
      <c r="GKB30" s="3"/>
      <c r="GKC30" s="3"/>
      <c r="GKD30" s="3"/>
      <c r="GKE30" s="3"/>
      <c r="GKF30" s="3"/>
      <c r="GKG30" s="3"/>
      <c r="GKH30" s="3"/>
      <c r="GKI30" s="3"/>
      <c r="GKJ30" s="3"/>
      <c r="GKK30" s="3"/>
      <c r="GKL30" s="3"/>
      <c r="GKM30" s="3"/>
      <c r="GKN30" s="3"/>
      <c r="GKO30" s="3"/>
      <c r="GKP30" s="3"/>
      <c r="GKQ30" s="3"/>
      <c r="GKR30" s="3"/>
      <c r="GKS30" s="3"/>
      <c r="GKT30" s="3"/>
      <c r="GKU30" s="3"/>
      <c r="GKV30" s="3"/>
      <c r="GKW30" s="3"/>
      <c r="GKX30" s="3"/>
      <c r="GKY30" s="3"/>
      <c r="GKZ30" s="3"/>
      <c r="GLA30" s="3"/>
      <c r="GLB30" s="3"/>
      <c r="GLC30" s="3"/>
      <c r="GLD30" s="3"/>
      <c r="GLE30" s="3"/>
      <c r="GLF30" s="3"/>
      <c r="GLG30" s="3"/>
      <c r="GLH30" s="3"/>
      <c r="GLI30" s="3"/>
      <c r="GLJ30" s="3"/>
      <c r="GLK30" s="3"/>
      <c r="GLL30" s="3"/>
      <c r="GLM30" s="3"/>
      <c r="GLN30" s="3"/>
      <c r="GLO30" s="3"/>
      <c r="GLP30" s="3"/>
      <c r="GLQ30" s="3"/>
      <c r="GLR30" s="3"/>
      <c r="GLS30" s="3"/>
      <c r="GLT30" s="3"/>
      <c r="GLU30" s="3"/>
      <c r="GLV30" s="3"/>
      <c r="GLW30" s="3"/>
      <c r="GLX30" s="3"/>
      <c r="GLY30" s="3"/>
      <c r="GLZ30" s="3"/>
      <c r="GMA30" s="3"/>
      <c r="GMB30" s="3"/>
      <c r="GMC30" s="3"/>
      <c r="GMD30" s="3"/>
      <c r="GME30" s="3"/>
      <c r="GMF30" s="3"/>
      <c r="GMG30" s="3"/>
      <c r="GMH30" s="3"/>
      <c r="GMI30" s="3"/>
      <c r="GMJ30" s="3"/>
      <c r="GMK30" s="3"/>
      <c r="GML30" s="3"/>
      <c r="GMM30" s="3"/>
      <c r="GMN30" s="3"/>
      <c r="GMO30" s="3"/>
      <c r="GMP30" s="3"/>
      <c r="GMQ30" s="3"/>
      <c r="GMR30" s="3"/>
      <c r="GMS30" s="3"/>
      <c r="GMT30" s="3"/>
      <c r="GMU30" s="3"/>
      <c r="GMV30" s="3"/>
      <c r="GMW30" s="3"/>
      <c r="GMX30" s="3"/>
      <c r="GMY30" s="3"/>
      <c r="GMZ30" s="3"/>
      <c r="GNA30" s="3"/>
      <c r="GNB30" s="3"/>
      <c r="GNC30" s="3"/>
      <c r="GND30" s="3"/>
      <c r="GNE30" s="3"/>
      <c r="GNF30" s="3"/>
      <c r="GNG30" s="3"/>
      <c r="GNH30" s="3"/>
      <c r="GNI30" s="3"/>
      <c r="GNJ30" s="3"/>
      <c r="GNK30" s="3"/>
      <c r="GNL30" s="3"/>
      <c r="GNM30" s="3"/>
      <c r="GNN30" s="3"/>
      <c r="GNO30" s="3"/>
      <c r="GNP30" s="3"/>
      <c r="GNQ30" s="3"/>
      <c r="GNR30" s="3"/>
      <c r="GNS30" s="3"/>
      <c r="GNT30" s="3"/>
      <c r="GNU30" s="3"/>
      <c r="GNV30" s="3"/>
      <c r="GNW30" s="3"/>
      <c r="GNX30" s="3"/>
      <c r="GNY30" s="3"/>
      <c r="GNZ30" s="3"/>
      <c r="GOA30" s="3"/>
      <c r="GOB30" s="3"/>
      <c r="GOC30" s="3"/>
      <c r="GOD30" s="3"/>
      <c r="GOE30" s="3"/>
      <c r="GOF30" s="3"/>
      <c r="GOG30" s="3"/>
      <c r="GOH30" s="3"/>
      <c r="GOI30" s="3"/>
      <c r="GOJ30" s="3"/>
      <c r="GOK30" s="3"/>
      <c r="GOL30" s="3"/>
      <c r="GOM30" s="3"/>
      <c r="GON30" s="3"/>
      <c r="GOO30" s="3"/>
      <c r="GOP30" s="3"/>
      <c r="GOQ30" s="3"/>
      <c r="GOR30" s="3"/>
      <c r="GOS30" s="3"/>
      <c r="GOT30" s="3"/>
      <c r="GOU30" s="3"/>
      <c r="GOV30" s="3"/>
      <c r="GOW30" s="3"/>
      <c r="GOX30" s="3"/>
      <c r="GOY30" s="3"/>
      <c r="GOZ30" s="3"/>
      <c r="GPA30" s="3"/>
      <c r="GPB30" s="3"/>
      <c r="GPC30" s="3"/>
      <c r="GPD30" s="3"/>
      <c r="GPE30" s="3"/>
      <c r="GPF30" s="3"/>
      <c r="GPG30" s="3"/>
      <c r="GPH30" s="3"/>
      <c r="GPI30" s="3"/>
      <c r="GPJ30" s="3"/>
      <c r="GPK30" s="3"/>
      <c r="GPL30" s="3"/>
      <c r="GPM30" s="3"/>
      <c r="GPN30" s="3"/>
      <c r="GPO30" s="3"/>
      <c r="GPP30" s="3"/>
      <c r="GPQ30" s="3"/>
      <c r="GPR30" s="3"/>
      <c r="GPS30" s="3"/>
      <c r="GPT30" s="3"/>
      <c r="GPU30" s="3"/>
      <c r="GPV30" s="3"/>
      <c r="GPW30" s="3"/>
      <c r="GPX30" s="3"/>
      <c r="GPY30" s="3"/>
      <c r="GPZ30" s="3"/>
      <c r="GQA30" s="3"/>
      <c r="GQB30" s="3"/>
      <c r="GQC30" s="3"/>
      <c r="GQD30" s="3"/>
      <c r="GQE30" s="3"/>
      <c r="GQF30" s="3"/>
      <c r="GQG30" s="3"/>
      <c r="GQH30" s="3"/>
      <c r="GQI30" s="3"/>
      <c r="GQJ30" s="3"/>
      <c r="GQK30" s="3"/>
      <c r="GQL30" s="3"/>
      <c r="GQM30" s="3"/>
      <c r="GQN30" s="3"/>
      <c r="GQO30" s="3"/>
      <c r="GQP30" s="3"/>
      <c r="GQQ30" s="3"/>
      <c r="GQR30" s="3"/>
      <c r="GQS30" s="3"/>
      <c r="GQT30" s="3"/>
      <c r="GQU30" s="3"/>
      <c r="GQV30" s="3"/>
      <c r="GQW30" s="3"/>
      <c r="GQX30" s="3"/>
      <c r="GQY30" s="3"/>
      <c r="GQZ30" s="3"/>
      <c r="GRA30" s="3"/>
      <c r="GRB30" s="3"/>
      <c r="GRC30" s="3"/>
      <c r="GRD30" s="3"/>
      <c r="GRE30" s="3"/>
      <c r="GRF30" s="3"/>
      <c r="GRG30" s="3"/>
      <c r="GRH30" s="3"/>
      <c r="GRI30" s="3"/>
      <c r="GRJ30" s="3"/>
      <c r="GRK30" s="3"/>
      <c r="GRL30" s="3"/>
      <c r="GRM30" s="3"/>
      <c r="GRN30" s="3"/>
      <c r="GRO30" s="3"/>
      <c r="GRP30" s="3"/>
      <c r="GRQ30" s="3"/>
      <c r="GRR30" s="3"/>
      <c r="GRS30" s="3"/>
      <c r="GRT30" s="3"/>
      <c r="GRU30" s="3"/>
      <c r="GRV30" s="3"/>
      <c r="GRW30" s="3"/>
      <c r="GRX30" s="3"/>
      <c r="GRY30" s="3"/>
      <c r="GRZ30" s="3"/>
      <c r="GSA30" s="3"/>
      <c r="GSB30" s="3"/>
      <c r="GSC30" s="3"/>
      <c r="GSD30" s="3"/>
      <c r="GSE30" s="3"/>
      <c r="GSF30" s="3"/>
      <c r="GSG30" s="3"/>
      <c r="GSH30" s="3"/>
      <c r="GSI30" s="3"/>
      <c r="GSJ30" s="3"/>
      <c r="GSK30" s="3"/>
      <c r="GSL30" s="3"/>
      <c r="GSM30" s="3"/>
      <c r="GSN30" s="3"/>
      <c r="GSO30" s="3"/>
      <c r="GSP30" s="3"/>
      <c r="GSQ30" s="3"/>
      <c r="GSR30" s="3"/>
      <c r="GSS30" s="3"/>
      <c r="GST30" s="3"/>
      <c r="GSU30" s="3"/>
      <c r="GSV30" s="3"/>
      <c r="GSW30" s="3"/>
      <c r="GSX30" s="3"/>
      <c r="GSY30" s="3"/>
      <c r="GSZ30" s="3"/>
      <c r="GTA30" s="3"/>
      <c r="GTB30" s="3"/>
      <c r="GTC30" s="3"/>
      <c r="GTD30" s="3"/>
      <c r="GTE30" s="3"/>
      <c r="GTF30" s="3"/>
      <c r="GTG30" s="3"/>
      <c r="GTH30" s="3"/>
      <c r="GTI30" s="3"/>
      <c r="GTJ30" s="3"/>
      <c r="GTK30" s="3"/>
      <c r="GTL30" s="3"/>
      <c r="GTM30" s="3"/>
      <c r="GTN30" s="3"/>
      <c r="GTO30" s="3"/>
      <c r="GTP30" s="3"/>
      <c r="GTQ30" s="3"/>
      <c r="GTR30" s="3"/>
      <c r="GTS30" s="3"/>
      <c r="GTT30" s="3"/>
      <c r="GTU30" s="3"/>
      <c r="GTV30" s="3"/>
      <c r="GTW30" s="3"/>
      <c r="GTX30" s="3"/>
      <c r="GTY30" s="3"/>
      <c r="GTZ30" s="3"/>
      <c r="GUA30" s="3"/>
      <c r="GUB30" s="3"/>
      <c r="GUC30" s="3"/>
      <c r="GUD30" s="3"/>
      <c r="GUE30" s="3"/>
      <c r="GUF30" s="3"/>
      <c r="GUG30" s="3"/>
      <c r="GUH30" s="3"/>
      <c r="GUI30" s="3"/>
      <c r="GUJ30" s="3"/>
      <c r="GUK30" s="3"/>
      <c r="GUL30" s="3"/>
      <c r="GUM30" s="3"/>
      <c r="GUN30" s="3"/>
      <c r="GUO30" s="3"/>
      <c r="GUP30" s="3"/>
      <c r="GUQ30" s="3"/>
      <c r="GUR30" s="3"/>
      <c r="GUS30" s="3"/>
      <c r="GUT30" s="3"/>
      <c r="GUU30" s="3"/>
      <c r="GUV30" s="3"/>
      <c r="GUW30" s="3"/>
      <c r="GUX30" s="3"/>
      <c r="GUY30" s="3"/>
      <c r="GUZ30" s="3"/>
      <c r="GVA30" s="3"/>
      <c r="GVB30" s="3"/>
      <c r="GVC30" s="3"/>
      <c r="GVD30" s="3"/>
      <c r="GVE30" s="3"/>
      <c r="GVF30" s="3"/>
      <c r="GVG30" s="3"/>
      <c r="GVH30" s="3"/>
      <c r="GVI30" s="3"/>
      <c r="GVJ30" s="3"/>
      <c r="GVK30" s="3"/>
      <c r="GVL30" s="3"/>
      <c r="GVM30" s="3"/>
      <c r="GVN30" s="3"/>
      <c r="GVO30" s="3"/>
      <c r="GVP30" s="3"/>
      <c r="GVQ30" s="3"/>
      <c r="GVR30" s="3"/>
      <c r="GVS30" s="3"/>
      <c r="GVT30" s="3"/>
      <c r="GVU30" s="3"/>
      <c r="GVV30" s="3"/>
      <c r="GVW30" s="3"/>
      <c r="GVX30" s="3"/>
      <c r="GVY30" s="3"/>
      <c r="GVZ30" s="3"/>
      <c r="GWA30" s="3"/>
      <c r="GWB30" s="3"/>
      <c r="GWC30" s="3"/>
      <c r="GWD30" s="3"/>
      <c r="GWE30" s="3"/>
      <c r="GWF30" s="3"/>
      <c r="GWG30" s="3"/>
      <c r="GWH30" s="3"/>
      <c r="GWI30" s="3"/>
      <c r="GWJ30" s="3"/>
      <c r="GWK30" s="3"/>
      <c r="GWL30" s="3"/>
      <c r="GWM30" s="3"/>
      <c r="GWN30" s="3"/>
      <c r="GWO30" s="3"/>
      <c r="GWP30" s="3"/>
      <c r="GWQ30" s="3"/>
      <c r="GWR30" s="3"/>
      <c r="GWS30" s="3"/>
      <c r="GWT30" s="3"/>
      <c r="GWU30" s="3"/>
      <c r="GWV30" s="3"/>
      <c r="GWW30" s="3"/>
      <c r="GWX30" s="3"/>
      <c r="GWY30" s="3"/>
      <c r="GWZ30" s="3"/>
      <c r="GXA30" s="3"/>
      <c r="GXB30" s="3"/>
      <c r="GXC30" s="3"/>
      <c r="GXD30" s="3"/>
      <c r="GXE30" s="3"/>
      <c r="GXF30" s="3"/>
      <c r="GXG30" s="3"/>
      <c r="GXH30" s="3"/>
      <c r="GXI30" s="3"/>
      <c r="GXJ30" s="3"/>
      <c r="GXK30" s="3"/>
      <c r="GXL30" s="3"/>
      <c r="GXM30" s="3"/>
      <c r="GXN30" s="3"/>
      <c r="GXO30" s="3"/>
      <c r="GXP30" s="3"/>
      <c r="GXQ30" s="3"/>
      <c r="GXR30" s="3"/>
      <c r="GXS30" s="3"/>
      <c r="GXT30" s="3"/>
      <c r="GXU30" s="3"/>
      <c r="GXV30" s="3"/>
      <c r="GXW30" s="3"/>
      <c r="GXX30" s="3"/>
      <c r="GXY30" s="3"/>
      <c r="GXZ30" s="3"/>
      <c r="GYA30" s="3"/>
      <c r="GYB30" s="3"/>
      <c r="GYC30" s="3"/>
      <c r="GYD30" s="3"/>
      <c r="GYE30" s="3"/>
      <c r="GYF30" s="3"/>
      <c r="GYG30" s="3"/>
      <c r="GYH30" s="3"/>
      <c r="GYI30" s="3"/>
      <c r="GYJ30" s="3"/>
      <c r="GYK30" s="3"/>
      <c r="GYL30" s="3"/>
      <c r="GYM30" s="3"/>
      <c r="GYN30" s="3"/>
      <c r="GYO30" s="3"/>
      <c r="GYP30" s="3"/>
      <c r="GYQ30" s="3"/>
      <c r="GYR30" s="3"/>
      <c r="GYS30" s="3"/>
      <c r="GYT30" s="3"/>
      <c r="GYU30" s="3"/>
      <c r="GYV30" s="3"/>
      <c r="GYW30" s="3"/>
      <c r="GYX30" s="3"/>
      <c r="GYY30" s="3"/>
      <c r="GYZ30" s="3"/>
      <c r="GZA30" s="3"/>
      <c r="GZB30" s="3"/>
      <c r="GZC30" s="3"/>
      <c r="GZD30" s="3"/>
      <c r="GZE30" s="3"/>
      <c r="GZF30" s="3"/>
      <c r="GZG30" s="3"/>
      <c r="GZH30" s="3"/>
      <c r="GZI30" s="3"/>
      <c r="GZJ30" s="3"/>
      <c r="GZK30" s="3"/>
      <c r="GZL30" s="3"/>
      <c r="GZM30" s="3"/>
      <c r="GZN30" s="3"/>
      <c r="GZO30" s="3"/>
      <c r="GZP30" s="3"/>
      <c r="GZQ30" s="3"/>
      <c r="GZR30" s="3"/>
      <c r="GZS30" s="3"/>
      <c r="GZT30" s="3"/>
      <c r="GZU30" s="3"/>
      <c r="GZV30" s="3"/>
      <c r="GZW30" s="3"/>
      <c r="GZX30" s="3"/>
      <c r="GZY30" s="3"/>
      <c r="GZZ30" s="3"/>
      <c r="HAA30" s="3"/>
      <c r="HAB30" s="3"/>
      <c r="HAC30" s="3"/>
      <c r="HAD30" s="3"/>
      <c r="HAE30" s="3"/>
      <c r="HAF30" s="3"/>
      <c r="HAG30" s="3"/>
      <c r="HAH30" s="3"/>
      <c r="HAI30" s="3"/>
      <c r="HAJ30" s="3"/>
      <c r="HAK30" s="3"/>
      <c r="HAL30" s="3"/>
      <c r="HAM30" s="3"/>
      <c r="HAN30" s="3"/>
      <c r="HAO30" s="3"/>
      <c r="HAP30" s="3"/>
      <c r="HAQ30" s="3"/>
      <c r="HAR30" s="3"/>
      <c r="HAS30" s="3"/>
      <c r="HAT30" s="3"/>
      <c r="HAU30" s="3"/>
      <c r="HAV30" s="3"/>
      <c r="HAW30" s="3"/>
      <c r="HAX30" s="3"/>
      <c r="HAY30" s="3"/>
      <c r="HAZ30" s="3"/>
      <c r="HBA30" s="3"/>
      <c r="HBB30" s="3"/>
      <c r="HBC30" s="3"/>
      <c r="HBD30" s="3"/>
      <c r="HBE30" s="3"/>
      <c r="HBF30" s="3"/>
      <c r="HBG30" s="3"/>
      <c r="HBH30" s="3"/>
      <c r="HBI30" s="3"/>
      <c r="HBJ30" s="3"/>
      <c r="HBK30" s="3"/>
      <c r="HBL30" s="3"/>
      <c r="HBM30" s="3"/>
      <c r="HBN30" s="3"/>
      <c r="HBO30" s="3"/>
      <c r="HBP30" s="3"/>
      <c r="HBQ30" s="3"/>
      <c r="HBR30" s="3"/>
      <c r="HBS30" s="3"/>
      <c r="HBT30" s="3"/>
      <c r="HBU30" s="3"/>
      <c r="HBV30" s="3"/>
      <c r="HBW30" s="3"/>
      <c r="HBX30" s="3"/>
      <c r="HBY30" s="3"/>
      <c r="HBZ30" s="3"/>
      <c r="HCA30" s="3"/>
      <c r="HCB30" s="3"/>
      <c r="HCC30" s="3"/>
      <c r="HCD30" s="3"/>
      <c r="HCE30" s="3"/>
      <c r="HCF30" s="3"/>
      <c r="HCG30" s="3"/>
      <c r="HCH30" s="3"/>
      <c r="HCI30" s="3"/>
      <c r="HCJ30" s="3"/>
      <c r="HCK30" s="3"/>
      <c r="HCL30" s="3"/>
      <c r="HCM30" s="3"/>
      <c r="HCN30" s="3"/>
      <c r="HCO30" s="3"/>
      <c r="HCP30" s="3"/>
      <c r="HCQ30" s="3"/>
      <c r="HCR30" s="3"/>
      <c r="HCS30" s="3"/>
      <c r="HCT30" s="3"/>
      <c r="HCU30" s="3"/>
      <c r="HCV30" s="3"/>
      <c r="HCW30" s="3"/>
      <c r="HCX30" s="3"/>
      <c r="HCY30" s="3"/>
      <c r="HCZ30" s="3"/>
      <c r="HDA30" s="3"/>
      <c r="HDB30" s="3"/>
      <c r="HDC30" s="3"/>
      <c r="HDD30" s="3"/>
      <c r="HDE30" s="3"/>
      <c r="HDF30" s="3"/>
      <c r="HDG30" s="3"/>
      <c r="HDH30" s="3"/>
      <c r="HDI30" s="3"/>
      <c r="HDJ30" s="3"/>
      <c r="HDK30" s="3"/>
      <c r="HDL30" s="3"/>
      <c r="HDM30" s="3"/>
      <c r="HDN30" s="3"/>
      <c r="HDO30" s="3"/>
      <c r="HDP30" s="3"/>
      <c r="HDQ30" s="3"/>
      <c r="HDR30" s="3"/>
      <c r="HDS30" s="3"/>
      <c r="HDT30" s="3"/>
      <c r="HDU30" s="3"/>
      <c r="HDV30" s="3"/>
      <c r="HDW30" s="3"/>
      <c r="HDX30" s="3"/>
      <c r="HDY30" s="3"/>
      <c r="HDZ30" s="3"/>
      <c r="HEA30" s="3"/>
      <c r="HEB30" s="3"/>
      <c r="HEC30" s="3"/>
      <c r="HED30" s="3"/>
      <c r="HEE30" s="3"/>
      <c r="HEF30" s="3"/>
      <c r="HEG30" s="3"/>
      <c r="HEH30" s="3"/>
      <c r="HEI30" s="3"/>
      <c r="HEJ30" s="3"/>
      <c r="HEK30" s="3"/>
      <c r="HEL30" s="3"/>
      <c r="HEM30" s="3"/>
      <c r="HEN30" s="3"/>
      <c r="HEO30" s="3"/>
      <c r="HEP30" s="3"/>
      <c r="HEQ30" s="3"/>
      <c r="HER30" s="3"/>
      <c r="HES30" s="3"/>
      <c r="HET30" s="3"/>
      <c r="HEU30" s="3"/>
      <c r="HEV30" s="3"/>
      <c r="HEW30" s="3"/>
      <c r="HEX30" s="3"/>
      <c r="HEY30" s="3"/>
      <c r="HEZ30" s="3"/>
      <c r="HFA30" s="3"/>
      <c r="HFB30" s="3"/>
      <c r="HFC30" s="3"/>
      <c r="HFD30" s="3"/>
      <c r="HFE30" s="3"/>
      <c r="HFF30" s="3"/>
      <c r="HFG30" s="3"/>
      <c r="HFH30" s="3"/>
      <c r="HFI30" s="3"/>
      <c r="HFJ30" s="3"/>
      <c r="HFK30" s="3"/>
      <c r="HFL30" s="3"/>
      <c r="HFM30" s="3"/>
      <c r="HFN30" s="3"/>
      <c r="HFO30" s="3"/>
      <c r="HFP30" s="3"/>
      <c r="HFQ30" s="3"/>
      <c r="HFR30" s="3"/>
      <c r="HFS30" s="3"/>
      <c r="HFT30" s="3"/>
      <c r="HFU30" s="3"/>
      <c r="HFV30" s="3"/>
      <c r="HFW30" s="3"/>
      <c r="HFX30" s="3"/>
      <c r="HFY30" s="3"/>
      <c r="HFZ30" s="3"/>
      <c r="HGA30" s="3"/>
      <c r="HGB30" s="3"/>
      <c r="HGC30" s="3"/>
      <c r="HGD30" s="3"/>
      <c r="HGE30" s="3"/>
      <c r="HGF30" s="3"/>
      <c r="HGG30" s="3"/>
      <c r="HGH30" s="3"/>
      <c r="HGI30" s="3"/>
      <c r="HGJ30" s="3"/>
      <c r="HGK30" s="3"/>
      <c r="HGL30" s="3"/>
      <c r="HGM30" s="3"/>
      <c r="HGN30" s="3"/>
      <c r="HGO30" s="3"/>
      <c r="HGP30" s="3"/>
      <c r="HGQ30" s="3"/>
      <c r="HGR30" s="3"/>
      <c r="HGS30" s="3"/>
      <c r="HGT30" s="3"/>
      <c r="HGU30" s="3"/>
      <c r="HGV30" s="3"/>
      <c r="HGW30" s="3"/>
      <c r="HGX30" s="3"/>
      <c r="HGY30" s="3"/>
      <c r="HGZ30" s="3"/>
      <c r="HHA30" s="3"/>
      <c r="HHB30" s="3"/>
      <c r="HHC30" s="3"/>
      <c r="HHD30" s="3"/>
      <c r="HHE30" s="3"/>
      <c r="HHF30" s="3"/>
      <c r="HHG30" s="3"/>
      <c r="HHH30" s="3"/>
      <c r="HHI30" s="3"/>
      <c r="HHJ30" s="3"/>
      <c r="HHK30" s="3"/>
      <c r="HHL30" s="3"/>
      <c r="HHM30" s="3"/>
      <c r="HHN30" s="3"/>
      <c r="HHO30" s="3"/>
      <c r="HHP30" s="3"/>
      <c r="HHQ30" s="3"/>
      <c r="HHR30" s="3"/>
      <c r="HHS30" s="3"/>
      <c r="HHT30" s="3"/>
      <c r="HHU30" s="3"/>
      <c r="HHV30" s="3"/>
      <c r="HHW30" s="3"/>
      <c r="HHX30" s="3"/>
      <c r="HHY30" s="3"/>
      <c r="HHZ30" s="3"/>
      <c r="HIA30" s="3"/>
      <c r="HIB30" s="3"/>
      <c r="HIC30" s="3"/>
      <c r="HID30" s="3"/>
      <c r="HIE30" s="3"/>
      <c r="HIF30" s="3"/>
      <c r="HIG30" s="3"/>
      <c r="HIH30" s="3"/>
      <c r="HII30" s="3"/>
      <c r="HIJ30" s="3"/>
      <c r="HIK30" s="3"/>
      <c r="HIL30" s="3"/>
      <c r="HIM30" s="3"/>
      <c r="HIN30" s="3"/>
      <c r="HIO30" s="3"/>
      <c r="HIP30" s="3"/>
      <c r="HIQ30" s="3"/>
      <c r="HIR30" s="3"/>
      <c r="HIS30" s="3"/>
      <c r="HIT30" s="3"/>
      <c r="HIU30" s="3"/>
      <c r="HIV30" s="3"/>
      <c r="HIW30" s="3"/>
      <c r="HIX30" s="3"/>
      <c r="HIY30" s="3"/>
      <c r="HIZ30" s="3"/>
      <c r="HJA30" s="3"/>
      <c r="HJB30" s="3"/>
      <c r="HJC30" s="3"/>
      <c r="HJD30" s="3"/>
      <c r="HJE30" s="3"/>
      <c r="HJF30" s="3"/>
      <c r="HJG30" s="3"/>
      <c r="HJH30" s="3"/>
      <c r="HJI30" s="3"/>
      <c r="HJJ30" s="3"/>
      <c r="HJK30" s="3"/>
      <c r="HJL30" s="3"/>
      <c r="HJM30" s="3"/>
      <c r="HJN30" s="3"/>
      <c r="HJO30" s="3"/>
      <c r="HJP30" s="3"/>
      <c r="HJQ30" s="3"/>
      <c r="HJR30" s="3"/>
      <c r="HJS30" s="3"/>
      <c r="HJT30" s="3"/>
      <c r="HJU30" s="3"/>
      <c r="HJV30" s="3"/>
      <c r="HJW30" s="3"/>
      <c r="HJX30" s="3"/>
      <c r="HJY30" s="3"/>
      <c r="HJZ30" s="3"/>
      <c r="HKA30" s="3"/>
      <c r="HKB30" s="3"/>
      <c r="HKC30" s="3"/>
      <c r="HKD30" s="3"/>
      <c r="HKE30" s="3"/>
      <c r="HKF30" s="3"/>
      <c r="HKG30" s="3"/>
      <c r="HKH30" s="3"/>
      <c r="HKI30" s="3"/>
      <c r="HKJ30" s="3"/>
      <c r="HKK30" s="3"/>
      <c r="HKL30" s="3"/>
      <c r="HKM30" s="3"/>
      <c r="HKN30" s="3"/>
      <c r="HKO30" s="3"/>
      <c r="HKP30" s="3"/>
      <c r="HKQ30" s="3"/>
      <c r="HKR30" s="3"/>
      <c r="HKS30" s="3"/>
      <c r="HKT30" s="3"/>
      <c r="HKU30" s="3"/>
      <c r="HKV30" s="3"/>
      <c r="HKW30" s="3"/>
      <c r="HKX30" s="3"/>
      <c r="HKY30" s="3"/>
      <c r="HKZ30" s="3"/>
      <c r="HLA30" s="3"/>
      <c r="HLB30" s="3"/>
      <c r="HLC30" s="3"/>
      <c r="HLD30" s="3"/>
      <c r="HLE30" s="3"/>
      <c r="HLF30" s="3"/>
      <c r="HLG30" s="3"/>
      <c r="HLH30" s="3"/>
      <c r="HLI30" s="3"/>
      <c r="HLJ30" s="3"/>
      <c r="HLK30" s="3"/>
      <c r="HLL30" s="3"/>
      <c r="HLM30" s="3"/>
      <c r="HLN30" s="3"/>
      <c r="HLO30" s="3"/>
      <c r="HLP30" s="3"/>
      <c r="HLQ30" s="3"/>
      <c r="HLR30" s="3"/>
      <c r="HLS30" s="3"/>
      <c r="HLT30" s="3"/>
      <c r="HLU30" s="3"/>
      <c r="HLV30" s="3"/>
      <c r="HLW30" s="3"/>
      <c r="HLX30" s="3"/>
      <c r="HLY30" s="3"/>
      <c r="HLZ30" s="3"/>
      <c r="HMA30" s="3"/>
      <c r="HMB30" s="3"/>
      <c r="HMC30" s="3"/>
      <c r="HMD30" s="3"/>
      <c r="HME30" s="3"/>
      <c r="HMF30" s="3"/>
      <c r="HMG30" s="3"/>
      <c r="HMH30" s="3"/>
      <c r="HMI30" s="3"/>
      <c r="HMJ30" s="3"/>
      <c r="HMK30" s="3"/>
      <c r="HML30" s="3"/>
      <c r="HMM30" s="3"/>
      <c r="HMN30" s="3"/>
      <c r="HMO30" s="3"/>
      <c r="HMP30" s="3"/>
      <c r="HMQ30" s="3"/>
      <c r="HMR30" s="3"/>
      <c r="HMS30" s="3"/>
      <c r="HMT30" s="3"/>
      <c r="HMU30" s="3"/>
      <c r="HMV30" s="3"/>
      <c r="HMW30" s="3"/>
      <c r="HMX30" s="3"/>
      <c r="HMY30" s="3"/>
      <c r="HMZ30" s="3"/>
      <c r="HNA30" s="3"/>
      <c r="HNB30" s="3"/>
      <c r="HNC30" s="3"/>
      <c r="HND30" s="3"/>
      <c r="HNE30" s="3"/>
      <c r="HNF30" s="3"/>
      <c r="HNG30" s="3"/>
      <c r="HNH30" s="3"/>
      <c r="HNI30" s="3"/>
      <c r="HNJ30" s="3"/>
      <c r="HNK30" s="3"/>
      <c r="HNL30" s="3"/>
      <c r="HNM30" s="3"/>
      <c r="HNN30" s="3"/>
      <c r="HNO30" s="3"/>
      <c r="HNP30" s="3"/>
      <c r="HNQ30" s="3"/>
      <c r="HNR30" s="3"/>
      <c r="HNS30" s="3"/>
      <c r="HNT30" s="3"/>
      <c r="HNU30" s="3"/>
      <c r="HNV30" s="3"/>
      <c r="HNW30" s="3"/>
      <c r="HNX30" s="3"/>
      <c r="HNY30" s="3"/>
      <c r="HNZ30" s="3"/>
      <c r="HOA30" s="3"/>
      <c r="HOB30" s="3"/>
      <c r="HOC30" s="3"/>
      <c r="HOD30" s="3"/>
      <c r="HOE30" s="3"/>
      <c r="HOF30" s="3"/>
      <c r="HOG30" s="3"/>
      <c r="HOH30" s="3"/>
      <c r="HOI30" s="3"/>
      <c r="HOJ30" s="3"/>
      <c r="HOK30" s="3"/>
      <c r="HOL30" s="3"/>
      <c r="HOM30" s="3"/>
      <c r="HON30" s="3"/>
      <c r="HOO30" s="3"/>
      <c r="HOP30" s="3"/>
      <c r="HOQ30" s="3"/>
      <c r="HOR30" s="3"/>
      <c r="HOS30" s="3"/>
      <c r="HOT30" s="3"/>
      <c r="HOU30" s="3"/>
      <c r="HOV30" s="3"/>
      <c r="HOW30" s="3"/>
      <c r="HOX30" s="3"/>
      <c r="HOY30" s="3"/>
      <c r="HOZ30" s="3"/>
      <c r="HPA30" s="3"/>
      <c r="HPB30" s="3"/>
      <c r="HPC30" s="3"/>
      <c r="HPD30" s="3"/>
      <c r="HPE30" s="3"/>
      <c r="HPF30" s="3"/>
      <c r="HPG30" s="3"/>
      <c r="HPH30" s="3"/>
      <c r="HPI30" s="3"/>
      <c r="HPJ30" s="3"/>
      <c r="HPK30" s="3"/>
      <c r="HPL30" s="3"/>
      <c r="HPM30" s="3"/>
      <c r="HPN30" s="3"/>
      <c r="HPO30" s="3"/>
      <c r="HPP30" s="3"/>
      <c r="HPQ30" s="3"/>
      <c r="HPR30" s="3"/>
      <c r="HPS30" s="3"/>
      <c r="HPT30" s="3"/>
      <c r="HPU30" s="3"/>
      <c r="HPV30" s="3"/>
      <c r="HPW30" s="3"/>
      <c r="HPX30" s="3"/>
      <c r="HPY30" s="3"/>
      <c r="HPZ30" s="3"/>
      <c r="HQA30" s="3"/>
      <c r="HQB30" s="3"/>
      <c r="HQC30" s="3"/>
      <c r="HQD30" s="3"/>
      <c r="HQE30" s="3"/>
      <c r="HQF30" s="3"/>
      <c r="HQG30" s="3"/>
      <c r="HQH30" s="3"/>
      <c r="HQI30" s="3"/>
      <c r="HQJ30" s="3"/>
      <c r="HQK30" s="3"/>
      <c r="HQL30" s="3"/>
      <c r="HQM30" s="3"/>
      <c r="HQN30" s="3"/>
      <c r="HQO30" s="3"/>
      <c r="HQP30" s="3"/>
      <c r="HQQ30" s="3"/>
      <c r="HQR30" s="3"/>
      <c r="HQS30" s="3"/>
      <c r="HQT30" s="3"/>
      <c r="HQU30" s="3"/>
      <c r="HQV30" s="3"/>
      <c r="HQW30" s="3"/>
      <c r="HQX30" s="3"/>
      <c r="HQY30" s="3"/>
      <c r="HQZ30" s="3"/>
      <c r="HRA30" s="3"/>
      <c r="HRB30" s="3"/>
      <c r="HRC30" s="3"/>
      <c r="HRD30" s="3"/>
      <c r="HRE30" s="3"/>
      <c r="HRF30" s="3"/>
      <c r="HRG30" s="3"/>
      <c r="HRH30" s="3"/>
      <c r="HRI30" s="3"/>
      <c r="HRJ30" s="3"/>
      <c r="HRK30" s="3"/>
      <c r="HRL30" s="3"/>
      <c r="HRM30" s="3"/>
      <c r="HRN30" s="3"/>
      <c r="HRO30" s="3"/>
      <c r="HRP30" s="3"/>
      <c r="HRQ30" s="3"/>
      <c r="HRR30" s="3"/>
      <c r="HRS30" s="3"/>
      <c r="HRT30" s="3"/>
      <c r="HRU30" s="3"/>
      <c r="HRV30" s="3"/>
      <c r="HRW30" s="3"/>
      <c r="HRX30" s="3"/>
      <c r="HRY30" s="3"/>
      <c r="HRZ30" s="3"/>
      <c r="HSA30" s="3"/>
      <c r="HSB30" s="3"/>
      <c r="HSC30" s="3"/>
      <c r="HSD30" s="3"/>
      <c r="HSE30" s="3"/>
      <c r="HSF30" s="3"/>
      <c r="HSG30" s="3"/>
      <c r="HSH30" s="3"/>
      <c r="HSI30" s="3"/>
      <c r="HSJ30" s="3"/>
      <c r="HSK30" s="3"/>
      <c r="HSL30" s="3"/>
      <c r="HSM30" s="3"/>
      <c r="HSN30" s="3"/>
      <c r="HSO30" s="3"/>
      <c r="HSP30" s="3"/>
      <c r="HSQ30" s="3"/>
      <c r="HSR30" s="3"/>
      <c r="HSS30" s="3"/>
      <c r="HST30" s="3"/>
      <c r="HSU30" s="3"/>
      <c r="HSV30" s="3"/>
      <c r="HSW30" s="3"/>
      <c r="HSX30" s="3"/>
      <c r="HSY30" s="3"/>
      <c r="HSZ30" s="3"/>
      <c r="HTA30" s="3"/>
      <c r="HTB30" s="3"/>
      <c r="HTC30" s="3"/>
      <c r="HTD30" s="3"/>
      <c r="HTE30" s="3"/>
      <c r="HTF30" s="3"/>
      <c r="HTG30" s="3"/>
      <c r="HTH30" s="3"/>
      <c r="HTI30" s="3"/>
      <c r="HTJ30" s="3"/>
      <c r="HTK30" s="3"/>
      <c r="HTL30" s="3"/>
      <c r="HTM30" s="3"/>
      <c r="HTN30" s="3"/>
      <c r="HTO30" s="3"/>
      <c r="HTP30" s="3"/>
      <c r="HTQ30" s="3"/>
      <c r="HTR30" s="3"/>
      <c r="HTS30" s="3"/>
      <c r="HTT30" s="3"/>
      <c r="HTU30" s="3"/>
      <c r="HTV30" s="3"/>
      <c r="HTW30" s="3"/>
      <c r="HTX30" s="3"/>
      <c r="HTY30" s="3"/>
      <c r="HTZ30" s="3"/>
      <c r="HUA30" s="3"/>
      <c r="HUB30" s="3"/>
      <c r="HUC30" s="3"/>
      <c r="HUD30" s="3"/>
      <c r="HUE30" s="3"/>
      <c r="HUF30" s="3"/>
      <c r="HUG30" s="3"/>
      <c r="HUH30" s="3"/>
      <c r="HUI30" s="3"/>
      <c r="HUJ30" s="3"/>
      <c r="HUK30" s="3"/>
      <c r="HUL30" s="3"/>
      <c r="HUM30" s="3"/>
      <c r="HUN30" s="3"/>
      <c r="HUO30" s="3"/>
      <c r="HUP30" s="3"/>
      <c r="HUQ30" s="3"/>
      <c r="HUR30" s="3"/>
      <c r="HUS30" s="3"/>
      <c r="HUT30" s="3"/>
      <c r="HUU30" s="3"/>
      <c r="HUV30" s="3"/>
      <c r="HUW30" s="3"/>
      <c r="HUX30" s="3"/>
      <c r="HUY30" s="3"/>
      <c r="HUZ30" s="3"/>
      <c r="HVA30" s="3"/>
      <c r="HVB30" s="3"/>
      <c r="HVC30" s="3"/>
      <c r="HVD30" s="3"/>
      <c r="HVE30" s="3"/>
      <c r="HVF30" s="3"/>
      <c r="HVG30" s="3"/>
      <c r="HVH30" s="3"/>
      <c r="HVI30" s="3"/>
      <c r="HVJ30" s="3"/>
      <c r="HVK30" s="3"/>
      <c r="HVL30" s="3"/>
      <c r="HVM30" s="3"/>
      <c r="HVN30" s="3"/>
      <c r="HVO30" s="3"/>
      <c r="HVP30" s="3"/>
      <c r="HVQ30" s="3"/>
      <c r="HVR30" s="3"/>
      <c r="HVS30" s="3"/>
      <c r="HVT30" s="3"/>
      <c r="HVU30" s="3"/>
      <c r="HVV30" s="3"/>
      <c r="HVW30" s="3"/>
      <c r="HVX30" s="3"/>
      <c r="HVY30" s="3"/>
      <c r="HVZ30" s="3"/>
      <c r="HWA30" s="3"/>
      <c r="HWB30" s="3"/>
      <c r="HWC30" s="3"/>
      <c r="HWD30" s="3"/>
      <c r="HWE30" s="3"/>
      <c r="HWF30" s="3"/>
      <c r="HWG30" s="3"/>
      <c r="HWH30" s="3"/>
      <c r="HWI30" s="3"/>
      <c r="HWJ30" s="3"/>
      <c r="HWK30" s="3"/>
      <c r="HWL30" s="3"/>
      <c r="HWM30" s="3"/>
      <c r="HWN30" s="3"/>
      <c r="HWO30" s="3"/>
      <c r="HWP30" s="3"/>
      <c r="HWQ30" s="3"/>
      <c r="HWR30" s="3"/>
      <c r="HWS30" s="3"/>
      <c r="HWT30" s="3"/>
      <c r="HWU30" s="3"/>
      <c r="HWV30" s="3"/>
      <c r="HWW30" s="3"/>
      <c r="HWX30" s="3"/>
      <c r="HWY30" s="3"/>
      <c r="HWZ30" s="3"/>
      <c r="HXA30" s="3"/>
      <c r="HXB30" s="3"/>
      <c r="HXC30" s="3"/>
      <c r="HXD30" s="3"/>
      <c r="HXE30" s="3"/>
      <c r="HXF30" s="3"/>
      <c r="HXG30" s="3"/>
      <c r="HXH30" s="3"/>
      <c r="HXI30" s="3"/>
      <c r="HXJ30" s="3"/>
      <c r="HXK30" s="3"/>
      <c r="HXL30" s="3"/>
      <c r="HXM30" s="3"/>
      <c r="HXN30" s="3"/>
      <c r="HXO30" s="3"/>
      <c r="HXP30" s="3"/>
      <c r="HXQ30" s="3"/>
      <c r="HXR30" s="3"/>
      <c r="HXS30" s="3"/>
      <c r="HXT30" s="3"/>
      <c r="HXU30" s="3"/>
      <c r="HXV30" s="3"/>
      <c r="HXW30" s="3"/>
      <c r="HXX30" s="3"/>
      <c r="HXY30" s="3"/>
      <c r="HXZ30" s="3"/>
      <c r="HYA30" s="3"/>
      <c r="HYB30" s="3"/>
      <c r="HYC30" s="3"/>
      <c r="HYD30" s="3"/>
      <c r="HYE30" s="3"/>
      <c r="HYF30" s="3"/>
      <c r="HYG30" s="3"/>
      <c r="HYH30" s="3"/>
      <c r="HYI30" s="3"/>
      <c r="HYJ30" s="3"/>
      <c r="HYK30" s="3"/>
      <c r="HYL30" s="3"/>
      <c r="HYM30" s="3"/>
      <c r="HYN30" s="3"/>
      <c r="HYO30" s="3"/>
      <c r="HYP30" s="3"/>
      <c r="HYQ30" s="3"/>
      <c r="HYR30" s="3"/>
      <c r="HYS30" s="3"/>
      <c r="HYT30" s="3"/>
      <c r="HYU30" s="3"/>
      <c r="HYV30" s="3"/>
      <c r="HYW30" s="3"/>
      <c r="HYX30" s="3"/>
      <c r="HYY30" s="3"/>
      <c r="HYZ30" s="3"/>
      <c r="HZA30" s="3"/>
      <c r="HZB30" s="3"/>
      <c r="HZC30" s="3"/>
      <c r="HZD30" s="3"/>
      <c r="HZE30" s="3"/>
      <c r="HZF30" s="3"/>
      <c r="HZG30" s="3"/>
      <c r="HZH30" s="3"/>
      <c r="HZI30" s="3"/>
      <c r="HZJ30" s="3"/>
      <c r="HZK30" s="3"/>
      <c r="HZL30" s="3"/>
      <c r="HZM30" s="3"/>
      <c r="HZN30" s="3"/>
      <c r="HZO30" s="3"/>
      <c r="HZP30" s="3"/>
      <c r="HZQ30" s="3"/>
      <c r="HZR30" s="3"/>
      <c r="HZS30" s="3"/>
      <c r="HZT30" s="3"/>
      <c r="HZU30" s="3"/>
      <c r="HZV30" s="3"/>
      <c r="HZW30" s="3"/>
      <c r="HZX30" s="3"/>
      <c r="HZY30" s="3"/>
      <c r="HZZ30" s="3"/>
      <c r="IAA30" s="3"/>
      <c r="IAB30" s="3"/>
      <c r="IAC30" s="3"/>
      <c r="IAD30" s="3"/>
      <c r="IAE30" s="3"/>
      <c r="IAF30" s="3"/>
      <c r="IAG30" s="3"/>
      <c r="IAH30" s="3"/>
      <c r="IAI30" s="3"/>
      <c r="IAJ30" s="3"/>
      <c r="IAK30" s="3"/>
      <c r="IAL30" s="3"/>
      <c r="IAM30" s="3"/>
      <c r="IAN30" s="3"/>
      <c r="IAO30" s="3"/>
      <c r="IAP30" s="3"/>
      <c r="IAQ30" s="3"/>
      <c r="IAR30" s="3"/>
      <c r="IAS30" s="3"/>
      <c r="IAT30" s="3"/>
      <c r="IAU30" s="3"/>
      <c r="IAV30" s="3"/>
      <c r="IAW30" s="3"/>
      <c r="IAX30" s="3"/>
      <c r="IAY30" s="3"/>
      <c r="IAZ30" s="3"/>
      <c r="IBA30" s="3"/>
      <c r="IBB30" s="3"/>
      <c r="IBC30" s="3"/>
      <c r="IBD30" s="3"/>
      <c r="IBE30" s="3"/>
      <c r="IBF30" s="3"/>
      <c r="IBG30" s="3"/>
      <c r="IBH30" s="3"/>
      <c r="IBI30" s="3"/>
      <c r="IBJ30" s="3"/>
      <c r="IBK30" s="3"/>
      <c r="IBL30" s="3"/>
      <c r="IBM30" s="3"/>
      <c r="IBN30" s="3"/>
      <c r="IBO30" s="3"/>
      <c r="IBP30" s="3"/>
      <c r="IBQ30" s="3"/>
      <c r="IBR30" s="3"/>
      <c r="IBS30" s="3"/>
      <c r="IBT30" s="3"/>
      <c r="IBU30" s="3"/>
      <c r="IBV30" s="3"/>
      <c r="IBW30" s="3"/>
      <c r="IBX30" s="3"/>
      <c r="IBY30" s="3"/>
      <c r="IBZ30" s="3"/>
      <c r="ICA30" s="3"/>
      <c r="ICB30" s="3"/>
      <c r="ICC30" s="3"/>
      <c r="ICD30" s="3"/>
      <c r="ICE30" s="3"/>
      <c r="ICF30" s="3"/>
      <c r="ICG30" s="3"/>
      <c r="ICH30" s="3"/>
      <c r="ICI30" s="3"/>
      <c r="ICJ30" s="3"/>
      <c r="ICK30" s="3"/>
      <c r="ICL30" s="3"/>
      <c r="ICM30" s="3"/>
      <c r="ICN30" s="3"/>
      <c r="ICO30" s="3"/>
      <c r="ICP30" s="3"/>
      <c r="ICQ30" s="3"/>
      <c r="ICR30" s="3"/>
      <c r="ICS30" s="3"/>
      <c r="ICT30" s="3"/>
      <c r="ICU30" s="3"/>
      <c r="ICV30" s="3"/>
      <c r="ICW30" s="3"/>
      <c r="ICX30" s="3"/>
      <c r="ICY30" s="3"/>
      <c r="ICZ30" s="3"/>
      <c r="IDA30" s="3"/>
      <c r="IDB30" s="3"/>
      <c r="IDC30" s="3"/>
      <c r="IDD30" s="3"/>
      <c r="IDE30" s="3"/>
      <c r="IDF30" s="3"/>
      <c r="IDG30" s="3"/>
      <c r="IDH30" s="3"/>
      <c r="IDI30" s="3"/>
      <c r="IDJ30" s="3"/>
      <c r="IDK30" s="3"/>
      <c r="IDL30" s="3"/>
      <c r="IDM30" s="3"/>
      <c r="IDN30" s="3"/>
      <c r="IDO30" s="3"/>
      <c r="IDP30" s="3"/>
      <c r="IDQ30" s="3"/>
      <c r="IDR30" s="3"/>
      <c r="IDS30" s="3"/>
      <c r="IDT30" s="3"/>
      <c r="IDU30" s="3"/>
      <c r="IDV30" s="3"/>
      <c r="IDW30" s="3"/>
      <c r="IDX30" s="3"/>
      <c r="IDY30" s="3"/>
      <c r="IDZ30" s="3"/>
      <c r="IEA30" s="3"/>
      <c r="IEB30" s="3"/>
      <c r="IEC30" s="3"/>
      <c r="IED30" s="3"/>
      <c r="IEE30" s="3"/>
      <c r="IEF30" s="3"/>
      <c r="IEG30" s="3"/>
      <c r="IEH30" s="3"/>
      <c r="IEI30" s="3"/>
      <c r="IEJ30" s="3"/>
      <c r="IEK30" s="3"/>
      <c r="IEL30" s="3"/>
      <c r="IEM30" s="3"/>
      <c r="IEN30" s="3"/>
      <c r="IEO30" s="3"/>
      <c r="IEP30" s="3"/>
      <c r="IEQ30" s="3"/>
      <c r="IER30" s="3"/>
      <c r="IES30" s="3"/>
      <c r="IET30" s="3"/>
      <c r="IEU30" s="3"/>
      <c r="IEV30" s="3"/>
      <c r="IEW30" s="3"/>
      <c r="IEX30" s="3"/>
      <c r="IEY30" s="3"/>
      <c r="IEZ30" s="3"/>
      <c r="IFA30" s="3"/>
      <c r="IFB30" s="3"/>
      <c r="IFC30" s="3"/>
      <c r="IFD30" s="3"/>
      <c r="IFE30" s="3"/>
      <c r="IFF30" s="3"/>
      <c r="IFG30" s="3"/>
      <c r="IFH30" s="3"/>
      <c r="IFI30" s="3"/>
      <c r="IFJ30" s="3"/>
      <c r="IFK30" s="3"/>
      <c r="IFL30" s="3"/>
      <c r="IFM30" s="3"/>
      <c r="IFN30" s="3"/>
      <c r="IFO30" s="3"/>
      <c r="IFP30" s="3"/>
      <c r="IFQ30" s="3"/>
      <c r="IFR30" s="3"/>
      <c r="IFS30" s="3"/>
      <c r="IFT30" s="3"/>
      <c r="IFU30" s="3"/>
      <c r="IFV30" s="3"/>
      <c r="IFW30" s="3"/>
      <c r="IFX30" s="3"/>
      <c r="IFY30" s="3"/>
      <c r="IFZ30" s="3"/>
      <c r="IGA30" s="3"/>
      <c r="IGB30" s="3"/>
      <c r="IGC30" s="3"/>
      <c r="IGD30" s="3"/>
      <c r="IGE30" s="3"/>
      <c r="IGF30" s="3"/>
      <c r="IGG30" s="3"/>
      <c r="IGH30" s="3"/>
      <c r="IGI30" s="3"/>
      <c r="IGJ30" s="3"/>
      <c r="IGK30" s="3"/>
      <c r="IGL30" s="3"/>
      <c r="IGM30" s="3"/>
      <c r="IGN30" s="3"/>
      <c r="IGO30" s="3"/>
      <c r="IGP30" s="3"/>
      <c r="IGQ30" s="3"/>
      <c r="IGR30" s="3"/>
      <c r="IGS30" s="3"/>
      <c r="IGT30" s="3"/>
      <c r="IGU30" s="3"/>
      <c r="IGV30" s="3"/>
      <c r="IGW30" s="3"/>
      <c r="IGX30" s="3"/>
      <c r="IGY30" s="3"/>
      <c r="IGZ30" s="3"/>
      <c r="IHA30" s="3"/>
      <c r="IHB30" s="3"/>
      <c r="IHC30" s="3"/>
      <c r="IHD30" s="3"/>
      <c r="IHE30" s="3"/>
      <c r="IHF30" s="3"/>
      <c r="IHG30" s="3"/>
      <c r="IHH30" s="3"/>
      <c r="IHI30" s="3"/>
      <c r="IHJ30" s="3"/>
      <c r="IHK30" s="3"/>
      <c r="IHL30" s="3"/>
      <c r="IHM30" s="3"/>
      <c r="IHN30" s="3"/>
      <c r="IHO30" s="3"/>
      <c r="IHP30" s="3"/>
      <c r="IHQ30" s="3"/>
      <c r="IHR30" s="3"/>
      <c r="IHS30" s="3"/>
      <c r="IHT30" s="3"/>
      <c r="IHU30" s="3"/>
      <c r="IHV30" s="3"/>
      <c r="IHW30" s="3"/>
      <c r="IHX30" s="3"/>
      <c r="IHY30" s="3"/>
      <c r="IHZ30" s="3"/>
      <c r="IIA30" s="3"/>
      <c r="IIB30" s="3"/>
      <c r="IIC30" s="3"/>
      <c r="IID30" s="3"/>
      <c r="IIE30" s="3"/>
      <c r="IIF30" s="3"/>
      <c r="IIG30" s="3"/>
      <c r="IIH30" s="3"/>
      <c r="III30" s="3"/>
      <c r="IIJ30" s="3"/>
      <c r="IIK30" s="3"/>
      <c r="IIL30" s="3"/>
      <c r="IIM30" s="3"/>
      <c r="IIN30" s="3"/>
      <c r="IIO30" s="3"/>
      <c r="IIP30" s="3"/>
      <c r="IIQ30" s="3"/>
      <c r="IIR30" s="3"/>
      <c r="IIS30" s="3"/>
      <c r="IIT30" s="3"/>
      <c r="IIU30" s="3"/>
      <c r="IIV30" s="3"/>
      <c r="IIW30" s="3"/>
      <c r="IIX30" s="3"/>
      <c r="IIY30" s="3"/>
      <c r="IIZ30" s="3"/>
      <c r="IJA30" s="3"/>
      <c r="IJB30" s="3"/>
      <c r="IJC30" s="3"/>
      <c r="IJD30" s="3"/>
      <c r="IJE30" s="3"/>
      <c r="IJF30" s="3"/>
      <c r="IJG30" s="3"/>
      <c r="IJH30" s="3"/>
      <c r="IJI30" s="3"/>
      <c r="IJJ30" s="3"/>
      <c r="IJK30" s="3"/>
      <c r="IJL30" s="3"/>
      <c r="IJM30" s="3"/>
      <c r="IJN30" s="3"/>
      <c r="IJO30" s="3"/>
      <c r="IJP30" s="3"/>
      <c r="IJQ30" s="3"/>
      <c r="IJR30" s="3"/>
      <c r="IJS30" s="3"/>
      <c r="IJT30" s="3"/>
      <c r="IJU30" s="3"/>
      <c r="IJV30" s="3"/>
      <c r="IJW30" s="3"/>
      <c r="IJX30" s="3"/>
      <c r="IJY30" s="3"/>
      <c r="IJZ30" s="3"/>
      <c r="IKA30" s="3"/>
      <c r="IKB30" s="3"/>
      <c r="IKC30" s="3"/>
      <c r="IKD30" s="3"/>
      <c r="IKE30" s="3"/>
      <c r="IKF30" s="3"/>
      <c r="IKG30" s="3"/>
      <c r="IKH30" s="3"/>
      <c r="IKI30" s="3"/>
      <c r="IKJ30" s="3"/>
      <c r="IKK30" s="3"/>
      <c r="IKL30" s="3"/>
      <c r="IKM30" s="3"/>
      <c r="IKN30" s="3"/>
      <c r="IKO30" s="3"/>
      <c r="IKP30" s="3"/>
      <c r="IKQ30" s="3"/>
      <c r="IKR30" s="3"/>
      <c r="IKS30" s="3"/>
      <c r="IKT30" s="3"/>
      <c r="IKU30" s="3"/>
      <c r="IKV30" s="3"/>
      <c r="IKW30" s="3"/>
      <c r="IKX30" s="3"/>
      <c r="IKY30" s="3"/>
      <c r="IKZ30" s="3"/>
      <c r="ILA30" s="3"/>
      <c r="ILB30" s="3"/>
      <c r="ILC30" s="3"/>
      <c r="ILD30" s="3"/>
      <c r="ILE30" s="3"/>
      <c r="ILF30" s="3"/>
      <c r="ILG30" s="3"/>
      <c r="ILH30" s="3"/>
      <c r="ILI30" s="3"/>
      <c r="ILJ30" s="3"/>
      <c r="ILK30" s="3"/>
      <c r="ILL30" s="3"/>
      <c r="ILM30" s="3"/>
      <c r="ILN30" s="3"/>
      <c r="ILO30" s="3"/>
      <c r="ILP30" s="3"/>
      <c r="ILQ30" s="3"/>
      <c r="ILR30" s="3"/>
      <c r="ILS30" s="3"/>
      <c r="ILT30" s="3"/>
      <c r="ILU30" s="3"/>
      <c r="ILV30" s="3"/>
      <c r="ILW30" s="3"/>
      <c r="ILX30" s="3"/>
      <c r="ILY30" s="3"/>
      <c r="ILZ30" s="3"/>
      <c r="IMA30" s="3"/>
      <c r="IMB30" s="3"/>
      <c r="IMC30" s="3"/>
      <c r="IMD30" s="3"/>
      <c r="IME30" s="3"/>
      <c r="IMF30" s="3"/>
      <c r="IMG30" s="3"/>
      <c r="IMH30" s="3"/>
      <c r="IMI30" s="3"/>
      <c r="IMJ30" s="3"/>
      <c r="IMK30" s="3"/>
      <c r="IML30" s="3"/>
      <c r="IMM30" s="3"/>
      <c r="IMN30" s="3"/>
      <c r="IMO30" s="3"/>
      <c r="IMP30" s="3"/>
      <c r="IMQ30" s="3"/>
      <c r="IMR30" s="3"/>
      <c r="IMS30" s="3"/>
      <c r="IMT30" s="3"/>
      <c r="IMU30" s="3"/>
      <c r="IMV30" s="3"/>
      <c r="IMW30" s="3"/>
      <c r="IMX30" s="3"/>
      <c r="IMY30" s="3"/>
      <c r="IMZ30" s="3"/>
      <c r="INA30" s="3"/>
      <c r="INB30" s="3"/>
      <c r="INC30" s="3"/>
      <c r="IND30" s="3"/>
      <c r="INE30" s="3"/>
      <c r="INF30" s="3"/>
      <c r="ING30" s="3"/>
      <c r="INH30" s="3"/>
      <c r="INI30" s="3"/>
      <c r="INJ30" s="3"/>
      <c r="INK30" s="3"/>
      <c r="INL30" s="3"/>
      <c r="INM30" s="3"/>
      <c r="INN30" s="3"/>
      <c r="INO30" s="3"/>
      <c r="INP30" s="3"/>
      <c r="INQ30" s="3"/>
      <c r="INR30" s="3"/>
      <c r="INS30" s="3"/>
      <c r="INT30" s="3"/>
      <c r="INU30" s="3"/>
      <c r="INV30" s="3"/>
      <c r="INW30" s="3"/>
      <c r="INX30" s="3"/>
      <c r="INY30" s="3"/>
      <c r="INZ30" s="3"/>
      <c r="IOA30" s="3"/>
      <c r="IOB30" s="3"/>
      <c r="IOC30" s="3"/>
      <c r="IOD30" s="3"/>
      <c r="IOE30" s="3"/>
      <c r="IOF30" s="3"/>
      <c r="IOG30" s="3"/>
      <c r="IOH30" s="3"/>
      <c r="IOI30" s="3"/>
      <c r="IOJ30" s="3"/>
      <c r="IOK30" s="3"/>
      <c r="IOL30" s="3"/>
      <c r="IOM30" s="3"/>
      <c r="ION30" s="3"/>
      <c r="IOO30" s="3"/>
      <c r="IOP30" s="3"/>
      <c r="IOQ30" s="3"/>
      <c r="IOR30" s="3"/>
      <c r="IOS30" s="3"/>
      <c r="IOT30" s="3"/>
      <c r="IOU30" s="3"/>
      <c r="IOV30" s="3"/>
      <c r="IOW30" s="3"/>
      <c r="IOX30" s="3"/>
      <c r="IOY30" s="3"/>
      <c r="IOZ30" s="3"/>
      <c r="IPA30" s="3"/>
      <c r="IPB30" s="3"/>
      <c r="IPC30" s="3"/>
      <c r="IPD30" s="3"/>
      <c r="IPE30" s="3"/>
      <c r="IPF30" s="3"/>
      <c r="IPG30" s="3"/>
      <c r="IPH30" s="3"/>
      <c r="IPI30" s="3"/>
      <c r="IPJ30" s="3"/>
      <c r="IPK30" s="3"/>
      <c r="IPL30" s="3"/>
      <c r="IPM30" s="3"/>
      <c r="IPN30" s="3"/>
      <c r="IPO30" s="3"/>
      <c r="IPP30" s="3"/>
      <c r="IPQ30" s="3"/>
      <c r="IPR30" s="3"/>
      <c r="IPS30" s="3"/>
      <c r="IPT30" s="3"/>
      <c r="IPU30" s="3"/>
      <c r="IPV30" s="3"/>
      <c r="IPW30" s="3"/>
      <c r="IPX30" s="3"/>
      <c r="IPY30" s="3"/>
      <c r="IPZ30" s="3"/>
      <c r="IQA30" s="3"/>
      <c r="IQB30" s="3"/>
      <c r="IQC30" s="3"/>
      <c r="IQD30" s="3"/>
      <c r="IQE30" s="3"/>
      <c r="IQF30" s="3"/>
      <c r="IQG30" s="3"/>
      <c r="IQH30" s="3"/>
      <c r="IQI30" s="3"/>
      <c r="IQJ30" s="3"/>
      <c r="IQK30" s="3"/>
      <c r="IQL30" s="3"/>
      <c r="IQM30" s="3"/>
      <c r="IQN30" s="3"/>
      <c r="IQO30" s="3"/>
      <c r="IQP30" s="3"/>
      <c r="IQQ30" s="3"/>
      <c r="IQR30" s="3"/>
      <c r="IQS30" s="3"/>
      <c r="IQT30" s="3"/>
      <c r="IQU30" s="3"/>
      <c r="IQV30" s="3"/>
      <c r="IQW30" s="3"/>
      <c r="IQX30" s="3"/>
      <c r="IQY30" s="3"/>
      <c r="IQZ30" s="3"/>
      <c r="IRA30" s="3"/>
      <c r="IRB30" s="3"/>
      <c r="IRC30" s="3"/>
      <c r="IRD30" s="3"/>
      <c r="IRE30" s="3"/>
      <c r="IRF30" s="3"/>
      <c r="IRG30" s="3"/>
      <c r="IRH30" s="3"/>
      <c r="IRI30" s="3"/>
      <c r="IRJ30" s="3"/>
      <c r="IRK30" s="3"/>
      <c r="IRL30" s="3"/>
      <c r="IRM30" s="3"/>
      <c r="IRN30" s="3"/>
      <c r="IRO30" s="3"/>
      <c r="IRP30" s="3"/>
      <c r="IRQ30" s="3"/>
      <c r="IRR30" s="3"/>
      <c r="IRS30" s="3"/>
      <c r="IRT30" s="3"/>
      <c r="IRU30" s="3"/>
      <c r="IRV30" s="3"/>
      <c r="IRW30" s="3"/>
      <c r="IRX30" s="3"/>
      <c r="IRY30" s="3"/>
      <c r="IRZ30" s="3"/>
      <c r="ISA30" s="3"/>
      <c r="ISB30" s="3"/>
      <c r="ISC30" s="3"/>
      <c r="ISD30" s="3"/>
      <c r="ISE30" s="3"/>
      <c r="ISF30" s="3"/>
      <c r="ISG30" s="3"/>
      <c r="ISH30" s="3"/>
      <c r="ISI30" s="3"/>
      <c r="ISJ30" s="3"/>
      <c r="ISK30" s="3"/>
      <c r="ISL30" s="3"/>
      <c r="ISM30" s="3"/>
      <c r="ISN30" s="3"/>
      <c r="ISO30" s="3"/>
      <c r="ISP30" s="3"/>
      <c r="ISQ30" s="3"/>
      <c r="ISR30" s="3"/>
      <c r="ISS30" s="3"/>
      <c r="IST30" s="3"/>
      <c r="ISU30" s="3"/>
      <c r="ISV30" s="3"/>
      <c r="ISW30" s="3"/>
      <c r="ISX30" s="3"/>
      <c r="ISY30" s="3"/>
      <c r="ISZ30" s="3"/>
      <c r="ITA30" s="3"/>
      <c r="ITB30" s="3"/>
      <c r="ITC30" s="3"/>
      <c r="ITD30" s="3"/>
      <c r="ITE30" s="3"/>
      <c r="ITF30" s="3"/>
      <c r="ITG30" s="3"/>
      <c r="ITH30" s="3"/>
      <c r="ITI30" s="3"/>
      <c r="ITJ30" s="3"/>
      <c r="ITK30" s="3"/>
      <c r="ITL30" s="3"/>
      <c r="ITM30" s="3"/>
      <c r="ITN30" s="3"/>
      <c r="ITO30" s="3"/>
      <c r="ITP30" s="3"/>
      <c r="ITQ30" s="3"/>
      <c r="ITR30" s="3"/>
      <c r="ITS30" s="3"/>
      <c r="ITT30" s="3"/>
      <c r="ITU30" s="3"/>
      <c r="ITV30" s="3"/>
      <c r="ITW30" s="3"/>
      <c r="ITX30" s="3"/>
      <c r="ITY30" s="3"/>
      <c r="ITZ30" s="3"/>
      <c r="IUA30" s="3"/>
      <c r="IUB30" s="3"/>
      <c r="IUC30" s="3"/>
      <c r="IUD30" s="3"/>
      <c r="IUE30" s="3"/>
      <c r="IUF30" s="3"/>
      <c r="IUG30" s="3"/>
      <c r="IUH30" s="3"/>
      <c r="IUI30" s="3"/>
      <c r="IUJ30" s="3"/>
      <c r="IUK30" s="3"/>
      <c r="IUL30" s="3"/>
      <c r="IUM30" s="3"/>
      <c r="IUN30" s="3"/>
      <c r="IUO30" s="3"/>
      <c r="IUP30" s="3"/>
      <c r="IUQ30" s="3"/>
      <c r="IUR30" s="3"/>
      <c r="IUS30" s="3"/>
      <c r="IUT30" s="3"/>
      <c r="IUU30" s="3"/>
      <c r="IUV30" s="3"/>
      <c r="IUW30" s="3"/>
      <c r="IUX30" s="3"/>
      <c r="IUY30" s="3"/>
      <c r="IUZ30" s="3"/>
      <c r="IVA30" s="3"/>
      <c r="IVB30" s="3"/>
      <c r="IVC30" s="3"/>
      <c r="IVD30" s="3"/>
      <c r="IVE30" s="3"/>
      <c r="IVF30" s="3"/>
      <c r="IVG30" s="3"/>
      <c r="IVH30" s="3"/>
      <c r="IVI30" s="3"/>
      <c r="IVJ30" s="3"/>
      <c r="IVK30" s="3"/>
      <c r="IVL30" s="3"/>
      <c r="IVM30" s="3"/>
      <c r="IVN30" s="3"/>
      <c r="IVO30" s="3"/>
      <c r="IVP30" s="3"/>
      <c r="IVQ30" s="3"/>
      <c r="IVR30" s="3"/>
      <c r="IVS30" s="3"/>
      <c r="IVT30" s="3"/>
      <c r="IVU30" s="3"/>
      <c r="IVV30" s="3"/>
      <c r="IVW30" s="3"/>
      <c r="IVX30" s="3"/>
      <c r="IVY30" s="3"/>
      <c r="IVZ30" s="3"/>
      <c r="IWA30" s="3"/>
      <c r="IWB30" s="3"/>
      <c r="IWC30" s="3"/>
      <c r="IWD30" s="3"/>
      <c r="IWE30" s="3"/>
      <c r="IWF30" s="3"/>
      <c r="IWG30" s="3"/>
      <c r="IWH30" s="3"/>
      <c r="IWI30" s="3"/>
      <c r="IWJ30" s="3"/>
      <c r="IWK30" s="3"/>
      <c r="IWL30" s="3"/>
      <c r="IWM30" s="3"/>
      <c r="IWN30" s="3"/>
      <c r="IWO30" s="3"/>
      <c r="IWP30" s="3"/>
      <c r="IWQ30" s="3"/>
      <c r="IWR30" s="3"/>
      <c r="IWS30" s="3"/>
      <c r="IWT30" s="3"/>
      <c r="IWU30" s="3"/>
      <c r="IWV30" s="3"/>
      <c r="IWW30" s="3"/>
      <c r="IWX30" s="3"/>
      <c r="IWY30" s="3"/>
      <c r="IWZ30" s="3"/>
      <c r="IXA30" s="3"/>
      <c r="IXB30" s="3"/>
      <c r="IXC30" s="3"/>
      <c r="IXD30" s="3"/>
      <c r="IXE30" s="3"/>
      <c r="IXF30" s="3"/>
      <c r="IXG30" s="3"/>
      <c r="IXH30" s="3"/>
      <c r="IXI30" s="3"/>
      <c r="IXJ30" s="3"/>
      <c r="IXK30" s="3"/>
      <c r="IXL30" s="3"/>
      <c r="IXM30" s="3"/>
      <c r="IXN30" s="3"/>
      <c r="IXO30" s="3"/>
      <c r="IXP30" s="3"/>
      <c r="IXQ30" s="3"/>
      <c r="IXR30" s="3"/>
      <c r="IXS30" s="3"/>
      <c r="IXT30" s="3"/>
      <c r="IXU30" s="3"/>
      <c r="IXV30" s="3"/>
      <c r="IXW30" s="3"/>
      <c r="IXX30" s="3"/>
      <c r="IXY30" s="3"/>
      <c r="IXZ30" s="3"/>
      <c r="IYA30" s="3"/>
      <c r="IYB30" s="3"/>
      <c r="IYC30" s="3"/>
      <c r="IYD30" s="3"/>
      <c r="IYE30" s="3"/>
      <c r="IYF30" s="3"/>
      <c r="IYG30" s="3"/>
      <c r="IYH30" s="3"/>
      <c r="IYI30" s="3"/>
      <c r="IYJ30" s="3"/>
      <c r="IYK30" s="3"/>
      <c r="IYL30" s="3"/>
      <c r="IYM30" s="3"/>
      <c r="IYN30" s="3"/>
      <c r="IYO30" s="3"/>
      <c r="IYP30" s="3"/>
      <c r="IYQ30" s="3"/>
      <c r="IYR30" s="3"/>
      <c r="IYS30" s="3"/>
      <c r="IYT30" s="3"/>
      <c r="IYU30" s="3"/>
      <c r="IYV30" s="3"/>
      <c r="IYW30" s="3"/>
      <c r="IYX30" s="3"/>
      <c r="IYY30" s="3"/>
      <c r="IYZ30" s="3"/>
      <c r="IZA30" s="3"/>
      <c r="IZB30" s="3"/>
      <c r="IZC30" s="3"/>
      <c r="IZD30" s="3"/>
      <c r="IZE30" s="3"/>
      <c r="IZF30" s="3"/>
      <c r="IZG30" s="3"/>
      <c r="IZH30" s="3"/>
      <c r="IZI30" s="3"/>
      <c r="IZJ30" s="3"/>
      <c r="IZK30" s="3"/>
      <c r="IZL30" s="3"/>
      <c r="IZM30" s="3"/>
      <c r="IZN30" s="3"/>
      <c r="IZO30" s="3"/>
      <c r="IZP30" s="3"/>
      <c r="IZQ30" s="3"/>
      <c r="IZR30" s="3"/>
      <c r="IZS30" s="3"/>
      <c r="IZT30" s="3"/>
      <c r="IZU30" s="3"/>
      <c r="IZV30" s="3"/>
      <c r="IZW30" s="3"/>
      <c r="IZX30" s="3"/>
      <c r="IZY30" s="3"/>
      <c r="IZZ30" s="3"/>
      <c r="JAA30" s="3"/>
      <c r="JAB30" s="3"/>
      <c r="JAC30" s="3"/>
      <c r="JAD30" s="3"/>
      <c r="JAE30" s="3"/>
      <c r="JAF30" s="3"/>
      <c r="JAG30" s="3"/>
      <c r="JAH30" s="3"/>
      <c r="JAI30" s="3"/>
      <c r="JAJ30" s="3"/>
      <c r="JAK30" s="3"/>
      <c r="JAL30" s="3"/>
      <c r="JAM30" s="3"/>
      <c r="JAN30" s="3"/>
      <c r="JAO30" s="3"/>
      <c r="JAP30" s="3"/>
      <c r="JAQ30" s="3"/>
      <c r="JAR30" s="3"/>
      <c r="JAS30" s="3"/>
      <c r="JAT30" s="3"/>
      <c r="JAU30" s="3"/>
      <c r="JAV30" s="3"/>
      <c r="JAW30" s="3"/>
      <c r="JAX30" s="3"/>
      <c r="JAY30" s="3"/>
      <c r="JAZ30" s="3"/>
      <c r="JBA30" s="3"/>
      <c r="JBB30" s="3"/>
      <c r="JBC30" s="3"/>
      <c r="JBD30" s="3"/>
      <c r="JBE30" s="3"/>
      <c r="JBF30" s="3"/>
      <c r="JBG30" s="3"/>
      <c r="JBH30" s="3"/>
      <c r="JBI30" s="3"/>
      <c r="JBJ30" s="3"/>
      <c r="JBK30" s="3"/>
      <c r="JBL30" s="3"/>
      <c r="JBM30" s="3"/>
      <c r="JBN30" s="3"/>
      <c r="JBO30" s="3"/>
      <c r="JBP30" s="3"/>
      <c r="JBQ30" s="3"/>
      <c r="JBR30" s="3"/>
      <c r="JBS30" s="3"/>
      <c r="JBT30" s="3"/>
      <c r="JBU30" s="3"/>
      <c r="JBV30" s="3"/>
      <c r="JBW30" s="3"/>
      <c r="JBX30" s="3"/>
      <c r="JBY30" s="3"/>
      <c r="JBZ30" s="3"/>
      <c r="JCA30" s="3"/>
      <c r="JCB30" s="3"/>
      <c r="JCC30" s="3"/>
      <c r="JCD30" s="3"/>
      <c r="JCE30" s="3"/>
      <c r="JCF30" s="3"/>
      <c r="JCG30" s="3"/>
      <c r="JCH30" s="3"/>
      <c r="JCI30" s="3"/>
      <c r="JCJ30" s="3"/>
      <c r="JCK30" s="3"/>
      <c r="JCL30" s="3"/>
      <c r="JCM30" s="3"/>
      <c r="JCN30" s="3"/>
      <c r="JCO30" s="3"/>
      <c r="JCP30" s="3"/>
      <c r="JCQ30" s="3"/>
      <c r="JCR30" s="3"/>
      <c r="JCS30" s="3"/>
      <c r="JCT30" s="3"/>
      <c r="JCU30" s="3"/>
      <c r="JCV30" s="3"/>
      <c r="JCW30" s="3"/>
      <c r="JCX30" s="3"/>
      <c r="JCY30" s="3"/>
      <c r="JCZ30" s="3"/>
      <c r="JDA30" s="3"/>
      <c r="JDB30" s="3"/>
      <c r="JDC30" s="3"/>
      <c r="JDD30" s="3"/>
      <c r="JDE30" s="3"/>
      <c r="JDF30" s="3"/>
      <c r="JDG30" s="3"/>
      <c r="JDH30" s="3"/>
      <c r="JDI30" s="3"/>
      <c r="JDJ30" s="3"/>
      <c r="JDK30" s="3"/>
      <c r="JDL30" s="3"/>
      <c r="JDM30" s="3"/>
      <c r="JDN30" s="3"/>
      <c r="JDO30" s="3"/>
      <c r="JDP30" s="3"/>
      <c r="JDQ30" s="3"/>
      <c r="JDR30" s="3"/>
      <c r="JDS30" s="3"/>
      <c r="JDT30" s="3"/>
      <c r="JDU30" s="3"/>
      <c r="JDV30" s="3"/>
      <c r="JDW30" s="3"/>
      <c r="JDX30" s="3"/>
      <c r="JDY30" s="3"/>
      <c r="JDZ30" s="3"/>
      <c r="JEA30" s="3"/>
      <c r="JEB30" s="3"/>
      <c r="JEC30" s="3"/>
      <c r="JED30" s="3"/>
      <c r="JEE30" s="3"/>
      <c r="JEF30" s="3"/>
      <c r="JEG30" s="3"/>
      <c r="JEH30" s="3"/>
      <c r="JEI30" s="3"/>
      <c r="JEJ30" s="3"/>
      <c r="JEK30" s="3"/>
      <c r="JEL30" s="3"/>
      <c r="JEM30" s="3"/>
      <c r="JEN30" s="3"/>
      <c r="JEO30" s="3"/>
      <c r="JEP30" s="3"/>
      <c r="JEQ30" s="3"/>
      <c r="JER30" s="3"/>
      <c r="JES30" s="3"/>
      <c r="JET30" s="3"/>
      <c r="JEU30" s="3"/>
      <c r="JEV30" s="3"/>
      <c r="JEW30" s="3"/>
      <c r="JEX30" s="3"/>
      <c r="JEY30" s="3"/>
      <c r="JEZ30" s="3"/>
      <c r="JFA30" s="3"/>
      <c r="JFB30" s="3"/>
      <c r="JFC30" s="3"/>
      <c r="JFD30" s="3"/>
      <c r="JFE30" s="3"/>
      <c r="JFF30" s="3"/>
      <c r="JFG30" s="3"/>
      <c r="JFH30" s="3"/>
      <c r="JFI30" s="3"/>
      <c r="JFJ30" s="3"/>
      <c r="JFK30" s="3"/>
      <c r="JFL30" s="3"/>
      <c r="JFM30" s="3"/>
      <c r="JFN30" s="3"/>
      <c r="JFO30" s="3"/>
      <c r="JFP30" s="3"/>
      <c r="JFQ30" s="3"/>
      <c r="JFR30" s="3"/>
      <c r="JFS30" s="3"/>
      <c r="JFT30" s="3"/>
      <c r="JFU30" s="3"/>
      <c r="JFV30" s="3"/>
      <c r="JFW30" s="3"/>
      <c r="JFX30" s="3"/>
      <c r="JFY30" s="3"/>
      <c r="JFZ30" s="3"/>
      <c r="JGA30" s="3"/>
      <c r="JGB30" s="3"/>
      <c r="JGC30" s="3"/>
      <c r="JGD30" s="3"/>
      <c r="JGE30" s="3"/>
      <c r="JGF30" s="3"/>
      <c r="JGG30" s="3"/>
      <c r="JGH30" s="3"/>
      <c r="JGI30" s="3"/>
      <c r="JGJ30" s="3"/>
      <c r="JGK30" s="3"/>
      <c r="JGL30" s="3"/>
      <c r="JGM30" s="3"/>
      <c r="JGN30" s="3"/>
      <c r="JGO30" s="3"/>
      <c r="JGP30" s="3"/>
      <c r="JGQ30" s="3"/>
      <c r="JGR30" s="3"/>
      <c r="JGS30" s="3"/>
      <c r="JGT30" s="3"/>
      <c r="JGU30" s="3"/>
      <c r="JGV30" s="3"/>
      <c r="JGW30" s="3"/>
      <c r="JGX30" s="3"/>
      <c r="JGY30" s="3"/>
      <c r="JGZ30" s="3"/>
      <c r="JHA30" s="3"/>
      <c r="JHB30" s="3"/>
      <c r="JHC30" s="3"/>
      <c r="JHD30" s="3"/>
      <c r="JHE30" s="3"/>
      <c r="JHF30" s="3"/>
      <c r="JHG30" s="3"/>
      <c r="JHH30" s="3"/>
      <c r="JHI30" s="3"/>
      <c r="JHJ30" s="3"/>
      <c r="JHK30" s="3"/>
      <c r="JHL30" s="3"/>
      <c r="JHM30" s="3"/>
      <c r="JHN30" s="3"/>
      <c r="JHO30" s="3"/>
      <c r="JHP30" s="3"/>
      <c r="JHQ30" s="3"/>
      <c r="JHR30" s="3"/>
      <c r="JHS30" s="3"/>
      <c r="JHT30" s="3"/>
      <c r="JHU30" s="3"/>
      <c r="JHV30" s="3"/>
      <c r="JHW30" s="3"/>
      <c r="JHX30" s="3"/>
      <c r="JHY30" s="3"/>
      <c r="JHZ30" s="3"/>
      <c r="JIA30" s="3"/>
      <c r="JIB30" s="3"/>
      <c r="JIC30" s="3"/>
      <c r="JID30" s="3"/>
      <c r="JIE30" s="3"/>
      <c r="JIF30" s="3"/>
      <c r="JIG30" s="3"/>
      <c r="JIH30" s="3"/>
      <c r="JII30" s="3"/>
      <c r="JIJ30" s="3"/>
      <c r="JIK30" s="3"/>
      <c r="JIL30" s="3"/>
      <c r="JIM30" s="3"/>
      <c r="JIN30" s="3"/>
      <c r="JIO30" s="3"/>
      <c r="JIP30" s="3"/>
      <c r="JIQ30" s="3"/>
      <c r="JIR30" s="3"/>
      <c r="JIS30" s="3"/>
      <c r="JIT30" s="3"/>
      <c r="JIU30" s="3"/>
      <c r="JIV30" s="3"/>
      <c r="JIW30" s="3"/>
      <c r="JIX30" s="3"/>
      <c r="JIY30" s="3"/>
      <c r="JIZ30" s="3"/>
      <c r="JJA30" s="3"/>
      <c r="JJB30" s="3"/>
      <c r="JJC30" s="3"/>
      <c r="JJD30" s="3"/>
      <c r="JJE30" s="3"/>
      <c r="JJF30" s="3"/>
      <c r="JJG30" s="3"/>
      <c r="JJH30" s="3"/>
      <c r="JJI30" s="3"/>
      <c r="JJJ30" s="3"/>
      <c r="JJK30" s="3"/>
      <c r="JJL30" s="3"/>
      <c r="JJM30" s="3"/>
      <c r="JJN30" s="3"/>
      <c r="JJO30" s="3"/>
      <c r="JJP30" s="3"/>
      <c r="JJQ30" s="3"/>
      <c r="JJR30" s="3"/>
      <c r="JJS30" s="3"/>
      <c r="JJT30" s="3"/>
      <c r="JJU30" s="3"/>
      <c r="JJV30" s="3"/>
      <c r="JJW30" s="3"/>
      <c r="JJX30" s="3"/>
      <c r="JJY30" s="3"/>
      <c r="JJZ30" s="3"/>
      <c r="JKA30" s="3"/>
      <c r="JKB30" s="3"/>
      <c r="JKC30" s="3"/>
      <c r="JKD30" s="3"/>
      <c r="JKE30" s="3"/>
      <c r="JKF30" s="3"/>
      <c r="JKG30" s="3"/>
      <c r="JKH30" s="3"/>
      <c r="JKI30" s="3"/>
      <c r="JKJ30" s="3"/>
      <c r="JKK30" s="3"/>
      <c r="JKL30" s="3"/>
      <c r="JKM30" s="3"/>
      <c r="JKN30" s="3"/>
      <c r="JKO30" s="3"/>
      <c r="JKP30" s="3"/>
      <c r="JKQ30" s="3"/>
      <c r="JKR30" s="3"/>
      <c r="JKS30" s="3"/>
      <c r="JKT30" s="3"/>
      <c r="JKU30" s="3"/>
      <c r="JKV30" s="3"/>
      <c r="JKW30" s="3"/>
      <c r="JKX30" s="3"/>
      <c r="JKY30" s="3"/>
      <c r="JKZ30" s="3"/>
      <c r="JLA30" s="3"/>
      <c r="JLB30" s="3"/>
      <c r="JLC30" s="3"/>
      <c r="JLD30" s="3"/>
      <c r="JLE30" s="3"/>
      <c r="JLF30" s="3"/>
      <c r="JLG30" s="3"/>
      <c r="JLH30" s="3"/>
      <c r="JLI30" s="3"/>
      <c r="JLJ30" s="3"/>
      <c r="JLK30" s="3"/>
      <c r="JLL30" s="3"/>
      <c r="JLM30" s="3"/>
      <c r="JLN30" s="3"/>
      <c r="JLO30" s="3"/>
      <c r="JLP30" s="3"/>
      <c r="JLQ30" s="3"/>
      <c r="JLR30" s="3"/>
      <c r="JLS30" s="3"/>
      <c r="JLT30" s="3"/>
      <c r="JLU30" s="3"/>
      <c r="JLV30" s="3"/>
      <c r="JLW30" s="3"/>
      <c r="JLX30" s="3"/>
      <c r="JLY30" s="3"/>
      <c r="JLZ30" s="3"/>
      <c r="JMA30" s="3"/>
      <c r="JMB30" s="3"/>
      <c r="JMC30" s="3"/>
      <c r="JMD30" s="3"/>
      <c r="JME30" s="3"/>
      <c r="JMF30" s="3"/>
      <c r="JMG30" s="3"/>
      <c r="JMH30" s="3"/>
      <c r="JMI30" s="3"/>
      <c r="JMJ30" s="3"/>
      <c r="JMK30" s="3"/>
      <c r="JML30" s="3"/>
      <c r="JMM30" s="3"/>
      <c r="JMN30" s="3"/>
      <c r="JMO30" s="3"/>
      <c r="JMP30" s="3"/>
      <c r="JMQ30" s="3"/>
      <c r="JMR30" s="3"/>
      <c r="JMS30" s="3"/>
      <c r="JMT30" s="3"/>
      <c r="JMU30" s="3"/>
      <c r="JMV30" s="3"/>
      <c r="JMW30" s="3"/>
      <c r="JMX30" s="3"/>
      <c r="JMY30" s="3"/>
      <c r="JMZ30" s="3"/>
      <c r="JNA30" s="3"/>
      <c r="JNB30" s="3"/>
      <c r="JNC30" s="3"/>
      <c r="JND30" s="3"/>
      <c r="JNE30" s="3"/>
      <c r="JNF30" s="3"/>
      <c r="JNG30" s="3"/>
      <c r="JNH30" s="3"/>
      <c r="JNI30" s="3"/>
      <c r="JNJ30" s="3"/>
      <c r="JNK30" s="3"/>
      <c r="JNL30" s="3"/>
      <c r="JNM30" s="3"/>
      <c r="JNN30" s="3"/>
      <c r="JNO30" s="3"/>
      <c r="JNP30" s="3"/>
      <c r="JNQ30" s="3"/>
      <c r="JNR30" s="3"/>
      <c r="JNS30" s="3"/>
      <c r="JNT30" s="3"/>
      <c r="JNU30" s="3"/>
      <c r="JNV30" s="3"/>
      <c r="JNW30" s="3"/>
      <c r="JNX30" s="3"/>
      <c r="JNY30" s="3"/>
      <c r="JNZ30" s="3"/>
      <c r="JOA30" s="3"/>
      <c r="JOB30" s="3"/>
      <c r="JOC30" s="3"/>
      <c r="JOD30" s="3"/>
      <c r="JOE30" s="3"/>
      <c r="JOF30" s="3"/>
      <c r="JOG30" s="3"/>
      <c r="JOH30" s="3"/>
      <c r="JOI30" s="3"/>
      <c r="JOJ30" s="3"/>
      <c r="JOK30" s="3"/>
      <c r="JOL30" s="3"/>
      <c r="JOM30" s="3"/>
      <c r="JON30" s="3"/>
      <c r="JOO30" s="3"/>
      <c r="JOP30" s="3"/>
      <c r="JOQ30" s="3"/>
      <c r="JOR30" s="3"/>
      <c r="JOS30" s="3"/>
      <c r="JOT30" s="3"/>
      <c r="JOU30" s="3"/>
      <c r="JOV30" s="3"/>
      <c r="JOW30" s="3"/>
      <c r="JOX30" s="3"/>
      <c r="JOY30" s="3"/>
      <c r="JOZ30" s="3"/>
      <c r="JPA30" s="3"/>
      <c r="JPB30" s="3"/>
      <c r="JPC30" s="3"/>
      <c r="JPD30" s="3"/>
      <c r="JPE30" s="3"/>
      <c r="JPF30" s="3"/>
      <c r="JPG30" s="3"/>
      <c r="JPH30" s="3"/>
      <c r="JPI30" s="3"/>
      <c r="JPJ30" s="3"/>
      <c r="JPK30" s="3"/>
      <c r="JPL30" s="3"/>
      <c r="JPM30" s="3"/>
      <c r="JPN30" s="3"/>
      <c r="JPO30" s="3"/>
      <c r="JPP30" s="3"/>
      <c r="JPQ30" s="3"/>
      <c r="JPR30" s="3"/>
      <c r="JPS30" s="3"/>
      <c r="JPT30" s="3"/>
      <c r="JPU30" s="3"/>
      <c r="JPV30" s="3"/>
      <c r="JPW30" s="3"/>
      <c r="JPX30" s="3"/>
      <c r="JPY30" s="3"/>
      <c r="JPZ30" s="3"/>
      <c r="JQA30" s="3"/>
      <c r="JQB30" s="3"/>
      <c r="JQC30" s="3"/>
      <c r="JQD30" s="3"/>
      <c r="JQE30" s="3"/>
      <c r="JQF30" s="3"/>
      <c r="JQG30" s="3"/>
      <c r="JQH30" s="3"/>
      <c r="JQI30" s="3"/>
      <c r="JQJ30" s="3"/>
      <c r="JQK30" s="3"/>
      <c r="JQL30" s="3"/>
      <c r="JQM30" s="3"/>
      <c r="JQN30" s="3"/>
      <c r="JQO30" s="3"/>
      <c r="JQP30" s="3"/>
      <c r="JQQ30" s="3"/>
      <c r="JQR30" s="3"/>
      <c r="JQS30" s="3"/>
      <c r="JQT30" s="3"/>
      <c r="JQU30" s="3"/>
      <c r="JQV30" s="3"/>
      <c r="JQW30" s="3"/>
      <c r="JQX30" s="3"/>
      <c r="JQY30" s="3"/>
      <c r="JQZ30" s="3"/>
      <c r="JRA30" s="3"/>
      <c r="JRB30" s="3"/>
      <c r="JRC30" s="3"/>
      <c r="JRD30" s="3"/>
      <c r="JRE30" s="3"/>
      <c r="JRF30" s="3"/>
      <c r="JRG30" s="3"/>
      <c r="JRH30" s="3"/>
      <c r="JRI30" s="3"/>
      <c r="JRJ30" s="3"/>
      <c r="JRK30" s="3"/>
      <c r="JRL30" s="3"/>
      <c r="JRM30" s="3"/>
      <c r="JRN30" s="3"/>
      <c r="JRO30" s="3"/>
      <c r="JRP30" s="3"/>
      <c r="JRQ30" s="3"/>
      <c r="JRR30" s="3"/>
      <c r="JRS30" s="3"/>
      <c r="JRT30" s="3"/>
      <c r="JRU30" s="3"/>
      <c r="JRV30" s="3"/>
      <c r="JRW30" s="3"/>
      <c r="JRX30" s="3"/>
      <c r="JRY30" s="3"/>
      <c r="JRZ30" s="3"/>
      <c r="JSA30" s="3"/>
      <c r="JSB30" s="3"/>
      <c r="JSC30" s="3"/>
      <c r="JSD30" s="3"/>
      <c r="JSE30" s="3"/>
      <c r="JSF30" s="3"/>
      <c r="JSG30" s="3"/>
      <c r="JSH30" s="3"/>
      <c r="JSI30" s="3"/>
      <c r="JSJ30" s="3"/>
      <c r="JSK30" s="3"/>
      <c r="JSL30" s="3"/>
      <c r="JSM30" s="3"/>
      <c r="JSN30" s="3"/>
      <c r="JSO30" s="3"/>
      <c r="JSP30" s="3"/>
      <c r="JSQ30" s="3"/>
      <c r="JSR30" s="3"/>
      <c r="JSS30" s="3"/>
      <c r="JST30" s="3"/>
      <c r="JSU30" s="3"/>
      <c r="JSV30" s="3"/>
      <c r="JSW30" s="3"/>
      <c r="JSX30" s="3"/>
      <c r="JSY30" s="3"/>
      <c r="JSZ30" s="3"/>
      <c r="JTA30" s="3"/>
      <c r="JTB30" s="3"/>
      <c r="JTC30" s="3"/>
      <c r="JTD30" s="3"/>
      <c r="JTE30" s="3"/>
      <c r="JTF30" s="3"/>
      <c r="JTG30" s="3"/>
      <c r="JTH30" s="3"/>
      <c r="JTI30" s="3"/>
      <c r="JTJ30" s="3"/>
      <c r="JTK30" s="3"/>
      <c r="JTL30" s="3"/>
      <c r="JTM30" s="3"/>
      <c r="JTN30" s="3"/>
      <c r="JTO30" s="3"/>
      <c r="JTP30" s="3"/>
      <c r="JTQ30" s="3"/>
      <c r="JTR30" s="3"/>
      <c r="JTS30" s="3"/>
      <c r="JTT30" s="3"/>
      <c r="JTU30" s="3"/>
      <c r="JTV30" s="3"/>
      <c r="JTW30" s="3"/>
      <c r="JTX30" s="3"/>
      <c r="JTY30" s="3"/>
      <c r="JTZ30" s="3"/>
      <c r="JUA30" s="3"/>
      <c r="JUB30" s="3"/>
      <c r="JUC30" s="3"/>
      <c r="JUD30" s="3"/>
      <c r="JUE30" s="3"/>
      <c r="JUF30" s="3"/>
      <c r="JUG30" s="3"/>
      <c r="JUH30" s="3"/>
      <c r="JUI30" s="3"/>
      <c r="JUJ30" s="3"/>
      <c r="JUK30" s="3"/>
      <c r="JUL30" s="3"/>
      <c r="JUM30" s="3"/>
      <c r="JUN30" s="3"/>
      <c r="JUO30" s="3"/>
      <c r="JUP30" s="3"/>
      <c r="JUQ30" s="3"/>
      <c r="JUR30" s="3"/>
      <c r="JUS30" s="3"/>
      <c r="JUT30" s="3"/>
      <c r="JUU30" s="3"/>
      <c r="JUV30" s="3"/>
      <c r="JUW30" s="3"/>
      <c r="JUX30" s="3"/>
      <c r="JUY30" s="3"/>
      <c r="JUZ30" s="3"/>
      <c r="JVA30" s="3"/>
      <c r="JVB30" s="3"/>
      <c r="JVC30" s="3"/>
      <c r="JVD30" s="3"/>
      <c r="JVE30" s="3"/>
      <c r="JVF30" s="3"/>
      <c r="JVG30" s="3"/>
      <c r="JVH30" s="3"/>
      <c r="JVI30" s="3"/>
      <c r="JVJ30" s="3"/>
      <c r="JVK30" s="3"/>
      <c r="JVL30" s="3"/>
      <c r="JVM30" s="3"/>
      <c r="JVN30" s="3"/>
      <c r="JVO30" s="3"/>
      <c r="JVP30" s="3"/>
      <c r="JVQ30" s="3"/>
      <c r="JVR30" s="3"/>
      <c r="JVS30" s="3"/>
      <c r="JVT30" s="3"/>
      <c r="JVU30" s="3"/>
      <c r="JVV30" s="3"/>
      <c r="JVW30" s="3"/>
      <c r="JVX30" s="3"/>
      <c r="JVY30" s="3"/>
      <c r="JVZ30" s="3"/>
      <c r="JWA30" s="3"/>
      <c r="JWB30" s="3"/>
      <c r="JWC30" s="3"/>
      <c r="JWD30" s="3"/>
      <c r="JWE30" s="3"/>
      <c r="JWF30" s="3"/>
      <c r="JWG30" s="3"/>
      <c r="JWH30" s="3"/>
      <c r="JWI30" s="3"/>
      <c r="JWJ30" s="3"/>
      <c r="JWK30" s="3"/>
      <c r="JWL30" s="3"/>
      <c r="JWM30" s="3"/>
      <c r="JWN30" s="3"/>
      <c r="JWO30" s="3"/>
      <c r="JWP30" s="3"/>
      <c r="JWQ30" s="3"/>
      <c r="JWR30" s="3"/>
      <c r="JWS30" s="3"/>
      <c r="JWT30" s="3"/>
      <c r="JWU30" s="3"/>
      <c r="JWV30" s="3"/>
      <c r="JWW30" s="3"/>
      <c r="JWX30" s="3"/>
      <c r="JWY30" s="3"/>
      <c r="JWZ30" s="3"/>
      <c r="JXA30" s="3"/>
      <c r="JXB30" s="3"/>
      <c r="JXC30" s="3"/>
      <c r="JXD30" s="3"/>
      <c r="JXE30" s="3"/>
      <c r="JXF30" s="3"/>
      <c r="JXG30" s="3"/>
      <c r="JXH30" s="3"/>
      <c r="JXI30" s="3"/>
      <c r="JXJ30" s="3"/>
      <c r="JXK30" s="3"/>
      <c r="JXL30" s="3"/>
      <c r="JXM30" s="3"/>
      <c r="JXN30" s="3"/>
      <c r="JXO30" s="3"/>
      <c r="JXP30" s="3"/>
      <c r="JXQ30" s="3"/>
      <c r="JXR30" s="3"/>
      <c r="JXS30" s="3"/>
      <c r="JXT30" s="3"/>
      <c r="JXU30" s="3"/>
      <c r="JXV30" s="3"/>
      <c r="JXW30" s="3"/>
      <c r="JXX30" s="3"/>
      <c r="JXY30" s="3"/>
      <c r="JXZ30" s="3"/>
      <c r="JYA30" s="3"/>
      <c r="JYB30" s="3"/>
      <c r="JYC30" s="3"/>
      <c r="JYD30" s="3"/>
      <c r="JYE30" s="3"/>
      <c r="JYF30" s="3"/>
      <c r="JYG30" s="3"/>
      <c r="JYH30" s="3"/>
      <c r="JYI30" s="3"/>
      <c r="JYJ30" s="3"/>
      <c r="JYK30" s="3"/>
      <c r="JYL30" s="3"/>
      <c r="JYM30" s="3"/>
      <c r="JYN30" s="3"/>
      <c r="JYO30" s="3"/>
      <c r="JYP30" s="3"/>
      <c r="JYQ30" s="3"/>
      <c r="JYR30" s="3"/>
      <c r="JYS30" s="3"/>
      <c r="JYT30" s="3"/>
      <c r="JYU30" s="3"/>
      <c r="JYV30" s="3"/>
      <c r="JYW30" s="3"/>
      <c r="JYX30" s="3"/>
      <c r="JYY30" s="3"/>
      <c r="JYZ30" s="3"/>
      <c r="JZA30" s="3"/>
      <c r="JZB30" s="3"/>
      <c r="JZC30" s="3"/>
      <c r="JZD30" s="3"/>
      <c r="JZE30" s="3"/>
      <c r="JZF30" s="3"/>
      <c r="JZG30" s="3"/>
      <c r="JZH30" s="3"/>
      <c r="JZI30" s="3"/>
      <c r="JZJ30" s="3"/>
      <c r="JZK30" s="3"/>
      <c r="JZL30" s="3"/>
      <c r="JZM30" s="3"/>
      <c r="JZN30" s="3"/>
      <c r="JZO30" s="3"/>
      <c r="JZP30" s="3"/>
      <c r="JZQ30" s="3"/>
      <c r="JZR30" s="3"/>
      <c r="JZS30" s="3"/>
      <c r="JZT30" s="3"/>
      <c r="JZU30" s="3"/>
      <c r="JZV30" s="3"/>
      <c r="JZW30" s="3"/>
      <c r="JZX30" s="3"/>
      <c r="JZY30" s="3"/>
      <c r="JZZ30" s="3"/>
      <c r="KAA30" s="3"/>
      <c r="KAB30" s="3"/>
      <c r="KAC30" s="3"/>
      <c r="KAD30" s="3"/>
      <c r="KAE30" s="3"/>
      <c r="KAF30" s="3"/>
      <c r="KAG30" s="3"/>
      <c r="KAH30" s="3"/>
      <c r="KAI30" s="3"/>
      <c r="KAJ30" s="3"/>
      <c r="KAK30" s="3"/>
      <c r="KAL30" s="3"/>
      <c r="KAM30" s="3"/>
      <c r="KAN30" s="3"/>
      <c r="KAO30" s="3"/>
      <c r="KAP30" s="3"/>
      <c r="KAQ30" s="3"/>
      <c r="KAR30" s="3"/>
      <c r="KAS30" s="3"/>
      <c r="KAT30" s="3"/>
      <c r="KAU30" s="3"/>
      <c r="KAV30" s="3"/>
      <c r="KAW30" s="3"/>
      <c r="KAX30" s="3"/>
      <c r="KAY30" s="3"/>
      <c r="KAZ30" s="3"/>
      <c r="KBA30" s="3"/>
      <c r="KBB30" s="3"/>
      <c r="KBC30" s="3"/>
      <c r="KBD30" s="3"/>
      <c r="KBE30" s="3"/>
      <c r="KBF30" s="3"/>
      <c r="KBG30" s="3"/>
      <c r="KBH30" s="3"/>
      <c r="KBI30" s="3"/>
      <c r="KBJ30" s="3"/>
      <c r="KBK30" s="3"/>
      <c r="KBL30" s="3"/>
      <c r="KBM30" s="3"/>
      <c r="KBN30" s="3"/>
      <c r="KBO30" s="3"/>
      <c r="KBP30" s="3"/>
      <c r="KBQ30" s="3"/>
      <c r="KBR30" s="3"/>
      <c r="KBS30" s="3"/>
      <c r="KBT30" s="3"/>
      <c r="KBU30" s="3"/>
      <c r="KBV30" s="3"/>
      <c r="KBW30" s="3"/>
      <c r="KBX30" s="3"/>
      <c r="KBY30" s="3"/>
      <c r="KBZ30" s="3"/>
      <c r="KCA30" s="3"/>
      <c r="KCB30" s="3"/>
      <c r="KCC30" s="3"/>
      <c r="KCD30" s="3"/>
      <c r="KCE30" s="3"/>
      <c r="KCF30" s="3"/>
      <c r="KCG30" s="3"/>
      <c r="KCH30" s="3"/>
      <c r="KCI30" s="3"/>
      <c r="KCJ30" s="3"/>
      <c r="KCK30" s="3"/>
      <c r="KCL30" s="3"/>
      <c r="KCM30" s="3"/>
      <c r="KCN30" s="3"/>
      <c r="KCO30" s="3"/>
      <c r="KCP30" s="3"/>
      <c r="KCQ30" s="3"/>
      <c r="KCR30" s="3"/>
      <c r="KCS30" s="3"/>
      <c r="KCT30" s="3"/>
      <c r="KCU30" s="3"/>
      <c r="KCV30" s="3"/>
      <c r="KCW30" s="3"/>
      <c r="KCX30" s="3"/>
      <c r="KCY30" s="3"/>
      <c r="KCZ30" s="3"/>
      <c r="KDA30" s="3"/>
      <c r="KDB30" s="3"/>
      <c r="KDC30" s="3"/>
      <c r="KDD30" s="3"/>
      <c r="KDE30" s="3"/>
      <c r="KDF30" s="3"/>
      <c r="KDG30" s="3"/>
      <c r="KDH30" s="3"/>
      <c r="KDI30" s="3"/>
      <c r="KDJ30" s="3"/>
      <c r="KDK30" s="3"/>
      <c r="KDL30" s="3"/>
      <c r="KDM30" s="3"/>
      <c r="KDN30" s="3"/>
      <c r="KDO30" s="3"/>
      <c r="KDP30" s="3"/>
      <c r="KDQ30" s="3"/>
      <c r="KDR30" s="3"/>
      <c r="KDS30" s="3"/>
      <c r="KDT30" s="3"/>
      <c r="KDU30" s="3"/>
      <c r="KDV30" s="3"/>
      <c r="KDW30" s="3"/>
      <c r="KDX30" s="3"/>
      <c r="KDY30" s="3"/>
      <c r="KDZ30" s="3"/>
      <c r="KEA30" s="3"/>
      <c r="KEB30" s="3"/>
      <c r="KEC30" s="3"/>
      <c r="KED30" s="3"/>
      <c r="KEE30" s="3"/>
      <c r="KEF30" s="3"/>
      <c r="KEG30" s="3"/>
      <c r="KEH30" s="3"/>
      <c r="KEI30" s="3"/>
      <c r="KEJ30" s="3"/>
      <c r="KEK30" s="3"/>
      <c r="KEL30" s="3"/>
      <c r="KEM30" s="3"/>
      <c r="KEN30" s="3"/>
      <c r="KEO30" s="3"/>
      <c r="KEP30" s="3"/>
      <c r="KEQ30" s="3"/>
      <c r="KER30" s="3"/>
      <c r="KES30" s="3"/>
      <c r="KET30" s="3"/>
      <c r="KEU30" s="3"/>
      <c r="KEV30" s="3"/>
      <c r="KEW30" s="3"/>
      <c r="KEX30" s="3"/>
      <c r="KEY30" s="3"/>
      <c r="KEZ30" s="3"/>
      <c r="KFA30" s="3"/>
      <c r="KFB30" s="3"/>
      <c r="KFC30" s="3"/>
      <c r="KFD30" s="3"/>
      <c r="KFE30" s="3"/>
      <c r="KFF30" s="3"/>
      <c r="KFG30" s="3"/>
      <c r="KFH30" s="3"/>
      <c r="KFI30" s="3"/>
      <c r="KFJ30" s="3"/>
      <c r="KFK30" s="3"/>
      <c r="KFL30" s="3"/>
      <c r="KFM30" s="3"/>
      <c r="KFN30" s="3"/>
      <c r="KFO30" s="3"/>
      <c r="KFP30" s="3"/>
      <c r="KFQ30" s="3"/>
      <c r="KFR30" s="3"/>
      <c r="KFS30" s="3"/>
      <c r="KFT30" s="3"/>
      <c r="KFU30" s="3"/>
      <c r="KFV30" s="3"/>
      <c r="KFW30" s="3"/>
      <c r="KFX30" s="3"/>
      <c r="KFY30" s="3"/>
      <c r="KFZ30" s="3"/>
      <c r="KGA30" s="3"/>
      <c r="KGB30" s="3"/>
      <c r="KGC30" s="3"/>
      <c r="KGD30" s="3"/>
      <c r="KGE30" s="3"/>
      <c r="KGF30" s="3"/>
      <c r="KGG30" s="3"/>
      <c r="KGH30" s="3"/>
      <c r="KGI30" s="3"/>
      <c r="KGJ30" s="3"/>
      <c r="KGK30" s="3"/>
      <c r="KGL30" s="3"/>
      <c r="KGM30" s="3"/>
      <c r="KGN30" s="3"/>
      <c r="KGO30" s="3"/>
      <c r="KGP30" s="3"/>
      <c r="KGQ30" s="3"/>
      <c r="KGR30" s="3"/>
      <c r="KGS30" s="3"/>
      <c r="KGT30" s="3"/>
      <c r="KGU30" s="3"/>
      <c r="KGV30" s="3"/>
      <c r="KGW30" s="3"/>
      <c r="KGX30" s="3"/>
      <c r="KGY30" s="3"/>
      <c r="KGZ30" s="3"/>
      <c r="KHA30" s="3"/>
      <c r="KHB30" s="3"/>
      <c r="KHC30" s="3"/>
      <c r="KHD30" s="3"/>
      <c r="KHE30" s="3"/>
      <c r="KHF30" s="3"/>
      <c r="KHG30" s="3"/>
      <c r="KHH30" s="3"/>
      <c r="KHI30" s="3"/>
      <c r="KHJ30" s="3"/>
      <c r="KHK30" s="3"/>
      <c r="KHL30" s="3"/>
      <c r="KHM30" s="3"/>
      <c r="KHN30" s="3"/>
      <c r="KHO30" s="3"/>
      <c r="KHP30" s="3"/>
      <c r="KHQ30" s="3"/>
      <c r="KHR30" s="3"/>
      <c r="KHS30" s="3"/>
      <c r="KHT30" s="3"/>
      <c r="KHU30" s="3"/>
      <c r="KHV30" s="3"/>
      <c r="KHW30" s="3"/>
      <c r="KHX30" s="3"/>
      <c r="KHY30" s="3"/>
      <c r="KHZ30" s="3"/>
      <c r="KIA30" s="3"/>
      <c r="KIB30" s="3"/>
      <c r="KIC30" s="3"/>
      <c r="KID30" s="3"/>
      <c r="KIE30" s="3"/>
      <c r="KIF30" s="3"/>
      <c r="KIG30" s="3"/>
      <c r="KIH30" s="3"/>
      <c r="KII30" s="3"/>
      <c r="KIJ30" s="3"/>
      <c r="KIK30" s="3"/>
      <c r="KIL30" s="3"/>
      <c r="KIM30" s="3"/>
      <c r="KIN30" s="3"/>
      <c r="KIO30" s="3"/>
      <c r="KIP30" s="3"/>
      <c r="KIQ30" s="3"/>
      <c r="KIR30" s="3"/>
      <c r="KIS30" s="3"/>
      <c r="KIT30" s="3"/>
      <c r="KIU30" s="3"/>
      <c r="KIV30" s="3"/>
      <c r="KIW30" s="3"/>
      <c r="KIX30" s="3"/>
      <c r="KIY30" s="3"/>
      <c r="KIZ30" s="3"/>
      <c r="KJA30" s="3"/>
      <c r="KJB30" s="3"/>
      <c r="KJC30" s="3"/>
      <c r="KJD30" s="3"/>
      <c r="KJE30" s="3"/>
      <c r="KJF30" s="3"/>
      <c r="KJG30" s="3"/>
      <c r="KJH30" s="3"/>
      <c r="KJI30" s="3"/>
      <c r="KJJ30" s="3"/>
      <c r="KJK30" s="3"/>
      <c r="KJL30" s="3"/>
      <c r="KJM30" s="3"/>
      <c r="KJN30" s="3"/>
      <c r="KJO30" s="3"/>
      <c r="KJP30" s="3"/>
      <c r="KJQ30" s="3"/>
      <c r="KJR30" s="3"/>
      <c r="KJS30" s="3"/>
      <c r="KJT30" s="3"/>
      <c r="KJU30" s="3"/>
      <c r="KJV30" s="3"/>
      <c r="KJW30" s="3"/>
      <c r="KJX30" s="3"/>
      <c r="KJY30" s="3"/>
      <c r="KJZ30" s="3"/>
      <c r="KKA30" s="3"/>
      <c r="KKB30" s="3"/>
      <c r="KKC30" s="3"/>
      <c r="KKD30" s="3"/>
      <c r="KKE30" s="3"/>
      <c r="KKF30" s="3"/>
      <c r="KKG30" s="3"/>
      <c r="KKH30" s="3"/>
      <c r="KKI30" s="3"/>
      <c r="KKJ30" s="3"/>
      <c r="KKK30" s="3"/>
      <c r="KKL30" s="3"/>
      <c r="KKM30" s="3"/>
      <c r="KKN30" s="3"/>
      <c r="KKO30" s="3"/>
      <c r="KKP30" s="3"/>
      <c r="KKQ30" s="3"/>
      <c r="KKR30" s="3"/>
      <c r="KKS30" s="3"/>
      <c r="KKT30" s="3"/>
      <c r="KKU30" s="3"/>
      <c r="KKV30" s="3"/>
      <c r="KKW30" s="3"/>
      <c r="KKX30" s="3"/>
      <c r="KKY30" s="3"/>
      <c r="KKZ30" s="3"/>
      <c r="KLA30" s="3"/>
      <c r="KLB30" s="3"/>
      <c r="KLC30" s="3"/>
      <c r="KLD30" s="3"/>
      <c r="KLE30" s="3"/>
      <c r="KLF30" s="3"/>
      <c r="KLG30" s="3"/>
      <c r="KLH30" s="3"/>
      <c r="KLI30" s="3"/>
      <c r="KLJ30" s="3"/>
      <c r="KLK30" s="3"/>
      <c r="KLL30" s="3"/>
      <c r="KLM30" s="3"/>
      <c r="KLN30" s="3"/>
      <c r="KLO30" s="3"/>
      <c r="KLP30" s="3"/>
      <c r="KLQ30" s="3"/>
      <c r="KLR30" s="3"/>
      <c r="KLS30" s="3"/>
      <c r="KLT30" s="3"/>
      <c r="KLU30" s="3"/>
      <c r="KLV30" s="3"/>
      <c r="KLW30" s="3"/>
      <c r="KLX30" s="3"/>
      <c r="KLY30" s="3"/>
      <c r="KLZ30" s="3"/>
      <c r="KMA30" s="3"/>
      <c r="KMB30" s="3"/>
      <c r="KMC30" s="3"/>
      <c r="KMD30" s="3"/>
      <c r="KME30" s="3"/>
      <c r="KMF30" s="3"/>
      <c r="KMG30" s="3"/>
      <c r="KMH30" s="3"/>
      <c r="KMI30" s="3"/>
      <c r="KMJ30" s="3"/>
      <c r="KMK30" s="3"/>
      <c r="KML30" s="3"/>
      <c r="KMM30" s="3"/>
      <c r="KMN30" s="3"/>
      <c r="KMO30" s="3"/>
      <c r="KMP30" s="3"/>
      <c r="KMQ30" s="3"/>
      <c r="KMR30" s="3"/>
      <c r="KMS30" s="3"/>
      <c r="KMT30" s="3"/>
      <c r="KMU30" s="3"/>
      <c r="KMV30" s="3"/>
      <c r="KMW30" s="3"/>
      <c r="KMX30" s="3"/>
      <c r="KMY30" s="3"/>
      <c r="KMZ30" s="3"/>
      <c r="KNA30" s="3"/>
      <c r="KNB30" s="3"/>
      <c r="KNC30" s="3"/>
      <c r="KND30" s="3"/>
      <c r="KNE30" s="3"/>
      <c r="KNF30" s="3"/>
      <c r="KNG30" s="3"/>
      <c r="KNH30" s="3"/>
      <c r="KNI30" s="3"/>
      <c r="KNJ30" s="3"/>
      <c r="KNK30" s="3"/>
      <c r="KNL30" s="3"/>
      <c r="KNM30" s="3"/>
      <c r="KNN30" s="3"/>
      <c r="KNO30" s="3"/>
      <c r="KNP30" s="3"/>
      <c r="KNQ30" s="3"/>
      <c r="KNR30" s="3"/>
      <c r="KNS30" s="3"/>
      <c r="KNT30" s="3"/>
      <c r="KNU30" s="3"/>
      <c r="KNV30" s="3"/>
      <c r="KNW30" s="3"/>
      <c r="KNX30" s="3"/>
      <c r="KNY30" s="3"/>
      <c r="KNZ30" s="3"/>
      <c r="KOA30" s="3"/>
      <c r="KOB30" s="3"/>
      <c r="KOC30" s="3"/>
      <c r="KOD30" s="3"/>
      <c r="KOE30" s="3"/>
      <c r="KOF30" s="3"/>
      <c r="KOG30" s="3"/>
      <c r="KOH30" s="3"/>
      <c r="KOI30" s="3"/>
      <c r="KOJ30" s="3"/>
      <c r="KOK30" s="3"/>
      <c r="KOL30" s="3"/>
      <c r="KOM30" s="3"/>
      <c r="KON30" s="3"/>
      <c r="KOO30" s="3"/>
      <c r="KOP30" s="3"/>
      <c r="KOQ30" s="3"/>
      <c r="KOR30" s="3"/>
      <c r="KOS30" s="3"/>
      <c r="KOT30" s="3"/>
      <c r="KOU30" s="3"/>
      <c r="KOV30" s="3"/>
      <c r="KOW30" s="3"/>
      <c r="KOX30" s="3"/>
      <c r="KOY30" s="3"/>
      <c r="KOZ30" s="3"/>
      <c r="KPA30" s="3"/>
      <c r="KPB30" s="3"/>
      <c r="KPC30" s="3"/>
      <c r="KPD30" s="3"/>
      <c r="KPE30" s="3"/>
      <c r="KPF30" s="3"/>
      <c r="KPG30" s="3"/>
      <c r="KPH30" s="3"/>
      <c r="KPI30" s="3"/>
      <c r="KPJ30" s="3"/>
      <c r="KPK30" s="3"/>
      <c r="KPL30" s="3"/>
      <c r="KPM30" s="3"/>
      <c r="KPN30" s="3"/>
      <c r="KPO30" s="3"/>
      <c r="KPP30" s="3"/>
      <c r="KPQ30" s="3"/>
      <c r="KPR30" s="3"/>
      <c r="KPS30" s="3"/>
      <c r="KPT30" s="3"/>
      <c r="KPU30" s="3"/>
      <c r="KPV30" s="3"/>
      <c r="KPW30" s="3"/>
      <c r="KPX30" s="3"/>
      <c r="KPY30" s="3"/>
      <c r="KPZ30" s="3"/>
      <c r="KQA30" s="3"/>
      <c r="KQB30" s="3"/>
      <c r="KQC30" s="3"/>
      <c r="KQD30" s="3"/>
      <c r="KQE30" s="3"/>
      <c r="KQF30" s="3"/>
      <c r="KQG30" s="3"/>
      <c r="KQH30" s="3"/>
      <c r="KQI30" s="3"/>
      <c r="KQJ30" s="3"/>
      <c r="KQK30" s="3"/>
      <c r="KQL30" s="3"/>
      <c r="KQM30" s="3"/>
      <c r="KQN30" s="3"/>
      <c r="KQO30" s="3"/>
      <c r="KQP30" s="3"/>
      <c r="KQQ30" s="3"/>
      <c r="KQR30" s="3"/>
      <c r="KQS30" s="3"/>
      <c r="KQT30" s="3"/>
      <c r="KQU30" s="3"/>
      <c r="KQV30" s="3"/>
      <c r="KQW30" s="3"/>
      <c r="KQX30" s="3"/>
      <c r="KQY30" s="3"/>
      <c r="KQZ30" s="3"/>
      <c r="KRA30" s="3"/>
      <c r="KRB30" s="3"/>
      <c r="KRC30" s="3"/>
      <c r="KRD30" s="3"/>
      <c r="KRE30" s="3"/>
      <c r="KRF30" s="3"/>
      <c r="KRG30" s="3"/>
      <c r="KRH30" s="3"/>
      <c r="KRI30" s="3"/>
      <c r="KRJ30" s="3"/>
      <c r="KRK30" s="3"/>
      <c r="KRL30" s="3"/>
      <c r="KRM30" s="3"/>
      <c r="KRN30" s="3"/>
      <c r="KRO30" s="3"/>
      <c r="KRP30" s="3"/>
      <c r="KRQ30" s="3"/>
      <c r="KRR30" s="3"/>
      <c r="KRS30" s="3"/>
      <c r="KRT30" s="3"/>
      <c r="KRU30" s="3"/>
      <c r="KRV30" s="3"/>
      <c r="KRW30" s="3"/>
      <c r="KRX30" s="3"/>
      <c r="KRY30" s="3"/>
      <c r="KRZ30" s="3"/>
      <c r="KSA30" s="3"/>
      <c r="KSB30" s="3"/>
      <c r="KSC30" s="3"/>
      <c r="KSD30" s="3"/>
      <c r="KSE30" s="3"/>
      <c r="KSF30" s="3"/>
      <c r="KSG30" s="3"/>
      <c r="KSH30" s="3"/>
      <c r="KSI30" s="3"/>
      <c r="KSJ30" s="3"/>
      <c r="KSK30" s="3"/>
      <c r="KSL30" s="3"/>
      <c r="KSM30" s="3"/>
      <c r="KSN30" s="3"/>
      <c r="KSO30" s="3"/>
      <c r="KSP30" s="3"/>
      <c r="KSQ30" s="3"/>
      <c r="KSR30" s="3"/>
      <c r="KSS30" s="3"/>
      <c r="KST30" s="3"/>
      <c r="KSU30" s="3"/>
      <c r="KSV30" s="3"/>
      <c r="KSW30" s="3"/>
      <c r="KSX30" s="3"/>
      <c r="KSY30" s="3"/>
      <c r="KSZ30" s="3"/>
      <c r="KTA30" s="3"/>
      <c r="KTB30" s="3"/>
      <c r="KTC30" s="3"/>
      <c r="KTD30" s="3"/>
      <c r="KTE30" s="3"/>
      <c r="KTF30" s="3"/>
      <c r="KTG30" s="3"/>
      <c r="KTH30" s="3"/>
      <c r="KTI30" s="3"/>
      <c r="KTJ30" s="3"/>
      <c r="KTK30" s="3"/>
      <c r="KTL30" s="3"/>
      <c r="KTM30" s="3"/>
      <c r="KTN30" s="3"/>
      <c r="KTO30" s="3"/>
      <c r="KTP30" s="3"/>
      <c r="KTQ30" s="3"/>
      <c r="KTR30" s="3"/>
      <c r="KTS30" s="3"/>
      <c r="KTT30" s="3"/>
      <c r="KTU30" s="3"/>
      <c r="KTV30" s="3"/>
      <c r="KTW30" s="3"/>
      <c r="KTX30" s="3"/>
      <c r="KTY30" s="3"/>
      <c r="KTZ30" s="3"/>
      <c r="KUA30" s="3"/>
      <c r="KUB30" s="3"/>
      <c r="KUC30" s="3"/>
      <c r="KUD30" s="3"/>
      <c r="KUE30" s="3"/>
      <c r="KUF30" s="3"/>
      <c r="KUG30" s="3"/>
      <c r="KUH30" s="3"/>
      <c r="KUI30" s="3"/>
      <c r="KUJ30" s="3"/>
      <c r="KUK30" s="3"/>
      <c r="KUL30" s="3"/>
      <c r="KUM30" s="3"/>
      <c r="KUN30" s="3"/>
      <c r="KUO30" s="3"/>
      <c r="KUP30" s="3"/>
      <c r="KUQ30" s="3"/>
      <c r="KUR30" s="3"/>
      <c r="KUS30" s="3"/>
      <c r="KUT30" s="3"/>
      <c r="KUU30" s="3"/>
      <c r="KUV30" s="3"/>
      <c r="KUW30" s="3"/>
      <c r="KUX30" s="3"/>
      <c r="KUY30" s="3"/>
      <c r="KUZ30" s="3"/>
      <c r="KVA30" s="3"/>
      <c r="KVB30" s="3"/>
      <c r="KVC30" s="3"/>
      <c r="KVD30" s="3"/>
      <c r="KVE30" s="3"/>
      <c r="KVF30" s="3"/>
      <c r="KVG30" s="3"/>
      <c r="KVH30" s="3"/>
      <c r="KVI30" s="3"/>
      <c r="KVJ30" s="3"/>
      <c r="KVK30" s="3"/>
      <c r="KVL30" s="3"/>
      <c r="KVM30" s="3"/>
      <c r="KVN30" s="3"/>
      <c r="KVO30" s="3"/>
      <c r="KVP30" s="3"/>
      <c r="KVQ30" s="3"/>
      <c r="KVR30" s="3"/>
      <c r="KVS30" s="3"/>
      <c r="KVT30" s="3"/>
      <c r="KVU30" s="3"/>
      <c r="KVV30" s="3"/>
      <c r="KVW30" s="3"/>
      <c r="KVX30" s="3"/>
      <c r="KVY30" s="3"/>
      <c r="KVZ30" s="3"/>
      <c r="KWA30" s="3"/>
      <c r="KWB30" s="3"/>
      <c r="KWC30" s="3"/>
      <c r="KWD30" s="3"/>
      <c r="KWE30" s="3"/>
      <c r="KWF30" s="3"/>
      <c r="KWG30" s="3"/>
      <c r="KWH30" s="3"/>
      <c r="KWI30" s="3"/>
      <c r="KWJ30" s="3"/>
      <c r="KWK30" s="3"/>
      <c r="KWL30" s="3"/>
      <c r="KWM30" s="3"/>
      <c r="KWN30" s="3"/>
      <c r="KWO30" s="3"/>
      <c r="KWP30" s="3"/>
      <c r="KWQ30" s="3"/>
      <c r="KWR30" s="3"/>
      <c r="KWS30" s="3"/>
      <c r="KWT30" s="3"/>
      <c r="KWU30" s="3"/>
      <c r="KWV30" s="3"/>
      <c r="KWW30" s="3"/>
      <c r="KWX30" s="3"/>
      <c r="KWY30" s="3"/>
      <c r="KWZ30" s="3"/>
      <c r="KXA30" s="3"/>
      <c r="KXB30" s="3"/>
      <c r="KXC30" s="3"/>
      <c r="KXD30" s="3"/>
      <c r="KXE30" s="3"/>
      <c r="KXF30" s="3"/>
      <c r="KXG30" s="3"/>
      <c r="KXH30" s="3"/>
      <c r="KXI30" s="3"/>
      <c r="KXJ30" s="3"/>
      <c r="KXK30" s="3"/>
      <c r="KXL30" s="3"/>
      <c r="KXM30" s="3"/>
      <c r="KXN30" s="3"/>
      <c r="KXO30" s="3"/>
      <c r="KXP30" s="3"/>
      <c r="KXQ30" s="3"/>
      <c r="KXR30" s="3"/>
      <c r="KXS30" s="3"/>
      <c r="KXT30" s="3"/>
      <c r="KXU30" s="3"/>
      <c r="KXV30" s="3"/>
      <c r="KXW30" s="3"/>
      <c r="KXX30" s="3"/>
      <c r="KXY30" s="3"/>
      <c r="KXZ30" s="3"/>
      <c r="KYA30" s="3"/>
      <c r="KYB30" s="3"/>
      <c r="KYC30" s="3"/>
      <c r="KYD30" s="3"/>
      <c r="KYE30" s="3"/>
      <c r="KYF30" s="3"/>
      <c r="KYG30" s="3"/>
      <c r="KYH30" s="3"/>
      <c r="KYI30" s="3"/>
      <c r="KYJ30" s="3"/>
      <c r="KYK30" s="3"/>
      <c r="KYL30" s="3"/>
      <c r="KYM30" s="3"/>
      <c r="KYN30" s="3"/>
      <c r="KYO30" s="3"/>
      <c r="KYP30" s="3"/>
      <c r="KYQ30" s="3"/>
      <c r="KYR30" s="3"/>
      <c r="KYS30" s="3"/>
      <c r="KYT30" s="3"/>
      <c r="KYU30" s="3"/>
      <c r="KYV30" s="3"/>
      <c r="KYW30" s="3"/>
      <c r="KYX30" s="3"/>
      <c r="KYY30" s="3"/>
      <c r="KYZ30" s="3"/>
      <c r="KZA30" s="3"/>
      <c r="KZB30" s="3"/>
      <c r="KZC30" s="3"/>
      <c r="KZD30" s="3"/>
      <c r="KZE30" s="3"/>
      <c r="KZF30" s="3"/>
      <c r="KZG30" s="3"/>
      <c r="KZH30" s="3"/>
      <c r="KZI30" s="3"/>
      <c r="KZJ30" s="3"/>
      <c r="KZK30" s="3"/>
      <c r="KZL30" s="3"/>
      <c r="KZM30" s="3"/>
      <c r="KZN30" s="3"/>
      <c r="KZO30" s="3"/>
      <c r="KZP30" s="3"/>
      <c r="KZQ30" s="3"/>
      <c r="KZR30" s="3"/>
      <c r="KZS30" s="3"/>
      <c r="KZT30" s="3"/>
      <c r="KZU30" s="3"/>
      <c r="KZV30" s="3"/>
      <c r="KZW30" s="3"/>
      <c r="KZX30" s="3"/>
      <c r="KZY30" s="3"/>
      <c r="KZZ30" s="3"/>
      <c r="LAA30" s="3"/>
      <c r="LAB30" s="3"/>
      <c r="LAC30" s="3"/>
      <c r="LAD30" s="3"/>
      <c r="LAE30" s="3"/>
      <c r="LAF30" s="3"/>
      <c r="LAG30" s="3"/>
      <c r="LAH30" s="3"/>
      <c r="LAI30" s="3"/>
      <c r="LAJ30" s="3"/>
      <c r="LAK30" s="3"/>
      <c r="LAL30" s="3"/>
      <c r="LAM30" s="3"/>
      <c r="LAN30" s="3"/>
      <c r="LAO30" s="3"/>
      <c r="LAP30" s="3"/>
      <c r="LAQ30" s="3"/>
      <c r="LAR30" s="3"/>
      <c r="LAS30" s="3"/>
      <c r="LAT30" s="3"/>
      <c r="LAU30" s="3"/>
      <c r="LAV30" s="3"/>
      <c r="LAW30" s="3"/>
      <c r="LAX30" s="3"/>
      <c r="LAY30" s="3"/>
      <c r="LAZ30" s="3"/>
      <c r="LBA30" s="3"/>
      <c r="LBB30" s="3"/>
      <c r="LBC30" s="3"/>
      <c r="LBD30" s="3"/>
      <c r="LBE30" s="3"/>
      <c r="LBF30" s="3"/>
      <c r="LBG30" s="3"/>
      <c r="LBH30" s="3"/>
      <c r="LBI30" s="3"/>
      <c r="LBJ30" s="3"/>
      <c r="LBK30" s="3"/>
      <c r="LBL30" s="3"/>
      <c r="LBM30" s="3"/>
      <c r="LBN30" s="3"/>
      <c r="LBO30" s="3"/>
      <c r="LBP30" s="3"/>
      <c r="LBQ30" s="3"/>
      <c r="LBR30" s="3"/>
      <c r="LBS30" s="3"/>
      <c r="LBT30" s="3"/>
      <c r="LBU30" s="3"/>
      <c r="LBV30" s="3"/>
      <c r="LBW30" s="3"/>
      <c r="LBX30" s="3"/>
      <c r="LBY30" s="3"/>
      <c r="LBZ30" s="3"/>
      <c r="LCA30" s="3"/>
      <c r="LCB30" s="3"/>
      <c r="LCC30" s="3"/>
      <c r="LCD30" s="3"/>
      <c r="LCE30" s="3"/>
      <c r="LCF30" s="3"/>
      <c r="LCG30" s="3"/>
      <c r="LCH30" s="3"/>
      <c r="LCI30" s="3"/>
      <c r="LCJ30" s="3"/>
      <c r="LCK30" s="3"/>
      <c r="LCL30" s="3"/>
      <c r="LCM30" s="3"/>
      <c r="LCN30" s="3"/>
      <c r="LCO30" s="3"/>
      <c r="LCP30" s="3"/>
      <c r="LCQ30" s="3"/>
      <c r="LCR30" s="3"/>
      <c r="LCS30" s="3"/>
      <c r="LCT30" s="3"/>
      <c r="LCU30" s="3"/>
      <c r="LCV30" s="3"/>
      <c r="LCW30" s="3"/>
      <c r="LCX30" s="3"/>
      <c r="LCY30" s="3"/>
      <c r="LCZ30" s="3"/>
      <c r="LDA30" s="3"/>
      <c r="LDB30" s="3"/>
      <c r="LDC30" s="3"/>
      <c r="LDD30" s="3"/>
      <c r="LDE30" s="3"/>
      <c r="LDF30" s="3"/>
      <c r="LDG30" s="3"/>
      <c r="LDH30" s="3"/>
      <c r="LDI30" s="3"/>
      <c r="LDJ30" s="3"/>
      <c r="LDK30" s="3"/>
      <c r="LDL30" s="3"/>
      <c r="LDM30" s="3"/>
      <c r="LDN30" s="3"/>
      <c r="LDO30" s="3"/>
      <c r="LDP30" s="3"/>
      <c r="LDQ30" s="3"/>
      <c r="LDR30" s="3"/>
      <c r="LDS30" s="3"/>
      <c r="LDT30" s="3"/>
      <c r="LDU30" s="3"/>
      <c r="LDV30" s="3"/>
      <c r="LDW30" s="3"/>
      <c r="LDX30" s="3"/>
      <c r="LDY30" s="3"/>
      <c r="LDZ30" s="3"/>
      <c r="LEA30" s="3"/>
      <c r="LEB30" s="3"/>
      <c r="LEC30" s="3"/>
      <c r="LED30" s="3"/>
      <c r="LEE30" s="3"/>
      <c r="LEF30" s="3"/>
      <c r="LEG30" s="3"/>
      <c r="LEH30" s="3"/>
      <c r="LEI30" s="3"/>
      <c r="LEJ30" s="3"/>
      <c r="LEK30" s="3"/>
      <c r="LEL30" s="3"/>
      <c r="LEM30" s="3"/>
      <c r="LEN30" s="3"/>
      <c r="LEO30" s="3"/>
      <c r="LEP30" s="3"/>
      <c r="LEQ30" s="3"/>
      <c r="LER30" s="3"/>
      <c r="LES30" s="3"/>
      <c r="LET30" s="3"/>
      <c r="LEU30" s="3"/>
      <c r="LEV30" s="3"/>
      <c r="LEW30" s="3"/>
      <c r="LEX30" s="3"/>
      <c r="LEY30" s="3"/>
      <c r="LEZ30" s="3"/>
      <c r="LFA30" s="3"/>
      <c r="LFB30" s="3"/>
      <c r="LFC30" s="3"/>
      <c r="LFD30" s="3"/>
      <c r="LFE30" s="3"/>
      <c r="LFF30" s="3"/>
      <c r="LFG30" s="3"/>
      <c r="LFH30" s="3"/>
      <c r="LFI30" s="3"/>
      <c r="LFJ30" s="3"/>
      <c r="LFK30" s="3"/>
      <c r="LFL30" s="3"/>
      <c r="LFM30" s="3"/>
      <c r="LFN30" s="3"/>
      <c r="LFO30" s="3"/>
      <c r="LFP30" s="3"/>
      <c r="LFQ30" s="3"/>
      <c r="LFR30" s="3"/>
      <c r="LFS30" s="3"/>
      <c r="LFT30" s="3"/>
      <c r="LFU30" s="3"/>
      <c r="LFV30" s="3"/>
      <c r="LFW30" s="3"/>
      <c r="LFX30" s="3"/>
      <c r="LFY30" s="3"/>
      <c r="LFZ30" s="3"/>
      <c r="LGA30" s="3"/>
      <c r="LGB30" s="3"/>
      <c r="LGC30" s="3"/>
      <c r="LGD30" s="3"/>
      <c r="LGE30" s="3"/>
      <c r="LGF30" s="3"/>
      <c r="LGG30" s="3"/>
      <c r="LGH30" s="3"/>
      <c r="LGI30" s="3"/>
      <c r="LGJ30" s="3"/>
      <c r="LGK30" s="3"/>
      <c r="LGL30" s="3"/>
      <c r="LGM30" s="3"/>
      <c r="LGN30" s="3"/>
      <c r="LGO30" s="3"/>
      <c r="LGP30" s="3"/>
      <c r="LGQ30" s="3"/>
      <c r="LGR30" s="3"/>
      <c r="LGS30" s="3"/>
      <c r="LGT30" s="3"/>
      <c r="LGU30" s="3"/>
      <c r="LGV30" s="3"/>
      <c r="LGW30" s="3"/>
      <c r="LGX30" s="3"/>
      <c r="LGY30" s="3"/>
      <c r="LGZ30" s="3"/>
      <c r="LHA30" s="3"/>
      <c r="LHB30" s="3"/>
      <c r="LHC30" s="3"/>
      <c r="LHD30" s="3"/>
      <c r="LHE30" s="3"/>
      <c r="LHF30" s="3"/>
      <c r="LHG30" s="3"/>
      <c r="LHH30" s="3"/>
      <c r="LHI30" s="3"/>
      <c r="LHJ30" s="3"/>
      <c r="LHK30" s="3"/>
      <c r="LHL30" s="3"/>
      <c r="LHM30" s="3"/>
      <c r="LHN30" s="3"/>
      <c r="LHO30" s="3"/>
      <c r="LHP30" s="3"/>
      <c r="LHQ30" s="3"/>
      <c r="LHR30" s="3"/>
      <c r="LHS30" s="3"/>
      <c r="LHT30" s="3"/>
      <c r="LHU30" s="3"/>
      <c r="LHV30" s="3"/>
      <c r="LHW30" s="3"/>
      <c r="LHX30" s="3"/>
      <c r="LHY30" s="3"/>
      <c r="LHZ30" s="3"/>
      <c r="LIA30" s="3"/>
      <c r="LIB30" s="3"/>
      <c r="LIC30" s="3"/>
      <c r="LID30" s="3"/>
      <c r="LIE30" s="3"/>
      <c r="LIF30" s="3"/>
      <c r="LIG30" s="3"/>
      <c r="LIH30" s="3"/>
      <c r="LII30" s="3"/>
      <c r="LIJ30" s="3"/>
      <c r="LIK30" s="3"/>
      <c r="LIL30" s="3"/>
      <c r="LIM30" s="3"/>
      <c r="LIN30" s="3"/>
      <c r="LIO30" s="3"/>
      <c r="LIP30" s="3"/>
      <c r="LIQ30" s="3"/>
      <c r="LIR30" s="3"/>
      <c r="LIS30" s="3"/>
      <c r="LIT30" s="3"/>
      <c r="LIU30" s="3"/>
      <c r="LIV30" s="3"/>
      <c r="LIW30" s="3"/>
      <c r="LIX30" s="3"/>
      <c r="LIY30" s="3"/>
      <c r="LIZ30" s="3"/>
      <c r="LJA30" s="3"/>
      <c r="LJB30" s="3"/>
      <c r="LJC30" s="3"/>
      <c r="LJD30" s="3"/>
      <c r="LJE30" s="3"/>
      <c r="LJF30" s="3"/>
      <c r="LJG30" s="3"/>
      <c r="LJH30" s="3"/>
      <c r="LJI30" s="3"/>
      <c r="LJJ30" s="3"/>
      <c r="LJK30" s="3"/>
      <c r="LJL30" s="3"/>
      <c r="LJM30" s="3"/>
      <c r="LJN30" s="3"/>
      <c r="LJO30" s="3"/>
      <c r="LJP30" s="3"/>
      <c r="LJQ30" s="3"/>
      <c r="LJR30" s="3"/>
      <c r="LJS30" s="3"/>
      <c r="LJT30" s="3"/>
      <c r="LJU30" s="3"/>
      <c r="LJV30" s="3"/>
      <c r="LJW30" s="3"/>
      <c r="LJX30" s="3"/>
      <c r="LJY30" s="3"/>
      <c r="LJZ30" s="3"/>
      <c r="LKA30" s="3"/>
      <c r="LKB30" s="3"/>
      <c r="LKC30" s="3"/>
      <c r="LKD30" s="3"/>
      <c r="LKE30" s="3"/>
      <c r="LKF30" s="3"/>
      <c r="LKG30" s="3"/>
      <c r="LKH30" s="3"/>
      <c r="LKI30" s="3"/>
      <c r="LKJ30" s="3"/>
      <c r="LKK30" s="3"/>
      <c r="LKL30" s="3"/>
      <c r="LKM30" s="3"/>
      <c r="LKN30" s="3"/>
      <c r="LKO30" s="3"/>
      <c r="LKP30" s="3"/>
      <c r="LKQ30" s="3"/>
      <c r="LKR30" s="3"/>
      <c r="LKS30" s="3"/>
      <c r="LKT30" s="3"/>
      <c r="LKU30" s="3"/>
      <c r="LKV30" s="3"/>
      <c r="LKW30" s="3"/>
      <c r="LKX30" s="3"/>
      <c r="LKY30" s="3"/>
      <c r="LKZ30" s="3"/>
      <c r="LLA30" s="3"/>
      <c r="LLB30" s="3"/>
      <c r="LLC30" s="3"/>
      <c r="LLD30" s="3"/>
      <c r="LLE30" s="3"/>
      <c r="LLF30" s="3"/>
      <c r="LLG30" s="3"/>
      <c r="LLH30" s="3"/>
      <c r="LLI30" s="3"/>
      <c r="LLJ30" s="3"/>
      <c r="LLK30" s="3"/>
      <c r="LLL30" s="3"/>
      <c r="LLM30" s="3"/>
      <c r="LLN30" s="3"/>
      <c r="LLO30" s="3"/>
      <c r="LLP30" s="3"/>
      <c r="LLQ30" s="3"/>
      <c r="LLR30" s="3"/>
      <c r="LLS30" s="3"/>
      <c r="LLT30" s="3"/>
      <c r="LLU30" s="3"/>
      <c r="LLV30" s="3"/>
      <c r="LLW30" s="3"/>
      <c r="LLX30" s="3"/>
      <c r="LLY30" s="3"/>
      <c r="LLZ30" s="3"/>
      <c r="LMA30" s="3"/>
      <c r="LMB30" s="3"/>
      <c r="LMC30" s="3"/>
      <c r="LMD30" s="3"/>
      <c r="LME30" s="3"/>
      <c r="LMF30" s="3"/>
      <c r="LMG30" s="3"/>
      <c r="LMH30" s="3"/>
      <c r="LMI30" s="3"/>
      <c r="LMJ30" s="3"/>
      <c r="LMK30" s="3"/>
      <c r="LML30" s="3"/>
      <c r="LMM30" s="3"/>
      <c r="LMN30" s="3"/>
      <c r="LMO30" s="3"/>
      <c r="LMP30" s="3"/>
      <c r="LMQ30" s="3"/>
      <c r="LMR30" s="3"/>
      <c r="LMS30" s="3"/>
      <c r="LMT30" s="3"/>
      <c r="LMU30" s="3"/>
      <c r="LMV30" s="3"/>
      <c r="LMW30" s="3"/>
      <c r="LMX30" s="3"/>
      <c r="LMY30" s="3"/>
      <c r="LMZ30" s="3"/>
      <c r="LNA30" s="3"/>
      <c r="LNB30" s="3"/>
      <c r="LNC30" s="3"/>
      <c r="LND30" s="3"/>
      <c r="LNE30" s="3"/>
      <c r="LNF30" s="3"/>
      <c r="LNG30" s="3"/>
      <c r="LNH30" s="3"/>
      <c r="LNI30" s="3"/>
      <c r="LNJ30" s="3"/>
      <c r="LNK30" s="3"/>
      <c r="LNL30" s="3"/>
      <c r="LNM30" s="3"/>
      <c r="LNN30" s="3"/>
      <c r="LNO30" s="3"/>
      <c r="LNP30" s="3"/>
      <c r="LNQ30" s="3"/>
      <c r="LNR30" s="3"/>
      <c r="LNS30" s="3"/>
      <c r="LNT30" s="3"/>
      <c r="LNU30" s="3"/>
      <c r="LNV30" s="3"/>
      <c r="LNW30" s="3"/>
      <c r="LNX30" s="3"/>
      <c r="LNY30" s="3"/>
      <c r="LNZ30" s="3"/>
      <c r="LOA30" s="3"/>
      <c r="LOB30" s="3"/>
      <c r="LOC30" s="3"/>
      <c r="LOD30" s="3"/>
      <c r="LOE30" s="3"/>
      <c r="LOF30" s="3"/>
      <c r="LOG30" s="3"/>
      <c r="LOH30" s="3"/>
      <c r="LOI30" s="3"/>
      <c r="LOJ30" s="3"/>
      <c r="LOK30" s="3"/>
      <c r="LOL30" s="3"/>
      <c r="LOM30" s="3"/>
      <c r="LON30" s="3"/>
      <c r="LOO30" s="3"/>
      <c r="LOP30" s="3"/>
      <c r="LOQ30" s="3"/>
      <c r="LOR30" s="3"/>
      <c r="LOS30" s="3"/>
      <c r="LOT30" s="3"/>
      <c r="LOU30" s="3"/>
      <c r="LOV30" s="3"/>
      <c r="LOW30" s="3"/>
      <c r="LOX30" s="3"/>
      <c r="LOY30" s="3"/>
      <c r="LOZ30" s="3"/>
      <c r="LPA30" s="3"/>
      <c r="LPB30" s="3"/>
      <c r="LPC30" s="3"/>
      <c r="LPD30" s="3"/>
      <c r="LPE30" s="3"/>
      <c r="LPF30" s="3"/>
      <c r="LPG30" s="3"/>
      <c r="LPH30" s="3"/>
      <c r="LPI30" s="3"/>
      <c r="LPJ30" s="3"/>
      <c r="LPK30" s="3"/>
      <c r="LPL30" s="3"/>
      <c r="LPM30" s="3"/>
      <c r="LPN30" s="3"/>
      <c r="LPO30" s="3"/>
      <c r="LPP30" s="3"/>
      <c r="LPQ30" s="3"/>
      <c r="LPR30" s="3"/>
      <c r="LPS30" s="3"/>
      <c r="LPT30" s="3"/>
      <c r="LPU30" s="3"/>
      <c r="LPV30" s="3"/>
      <c r="LPW30" s="3"/>
      <c r="LPX30" s="3"/>
      <c r="LPY30" s="3"/>
      <c r="LPZ30" s="3"/>
      <c r="LQA30" s="3"/>
      <c r="LQB30" s="3"/>
      <c r="LQC30" s="3"/>
      <c r="LQD30" s="3"/>
      <c r="LQE30" s="3"/>
      <c r="LQF30" s="3"/>
      <c r="LQG30" s="3"/>
      <c r="LQH30" s="3"/>
      <c r="LQI30" s="3"/>
      <c r="LQJ30" s="3"/>
      <c r="LQK30" s="3"/>
      <c r="LQL30" s="3"/>
      <c r="LQM30" s="3"/>
      <c r="LQN30" s="3"/>
      <c r="LQO30" s="3"/>
      <c r="LQP30" s="3"/>
      <c r="LQQ30" s="3"/>
      <c r="LQR30" s="3"/>
      <c r="LQS30" s="3"/>
      <c r="LQT30" s="3"/>
      <c r="LQU30" s="3"/>
      <c r="LQV30" s="3"/>
      <c r="LQW30" s="3"/>
      <c r="LQX30" s="3"/>
      <c r="LQY30" s="3"/>
      <c r="LQZ30" s="3"/>
      <c r="LRA30" s="3"/>
      <c r="LRB30" s="3"/>
      <c r="LRC30" s="3"/>
      <c r="LRD30" s="3"/>
      <c r="LRE30" s="3"/>
      <c r="LRF30" s="3"/>
      <c r="LRG30" s="3"/>
      <c r="LRH30" s="3"/>
      <c r="LRI30" s="3"/>
      <c r="LRJ30" s="3"/>
      <c r="LRK30" s="3"/>
      <c r="LRL30" s="3"/>
      <c r="LRM30" s="3"/>
      <c r="LRN30" s="3"/>
      <c r="LRO30" s="3"/>
      <c r="LRP30" s="3"/>
      <c r="LRQ30" s="3"/>
      <c r="LRR30" s="3"/>
      <c r="LRS30" s="3"/>
      <c r="LRT30" s="3"/>
      <c r="LRU30" s="3"/>
      <c r="LRV30" s="3"/>
      <c r="LRW30" s="3"/>
      <c r="LRX30" s="3"/>
      <c r="LRY30" s="3"/>
      <c r="LRZ30" s="3"/>
      <c r="LSA30" s="3"/>
      <c r="LSB30" s="3"/>
      <c r="LSC30" s="3"/>
      <c r="LSD30" s="3"/>
      <c r="LSE30" s="3"/>
      <c r="LSF30" s="3"/>
      <c r="LSG30" s="3"/>
      <c r="LSH30" s="3"/>
      <c r="LSI30" s="3"/>
      <c r="LSJ30" s="3"/>
      <c r="LSK30" s="3"/>
      <c r="LSL30" s="3"/>
      <c r="LSM30" s="3"/>
      <c r="LSN30" s="3"/>
      <c r="LSO30" s="3"/>
      <c r="LSP30" s="3"/>
      <c r="LSQ30" s="3"/>
      <c r="LSR30" s="3"/>
      <c r="LSS30" s="3"/>
      <c r="LST30" s="3"/>
      <c r="LSU30" s="3"/>
      <c r="LSV30" s="3"/>
      <c r="LSW30" s="3"/>
      <c r="LSX30" s="3"/>
      <c r="LSY30" s="3"/>
      <c r="LSZ30" s="3"/>
      <c r="LTA30" s="3"/>
      <c r="LTB30" s="3"/>
      <c r="LTC30" s="3"/>
      <c r="LTD30" s="3"/>
      <c r="LTE30" s="3"/>
      <c r="LTF30" s="3"/>
      <c r="LTG30" s="3"/>
      <c r="LTH30" s="3"/>
      <c r="LTI30" s="3"/>
      <c r="LTJ30" s="3"/>
      <c r="LTK30" s="3"/>
      <c r="LTL30" s="3"/>
      <c r="LTM30" s="3"/>
      <c r="LTN30" s="3"/>
      <c r="LTO30" s="3"/>
      <c r="LTP30" s="3"/>
      <c r="LTQ30" s="3"/>
      <c r="LTR30" s="3"/>
      <c r="LTS30" s="3"/>
      <c r="LTT30" s="3"/>
      <c r="LTU30" s="3"/>
      <c r="LTV30" s="3"/>
      <c r="LTW30" s="3"/>
      <c r="LTX30" s="3"/>
      <c r="LTY30" s="3"/>
      <c r="LTZ30" s="3"/>
      <c r="LUA30" s="3"/>
      <c r="LUB30" s="3"/>
      <c r="LUC30" s="3"/>
      <c r="LUD30" s="3"/>
      <c r="LUE30" s="3"/>
      <c r="LUF30" s="3"/>
      <c r="LUG30" s="3"/>
      <c r="LUH30" s="3"/>
      <c r="LUI30" s="3"/>
      <c r="LUJ30" s="3"/>
      <c r="LUK30" s="3"/>
      <c r="LUL30" s="3"/>
      <c r="LUM30" s="3"/>
      <c r="LUN30" s="3"/>
      <c r="LUO30" s="3"/>
      <c r="LUP30" s="3"/>
      <c r="LUQ30" s="3"/>
      <c r="LUR30" s="3"/>
      <c r="LUS30" s="3"/>
      <c r="LUT30" s="3"/>
      <c r="LUU30" s="3"/>
      <c r="LUV30" s="3"/>
      <c r="LUW30" s="3"/>
      <c r="LUX30" s="3"/>
      <c r="LUY30" s="3"/>
      <c r="LUZ30" s="3"/>
      <c r="LVA30" s="3"/>
      <c r="LVB30" s="3"/>
      <c r="LVC30" s="3"/>
      <c r="LVD30" s="3"/>
      <c r="LVE30" s="3"/>
      <c r="LVF30" s="3"/>
      <c r="LVG30" s="3"/>
      <c r="LVH30" s="3"/>
      <c r="LVI30" s="3"/>
      <c r="LVJ30" s="3"/>
      <c r="LVK30" s="3"/>
      <c r="LVL30" s="3"/>
      <c r="LVM30" s="3"/>
      <c r="LVN30" s="3"/>
      <c r="LVO30" s="3"/>
      <c r="LVP30" s="3"/>
      <c r="LVQ30" s="3"/>
      <c r="LVR30" s="3"/>
      <c r="LVS30" s="3"/>
      <c r="LVT30" s="3"/>
      <c r="LVU30" s="3"/>
      <c r="LVV30" s="3"/>
      <c r="LVW30" s="3"/>
      <c r="LVX30" s="3"/>
      <c r="LVY30" s="3"/>
      <c r="LVZ30" s="3"/>
      <c r="LWA30" s="3"/>
      <c r="LWB30" s="3"/>
      <c r="LWC30" s="3"/>
      <c r="LWD30" s="3"/>
      <c r="LWE30" s="3"/>
      <c r="LWF30" s="3"/>
      <c r="LWG30" s="3"/>
      <c r="LWH30" s="3"/>
      <c r="LWI30" s="3"/>
      <c r="LWJ30" s="3"/>
      <c r="LWK30" s="3"/>
      <c r="LWL30" s="3"/>
      <c r="LWM30" s="3"/>
      <c r="LWN30" s="3"/>
      <c r="LWO30" s="3"/>
      <c r="LWP30" s="3"/>
      <c r="LWQ30" s="3"/>
      <c r="LWR30" s="3"/>
      <c r="LWS30" s="3"/>
      <c r="LWT30" s="3"/>
      <c r="LWU30" s="3"/>
      <c r="LWV30" s="3"/>
      <c r="LWW30" s="3"/>
      <c r="LWX30" s="3"/>
      <c r="LWY30" s="3"/>
      <c r="LWZ30" s="3"/>
      <c r="LXA30" s="3"/>
      <c r="LXB30" s="3"/>
      <c r="LXC30" s="3"/>
      <c r="LXD30" s="3"/>
      <c r="LXE30" s="3"/>
      <c r="LXF30" s="3"/>
      <c r="LXG30" s="3"/>
      <c r="LXH30" s="3"/>
      <c r="LXI30" s="3"/>
      <c r="LXJ30" s="3"/>
      <c r="LXK30" s="3"/>
      <c r="LXL30" s="3"/>
      <c r="LXM30" s="3"/>
      <c r="LXN30" s="3"/>
      <c r="LXO30" s="3"/>
      <c r="LXP30" s="3"/>
      <c r="LXQ30" s="3"/>
      <c r="LXR30" s="3"/>
      <c r="LXS30" s="3"/>
      <c r="LXT30" s="3"/>
      <c r="LXU30" s="3"/>
      <c r="LXV30" s="3"/>
      <c r="LXW30" s="3"/>
      <c r="LXX30" s="3"/>
      <c r="LXY30" s="3"/>
      <c r="LXZ30" s="3"/>
      <c r="LYA30" s="3"/>
      <c r="LYB30" s="3"/>
      <c r="LYC30" s="3"/>
      <c r="LYD30" s="3"/>
      <c r="LYE30" s="3"/>
      <c r="LYF30" s="3"/>
      <c r="LYG30" s="3"/>
      <c r="LYH30" s="3"/>
      <c r="LYI30" s="3"/>
      <c r="LYJ30" s="3"/>
      <c r="LYK30" s="3"/>
      <c r="LYL30" s="3"/>
      <c r="LYM30" s="3"/>
      <c r="LYN30" s="3"/>
      <c r="LYO30" s="3"/>
      <c r="LYP30" s="3"/>
      <c r="LYQ30" s="3"/>
      <c r="LYR30" s="3"/>
      <c r="LYS30" s="3"/>
      <c r="LYT30" s="3"/>
      <c r="LYU30" s="3"/>
      <c r="LYV30" s="3"/>
      <c r="LYW30" s="3"/>
      <c r="LYX30" s="3"/>
      <c r="LYY30" s="3"/>
      <c r="LYZ30" s="3"/>
      <c r="LZA30" s="3"/>
      <c r="LZB30" s="3"/>
      <c r="LZC30" s="3"/>
      <c r="LZD30" s="3"/>
      <c r="LZE30" s="3"/>
      <c r="LZF30" s="3"/>
      <c r="LZG30" s="3"/>
      <c r="LZH30" s="3"/>
      <c r="LZI30" s="3"/>
      <c r="LZJ30" s="3"/>
      <c r="LZK30" s="3"/>
      <c r="LZL30" s="3"/>
      <c r="LZM30" s="3"/>
      <c r="LZN30" s="3"/>
      <c r="LZO30" s="3"/>
      <c r="LZP30" s="3"/>
      <c r="LZQ30" s="3"/>
      <c r="LZR30" s="3"/>
      <c r="LZS30" s="3"/>
      <c r="LZT30" s="3"/>
      <c r="LZU30" s="3"/>
      <c r="LZV30" s="3"/>
      <c r="LZW30" s="3"/>
      <c r="LZX30" s="3"/>
      <c r="LZY30" s="3"/>
      <c r="LZZ30" s="3"/>
      <c r="MAA30" s="3"/>
      <c r="MAB30" s="3"/>
      <c r="MAC30" s="3"/>
      <c r="MAD30" s="3"/>
      <c r="MAE30" s="3"/>
      <c r="MAF30" s="3"/>
      <c r="MAG30" s="3"/>
      <c r="MAH30" s="3"/>
      <c r="MAI30" s="3"/>
      <c r="MAJ30" s="3"/>
      <c r="MAK30" s="3"/>
      <c r="MAL30" s="3"/>
      <c r="MAM30" s="3"/>
      <c r="MAN30" s="3"/>
      <c r="MAO30" s="3"/>
      <c r="MAP30" s="3"/>
      <c r="MAQ30" s="3"/>
      <c r="MAR30" s="3"/>
      <c r="MAS30" s="3"/>
      <c r="MAT30" s="3"/>
      <c r="MAU30" s="3"/>
      <c r="MAV30" s="3"/>
      <c r="MAW30" s="3"/>
      <c r="MAX30" s="3"/>
      <c r="MAY30" s="3"/>
      <c r="MAZ30" s="3"/>
      <c r="MBA30" s="3"/>
      <c r="MBB30" s="3"/>
      <c r="MBC30" s="3"/>
      <c r="MBD30" s="3"/>
      <c r="MBE30" s="3"/>
      <c r="MBF30" s="3"/>
      <c r="MBG30" s="3"/>
      <c r="MBH30" s="3"/>
      <c r="MBI30" s="3"/>
      <c r="MBJ30" s="3"/>
      <c r="MBK30" s="3"/>
      <c r="MBL30" s="3"/>
      <c r="MBM30" s="3"/>
      <c r="MBN30" s="3"/>
      <c r="MBO30" s="3"/>
      <c r="MBP30" s="3"/>
      <c r="MBQ30" s="3"/>
      <c r="MBR30" s="3"/>
      <c r="MBS30" s="3"/>
      <c r="MBT30" s="3"/>
      <c r="MBU30" s="3"/>
      <c r="MBV30" s="3"/>
      <c r="MBW30" s="3"/>
      <c r="MBX30" s="3"/>
      <c r="MBY30" s="3"/>
      <c r="MBZ30" s="3"/>
      <c r="MCA30" s="3"/>
      <c r="MCB30" s="3"/>
      <c r="MCC30" s="3"/>
      <c r="MCD30" s="3"/>
      <c r="MCE30" s="3"/>
      <c r="MCF30" s="3"/>
      <c r="MCG30" s="3"/>
      <c r="MCH30" s="3"/>
      <c r="MCI30" s="3"/>
      <c r="MCJ30" s="3"/>
      <c r="MCK30" s="3"/>
      <c r="MCL30" s="3"/>
      <c r="MCM30" s="3"/>
      <c r="MCN30" s="3"/>
      <c r="MCO30" s="3"/>
      <c r="MCP30" s="3"/>
      <c r="MCQ30" s="3"/>
      <c r="MCR30" s="3"/>
      <c r="MCS30" s="3"/>
      <c r="MCT30" s="3"/>
      <c r="MCU30" s="3"/>
      <c r="MCV30" s="3"/>
      <c r="MCW30" s="3"/>
      <c r="MCX30" s="3"/>
      <c r="MCY30" s="3"/>
      <c r="MCZ30" s="3"/>
      <c r="MDA30" s="3"/>
      <c r="MDB30" s="3"/>
      <c r="MDC30" s="3"/>
      <c r="MDD30" s="3"/>
      <c r="MDE30" s="3"/>
      <c r="MDF30" s="3"/>
      <c r="MDG30" s="3"/>
      <c r="MDH30" s="3"/>
      <c r="MDI30" s="3"/>
      <c r="MDJ30" s="3"/>
      <c r="MDK30" s="3"/>
      <c r="MDL30" s="3"/>
      <c r="MDM30" s="3"/>
      <c r="MDN30" s="3"/>
      <c r="MDO30" s="3"/>
      <c r="MDP30" s="3"/>
      <c r="MDQ30" s="3"/>
      <c r="MDR30" s="3"/>
      <c r="MDS30" s="3"/>
      <c r="MDT30" s="3"/>
      <c r="MDU30" s="3"/>
      <c r="MDV30" s="3"/>
      <c r="MDW30" s="3"/>
      <c r="MDX30" s="3"/>
      <c r="MDY30" s="3"/>
      <c r="MDZ30" s="3"/>
      <c r="MEA30" s="3"/>
      <c r="MEB30" s="3"/>
      <c r="MEC30" s="3"/>
      <c r="MED30" s="3"/>
      <c r="MEE30" s="3"/>
      <c r="MEF30" s="3"/>
      <c r="MEG30" s="3"/>
      <c r="MEH30" s="3"/>
      <c r="MEI30" s="3"/>
      <c r="MEJ30" s="3"/>
      <c r="MEK30" s="3"/>
      <c r="MEL30" s="3"/>
      <c r="MEM30" s="3"/>
      <c r="MEN30" s="3"/>
      <c r="MEO30" s="3"/>
      <c r="MEP30" s="3"/>
      <c r="MEQ30" s="3"/>
      <c r="MER30" s="3"/>
      <c r="MES30" s="3"/>
      <c r="MET30" s="3"/>
      <c r="MEU30" s="3"/>
      <c r="MEV30" s="3"/>
      <c r="MEW30" s="3"/>
      <c r="MEX30" s="3"/>
      <c r="MEY30" s="3"/>
      <c r="MEZ30" s="3"/>
      <c r="MFA30" s="3"/>
      <c r="MFB30" s="3"/>
      <c r="MFC30" s="3"/>
      <c r="MFD30" s="3"/>
      <c r="MFE30" s="3"/>
      <c r="MFF30" s="3"/>
      <c r="MFG30" s="3"/>
      <c r="MFH30" s="3"/>
      <c r="MFI30" s="3"/>
      <c r="MFJ30" s="3"/>
      <c r="MFK30" s="3"/>
      <c r="MFL30" s="3"/>
      <c r="MFM30" s="3"/>
      <c r="MFN30" s="3"/>
      <c r="MFO30" s="3"/>
      <c r="MFP30" s="3"/>
      <c r="MFQ30" s="3"/>
      <c r="MFR30" s="3"/>
      <c r="MFS30" s="3"/>
      <c r="MFT30" s="3"/>
      <c r="MFU30" s="3"/>
      <c r="MFV30" s="3"/>
      <c r="MFW30" s="3"/>
      <c r="MFX30" s="3"/>
      <c r="MFY30" s="3"/>
      <c r="MFZ30" s="3"/>
      <c r="MGA30" s="3"/>
      <c r="MGB30" s="3"/>
      <c r="MGC30" s="3"/>
      <c r="MGD30" s="3"/>
      <c r="MGE30" s="3"/>
      <c r="MGF30" s="3"/>
      <c r="MGG30" s="3"/>
      <c r="MGH30" s="3"/>
      <c r="MGI30" s="3"/>
      <c r="MGJ30" s="3"/>
      <c r="MGK30" s="3"/>
      <c r="MGL30" s="3"/>
      <c r="MGM30" s="3"/>
      <c r="MGN30" s="3"/>
      <c r="MGO30" s="3"/>
      <c r="MGP30" s="3"/>
      <c r="MGQ30" s="3"/>
      <c r="MGR30" s="3"/>
      <c r="MGS30" s="3"/>
      <c r="MGT30" s="3"/>
      <c r="MGU30" s="3"/>
      <c r="MGV30" s="3"/>
      <c r="MGW30" s="3"/>
      <c r="MGX30" s="3"/>
      <c r="MGY30" s="3"/>
      <c r="MGZ30" s="3"/>
      <c r="MHA30" s="3"/>
      <c r="MHB30" s="3"/>
      <c r="MHC30" s="3"/>
      <c r="MHD30" s="3"/>
      <c r="MHE30" s="3"/>
      <c r="MHF30" s="3"/>
      <c r="MHG30" s="3"/>
      <c r="MHH30" s="3"/>
      <c r="MHI30" s="3"/>
      <c r="MHJ30" s="3"/>
      <c r="MHK30" s="3"/>
      <c r="MHL30" s="3"/>
      <c r="MHM30" s="3"/>
      <c r="MHN30" s="3"/>
      <c r="MHO30" s="3"/>
      <c r="MHP30" s="3"/>
      <c r="MHQ30" s="3"/>
      <c r="MHR30" s="3"/>
      <c r="MHS30" s="3"/>
      <c r="MHT30" s="3"/>
      <c r="MHU30" s="3"/>
      <c r="MHV30" s="3"/>
      <c r="MHW30" s="3"/>
      <c r="MHX30" s="3"/>
      <c r="MHY30" s="3"/>
      <c r="MHZ30" s="3"/>
      <c r="MIA30" s="3"/>
      <c r="MIB30" s="3"/>
      <c r="MIC30" s="3"/>
      <c r="MID30" s="3"/>
      <c r="MIE30" s="3"/>
      <c r="MIF30" s="3"/>
      <c r="MIG30" s="3"/>
      <c r="MIH30" s="3"/>
      <c r="MII30" s="3"/>
      <c r="MIJ30" s="3"/>
      <c r="MIK30" s="3"/>
      <c r="MIL30" s="3"/>
      <c r="MIM30" s="3"/>
      <c r="MIN30" s="3"/>
      <c r="MIO30" s="3"/>
      <c r="MIP30" s="3"/>
      <c r="MIQ30" s="3"/>
      <c r="MIR30" s="3"/>
      <c r="MIS30" s="3"/>
      <c r="MIT30" s="3"/>
      <c r="MIU30" s="3"/>
      <c r="MIV30" s="3"/>
      <c r="MIW30" s="3"/>
      <c r="MIX30" s="3"/>
      <c r="MIY30" s="3"/>
      <c r="MIZ30" s="3"/>
      <c r="MJA30" s="3"/>
      <c r="MJB30" s="3"/>
      <c r="MJC30" s="3"/>
      <c r="MJD30" s="3"/>
      <c r="MJE30" s="3"/>
      <c r="MJF30" s="3"/>
      <c r="MJG30" s="3"/>
      <c r="MJH30" s="3"/>
      <c r="MJI30" s="3"/>
      <c r="MJJ30" s="3"/>
      <c r="MJK30" s="3"/>
      <c r="MJL30" s="3"/>
      <c r="MJM30" s="3"/>
      <c r="MJN30" s="3"/>
      <c r="MJO30" s="3"/>
      <c r="MJP30" s="3"/>
      <c r="MJQ30" s="3"/>
      <c r="MJR30" s="3"/>
      <c r="MJS30" s="3"/>
      <c r="MJT30" s="3"/>
      <c r="MJU30" s="3"/>
      <c r="MJV30" s="3"/>
      <c r="MJW30" s="3"/>
      <c r="MJX30" s="3"/>
      <c r="MJY30" s="3"/>
      <c r="MJZ30" s="3"/>
      <c r="MKA30" s="3"/>
      <c r="MKB30" s="3"/>
      <c r="MKC30" s="3"/>
      <c r="MKD30" s="3"/>
      <c r="MKE30" s="3"/>
      <c r="MKF30" s="3"/>
      <c r="MKG30" s="3"/>
      <c r="MKH30" s="3"/>
      <c r="MKI30" s="3"/>
      <c r="MKJ30" s="3"/>
      <c r="MKK30" s="3"/>
      <c r="MKL30" s="3"/>
      <c r="MKM30" s="3"/>
      <c r="MKN30" s="3"/>
      <c r="MKO30" s="3"/>
      <c r="MKP30" s="3"/>
      <c r="MKQ30" s="3"/>
      <c r="MKR30" s="3"/>
      <c r="MKS30" s="3"/>
      <c r="MKT30" s="3"/>
      <c r="MKU30" s="3"/>
      <c r="MKV30" s="3"/>
      <c r="MKW30" s="3"/>
      <c r="MKX30" s="3"/>
      <c r="MKY30" s="3"/>
      <c r="MKZ30" s="3"/>
      <c r="MLA30" s="3"/>
      <c r="MLB30" s="3"/>
      <c r="MLC30" s="3"/>
      <c r="MLD30" s="3"/>
      <c r="MLE30" s="3"/>
      <c r="MLF30" s="3"/>
      <c r="MLG30" s="3"/>
      <c r="MLH30" s="3"/>
      <c r="MLI30" s="3"/>
      <c r="MLJ30" s="3"/>
      <c r="MLK30" s="3"/>
      <c r="MLL30" s="3"/>
      <c r="MLM30" s="3"/>
      <c r="MLN30" s="3"/>
      <c r="MLO30" s="3"/>
      <c r="MLP30" s="3"/>
      <c r="MLQ30" s="3"/>
      <c r="MLR30" s="3"/>
      <c r="MLS30" s="3"/>
      <c r="MLT30" s="3"/>
      <c r="MLU30" s="3"/>
      <c r="MLV30" s="3"/>
      <c r="MLW30" s="3"/>
      <c r="MLX30" s="3"/>
      <c r="MLY30" s="3"/>
      <c r="MLZ30" s="3"/>
      <c r="MMA30" s="3"/>
      <c r="MMB30" s="3"/>
      <c r="MMC30" s="3"/>
      <c r="MMD30" s="3"/>
      <c r="MME30" s="3"/>
      <c r="MMF30" s="3"/>
      <c r="MMG30" s="3"/>
      <c r="MMH30" s="3"/>
      <c r="MMI30" s="3"/>
      <c r="MMJ30" s="3"/>
      <c r="MMK30" s="3"/>
      <c r="MML30" s="3"/>
      <c r="MMM30" s="3"/>
      <c r="MMN30" s="3"/>
      <c r="MMO30" s="3"/>
      <c r="MMP30" s="3"/>
      <c r="MMQ30" s="3"/>
      <c r="MMR30" s="3"/>
      <c r="MMS30" s="3"/>
      <c r="MMT30" s="3"/>
      <c r="MMU30" s="3"/>
      <c r="MMV30" s="3"/>
      <c r="MMW30" s="3"/>
      <c r="MMX30" s="3"/>
      <c r="MMY30" s="3"/>
      <c r="MMZ30" s="3"/>
      <c r="MNA30" s="3"/>
      <c r="MNB30" s="3"/>
      <c r="MNC30" s="3"/>
      <c r="MND30" s="3"/>
      <c r="MNE30" s="3"/>
      <c r="MNF30" s="3"/>
      <c r="MNG30" s="3"/>
      <c r="MNH30" s="3"/>
      <c r="MNI30" s="3"/>
      <c r="MNJ30" s="3"/>
      <c r="MNK30" s="3"/>
      <c r="MNL30" s="3"/>
      <c r="MNM30" s="3"/>
      <c r="MNN30" s="3"/>
      <c r="MNO30" s="3"/>
      <c r="MNP30" s="3"/>
      <c r="MNQ30" s="3"/>
      <c r="MNR30" s="3"/>
      <c r="MNS30" s="3"/>
      <c r="MNT30" s="3"/>
      <c r="MNU30" s="3"/>
      <c r="MNV30" s="3"/>
      <c r="MNW30" s="3"/>
      <c r="MNX30" s="3"/>
      <c r="MNY30" s="3"/>
      <c r="MNZ30" s="3"/>
      <c r="MOA30" s="3"/>
      <c r="MOB30" s="3"/>
      <c r="MOC30" s="3"/>
      <c r="MOD30" s="3"/>
      <c r="MOE30" s="3"/>
      <c r="MOF30" s="3"/>
      <c r="MOG30" s="3"/>
      <c r="MOH30" s="3"/>
      <c r="MOI30" s="3"/>
      <c r="MOJ30" s="3"/>
      <c r="MOK30" s="3"/>
      <c r="MOL30" s="3"/>
      <c r="MOM30" s="3"/>
      <c r="MON30" s="3"/>
      <c r="MOO30" s="3"/>
      <c r="MOP30" s="3"/>
      <c r="MOQ30" s="3"/>
      <c r="MOR30" s="3"/>
      <c r="MOS30" s="3"/>
      <c r="MOT30" s="3"/>
      <c r="MOU30" s="3"/>
      <c r="MOV30" s="3"/>
      <c r="MOW30" s="3"/>
      <c r="MOX30" s="3"/>
      <c r="MOY30" s="3"/>
      <c r="MOZ30" s="3"/>
      <c r="MPA30" s="3"/>
      <c r="MPB30" s="3"/>
      <c r="MPC30" s="3"/>
      <c r="MPD30" s="3"/>
      <c r="MPE30" s="3"/>
      <c r="MPF30" s="3"/>
      <c r="MPG30" s="3"/>
      <c r="MPH30" s="3"/>
      <c r="MPI30" s="3"/>
      <c r="MPJ30" s="3"/>
      <c r="MPK30" s="3"/>
      <c r="MPL30" s="3"/>
      <c r="MPM30" s="3"/>
      <c r="MPN30" s="3"/>
      <c r="MPO30" s="3"/>
      <c r="MPP30" s="3"/>
      <c r="MPQ30" s="3"/>
      <c r="MPR30" s="3"/>
      <c r="MPS30" s="3"/>
      <c r="MPT30" s="3"/>
      <c r="MPU30" s="3"/>
      <c r="MPV30" s="3"/>
      <c r="MPW30" s="3"/>
      <c r="MPX30" s="3"/>
      <c r="MPY30" s="3"/>
      <c r="MPZ30" s="3"/>
      <c r="MQA30" s="3"/>
      <c r="MQB30" s="3"/>
      <c r="MQC30" s="3"/>
      <c r="MQD30" s="3"/>
      <c r="MQE30" s="3"/>
      <c r="MQF30" s="3"/>
      <c r="MQG30" s="3"/>
      <c r="MQH30" s="3"/>
      <c r="MQI30" s="3"/>
      <c r="MQJ30" s="3"/>
      <c r="MQK30" s="3"/>
      <c r="MQL30" s="3"/>
      <c r="MQM30" s="3"/>
      <c r="MQN30" s="3"/>
      <c r="MQO30" s="3"/>
      <c r="MQP30" s="3"/>
      <c r="MQQ30" s="3"/>
      <c r="MQR30" s="3"/>
      <c r="MQS30" s="3"/>
      <c r="MQT30" s="3"/>
      <c r="MQU30" s="3"/>
      <c r="MQV30" s="3"/>
      <c r="MQW30" s="3"/>
      <c r="MQX30" s="3"/>
      <c r="MQY30" s="3"/>
      <c r="MQZ30" s="3"/>
      <c r="MRA30" s="3"/>
      <c r="MRB30" s="3"/>
      <c r="MRC30" s="3"/>
      <c r="MRD30" s="3"/>
      <c r="MRE30" s="3"/>
      <c r="MRF30" s="3"/>
      <c r="MRG30" s="3"/>
      <c r="MRH30" s="3"/>
      <c r="MRI30" s="3"/>
      <c r="MRJ30" s="3"/>
      <c r="MRK30" s="3"/>
      <c r="MRL30" s="3"/>
      <c r="MRM30" s="3"/>
      <c r="MRN30" s="3"/>
      <c r="MRO30" s="3"/>
      <c r="MRP30" s="3"/>
      <c r="MRQ30" s="3"/>
      <c r="MRR30" s="3"/>
      <c r="MRS30" s="3"/>
      <c r="MRT30" s="3"/>
      <c r="MRU30" s="3"/>
      <c r="MRV30" s="3"/>
      <c r="MRW30" s="3"/>
      <c r="MRX30" s="3"/>
      <c r="MRY30" s="3"/>
      <c r="MRZ30" s="3"/>
      <c r="MSA30" s="3"/>
      <c r="MSB30" s="3"/>
      <c r="MSC30" s="3"/>
      <c r="MSD30" s="3"/>
      <c r="MSE30" s="3"/>
      <c r="MSF30" s="3"/>
      <c r="MSG30" s="3"/>
      <c r="MSH30" s="3"/>
      <c r="MSI30" s="3"/>
      <c r="MSJ30" s="3"/>
      <c r="MSK30" s="3"/>
      <c r="MSL30" s="3"/>
      <c r="MSM30" s="3"/>
      <c r="MSN30" s="3"/>
      <c r="MSO30" s="3"/>
      <c r="MSP30" s="3"/>
      <c r="MSQ30" s="3"/>
      <c r="MSR30" s="3"/>
      <c r="MSS30" s="3"/>
      <c r="MST30" s="3"/>
      <c r="MSU30" s="3"/>
      <c r="MSV30" s="3"/>
      <c r="MSW30" s="3"/>
      <c r="MSX30" s="3"/>
      <c r="MSY30" s="3"/>
      <c r="MSZ30" s="3"/>
      <c r="MTA30" s="3"/>
      <c r="MTB30" s="3"/>
      <c r="MTC30" s="3"/>
      <c r="MTD30" s="3"/>
      <c r="MTE30" s="3"/>
      <c r="MTF30" s="3"/>
      <c r="MTG30" s="3"/>
      <c r="MTH30" s="3"/>
      <c r="MTI30" s="3"/>
      <c r="MTJ30" s="3"/>
      <c r="MTK30" s="3"/>
      <c r="MTL30" s="3"/>
      <c r="MTM30" s="3"/>
      <c r="MTN30" s="3"/>
      <c r="MTO30" s="3"/>
      <c r="MTP30" s="3"/>
      <c r="MTQ30" s="3"/>
      <c r="MTR30" s="3"/>
      <c r="MTS30" s="3"/>
      <c r="MTT30" s="3"/>
      <c r="MTU30" s="3"/>
      <c r="MTV30" s="3"/>
      <c r="MTW30" s="3"/>
      <c r="MTX30" s="3"/>
      <c r="MTY30" s="3"/>
      <c r="MTZ30" s="3"/>
      <c r="MUA30" s="3"/>
      <c r="MUB30" s="3"/>
      <c r="MUC30" s="3"/>
      <c r="MUD30" s="3"/>
      <c r="MUE30" s="3"/>
      <c r="MUF30" s="3"/>
      <c r="MUG30" s="3"/>
      <c r="MUH30" s="3"/>
      <c r="MUI30" s="3"/>
      <c r="MUJ30" s="3"/>
      <c r="MUK30" s="3"/>
      <c r="MUL30" s="3"/>
      <c r="MUM30" s="3"/>
      <c r="MUN30" s="3"/>
      <c r="MUO30" s="3"/>
      <c r="MUP30" s="3"/>
      <c r="MUQ30" s="3"/>
      <c r="MUR30" s="3"/>
      <c r="MUS30" s="3"/>
      <c r="MUT30" s="3"/>
      <c r="MUU30" s="3"/>
      <c r="MUV30" s="3"/>
      <c r="MUW30" s="3"/>
      <c r="MUX30" s="3"/>
      <c r="MUY30" s="3"/>
      <c r="MUZ30" s="3"/>
      <c r="MVA30" s="3"/>
      <c r="MVB30" s="3"/>
      <c r="MVC30" s="3"/>
      <c r="MVD30" s="3"/>
      <c r="MVE30" s="3"/>
      <c r="MVF30" s="3"/>
      <c r="MVG30" s="3"/>
      <c r="MVH30" s="3"/>
      <c r="MVI30" s="3"/>
      <c r="MVJ30" s="3"/>
      <c r="MVK30" s="3"/>
      <c r="MVL30" s="3"/>
      <c r="MVM30" s="3"/>
      <c r="MVN30" s="3"/>
      <c r="MVO30" s="3"/>
      <c r="MVP30" s="3"/>
      <c r="MVQ30" s="3"/>
      <c r="MVR30" s="3"/>
      <c r="MVS30" s="3"/>
      <c r="MVT30" s="3"/>
      <c r="MVU30" s="3"/>
      <c r="MVV30" s="3"/>
      <c r="MVW30" s="3"/>
      <c r="MVX30" s="3"/>
      <c r="MVY30" s="3"/>
      <c r="MVZ30" s="3"/>
      <c r="MWA30" s="3"/>
      <c r="MWB30" s="3"/>
      <c r="MWC30" s="3"/>
      <c r="MWD30" s="3"/>
      <c r="MWE30" s="3"/>
      <c r="MWF30" s="3"/>
      <c r="MWG30" s="3"/>
      <c r="MWH30" s="3"/>
      <c r="MWI30" s="3"/>
      <c r="MWJ30" s="3"/>
      <c r="MWK30" s="3"/>
      <c r="MWL30" s="3"/>
      <c r="MWM30" s="3"/>
      <c r="MWN30" s="3"/>
      <c r="MWO30" s="3"/>
      <c r="MWP30" s="3"/>
      <c r="MWQ30" s="3"/>
      <c r="MWR30" s="3"/>
      <c r="MWS30" s="3"/>
      <c r="MWT30" s="3"/>
      <c r="MWU30" s="3"/>
      <c r="MWV30" s="3"/>
      <c r="MWW30" s="3"/>
      <c r="MWX30" s="3"/>
      <c r="MWY30" s="3"/>
      <c r="MWZ30" s="3"/>
      <c r="MXA30" s="3"/>
      <c r="MXB30" s="3"/>
      <c r="MXC30" s="3"/>
      <c r="MXD30" s="3"/>
      <c r="MXE30" s="3"/>
      <c r="MXF30" s="3"/>
      <c r="MXG30" s="3"/>
      <c r="MXH30" s="3"/>
      <c r="MXI30" s="3"/>
      <c r="MXJ30" s="3"/>
      <c r="MXK30" s="3"/>
      <c r="MXL30" s="3"/>
      <c r="MXM30" s="3"/>
      <c r="MXN30" s="3"/>
      <c r="MXO30" s="3"/>
      <c r="MXP30" s="3"/>
      <c r="MXQ30" s="3"/>
      <c r="MXR30" s="3"/>
      <c r="MXS30" s="3"/>
      <c r="MXT30" s="3"/>
      <c r="MXU30" s="3"/>
      <c r="MXV30" s="3"/>
      <c r="MXW30" s="3"/>
      <c r="MXX30" s="3"/>
      <c r="MXY30" s="3"/>
      <c r="MXZ30" s="3"/>
      <c r="MYA30" s="3"/>
      <c r="MYB30" s="3"/>
      <c r="MYC30" s="3"/>
      <c r="MYD30" s="3"/>
      <c r="MYE30" s="3"/>
      <c r="MYF30" s="3"/>
      <c r="MYG30" s="3"/>
      <c r="MYH30" s="3"/>
      <c r="MYI30" s="3"/>
      <c r="MYJ30" s="3"/>
      <c r="MYK30" s="3"/>
      <c r="MYL30" s="3"/>
      <c r="MYM30" s="3"/>
      <c r="MYN30" s="3"/>
      <c r="MYO30" s="3"/>
      <c r="MYP30" s="3"/>
      <c r="MYQ30" s="3"/>
      <c r="MYR30" s="3"/>
      <c r="MYS30" s="3"/>
      <c r="MYT30" s="3"/>
      <c r="MYU30" s="3"/>
      <c r="MYV30" s="3"/>
      <c r="MYW30" s="3"/>
      <c r="MYX30" s="3"/>
      <c r="MYY30" s="3"/>
      <c r="MYZ30" s="3"/>
      <c r="MZA30" s="3"/>
      <c r="MZB30" s="3"/>
      <c r="MZC30" s="3"/>
      <c r="MZD30" s="3"/>
      <c r="MZE30" s="3"/>
      <c r="MZF30" s="3"/>
      <c r="MZG30" s="3"/>
      <c r="MZH30" s="3"/>
      <c r="MZI30" s="3"/>
      <c r="MZJ30" s="3"/>
      <c r="MZK30" s="3"/>
      <c r="MZL30" s="3"/>
      <c r="MZM30" s="3"/>
      <c r="MZN30" s="3"/>
      <c r="MZO30" s="3"/>
      <c r="MZP30" s="3"/>
      <c r="MZQ30" s="3"/>
      <c r="MZR30" s="3"/>
      <c r="MZS30" s="3"/>
      <c r="MZT30" s="3"/>
      <c r="MZU30" s="3"/>
      <c r="MZV30" s="3"/>
      <c r="MZW30" s="3"/>
      <c r="MZX30" s="3"/>
      <c r="MZY30" s="3"/>
      <c r="MZZ30" s="3"/>
      <c r="NAA30" s="3"/>
      <c r="NAB30" s="3"/>
      <c r="NAC30" s="3"/>
      <c r="NAD30" s="3"/>
      <c r="NAE30" s="3"/>
      <c r="NAF30" s="3"/>
      <c r="NAG30" s="3"/>
      <c r="NAH30" s="3"/>
      <c r="NAI30" s="3"/>
      <c r="NAJ30" s="3"/>
      <c r="NAK30" s="3"/>
      <c r="NAL30" s="3"/>
      <c r="NAM30" s="3"/>
      <c r="NAN30" s="3"/>
      <c r="NAO30" s="3"/>
      <c r="NAP30" s="3"/>
      <c r="NAQ30" s="3"/>
      <c r="NAR30" s="3"/>
      <c r="NAS30" s="3"/>
      <c r="NAT30" s="3"/>
      <c r="NAU30" s="3"/>
      <c r="NAV30" s="3"/>
      <c r="NAW30" s="3"/>
      <c r="NAX30" s="3"/>
      <c r="NAY30" s="3"/>
      <c r="NAZ30" s="3"/>
      <c r="NBA30" s="3"/>
      <c r="NBB30" s="3"/>
      <c r="NBC30" s="3"/>
      <c r="NBD30" s="3"/>
      <c r="NBE30" s="3"/>
      <c r="NBF30" s="3"/>
      <c r="NBG30" s="3"/>
      <c r="NBH30" s="3"/>
      <c r="NBI30" s="3"/>
      <c r="NBJ30" s="3"/>
      <c r="NBK30" s="3"/>
      <c r="NBL30" s="3"/>
      <c r="NBM30" s="3"/>
      <c r="NBN30" s="3"/>
      <c r="NBO30" s="3"/>
      <c r="NBP30" s="3"/>
      <c r="NBQ30" s="3"/>
      <c r="NBR30" s="3"/>
      <c r="NBS30" s="3"/>
      <c r="NBT30" s="3"/>
      <c r="NBU30" s="3"/>
      <c r="NBV30" s="3"/>
      <c r="NBW30" s="3"/>
      <c r="NBX30" s="3"/>
      <c r="NBY30" s="3"/>
      <c r="NBZ30" s="3"/>
      <c r="NCA30" s="3"/>
      <c r="NCB30" s="3"/>
      <c r="NCC30" s="3"/>
      <c r="NCD30" s="3"/>
      <c r="NCE30" s="3"/>
      <c r="NCF30" s="3"/>
      <c r="NCG30" s="3"/>
      <c r="NCH30" s="3"/>
      <c r="NCI30" s="3"/>
      <c r="NCJ30" s="3"/>
      <c r="NCK30" s="3"/>
      <c r="NCL30" s="3"/>
      <c r="NCM30" s="3"/>
      <c r="NCN30" s="3"/>
      <c r="NCO30" s="3"/>
      <c r="NCP30" s="3"/>
      <c r="NCQ30" s="3"/>
      <c r="NCR30" s="3"/>
      <c r="NCS30" s="3"/>
      <c r="NCT30" s="3"/>
      <c r="NCU30" s="3"/>
      <c r="NCV30" s="3"/>
      <c r="NCW30" s="3"/>
      <c r="NCX30" s="3"/>
      <c r="NCY30" s="3"/>
      <c r="NCZ30" s="3"/>
      <c r="NDA30" s="3"/>
      <c r="NDB30" s="3"/>
      <c r="NDC30" s="3"/>
      <c r="NDD30" s="3"/>
      <c r="NDE30" s="3"/>
      <c r="NDF30" s="3"/>
      <c r="NDG30" s="3"/>
      <c r="NDH30" s="3"/>
      <c r="NDI30" s="3"/>
      <c r="NDJ30" s="3"/>
      <c r="NDK30" s="3"/>
      <c r="NDL30" s="3"/>
      <c r="NDM30" s="3"/>
      <c r="NDN30" s="3"/>
      <c r="NDO30" s="3"/>
      <c r="NDP30" s="3"/>
      <c r="NDQ30" s="3"/>
      <c r="NDR30" s="3"/>
      <c r="NDS30" s="3"/>
      <c r="NDT30" s="3"/>
      <c r="NDU30" s="3"/>
      <c r="NDV30" s="3"/>
      <c r="NDW30" s="3"/>
      <c r="NDX30" s="3"/>
      <c r="NDY30" s="3"/>
      <c r="NDZ30" s="3"/>
      <c r="NEA30" s="3"/>
      <c r="NEB30" s="3"/>
      <c r="NEC30" s="3"/>
      <c r="NED30" s="3"/>
      <c r="NEE30" s="3"/>
      <c r="NEF30" s="3"/>
      <c r="NEG30" s="3"/>
      <c r="NEH30" s="3"/>
      <c r="NEI30" s="3"/>
      <c r="NEJ30" s="3"/>
      <c r="NEK30" s="3"/>
      <c r="NEL30" s="3"/>
      <c r="NEM30" s="3"/>
      <c r="NEN30" s="3"/>
      <c r="NEO30" s="3"/>
      <c r="NEP30" s="3"/>
      <c r="NEQ30" s="3"/>
      <c r="NER30" s="3"/>
      <c r="NES30" s="3"/>
      <c r="NET30" s="3"/>
      <c r="NEU30" s="3"/>
      <c r="NEV30" s="3"/>
      <c r="NEW30" s="3"/>
      <c r="NEX30" s="3"/>
      <c r="NEY30" s="3"/>
      <c r="NEZ30" s="3"/>
      <c r="NFA30" s="3"/>
      <c r="NFB30" s="3"/>
      <c r="NFC30" s="3"/>
      <c r="NFD30" s="3"/>
      <c r="NFE30" s="3"/>
      <c r="NFF30" s="3"/>
      <c r="NFG30" s="3"/>
      <c r="NFH30" s="3"/>
      <c r="NFI30" s="3"/>
      <c r="NFJ30" s="3"/>
      <c r="NFK30" s="3"/>
      <c r="NFL30" s="3"/>
      <c r="NFM30" s="3"/>
      <c r="NFN30" s="3"/>
      <c r="NFO30" s="3"/>
      <c r="NFP30" s="3"/>
      <c r="NFQ30" s="3"/>
      <c r="NFR30" s="3"/>
      <c r="NFS30" s="3"/>
      <c r="NFT30" s="3"/>
      <c r="NFU30" s="3"/>
      <c r="NFV30" s="3"/>
      <c r="NFW30" s="3"/>
      <c r="NFX30" s="3"/>
      <c r="NFY30" s="3"/>
      <c r="NFZ30" s="3"/>
      <c r="NGA30" s="3"/>
      <c r="NGB30" s="3"/>
      <c r="NGC30" s="3"/>
      <c r="NGD30" s="3"/>
      <c r="NGE30" s="3"/>
      <c r="NGF30" s="3"/>
      <c r="NGG30" s="3"/>
      <c r="NGH30" s="3"/>
      <c r="NGI30" s="3"/>
      <c r="NGJ30" s="3"/>
      <c r="NGK30" s="3"/>
      <c r="NGL30" s="3"/>
      <c r="NGM30" s="3"/>
      <c r="NGN30" s="3"/>
      <c r="NGO30" s="3"/>
      <c r="NGP30" s="3"/>
      <c r="NGQ30" s="3"/>
      <c r="NGR30" s="3"/>
      <c r="NGS30" s="3"/>
      <c r="NGT30" s="3"/>
      <c r="NGU30" s="3"/>
      <c r="NGV30" s="3"/>
      <c r="NGW30" s="3"/>
      <c r="NGX30" s="3"/>
      <c r="NGY30" s="3"/>
      <c r="NGZ30" s="3"/>
      <c r="NHA30" s="3"/>
      <c r="NHB30" s="3"/>
      <c r="NHC30" s="3"/>
      <c r="NHD30" s="3"/>
      <c r="NHE30" s="3"/>
      <c r="NHF30" s="3"/>
      <c r="NHG30" s="3"/>
      <c r="NHH30" s="3"/>
      <c r="NHI30" s="3"/>
      <c r="NHJ30" s="3"/>
      <c r="NHK30" s="3"/>
      <c r="NHL30" s="3"/>
      <c r="NHM30" s="3"/>
      <c r="NHN30" s="3"/>
      <c r="NHO30" s="3"/>
      <c r="NHP30" s="3"/>
      <c r="NHQ30" s="3"/>
      <c r="NHR30" s="3"/>
      <c r="NHS30" s="3"/>
      <c r="NHT30" s="3"/>
      <c r="NHU30" s="3"/>
      <c r="NHV30" s="3"/>
      <c r="NHW30" s="3"/>
      <c r="NHX30" s="3"/>
      <c r="NHY30" s="3"/>
      <c r="NHZ30" s="3"/>
      <c r="NIA30" s="3"/>
      <c r="NIB30" s="3"/>
      <c r="NIC30" s="3"/>
      <c r="NID30" s="3"/>
      <c r="NIE30" s="3"/>
      <c r="NIF30" s="3"/>
      <c r="NIG30" s="3"/>
      <c r="NIH30" s="3"/>
      <c r="NII30" s="3"/>
      <c r="NIJ30" s="3"/>
      <c r="NIK30" s="3"/>
      <c r="NIL30" s="3"/>
      <c r="NIM30" s="3"/>
      <c r="NIN30" s="3"/>
      <c r="NIO30" s="3"/>
      <c r="NIP30" s="3"/>
      <c r="NIQ30" s="3"/>
      <c r="NIR30" s="3"/>
      <c r="NIS30" s="3"/>
      <c r="NIT30" s="3"/>
      <c r="NIU30" s="3"/>
      <c r="NIV30" s="3"/>
      <c r="NIW30" s="3"/>
      <c r="NIX30" s="3"/>
      <c r="NIY30" s="3"/>
      <c r="NIZ30" s="3"/>
      <c r="NJA30" s="3"/>
      <c r="NJB30" s="3"/>
      <c r="NJC30" s="3"/>
      <c r="NJD30" s="3"/>
      <c r="NJE30" s="3"/>
      <c r="NJF30" s="3"/>
      <c r="NJG30" s="3"/>
      <c r="NJH30" s="3"/>
      <c r="NJI30" s="3"/>
      <c r="NJJ30" s="3"/>
      <c r="NJK30" s="3"/>
      <c r="NJL30" s="3"/>
      <c r="NJM30" s="3"/>
      <c r="NJN30" s="3"/>
      <c r="NJO30" s="3"/>
      <c r="NJP30" s="3"/>
      <c r="NJQ30" s="3"/>
      <c r="NJR30" s="3"/>
      <c r="NJS30" s="3"/>
      <c r="NJT30" s="3"/>
      <c r="NJU30" s="3"/>
      <c r="NJV30" s="3"/>
      <c r="NJW30" s="3"/>
      <c r="NJX30" s="3"/>
      <c r="NJY30" s="3"/>
      <c r="NJZ30" s="3"/>
      <c r="NKA30" s="3"/>
      <c r="NKB30" s="3"/>
      <c r="NKC30" s="3"/>
      <c r="NKD30" s="3"/>
      <c r="NKE30" s="3"/>
      <c r="NKF30" s="3"/>
      <c r="NKG30" s="3"/>
      <c r="NKH30" s="3"/>
      <c r="NKI30" s="3"/>
      <c r="NKJ30" s="3"/>
      <c r="NKK30" s="3"/>
      <c r="NKL30" s="3"/>
      <c r="NKM30" s="3"/>
      <c r="NKN30" s="3"/>
      <c r="NKO30" s="3"/>
      <c r="NKP30" s="3"/>
      <c r="NKQ30" s="3"/>
      <c r="NKR30" s="3"/>
      <c r="NKS30" s="3"/>
      <c r="NKT30" s="3"/>
      <c r="NKU30" s="3"/>
      <c r="NKV30" s="3"/>
      <c r="NKW30" s="3"/>
      <c r="NKX30" s="3"/>
      <c r="NKY30" s="3"/>
      <c r="NKZ30" s="3"/>
      <c r="NLA30" s="3"/>
      <c r="NLB30" s="3"/>
      <c r="NLC30" s="3"/>
      <c r="NLD30" s="3"/>
      <c r="NLE30" s="3"/>
      <c r="NLF30" s="3"/>
      <c r="NLG30" s="3"/>
      <c r="NLH30" s="3"/>
      <c r="NLI30" s="3"/>
      <c r="NLJ30" s="3"/>
      <c r="NLK30" s="3"/>
      <c r="NLL30" s="3"/>
      <c r="NLM30" s="3"/>
      <c r="NLN30" s="3"/>
      <c r="NLO30" s="3"/>
      <c r="NLP30" s="3"/>
      <c r="NLQ30" s="3"/>
      <c r="NLR30" s="3"/>
      <c r="NLS30" s="3"/>
      <c r="NLT30" s="3"/>
      <c r="NLU30" s="3"/>
      <c r="NLV30" s="3"/>
      <c r="NLW30" s="3"/>
      <c r="NLX30" s="3"/>
      <c r="NLY30" s="3"/>
      <c r="NLZ30" s="3"/>
      <c r="NMA30" s="3"/>
      <c r="NMB30" s="3"/>
      <c r="NMC30" s="3"/>
      <c r="NMD30" s="3"/>
      <c r="NME30" s="3"/>
      <c r="NMF30" s="3"/>
      <c r="NMG30" s="3"/>
      <c r="NMH30" s="3"/>
      <c r="NMI30" s="3"/>
      <c r="NMJ30" s="3"/>
      <c r="NMK30" s="3"/>
      <c r="NML30" s="3"/>
      <c r="NMM30" s="3"/>
      <c r="NMN30" s="3"/>
      <c r="NMO30" s="3"/>
      <c r="NMP30" s="3"/>
      <c r="NMQ30" s="3"/>
      <c r="NMR30" s="3"/>
      <c r="NMS30" s="3"/>
      <c r="NMT30" s="3"/>
      <c r="NMU30" s="3"/>
      <c r="NMV30" s="3"/>
      <c r="NMW30" s="3"/>
      <c r="NMX30" s="3"/>
      <c r="NMY30" s="3"/>
      <c r="NMZ30" s="3"/>
      <c r="NNA30" s="3"/>
      <c r="NNB30" s="3"/>
      <c r="NNC30" s="3"/>
      <c r="NND30" s="3"/>
      <c r="NNE30" s="3"/>
      <c r="NNF30" s="3"/>
      <c r="NNG30" s="3"/>
      <c r="NNH30" s="3"/>
      <c r="NNI30" s="3"/>
      <c r="NNJ30" s="3"/>
      <c r="NNK30" s="3"/>
      <c r="NNL30" s="3"/>
      <c r="NNM30" s="3"/>
      <c r="NNN30" s="3"/>
      <c r="NNO30" s="3"/>
      <c r="NNP30" s="3"/>
      <c r="NNQ30" s="3"/>
      <c r="NNR30" s="3"/>
      <c r="NNS30" s="3"/>
      <c r="NNT30" s="3"/>
      <c r="NNU30" s="3"/>
      <c r="NNV30" s="3"/>
      <c r="NNW30" s="3"/>
      <c r="NNX30" s="3"/>
      <c r="NNY30" s="3"/>
      <c r="NNZ30" s="3"/>
      <c r="NOA30" s="3"/>
      <c r="NOB30" s="3"/>
      <c r="NOC30" s="3"/>
      <c r="NOD30" s="3"/>
      <c r="NOE30" s="3"/>
      <c r="NOF30" s="3"/>
      <c r="NOG30" s="3"/>
      <c r="NOH30" s="3"/>
      <c r="NOI30" s="3"/>
      <c r="NOJ30" s="3"/>
      <c r="NOK30" s="3"/>
      <c r="NOL30" s="3"/>
      <c r="NOM30" s="3"/>
      <c r="NON30" s="3"/>
      <c r="NOO30" s="3"/>
      <c r="NOP30" s="3"/>
      <c r="NOQ30" s="3"/>
      <c r="NOR30" s="3"/>
      <c r="NOS30" s="3"/>
      <c r="NOT30" s="3"/>
      <c r="NOU30" s="3"/>
      <c r="NOV30" s="3"/>
      <c r="NOW30" s="3"/>
      <c r="NOX30" s="3"/>
      <c r="NOY30" s="3"/>
      <c r="NOZ30" s="3"/>
      <c r="NPA30" s="3"/>
      <c r="NPB30" s="3"/>
      <c r="NPC30" s="3"/>
      <c r="NPD30" s="3"/>
      <c r="NPE30" s="3"/>
      <c r="NPF30" s="3"/>
      <c r="NPG30" s="3"/>
      <c r="NPH30" s="3"/>
      <c r="NPI30" s="3"/>
      <c r="NPJ30" s="3"/>
      <c r="NPK30" s="3"/>
      <c r="NPL30" s="3"/>
      <c r="NPM30" s="3"/>
      <c r="NPN30" s="3"/>
      <c r="NPO30" s="3"/>
      <c r="NPP30" s="3"/>
      <c r="NPQ30" s="3"/>
      <c r="NPR30" s="3"/>
      <c r="NPS30" s="3"/>
      <c r="NPT30" s="3"/>
      <c r="NPU30" s="3"/>
      <c r="NPV30" s="3"/>
      <c r="NPW30" s="3"/>
      <c r="NPX30" s="3"/>
      <c r="NPY30" s="3"/>
      <c r="NPZ30" s="3"/>
      <c r="NQA30" s="3"/>
      <c r="NQB30" s="3"/>
      <c r="NQC30" s="3"/>
      <c r="NQD30" s="3"/>
      <c r="NQE30" s="3"/>
      <c r="NQF30" s="3"/>
      <c r="NQG30" s="3"/>
      <c r="NQH30" s="3"/>
      <c r="NQI30" s="3"/>
      <c r="NQJ30" s="3"/>
      <c r="NQK30" s="3"/>
      <c r="NQL30" s="3"/>
      <c r="NQM30" s="3"/>
      <c r="NQN30" s="3"/>
      <c r="NQO30" s="3"/>
      <c r="NQP30" s="3"/>
      <c r="NQQ30" s="3"/>
      <c r="NQR30" s="3"/>
      <c r="NQS30" s="3"/>
      <c r="NQT30" s="3"/>
      <c r="NQU30" s="3"/>
      <c r="NQV30" s="3"/>
      <c r="NQW30" s="3"/>
      <c r="NQX30" s="3"/>
      <c r="NQY30" s="3"/>
      <c r="NQZ30" s="3"/>
      <c r="NRA30" s="3"/>
      <c r="NRB30" s="3"/>
      <c r="NRC30" s="3"/>
      <c r="NRD30" s="3"/>
      <c r="NRE30" s="3"/>
      <c r="NRF30" s="3"/>
      <c r="NRG30" s="3"/>
      <c r="NRH30" s="3"/>
      <c r="NRI30" s="3"/>
      <c r="NRJ30" s="3"/>
      <c r="NRK30" s="3"/>
      <c r="NRL30" s="3"/>
      <c r="NRM30" s="3"/>
      <c r="NRN30" s="3"/>
      <c r="NRO30" s="3"/>
      <c r="NRP30" s="3"/>
      <c r="NRQ30" s="3"/>
      <c r="NRR30" s="3"/>
      <c r="NRS30" s="3"/>
      <c r="NRT30" s="3"/>
      <c r="NRU30" s="3"/>
      <c r="NRV30" s="3"/>
      <c r="NRW30" s="3"/>
      <c r="NRX30" s="3"/>
      <c r="NRY30" s="3"/>
      <c r="NRZ30" s="3"/>
      <c r="NSA30" s="3"/>
      <c r="NSB30" s="3"/>
      <c r="NSC30" s="3"/>
      <c r="NSD30" s="3"/>
      <c r="NSE30" s="3"/>
      <c r="NSF30" s="3"/>
      <c r="NSG30" s="3"/>
      <c r="NSH30" s="3"/>
      <c r="NSI30" s="3"/>
      <c r="NSJ30" s="3"/>
      <c r="NSK30" s="3"/>
      <c r="NSL30" s="3"/>
      <c r="NSM30" s="3"/>
      <c r="NSN30" s="3"/>
      <c r="NSO30" s="3"/>
      <c r="NSP30" s="3"/>
      <c r="NSQ30" s="3"/>
      <c r="NSR30" s="3"/>
      <c r="NSS30" s="3"/>
      <c r="NST30" s="3"/>
      <c r="NSU30" s="3"/>
      <c r="NSV30" s="3"/>
      <c r="NSW30" s="3"/>
      <c r="NSX30" s="3"/>
      <c r="NSY30" s="3"/>
      <c r="NSZ30" s="3"/>
      <c r="NTA30" s="3"/>
      <c r="NTB30" s="3"/>
      <c r="NTC30" s="3"/>
      <c r="NTD30" s="3"/>
      <c r="NTE30" s="3"/>
      <c r="NTF30" s="3"/>
      <c r="NTG30" s="3"/>
      <c r="NTH30" s="3"/>
      <c r="NTI30" s="3"/>
      <c r="NTJ30" s="3"/>
      <c r="NTK30" s="3"/>
      <c r="NTL30" s="3"/>
      <c r="NTM30" s="3"/>
      <c r="NTN30" s="3"/>
      <c r="NTO30" s="3"/>
      <c r="NTP30" s="3"/>
      <c r="NTQ30" s="3"/>
      <c r="NTR30" s="3"/>
      <c r="NTS30" s="3"/>
      <c r="NTT30" s="3"/>
      <c r="NTU30" s="3"/>
      <c r="NTV30" s="3"/>
      <c r="NTW30" s="3"/>
      <c r="NTX30" s="3"/>
      <c r="NTY30" s="3"/>
      <c r="NTZ30" s="3"/>
      <c r="NUA30" s="3"/>
      <c r="NUB30" s="3"/>
      <c r="NUC30" s="3"/>
      <c r="NUD30" s="3"/>
      <c r="NUE30" s="3"/>
      <c r="NUF30" s="3"/>
      <c r="NUG30" s="3"/>
      <c r="NUH30" s="3"/>
      <c r="NUI30" s="3"/>
      <c r="NUJ30" s="3"/>
      <c r="NUK30" s="3"/>
      <c r="NUL30" s="3"/>
      <c r="NUM30" s="3"/>
      <c r="NUN30" s="3"/>
      <c r="NUO30" s="3"/>
      <c r="NUP30" s="3"/>
      <c r="NUQ30" s="3"/>
      <c r="NUR30" s="3"/>
      <c r="NUS30" s="3"/>
      <c r="NUT30" s="3"/>
      <c r="NUU30" s="3"/>
      <c r="NUV30" s="3"/>
      <c r="NUW30" s="3"/>
      <c r="NUX30" s="3"/>
      <c r="NUY30" s="3"/>
      <c r="NUZ30" s="3"/>
      <c r="NVA30" s="3"/>
      <c r="NVB30" s="3"/>
      <c r="NVC30" s="3"/>
      <c r="NVD30" s="3"/>
      <c r="NVE30" s="3"/>
      <c r="NVF30" s="3"/>
      <c r="NVG30" s="3"/>
      <c r="NVH30" s="3"/>
      <c r="NVI30" s="3"/>
      <c r="NVJ30" s="3"/>
      <c r="NVK30" s="3"/>
      <c r="NVL30" s="3"/>
      <c r="NVM30" s="3"/>
      <c r="NVN30" s="3"/>
      <c r="NVO30" s="3"/>
      <c r="NVP30" s="3"/>
      <c r="NVQ30" s="3"/>
      <c r="NVR30" s="3"/>
      <c r="NVS30" s="3"/>
      <c r="NVT30" s="3"/>
      <c r="NVU30" s="3"/>
      <c r="NVV30" s="3"/>
      <c r="NVW30" s="3"/>
      <c r="NVX30" s="3"/>
      <c r="NVY30" s="3"/>
      <c r="NVZ30" s="3"/>
      <c r="NWA30" s="3"/>
      <c r="NWB30" s="3"/>
      <c r="NWC30" s="3"/>
      <c r="NWD30" s="3"/>
      <c r="NWE30" s="3"/>
      <c r="NWF30" s="3"/>
      <c r="NWG30" s="3"/>
      <c r="NWH30" s="3"/>
      <c r="NWI30" s="3"/>
      <c r="NWJ30" s="3"/>
      <c r="NWK30" s="3"/>
      <c r="NWL30" s="3"/>
      <c r="NWM30" s="3"/>
      <c r="NWN30" s="3"/>
      <c r="NWO30" s="3"/>
      <c r="NWP30" s="3"/>
      <c r="NWQ30" s="3"/>
      <c r="NWR30" s="3"/>
      <c r="NWS30" s="3"/>
      <c r="NWT30" s="3"/>
      <c r="NWU30" s="3"/>
      <c r="NWV30" s="3"/>
      <c r="NWW30" s="3"/>
      <c r="NWX30" s="3"/>
      <c r="NWY30" s="3"/>
      <c r="NWZ30" s="3"/>
      <c r="NXA30" s="3"/>
      <c r="NXB30" s="3"/>
      <c r="NXC30" s="3"/>
      <c r="NXD30" s="3"/>
      <c r="NXE30" s="3"/>
      <c r="NXF30" s="3"/>
      <c r="NXG30" s="3"/>
      <c r="NXH30" s="3"/>
      <c r="NXI30" s="3"/>
      <c r="NXJ30" s="3"/>
      <c r="NXK30" s="3"/>
      <c r="NXL30" s="3"/>
      <c r="NXM30" s="3"/>
      <c r="NXN30" s="3"/>
      <c r="NXO30" s="3"/>
      <c r="NXP30" s="3"/>
      <c r="NXQ30" s="3"/>
      <c r="NXR30" s="3"/>
      <c r="NXS30" s="3"/>
      <c r="NXT30" s="3"/>
      <c r="NXU30" s="3"/>
      <c r="NXV30" s="3"/>
      <c r="NXW30" s="3"/>
      <c r="NXX30" s="3"/>
      <c r="NXY30" s="3"/>
      <c r="NXZ30" s="3"/>
      <c r="NYA30" s="3"/>
      <c r="NYB30" s="3"/>
      <c r="NYC30" s="3"/>
      <c r="NYD30" s="3"/>
      <c r="NYE30" s="3"/>
      <c r="NYF30" s="3"/>
      <c r="NYG30" s="3"/>
      <c r="NYH30" s="3"/>
      <c r="NYI30" s="3"/>
      <c r="NYJ30" s="3"/>
      <c r="NYK30" s="3"/>
      <c r="NYL30" s="3"/>
      <c r="NYM30" s="3"/>
      <c r="NYN30" s="3"/>
      <c r="NYO30" s="3"/>
      <c r="NYP30" s="3"/>
      <c r="NYQ30" s="3"/>
      <c r="NYR30" s="3"/>
      <c r="NYS30" s="3"/>
      <c r="NYT30" s="3"/>
      <c r="NYU30" s="3"/>
      <c r="NYV30" s="3"/>
      <c r="NYW30" s="3"/>
      <c r="NYX30" s="3"/>
      <c r="NYY30" s="3"/>
      <c r="NYZ30" s="3"/>
      <c r="NZA30" s="3"/>
      <c r="NZB30" s="3"/>
      <c r="NZC30" s="3"/>
      <c r="NZD30" s="3"/>
      <c r="NZE30" s="3"/>
      <c r="NZF30" s="3"/>
      <c r="NZG30" s="3"/>
      <c r="NZH30" s="3"/>
      <c r="NZI30" s="3"/>
      <c r="NZJ30" s="3"/>
      <c r="NZK30" s="3"/>
      <c r="NZL30" s="3"/>
      <c r="NZM30" s="3"/>
      <c r="NZN30" s="3"/>
      <c r="NZO30" s="3"/>
      <c r="NZP30" s="3"/>
      <c r="NZQ30" s="3"/>
      <c r="NZR30" s="3"/>
      <c r="NZS30" s="3"/>
      <c r="NZT30" s="3"/>
      <c r="NZU30" s="3"/>
      <c r="NZV30" s="3"/>
      <c r="NZW30" s="3"/>
      <c r="NZX30" s="3"/>
      <c r="NZY30" s="3"/>
      <c r="NZZ30" s="3"/>
      <c r="OAA30" s="3"/>
      <c r="OAB30" s="3"/>
      <c r="OAC30" s="3"/>
      <c r="OAD30" s="3"/>
      <c r="OAE30" s="3"/>
      <c r="OAF30" s="3"/>
      <c r="OAG30" s="3"/>
      <c r="OAH30" s="3"/>
      <c r="OAI30" s="3"/>
      <c r="OAJ30" s="3"/>
      <c r="OAK30" s="3"/>
      <c r="OAL30" s="3"/>
      <c r="OAM30" s="3"/>
      <c r="OAN30" s="3"/>
      <c r="OAO30" s="3"/>
      <c r="OAP30" s="3"/>
      <c r="OAQ30" s="3"/>
      <c r="OAR30" s="3"/>
      <c r="OAS30" s="3"/>
      <c r="OAT30" s="3"/>
      <c r="OAU30" s="3"/>
      <c r="OAV30" s="3"/>
      <c r="OAW30" s="3"/>
      <c r="OAX30" s="3"/>
      <c r="OAY30" s="3"/>
      <c r="OAZ30" s="3"/>
      <c r="OBA30" s="3"/>
      <c r="OBB30" s="3"/>
      <c r="OBC30" s="3"/>
      <c r="OBD30" s="3"/>
      <c r="OBE30" s="3"/>
      <c r="OBF30" s="3"/>
      <c r="OBG30" s="3"/>
      <c r="OBH30" s="3"/>
      <c r="OBI30" s="3"/>
      <c r="OBJ30" s="3"/>
      <c r="OBK30" s="3"/>
      <c r="OBL30" s="3"/>
      <c r="OBM30" s="3"/>
      <c r="OBN30" s="3"/>
      <c r="OBO30" s="3"/>
      <c r="OBP30" s="3"/>
      <c r="OBQ30" s="3"/>
      <c r="OBR30" s="3"/>
      <c r="OBS30" s="3"/>
      <c r="OBT30" s="3"/>
      <c r="OBU30" s="3"/>
      <c r="OBV30" s="3"/>
      <c r="OBW30" s="3"/>
      <c r="OBX30" s="3"/>
      <c r="OBY30" s="3"/>
      <c r="OBZ30" s="3"/>
      <c r="OCA30" s="3"/>
      <c r="OCB30" s="3"/>
      <c r="OCC30" s="3"/>
      <c r="OCD30" s="3"/>
      <c r="OCE30" s="3"/>
      <c r="OCF30" s="3"/>
      <c r="OCG30" s="3"/>
      <c r="OCH30" s="3"/>
      <c r="OCI30" s="3"/>
      <c r="OCJ30" s="3"/>
      <c r="OCK30" s="3"/>
      <c r="OCL30" s="3"/>
      <c r="OCM30" s="3"/>
      <c r="OCN30" s="3"/>
      <c r="OCO30" s="3"/>
      <c r="OCP30" s="3"/>
      <c r="OCQ30" s="3"/>
      <c r="OCR30" s="3"/>
      <c r="OCS30" s="3"/>
      <c r="OCT30" s="3"/>
      <c r="OCU30" s="3"/>
      <c r="OCV30" s="3"/>
      <c r="OCW30" s="3"/>
      <c r="OCX30" s="3"/>
      <c r="OCY30" s="3"/>
      <c r="OCZ30" s="3"/>
      <c r="ODA30" s="3"/>
      <c r="ODB30" s="3"/>
      <c r="ODC30" s="3"/>
      <c r="ODD30" s="3"/>
      <c r="ODE30" s="3"/>
      <c r="ODF30" s="3"/>
      <c r="ODG30" s="3"/>
      <c r="ODH30" s="3"/>
      <c r="ODI30" s="3"/>
      <c r="ODJ30" s="3"/>
      <c r="ODK30" s="3"/>
      <c r="ODL30" s="3"/>
      <c r="ODM30" s="3"/>
      <c r="ODN30" s="3"/>
      <c r="ODO30" s="3"/>
      <c r="ODP30" s="3"/>
      <c r="ODQ30" s="3"/>
      <c r="ODR30" s="3"/>
      <c r="ODS30" s="3"/>
      <c r="ODT30" s="3"/>
      <c r="ODU30" s="3"/>
      <c r="ODV30" s="3"/>
      <c r="ODW30" s="3"/>
      <c r="ODX30" s="3"/>
      <c r="ODY30" s="3"/>
      <c r="ODZ30" s="3"/>
      <c r="OEA30" s="3"/>
      <c r="OEB30" s="3"/>
      <c r="OEC30" s="3"/>
      <c r="OED30" s="3"/>
      <c r="OEE30" s="3"/>
      <c r="OEF30" s="3"/>
      <c r="OEG30" s="3"/>
      <c r="OEH30" s="3"/>
      <c r="OEI30" s="3"/>
      <c r="OEJ30" s="3"/>
      <c r="OEK30" s="3"/>
      <c r="OEL30" s="3"/>
      <c r="OEM30" s="3"/>
      <c r="OEN30" s="3"/>
      <c r="OEO30" s="3"/>
      <c r="OEP30" s="3"/>
      <c r="OEQ30" s="3"/>
      <c r="OER30" s="3"/>
      <c r="OES30" s="3"/>
      <c r="OET30" s="3"/>
      <c r="OEU30" s="3"/>
      <c r="OEV30" s="3"/>
      <c r="OEW30" s="3"/>
      <c r="OEX30" s="3"/>
      <c r="OEY30" s="3"/>
      <c r="OEZ30" s="3"/>
      <c r="OFA30" s="3"/>
      <c r="OFB30" s="3"/>
      <c r="OFC30" s="3"/>
      <c r="OFD30" s="3"/>
      <c r="OFE30" s="3"/>
      <c r="OFF30" s="3"/>
      <c r="OFG30" s="3"/>
      <c r="OFH30" s="3"/>
      <c r="OFI30" s="3"/>
      <c r="OFJ30" s="3"/>
      <c r="OFK30" s="3"/>
      <c r="OFL30" s="3"/>
      <c r="OFM30" s="3"/>
      <c r="OFN30" s="3"/>
      <c r="OFO30" s="3"/>
      <c r="OFP30" s="3"/>
      <c r="OFQ30" s="3"/>
      <c r="OFR30" s="3"/>
      <c r="OFS30" s="3"/>
      <c r="OFT30" s="3"/>
      <c r="OFU30" s="3"/>
      <c r="OFV30" s="3"/>
      <c r="OFW30" s="3"/>
      <c r="OFX30" s="3"/>
      <c r="OFY30" s="3"/>
      <c r="OFZ30" s="3"/>
      <c r="OGA30" s="3"/>
      <c r="OGB30" s="3"/>
      <c r="OGC30" s="3"/>
      <c r="OGD30" s="3"/>
      <c r="OGE30" s="3"/>
      <c r="OGF30" s="3"/>
      <c r="OGG30" s="3"/>
      <c r="OGH30" s="3"/>
      <c r="OGI30" s="3"/>
      <c r="OGJ30" s="3"/>
      <c r="OGK30" s="3"/>
      <c r="OGL30" s="3"/>
      <c r="OGM30" s="3"/>
      <c r="OGN30" s="3"/>
      <c r="OGO30" s="3"/>
      <c r="OGP30" s="3"/>
      <c r="OGQ30" s="3"/>
      <c r="OGR30" s="3"/>
      <c r="OGS30" s="3"/>
      <c r="OGT30" s="3"/>
      <c r="OGU30" s="3"/>
      <c r="OGV30" s="3"/>
      <c r="OGW30" s="3"/>
      <c r="OGX30" s="3"/>
      <c r="OGY30" s="3"/>
      <c r="OGZ30" s="3"/>
      <c r="OHA30" s="3"/>
      <c r="OHB30" s="3"/>
      <c r="OHC30" s="3"/>
      <c r="OHD30" s="3"/>
      <c r="OHE30" s="3"/>
      <c r="OHF30" s="3"/>
      <c r="OHG30" s="3"/>
      <c r="OHH30" s="3"/>
      <c r="OHI30" s="3"/>
      <c r="OHJ30" s="3"/>
      <c r="OHK30" s="3"/>
      <c r="OHL30" s="3"/>
      <c r="OHM30" s="3"/>
      <c r="OHN30" s="3"/>
      <c r="OHO30" s="3"/>
      <c r="OHP30" s="3"/>
      <c r="OHQ30" s="3"/>
      <c r="OHR30" s="3"/>
      <c r="OHS30" s="3"/>
      <c r="OHT30" s="3"/>
      <c r="OHU30" s="3"/>
      <c r="OHV30" s="3"/>
      <c r="OHW30" s="3"/>
      <c r="OHX30" s="3"/>
      <c r="OHY30" s="3"/>
      <c r="OHZ30" s="3"/>
      <c r="OIA30" s="3"/>
      <c r="OIB30" s="3"/>
      <c r="OIC30" s="3"/>
      <c r="OID30" s="3"/>
      <c r="OIE30" s="3"/>
      <c r="OIF30" s="3"/>
      <c r="OIG30" s="3"/>
      <c r="OIH30" s="3"/>
      <c r="OII30" s="3"/>
      <c r="OIJ30" s="3"/>
      <c r="OIK30" s="3"/>
      <c r="OIL30" s="3"/>
      <c r="OIM30" s="3"/>
      <c r="OIN30" s="3"/>
      <c r="OIO30" s="3"/>
      <c r="OIP30" s="3"/>
      <c r="OIQ30" s="3"/>
      <c r="OIR30" s="3"/>
      <c r="OIS30" s="3"/>
      <c r="OIT30" s="3"/>
      <c r="OIU30" s="3"/>
      <c r="OIV30" s="3"/>
      <c r="OIW30" s="3"/>
      <c r="OIX30" s="3"/>
      <c r="OIY30" s="3"/>
      <c r="OIZ30" s="3"/>
      <c r="OJA30" s="3"/>
      <c r="OJB30" s="3"/>
      <c r="OJC30" s="3"/>
      <c r="OJD30" s="3"/>
      <c r="OJE30" s="3"/>
      <c r="OJF30" s="3"/>
      <c r="OJG30" s="3"/>
      <c r="OJH30" s="3"/>
      <c r="OJI30" s="3"/>
      <c r="OJJ30" s="3"/>
      <c r="OJK30" s="3"/>
      <c r="OJL30" s="3"/>
      <c r="OJM30" s="3"/>
      <c r="OJN30" s="3"/>
      <c r="OJO30" s="3"/>
      <c r="OJP30" s="3"/>
      <c r="OJQ30" s="3"/>
      <c r="OJR30" s="3"/>
      <c r="OJS30" s="3"/>
      <c r="OJT30" s="3"/>
      <c r="OJU30" s="3"/>
      <c r="OJV30" s="3"/>
      <c r="OJW30" s="3"/>
      <c r="OJX30" s="3"/>
      <c r="OJY30" s="3"/>
      <c r="OJZ30" s="3"/>
      <c r="OKA30" s="3"/>
      <c r="OKB30" s="3"/>
      <c r="OKC30" s="3"/>
      <c r="OKD30" s="3"/>
      <c r="OKE30" s="3"/>
      <c r="OKF30" s="3"/>
      <c r="OKG30" s="3"/>
      <c r="OKH30" s="3"/>
      <c r="OKI30" s="3"/>
      <c r="OKJ30" s="3"/>
      <c r="OKK30" s="3"/>
      <c r="OKL30" s="3"/>
      <c r="OKM30" s="3"/>
      <c r="OKN30" s="3"/>
      <c r="OKO30" s="3"/>
      <c r="OKP30" s="3"/>
      <c r="OKQ30" s="3"/>
      <c r="OKR30" s="3"/>
      <c r="OKS30" s="3"/>
      <c r="OKT30" s="3"/>
      <c r="OKU30" s="3"/>
      <c r="OKV30" s="3"/>
      <c r="OKW30" s="3"/>
      <c r="OKX30" s="3"/>
      <c r="OKY30" s="3"/>
      <c r="OKZ30" s="3"/>
      <c r="OLA30" s="3"/>
      <c r="OLB30" s="3"/>
      <c r="OLC30" s="3"/>
      <c r="OLD30" s="3"/>
      <c r="OLE30" s="3"/>
      <c r="OLF30" s="3"/>
      <c r="OLG30" s="3"/>
      <c r="OLH30" s="3"/>
      <c r="OLI30" s="3"/>
      <c r="OLJ30" s="3"/>
      <c r="OLK30" s="3"/>
      <c r="OLL30" s="3"/>
      <c r="OLM30" s="3"/>
      <c r="OLN30" s="3"/>
      <c r="OLO30" s="3"/>
      <c r="OLP30" s="3"/>
      <c r="OLQ30" s="3"/>
      <c r="OLR30" s="3"/>
      <c r="OLS30" s="3"/>
      <c r="OLT30" s="3"/>
      <c r="OLU30" s="3"/>
      <c r="OLV30" s="3"/>
      <c r="OLW30" s="3"/>
      <c r="OLX30" s="3"/>
      <c r="OLY30" s="3"/>
      <c r="OLZ30" s="3"/>
      <c r="OMA30" s="3"/>
      <c r="OMB30" s="3"/>
      <c r="OMC30" s="3"/>
      <c r="OMD30" s="3"/>
      <c r="OME30" s="3"/>
      <c r="OMF30" s="3"/>
      <c r="OMG30" s="3"/>
      <c r="OMH30" s="3"/>
      <c r="OMI30" s="3"/>
      <c r="OMJ30" s="3"/>
      <c r="OMK30" s="3"/>
      <c r="OML30" s="3"/>
      <c r="OMM30" s="3"/>
      <c r="OMN30" s="3"/>
      <c r="OMO30" s="3"/>
      <c r="OMP30" s="3"/>
      <c r="OMQ30" s="3"/>
      <c r="OMR30" s="3"/>
      <c r="OMS30" s="3"/>
      <c r="OMT30" s="3"/>
      <c r="OMU30" s="3"/>
      <c r="OMV30" s="3"/>
      <c r="OMW30" s="3"/>
      <c r="OMX30" s="3"/>
      <c r="OMY30" s="3"/>
      <c r="OMZ30" s="3"/>
      <c r="ONA30" s="3"/>
      <c r="ONB30" s="3"/>
      <c r="ONC30" s="3"/>
      <c r="OND30" s="3"/>
      <c r="ONE30" s="3"/>
      <c r="ONF30" s="3"/>
      <c r="ONG30" s="3"/>
      <c r="ONH30" s="3"/>
      <c r="ONI30" s="3"/>
      <c r="ONJ30" s="3"/>
      <c r="ONK30" s="3"/>
      <c r="ONL30" s="3"/>
      <c r="ONM30" s="3"/>
      <c r="ONN30" s="3"/>
      <c r="ONO30" s="3"/>
      <c r="ONP30" s="3"/>
      <c r="ONQ30" s="3"/>
      <c r="ONR30" s="3"/>
      <c r="ONS30" s="3"/>
      <c r="ONT30" s="3"/>
      <c r="ONU30" s="3"/>
      <c r="ONV30" s="3"/>
      <c r="ONW30" s="3"/>
      <c r="ONX30" s="3"/>
      <c r="ONY30" s="3"/>
      <c r="ONZ30" s="3"/>
      <c r="OOA30" s="3"/>
      <c r="OOB30" s="3"/>
      <c r="OOC30" s="3"/>
      <c r="OOD30" s="3"/>
      <c r="OOE30" s="3"/>
      <c r="OOF30" s="3"/>
      <c r="OOG30" s="3"/>
      <c r="OOH30" s="3"/>
      <c r="OOI30" s="3"/>
      <c r="OOJ30" s="3"/>
      <c r="OOK30" s="3"/>
      <c r="OOL30" s="3"/>
      <c r="OOM30" s="3"/>
      <c r="OON30" s="3"/>
      <c r="OOO30" s="3"/>
      <c r="OOP30" s="3"/>
      <c r="OOQ30" s="3"/>
      <c r="OOR30" s="3"/>
      <c r="OOS30" s="3"/>
      <c r="OOT30" s="3"/>
      <c r="OOU30" s="3"/>
      <c r="OOV30" s="3"/>
      <c r="OOW30" s="3"/>
      <c r="OOX30" s="3"/>
      <c r="OOY30" s="3"/>
      <c r="OOZ30" s="3"/>
      <c r="OPA30" s="3"/>
      <c r="OPB30" s="3"/>
      <c r="OPC30" s="3"/>
      <c r="OPD30" s="3"/>
      <c r="OPE30" s="3"/>
      <c r="OPF30" s="3"/>
      <c r="OPG30" s="3"/>
      <c r="OPH30" s="3"/>
      <c r="OPI30" s="3"/>
      <c r="OPJ30" s="3"/>
      <c r="OPK30" s="3"/>
      <c r="OPL30" s="3"/>
      <c r="OPM30" s="3"/>
      <c r="OPN30" s="3"/>
      <c r="OPO30" s="3"/>
      <c r="OPP30" s="3"/>
      <c r="OPQ30" s="3"/>
      <c r="OPR30" s="3"/>
      <c r="OPS30" s="3"/>
      <c r="OPT30" s="3"/>
      <c r="OPU30" s="3"/>
      <c r="OPV30" s="3"/>
      <c r="OPW30" s="3"/>
      <c r="OPX30" s="3"/>
      <c r="OPY30" s="3"/>
      <c r="OPZ30" s="3"/>
      <c r="OQA30" s="3"/>
      <c r="OQB30" s="3"/>
      <c r="OQC30" s="3"/>
      <c r="OQD30" s="3"/>
      <c r="OQE30" s="3"/>
      <c r="OQF30" s="3"/>
      <c r="OQG30" s="3"/>
      <c r="OQH30" s="3"/>
      <c r="OQI30" s="3"/>
      <c r="OQJ30" s="3"/>
      <c r="OQK30" s="3"/>
      <c r="OQL30" s="3"/>
      <c r="OQM30" s="3"/>
      <c r="OQN30" s="3"/>
      <c r="OQO30" s="3"/>
      <c r="OQP30" s="3"/>
      <c r="OQQ30" s="3"/>
      <c r="OQR30" s="3"/>
      <c r="OQS30" s="3"/>
      <c r="OQT30" s="3"/>
      <c r="OQU30" s="3"/>
      <c r="OQV30" s="3"/>
      <c r="OQW30" s="3"/>
      <c r="OQX30" s="3"/>
      <c r="OQY30" s="3"/>
      <c r="OQZ30" s="3"/>
      <c r="ORA30" s="3"/>
      <c r="ORB30" s="3"/>
      <c r="ORC30" s="3"/>
      <c r="ORD30" s="3"/>
      <c r="ORE30" s="3"/>
      <c r="ORF30" s="3"/>
      <c r="ORG30" s="3"/>
      <c r="ORH30" s="3"/>
      <c r="ORI30" s="3"/>
      <c r="ORJ30" s="3"/>
      <c r="ORK30" s="3"/>
      <c r="ORL30" s="3"/>
      <c r="ORM30" s="3"/>
      <c r="ORN30" s="3"/>
      <c r="ORO30" s="3"/>
      <c r="ORP30" s="3"/>
      <c r="ORQ30" s="3"/>
      <c r="ORR30" s="3"/>
      <c r="ORS30" s="3"/>
      <c r="ORT30" s="3"/>
      <c r="ORU30" s="3"/>
      <c r="ORV30" s="3"/>
      <c r="ORW30" s="3"/>
      <c r="ORX30" s="3"/>
      <c r="ORY30" s="3"/>
      <c r="ORZ30" s="3"/>
      <c r="OSA30" s="3"/>
      <c r="OSB30" s="3"/>
      <c r="OSC30" s="3"/>
      <c r="OSD30" s="3"/>
      <c r="OSE30" s="3"/>
      <c r="OSF30" s="3"/>
      <c r="OSG30" s="3"/>
      <c r="OSH30" s="3"/>
      <c r="OSI30" s="3"/>
      <c r="OSJ30" s="3"/>
      <c r="OSK30" s="3"/>
      <c r="OSL30" s="3"/>
      <c r="OSM30" s="3"/>
      <c r="OSN30" s="3"/>
      <c r="OSO30" s="3"/>
      <c r="OSP30" s="3"/>
      <c r="OSQ30" s="3"/>
      <c r="OSR30" s="3"/>
      <c r="OSS30" s="3"/>
      <c r="OST30" s="3"/>
      <c r="OSU30" s="3"/>
      <c r="OSV30" s="3"/>
      <c r="OSW30" s="3"/>
      <c r="OSX30" s="3"/>
      <c r="OSY30" s="3"/>
      <c r="OSZ30" s="3"/>
      <c r="OTA30" s="3"/>
      <c r="OTB30" s="3"/>
      <c r="OTC30" s="3"/>
      <c r="OTD30" s="3"/>
      <c r="OTE30" s="3"/>
      <c r="OTF30" s="3"/>
      <c r="OTG30" s="3"/>
      <c r="OTH30" s="3"/>
      <c r="OTI30" s="3"/>
      <c r="OTJ30" s="3"/>
      <c r="OTK30" s="3"/>
      <c r="OTL30" s="3"/>
      <c r="OTM30" s="3"/>
      <c r="OTN30" s="3"/>
      <c r="OTO30" s="3"/>
      <c r="OTP30" s="3"/>
      <c r="OTQ30" s="3"/>
      <c r="OTR30" s="3"/>
      <c r="OTS30" s="3"/>
      <c r="OTT30" s="3"/>
      <c r="OTU30" s="3"/>
      <c r="OTV30" s="3"/>
      <c r="OTW30" s="3"/>
      <c r="OTX30" s="3"/>
      <c r="OTY30" s="3"/>
      <c r="OTZ30" s="3"/>
      <c r="OUA30" s="3"/>
      <c r="OUB30" s="3"/>
      <c r="OUC30" s="3"/>
      <c r="OUD30" s="3"/>
      <c r="OUE30" s="3"/>
      <c r="OUF30" s="3"/>
      <c r="OUG30" s="3"/>
      <c r="OUH30" s="3"/>
      <c r="OUI30" s="3"/>
      <c r="OUJ30" s="3"/>
      <c r="OUK30" s="3"/>
      <c r="OUL30" s="3"/>
      <c r="OUM30" s="3"/>
      <c r="OUN30" s="3"/>
      <c r="OUO30" s="3"/>
      <c r="OUP30" s="3"/>
      <c r="OUQ30" s="3"/>
      <c r="OUR30" s="3"/>
      <c r="OUS30" s="3"/>
      <c r="OUT30" s="3"/>
      <c r="OUU30" s="3"/>
      <c r="OUV30" s="3"/>
      <c r="OUW30" s="3"/>
      <c r="OUX30" s="3"/>
      <c r="OUY30" s="3"/>
      <c r="OUZ30" s="3"/>
      <c r="OVA30" s="3"/>
      <c r="OVB30" s="3"/>
      <c r="OVC30" s="3"/>
      <c r="OVD30" s="3"/>
      <c r="OVE30" s="3"/>
      <c r="OVF30" s="3"/>
      <c r="OVG30" s="3"/>
      <c r="OVH30" s="3"/>
      <c r="OVI30" s="3"/>
      <c r="OVJ30" s="3"/>
      <c r="OVK30" s="3"/>
      <c r="OVL30" s="3"/>
      <c r="OVM30" s="3"/>
      <c r="OVN30" s="3"/>
      <c r="OVO30" s="3"/>
      <c r="OVP30" s="3"/>
      <c r="OVQ30" s="3"/>
      <c r="OVR30" s="3"/>
      <c r="OVS30" s="3"/>
      <c r="OVT30" s="3"/>
      <c r="OVU30" s="3"/>
      <c r="OVV30" s="3"/>
      <c r="OVW30" s="3"/>
      <c r="OVX30" s="3"/>
      <c r="OVY30" s="3"/>
      <c r="OVZ30" s="3"/>
      <c r="OWA30" s="3"/>
      <c r="OWB30" s="3"/>
      <c r="OWC30" s="3"/>
      <c r="OWD30" s="3"/>
      <c r="OWE30" s="3"/>
      <c r="OWF30" s="3"/>
      <c r="OWG30" s="3"/>
      <c r="OWH30" s="3"/>
      <c r="OWI30" s="3"/>
      <c r="OWJ30" s="3"/>
      <c r="OWK30" s="3"/>
      <c r="OWL30" s="3"/>
      <c r="OWM30" s="3"/>
      <c r="OWN30" s="3"/>
      <c r="OWO30" s="3"/>
      <c r="OWP30" s="3"/>
      <c r="OWQ30" s="3"/>
      <c r="OWR30" s="3"/>
      <c r="OWS30" s="3"/>
      <c r="OWT30" s="3"/>
      <c r="OWU30" s="3"/>
      <c r="OWV30" s="3"/>
      <c r="OWW30" s="3"/>
      <c r="OWX30" s="3"/>
      <c r="OWY30" s="3"/>
      <c r="OWZ30" s="3"/>
      <c r="OXA30" s="3"/>
      <c r="OXB30" s="3"/>
      <c r="OXC30" s="3"/>
      <c r="OXD30" s="3"/>
      <c r="OXE30" s="3"/>
      <c r="OXF30" s="3"/>
      <c r="OXG30" s="3"/>
      <c r="OXH30" s="3"/>
      <c r="OXI30" s="3"/>
      <c r="OXJ30" s="3"/>
      <c r="OXK30" s="3"/>
      <c r="OXL30" s="3"/>
      <c r="OXM30" s="3"/>
      <c r="OXN30" s="3"/>
      <c r="OXO30" s="3"/>
      <c r="OXP30" s="3"/>
      <c r="OXQ30" s="3"/>
      <c r="OXR30" s="3"/>
      <c r="OXS30" s="3"/>
      <c r="OXT30" s="3"/>
      <c r="OXU30" s="3"/>
      <c r="OXV30" s="3"/>
      <c r="OXW30" s="3"/>
      <c r="OXX30" s="3"/>
      <c r="OXY30" s="3"/>
      <c r="OXZ30" s="3"/>
      <c r="OYA30" s="3"/>
      <c r="OYB30" s="3"/>
      <c r="OYC30" s="3"/>
      <c r="OYD30" s="3"/>
      <c r="OYE30" s="3"/>
      <c r="OYF30" s="3"/>
      <c r="OYG30" s="3"/>
      <c r="OYH30" s="3"/>
      <c r="OYI30" s="3"/>
      <c r="OYJ30" s="3"/>
      <c r="OYK30" s="3"/>
      <c r="OYL30" s="3"/>
      <c r="OYM30" s="3"/>
      <c r="OYN30" s="3"/>
      <c r="OYO30" s="3"/>
      <c r="OYP30" s="3"/>
      <c r="OYQ30" s="3"/>
      <c r="OYR30" s="3"/>
      <c r="OYS30" s="3"/>
      <c r="OYT30" s="3"/>
      <c r="OYU30" s="3"/>
      <c r="OYV30" s="3"/>
      <c r="OYW30" s="3"/>
      <c r="OYX30" s="3"/>
      <c r="OYY30" s="3"/>
      <c r="OYZ30" s="3"/>
      <c r="OZA30" s="3"/>
      <c r="OZB30" s="3"/>
      <c r="OZC30" s="3"/>
      <c r="OZD30" s="3"/>
      <c r="OZE30" s="3"/>
      <c r="OZF30" s="3"/>
      <c r="OZG30" s="3"/>
      <c r="OZH30" s="3"/>
      <c r="OZI30" s="3"/>
      <c r="OZJ30" s="3"/>
      <c r="OZK30" s="3"/>
      <c r="OZL30" s="3"/>
      <c r="OZM30" s="3"/>
      <c r="OZN30" s="3"/>
      <c r="OZO30" s="3"/>
      <c r="OZP30" s="3"/>
      <c r="OZQ30" s="3"/>
      <c r="OZR30" s="3"/>
      <c r="OZS30" s="3"/>
      <c r="OZT30" s="3"/>
      <c r="OZU30" s="3"/>
      <c r="OZV30" s="3"/>
      <c r="OZW30" s="3"/>
      <c r="OZX30" s="3"/>
      <c r="OZY30" s="3"/>
      <c r="OZZ30" s="3"/>
      <c r="PAA30" s="3"/>
      <c r="PAB30" s="3"/>
      <c r="PAC30" s="3"/>
      <c r="PAD30" s="3"/>
      <c r="PAE30" s="3"/>
      <c r="PAF30" s="3"/>
      <c r="PAG30" s="3"/>
      <c r="PAH30" s="3"/>
      <c r="PAI30" s="3"/>
      <c r="PAJ30" s="3"/>
      <c r="PAK30" s="3"/>
      <c r="PAL30" s="3"/>
      <c r="PAM30" s="3"/>
      <c r="PAN30" s="3"/>
      <c r="PAO30" s="3"/>
      <c r="PAP30" s="3"/>
      <c r="PAQ30" s="3"/>
      <c r="PAR30" s="3"/>
      <c r="PAS30" s="3"/>
      <c r="PAT30" s="3"/>
      <c r="PAU30" s="3"/>
      <c r="PAV30" s="3"/>
      <c r="PAW30" s="3"/>
      <c r="PAX30" s="3"/>
      <c r="PAY30" s="3"/>
      <c r="PAZ30" s="3"/>
      <c r="PBA30" s="3"/>
      <c r="PBB30" s="3"/>
      <c r="PBC30" s="3"/>
      <c r="PBD30" s="3"/>
      <c r="PBE30" s="3"/>
      <c r="PBF30" s="3"/>
      <c r="PBG30" s="3"/>
      <c r="PBH30" s="3"/>
      <c r="PBI30" s="3"/>
      <c r="PBJ30" s="3"/>
      <c r="PBK30" s="3"/>
      <c r="PBL30" s="3"/>
      <c r="PBM30" s="3"/>
      <c r="PBN30" s="3"/>
      <c r="PBO30" s="3"/>
      <c r="PBP30" s="3"/>
      <c r="PBQ30" s="3"/>
      <c r="PBR30" s="3"/>
      <c r="PBS30" s="3"/>
      <c r="PBT30" s="3"/>
      <c r="PBU30" s="3"/>
      <c r="PBV30" s="3"/>
      <c r="PBW30" s="3"/>
      <c r="PBX30" s="3"/>
      <c r="PBY30" s="3"/>
      <c r="PBZ30" s="3"/>
      <c r="PCA30" s="3"/>
      <c r="PCB30" s="3"/>
      <c r="PCC30" s="3"/>
      <c r="PCD30" s="3"/>
      <c r="PCE30" s="3"/>
      <c r="PCF30" s="3"/>
      <c r="PCG30" s="3"/>
      <c r="PCH30" s="3"/>
      <c r="PCI30" s="3"/>
      <c r="PCJ30" s="3"/>
      <c r="PCK30" s="3"/>
      <c r="PCL30" s="3"/>
      <c r="PCM30" s="3"/>
      <c r="PCN30" s="3"/>
      <c r="PCO30" s="3"/>
      <c r="PCP30" s="3"/>
      <c r="PCQ30" s="3"/>
      <c r="PCR30" s="3"/>
      <c r="PCS30" s="3"/>
      <c r="PCT30" s="3"/>
      <c r="PCU30" s="3"/>
      <c r="PCV30" s="3"/>
      <c r="PCW30" s="3"/>
      <c r="PCX30" s="3"/>
      <c r="PCY30" s="3"/>
      <c r="PCZ30" s="3"/>
      <c r="PDA30" s="3"/>
      <c r="PDB30" s="3"/>
      <c r="PDC30" s="3"/>
      <c r="PDD30" s="3"/>
      <c r="PDE30" s="3"/>
      <c r="PDF30" s="3"/>
      <c r="PDG30" s="3"/>
      <c r="PDH30" s="3"/>
      <c r="PDI30" s="3"/>
      <c r="PDJ30" s="3"/>
      <c r="PDK30" s="3"/>
      <c r="PDL30" s="3"/>
      <c r="PDM30" s="3"/>
      <c r="PDN30" s="3"/>
      <c r="PDO30" s="3"/>
      <c r="PDP30" s="3"/>
      <c r="PDQ30" s="3"/>
      <c r="PDR30" s="3"/>
      <c r="PDS30" s="3"/>
      <c r="PDT30" s="3"/>
      <c r="PDU30" s="3"/>
      <c r="PDV30" s="3"/>
      <c r="PDW30" s="3"/>
      <c r="PDX30" s="3"/>
      <c r="PDY30" s="3"/>
      <c r="PDZ30" s="3"/>
      <c r="PEA30" s="3"/>
      <c r="PEB30" s="3"/>
      <c r="PEC30" s="3"/>
      <c r="PED30" s="3"/>
      <c r="PEE30" s="3"/>
      <c r="PEF30" s="3"/>
      <c r="PEG30" s="3"/>
      <c r="PEH30" s="3"/>
      <c r="PEI30" s="3"/>
      <c r="PEJ30" s="3"/>
      <c r="PEK30" s="3"/>
      <c r="PEL30" s="3"/>
      <c r="PEM30" s="3"/>
      <c r="PEN30" s="3"/>
      <c r="PEO30" s="3"/>
      <c r="PEP30" s="3"/>
      <c r="PEQ30" s="3"/>
      <c r="PER30" s="3"/>
      <c r="PES30" s="3"/>
      <c r="PET30" s="3"/>
      <c r="PEU30" s="3"/>
      <c r="PEV30" s="3"/>
      <c r="PEW30" s="3"/>
      <c r="PEX30" s="3"/>
      <c r="PEY30" s="3"/>
      <c r="PEZ30" s="3"/>
      <c r="PFA30" s="3"/>
      <c r="PFB30" s="3"/>
      <c r="PFC30" s="3"/>
      <c r="PFD30" s="3"/>
      <c r="PFE30" s="3"/>
      <c r="PFF30" s="3"/>
      <c r="PFG30" s="3"/>
      <c r="PFH30" s="3"/>
      <c r="PFI30" s="3"/>
      <c r="PFJ30" s="3"/>
      <c r="PFK30" s="3"/>
      <c r="PFL30" s="3"/>
      <c r="PFM30" s="3"/>
      <c r="PFN30" s="3"/>
      <c r="PFO30" s="3"/>
      <c r="PFP30" s="3"/>
      <c r="PFQ30" s="3"/>
      <c r="PFR30" s="3"/>
      <c r="PFS30" s="3"/>
      <c r="PFT30" s="3"/>
      <c r="PFU30" s="3"/>
      <c r="PFV30" s="3"/>
      <c r="PFW30" s="3"/>
      <c r="PFX30" s="3"/>
      <c r="PFY30" s="3"/>
      <c r="PFZ30" s="3"/>
      <c r="PGA30" s="3"/>
      <c r="PGB30" s="3"/>
      <c r="PGC30" s="3"/>
      <c r="PGD30" s="3"/>
      <c r="PGE30" s="3"/>
      <c r="PGF30" s="3"/>
      <c r="PGG30" s="3"/>
      <c r="PGH30" s="3"/>
      <c r="PGI30" s="3"/>
      <c r="PGJ30" s="3"/>
      <c r="PGK30" s="3"/>
      <c r="PGL30" s="3"/>
      <c r="PGM30" s="3"/>
      <c r="PGN30" s="3"/>
      <c r="PGO30" s="3"/>
      <c r="PGP30" s="3"/>
      <c r="PGQ30" s="3"/>
      <c r="PGR30" s="3"/>
      <c r="PGS30" s="3"/>
      <c r="PGT30" s="3"/>
      <c r="PGU30" s="3"/>
      <c r="PGV30" s="3"/>
      <c r="PGW30" s="3"/>
      <c r="PGX30" s="3"/>
      <c r="PGY30" s="3"/>
      <c r="PGZ30" s="3"/>
      <c r="PHA30" s="3"/>
      <c r="PHB30" s="3"/>
      <c r="PHC30" s="3"/>
      <c r="PHD30" s="3"/>
      <c r="PHE30" s="3"/>
      <c r="PHF30" s="3"/>
      <c r="PHG30" s="3"/>
      <c r="PHH30" s="3"/>
      <c r="PHI30" s="3"/>
      <c r="PHJ30" s="3"/>
      <c r="PHK30" s="3"/>
      <c r="PHL30" s="3"/>
      <c r="PHM30" s="3"/>
      <c r="PHN30" s="3"/>
      <c r="PHO30" s="3"/>
      <c r="PHP30" s="3"/>
      <c r="PHQ30" s="3"/>
      <c r="PHR30" s="3"/>
      <c r="PHS30" s="3"/>
      <c r="PHT30" s="3"/>
      <c r="PHU30" s="3"/>
      <c r="PHV30" s="3"/>
      <c r="PHW30" s="3"/>
      <c r="PHX30" s="3"/>
      <c r="PHY30" s="3"/>
      <c r="PHZ30" s="3"/>
      <c r="PIA30" s="3"/>
      <c r="PIB30" s="3"/>
      <c r="PIC30" s="3"/>
      <c r="PID30" s="3"/>
      <c r="PIE30" s="3"/>
      <c r="PIF30" s="3"/>
      <c r="PIG30" s="3"/>
      <c r="PIH30" s="3"/>
      <c r="PII30" s="3"/>
      <c r="PIJ30" s="3"/>
      <c r="PIK30" s="3"/>
      <c r="PIL30" s="3"/>
      <c r="PIM30" s="3"/>
      <c r="PIN30" s="3"/>
      <c r="PIO30" s="3"/>
      <c r="PIP30" s="3"/>
      <c r="PIQ30" s="3"/>
      <c r="PIR30" s="3"/>
      <c r="PIS30" s="3"/>
      <c r="PIT30" s="3"/>
      <c r="PIU30" s="3"/>
      <c r="PIV30" s="3"/>
      <c r="PIW30" s="3"/>
      <c r="PIX30" s="3"/>
      <c r="PIY30" s="3"/>
      <c r="PIZ30" s="3"/>
      <c r="PJA30" s="3"/>
      <c r="PJB30" s="3"/>
      <c r="PJC30" s="3"/>
      <c r="PJD30" s="3"/>
      <c r="PJE30" s="3"/>
      <c r="PJF30" s="3"/>
      <c r="PJG30" s="3"/>
      <c r="PJH30" s="3"/>
      <c r="PJI30" s="3"/>
      <c r="PJJ30" s="3"/>
      <c r="PJK30" s="3"/>
      <c r="PJL30" s="3"/>
      <c r="PJM30" s="3"/>
      <c r="PJN30" s="3"/>
      <c r="PJO30" s="3"/>
      <c r="PJP30" s="3"/>
      <c r="PJQ30" s="3"/>
      <c r="PJR30" s="3"/>
      <c r="PJS30" s="3"/>
      <c r="PJT30" s="3"/>
      <c r="PJU30" s="3"/>
      <c r="PJV30" s="3"/>
      <c r="PJW30" s="3"/>
      <c r="PJX30" s="3"/>
      <c r="PJY30" s="3"/>
      <c r="PJZ30" s="3"/>
      <c r="PKA30" s="3"/>
      <c r="PKB30" s="3"/>
      <c r="PKC30" s="3"/>
      <c r="PKD30" s="3"/>
      <c r="PKE30" s="3"/>
      <c r="PKF30" s="3"/>
      <c r="PKG30" s="3"/>
      <c r="PKH30" s="3"/>
      <c r="PKI30" s="3"/>
      <c r="PKJ30" s="3"/>
      <c r="PKK30" s="3"/>
      <c r="PKL30" s="3"/>
      <c r="PKM30" s="3"/>
      <c r="PKN30" s="3"/>
      <c r="PKO30" s="3"/>
      <c r="PKP30" s="3"/>
      <c r="PKQ30" s="3"/>
      <c r="PKR30" s="3"/>
      <c r="PKS30" s="3"/>
      <c r="PKT30" s="3"/>
      <c r="PKU30" s="3"/>
      <c r="PKV30" s="3"/>
      <c r="PKW30" s="3"/>
      <c r="PKX30" s="3"/>
      <c r="PKY30" s="3"/>
      <c r="PKZ30" s="3"/>
      <c r="PLA30" s="3"/>
      <c r="PLB30" s="3"/>
      <c r="PLC30" s="3"/>
      <c r="PLD30" s="3"/>
      <c r="PLE30" s="3"/>
      <c r="PLF30" s="3"/>
      <c r="PLG30" s="3"/>
      <c r="PLH30" s="3"/>
      <c r="PLI30" s="3"/>
      <c r="PLJ30" s="3"/>
      <c r="PLK30" s="3"/>
      <c r="PLL30" s="3"/>
      <c r="PLM30" s="3"/>
      <c r="PLN30" s="3"/>
      <c r="PLO30" s="3"/>
      <c r="PLP30" s="3"/>
      <c r="PLQ30" s="3"/>
      <c r="PLR30" s="3"/>
      <c r="PLS30" s="3"/>
      <c r="PLT30" s="3"/>
      <c r="PLU30" s="3"/>
      <c r="PLV30" s="3"/>
      <c r="PLW30" s="3"/>
      <c r="PLX30" s="3"/>
      <c r="PLY30" s="3"/>
      <c r="PLZ30" s="3"/>
      <c r="PMA30" s="3"/>
      <c r="PMB30" s="3"/>
      <c r="PMC30" s="3"/>
      <c r="PMD30" s="3"/>
      <c r="PME30" s="3"/>
      <c r="PMF30" s="3"/>
      <c r="PMG30" s="3"/>
      <c r="PMH30" s="3"/>
      <c r="PMI30" s="3"/>
      <c r="PMJ30" s="3"/>
      <c r="PMK30" s="3"/>
      <c r="PML30" s="3"/>
      <c r="PMM30" s="3"/>
      <c r="PMN30" s="3"/>
      <c r="PMO30" s="3"/>
      <c r="PMP30" s="3"/>
      <c r="PMQ30" s="3"/>
      <c r="PMR30" s="3"/>
      <c r="PMS30" s="3"/>
      <c r="PMT30" s="3"/>
      <c r="PMU30" s="3"/>
      <c r="PMV30" s="3"/>
      <c r="PMW30" s="3"/>
      <c r="PMX30" s="3"/>
      <c r="PMY30" s="3"/>
      <c r="PMZ30" s="3"/>
      <c r="PNA30" s="3"/>
      <c r="PNB30" s="3"/>
      <c r="PNC30" s="3"/>
      <c r="PND30" s="3"/>
      <c r="PNE30" s="3"/>
      <c r="PNF30" s="3"/>
      <c r="PNG30" s="3"/>
      <c r="PNH30" s="3"/>
      <c r="PNI30" s="3"/>
      <c r="PNJ30" s="3"/>
      <c r="PNK30" s="3"/>
      <c r="PNL30" s="3"/>
      <c r="PNM30" s="3"/>
      <c r="PNN30" s="3"/>
      <c r="PNO30" s="3"/>
      <c r="PNP30" s="3"/>
      <c r="PNQ30" s="3"/>
      <c r="PNR30" s="3"/>
      <c r="PNS30" s="3"/>
      <c r="PNT30" s="3"/>
      <c r="PNU30" s="3"/>
      <c r="PNV30" s="3"/>
      <c r="PNW30" s="3"/>
      <c r="PNX30" s="3"/>
      <c r="PNY30" s="3"/>
      <c r="PNZ30" s="3"/>
      <c r="POA30" s="3"/>
      <c r="POB30" s="3"/>
      <c r="POC30" s="3"/>
      <c r="POD30" s="3"/>
      <c r="POE30" s="3"/>
      <c r="POF30" s="3"/>
      <c r="POG30" s="3"/>
      <c r="POH30" s="3"/>
      <c r="POI30" s="3"/>
      <c r="POJ30" s="3"/>
      <c r="POK30" s="3"/>
      <c r="POL30" s="3"/>
      <c r="POM30" s="3"/>
      <c r="PON30" s="3"/>
      <c r="POO30" s="3"/>
      <c r="POP30" s="3"/>
      <c r="POQ30" s="3"/>
      <c r="POR30" s="3"/>
      <c r="POS30" s="3"/>
      <c r="POT30" s="3"/>
      <c r="POU30" s="3"/>
      <c r="POV30" s="3"/>
      <c r="POW30" s="3"/>
      <c r="POX30" s="3"/>
      <c r="POY30" s="3"/>
      <c r="POZ30" s="3"/>
      <c r="PPA30" s="3"/>
      <c r="PPB30" s="3"/>
      <c r="PPC30" s="3"/>
      <c r="PPD30" s="3"/>
      <c r="PPE30" s="3"/>
      <c r="PPF30" s="3"/>
      <c r="PPG30" s="3"/>
      <c r="PPH30" s="3"/>
      <c r="PPI30" s="3"/>
      <c r="PPJ30" s="3"/>
      <c r="PPK30" s="3"/>
      <c r="PPL30" s="3"/>
      <c r="PPM30" s="3"/>
      <c r="PPN30" s="3"/>
      <c r="PPO30" s="3"/>
      <c r="PPP30" s="3"/>
      <c r="PPQ30" s="3"/>
      <c r="PPR30" s="3"/>
      <c r="PPS30" s="3"/>
      <c r="PPT30" s="3"/>
      <c r="PPU30" s="3"/>
      <c r="PPV30" s="3"/>
      <c r="PPW30" s="3"/>
      <c r="PPX30" s="3"/>
      <c r="PPY30" s="3"/>
      <c r="PPZ30" s="3"/>
      <c r="PQA30" s="3"/>
      <c r="PQB30" s="3"/>
      <c r="PQC30" s="3"/>
      <c r="PQD30" s="3"/>
      <c r="PQE30" s="3"/>
      <c r="PQF30" s="3"/>
      <c r="PQG30" s="3"/>
      <c r="PQH30" s="3"/>
      <c r="PQI30" s="3"/>
      <c r="PQJ30" s="3"/>
      <c r="PQK30" s="3"/>
      <c r="PQL30" s="3"/>
      <c r="PQM30" s="3"/>
      <c r="PQN30" s="3"/>
      <c r="PQO30" s="3"/>
      <c r="PQP30" s="3"/>
      <c r="PQQ30" s="3"/>
      <c r="PQR30" s="3"/>
      <c r="PQS30" s="3"/>
      <c r="PQT30" s="3"/>
      <c r="PQU30" s="3"/>
      <c r="PQV30" s="3"/>
      <c r="PQW30" s="3"/>
      <c r="PQX30" s="3"/>
      <c r="PQY30" s="3"/>
      <c r="PQZ30" s="3"/>
      <c r="PRA30" s="3"/>
      <c r="PRB30" s="3"/>
      <c r="PRC30" s="3"/>
      <c r="PRD30" s="3"/>
      <c r="PRE30" s="3"/>
      <c r="PRF30" s="3"/>
      <c r="PRG30" s="3"/>
      <c r="PRH30" s="3"/>
      <c r="PRI30" s="3"/>
      <c r="PRJ30" s="3"/>
      <c r="PRK30" s="3"/>
      <c r="PRL30" s="3"/>
      <c r="PRM30" s="3"/>
      <c r="PRN30" s="3"/>
      <c r="PRO30" s="3"/>
      <c r="PRP30" s="3"/>
      <c r="PRQ30" s="3"/>
      <c r="PRR30" s="3"/>
      <c r="PRS30" s="3"/>
      <c r="PRT30" s="3"/>
      <c r="PRU30" s="3"/>
      <c r="PRV30" s="3"/>
      <c r="PRW30" s="3"/>
      <c r="PRX30" s="3"/>
      <c r="PRY30" s="3"/>
      <c r="PRZ30" s="3"/>
      <c r="PSA30" s="3"/>
      <c r="PSB30" s="3"/>
      <c r="PSC30" s="3"/>
      <c r="PSD30" s="3"/>
      <c r="PSE30" s="3"/>
      <c r="PSF30" s="3"/>
      <c r="PSG30" s="3"/>
      <c r="PSH30" s="3"/>
      <c r="PSI30" s="3"/>
      <c r="PSJ30" s="3"/>
      <c r="PSK30" s="3"/>
      <c r="PSL30" s="3"/>
      <c r="PSM30" s="3"/>
      <c r="PSN30" s="3"/>
      <c r="PSO30" s="3"/>
      <c r="PSP30" s="3"/>
      <c r="PSQ30" s="3"/>
      <c r="PSR30" s="3"/>
      <c r="PSS30" s="3"/>
      <c r="PST30" s="3"/>
      <c r="PSU30" s="3"/>
      <c r="PSV30" s="3"/>
      <c r="PSW30" s="3"/>
      <c r="PSX30" s="3"/>
      <c r="PSY30" s="3"/>
      <c r="PSZ30" s="3"/>
      <c r="PTA30" s="3"/>
      <c r="PTB30" s="3"/>
      <c r="PTC30" s="3"/>
      <c r="PTD30" s="3"/>
      <c r="PTE30" s="3"/>
      <c r="PTF30" s="3"/>
      <c r="PTG30" s="3"/>
      <c r="PTH30" s="3"/>
      <c r="PTI30" s="3"/>
      <c r="PTJ30" s="3"/>
      <c r="PTK30" s="3"/>
      <c r="PTL30" s="3"/>
      <c r="PTM30" s="3"/>
      <c r="PTN30" s="3"/>
      <c r="PTO30" s="3"/>
      <c r="PTP30" s="3"/>
      <c r="PTQ30" s="3"/>
      <c r="PTR30" s="3"/>
      <c r="PTS30" s="3"/>
      <c r="PTT30" s="3"/>
      <c r="PTU30" s="3"/>
      <c r="PTV30" s="3"/>
      <c r="PTW30" s="3"/>
      <c r="PTX30" s="3"/>
      <c r="PTY30" s="3"/>
      <c r="PTZ30" s="3"/>
      <c r="PUA30" s="3"/>
      <c r="PUB30" s="3"/>
      <c r="PUC30" s="3"/>
      <c r="PUD30" s="3"/>
      <c r="PUE30" s="3"/>
      <c r="PUF30" s="3"/>
      <c r="PUG30" s="3"/>
      <c r="PUH30" s="3"/>
      <c r="PUI30" s="3"/>
      <c r="PUJ30" s="3"/>
      <c r="PUK30" s="3"/>
      <c r="PUL30" s="3"/>
      <c r="PUM30" s="3"/>
      <c r="PUN30" s="3"/>
      <c r="PUO30" s="3"/>
      <c r="PUP30" s="3"/>
      <c r="PUQ30" s="3"/>
      <c r="PUR30" s="3"/>
      <c r="PUS30" s="3"/>
      <c r="PUT30" s="3"/>
      <c r="PUU30" s="3"/>
      <c r="PUV30" s="3"/>
      <c r="PUW30" s="3"/>
      <c r="PUX30" s="3"/>
      <c r="PUY30" s="3"/>
      <c r="PUZ30" s="3"/>
      <c r="PVA30" s="3"/>
      <c r="PVB30" s="3"/>
      <c r="PVC30" s="3"/>
      <c r="PVD30" s="3"/>
      <c r="PVE30" s="3"/>
      <c r="PVF30" s="3"/>
      <c r="PVG30" s="3"/>
      <c r="PVH30" s="3"/>
      <c r="PVI30" s="3"/>
      <c r="PVJ30" s="3"/>
      <c r="PVK30" s="3"/>
      <c r="PVL30" s="3"/>
      <c r="PVM30" s="3"/>
      <c r="PVN30" s="3"/>
      <c r="PVO30" s="3"/>
      <c r="PVP30" s="3"/>
      <c r="PVQ30" s="3"/>
      <c r="PVR30" s="3"/>
      <c r="PVS30" s="3"/>
      <c r="PVT30" s="3"/>
      <c r="PVU30" s="3"/>
      <c r="PVV30" s="3"/>
      <c r="PVW30" s="3"/>
      <c r="PVX30" s="3"/>
      <c r="PVY30" s="3"/>
      <c r="PVZ30" s="3"/>
      <c r="PWA30" s="3"/>
      <c r="PWB30" s="3"/>
      <c r="PWC30" s="3"/>
      <c r="PWD30" s="3"/>
      <c r="PWE30" s="3"/>
      <c r="PWF30" s="3"/>
      <c r="PWG30" s="3"/>
      <c r="PWH30" s="3"/>
      <c r="PWI30" s="3"/>
      <c r="PWJ30" s="3"/>
      <c r="PWK30" s="3"/>
      <c r="PWL30" s="3"/>
      <c r="PWM30" s="3"/>
      <c r="PWN30" s="3"/>
      <c r="PWO30" s="3"/>
      <c r="PWP30" s="3"/>
      <c r="PWQ30" s="3"/>
      <c r="PWR30" s="3"/>
      <c r="PWS30" s="3"/>
      <c r="PWT30" s="3"/>
      <c r="PWU30" s="3"/>
      <c r="PWV30" s="3"/>
      <c r="PWW30" s="3"/>
      <c r="PWX30" s="3"/>
      <c r="PWY30" s="3"/>
      <c r="PWZ30" s="3"/>
      <c r="PXA30" s="3"/>
      <c r="PXB30" s="3"/>
      <c r="PXC30" s="3"/>
      <c r="PXD30" s="3"/>
      <c r="PXE30" s="3"/>
      <c r="PXF30" s="3"/>
      <c r="PXG30" s="3"/>
      <c r="PXH30" s="3"/>
      <c r="PXI30" s="3"/>
      <c r="PXJ30" s="3"/>
      <c r="PXK30" s="3"/>
      <c r="PXL30" s="3"/>
      <c r="PXM30" s="3"/>
      <c r="PXN30" s="3"/>
      <c r="PXO30" s="3"/>
      <c r="PXP30" s="3"/>
      <c r="PXQ30" s="3"/>
      <c r="PXR30" s="3"/>
      <c r="PXS30" s="3"/>
      <c r="PXT30" s="3"/>
      <c r="PXU30" s="3"/>
      <c r="PXV30" s="3"/>
      <c r="PXW30" s="3"/>
      <c r="PXX30" s="3"/>
      <c r="PXY30" s="3"/>
      <c r="PXZ30" s="3"/>
      <c r="PYA30" s="3"/>
      <c r="PYB30" s="3"/>
      <c r="PYC30" s="3"/>
      <c r="PYD30" s="3"/>
      <c r="PYE30" s="3"/>
      <c r="PYF30" s="3"/>
      <c r="PYG30" s="3"/>
      <c r="PYH30" s="3"/>
      <c r="PYI30" s="3"/>
      <c r="PYJ30" s="3"/>
      <c r="PYK30" s="3"/>
      <c r="PYL30" s="3"/>
      <c r="PYM30" s="3"/>
      <c r="PYN30" s="3"/>
      <c r="PYO30" s="3"/>
      <c r="PYP30" s="3"/>
      <c r="PYQ30" s="3"/>
      <c r="PYR30" s="3"/>
      <c r="PYS30" s="3"/>
      <c r="PYT30" s="3"/>
      <c r="PYU30" s="3"/>
      <c r="PYV30" s="3"/>
      <c r="PYW30" s="3"/>
      <c r="PYX30" s="3"/>
      <c r="PYY30" s="3"/>
      <c r="PYZ30" s="3"/>
      <c r="PZA30" s="3"/>
      <c r="PZB30" s="3"/>
      <c r="PZC30" s="3"/>
      <c r="PZD30" s="3"/>
      <c r="PZE30" s="3"/>
      <c r="PZF30" s="3"/>
      <c r="PZG30" s="3"/>
      <c r="PZH30" s="3"/>
      <c r="PZI30" s="3"/>
      <c r="PZJ30" s="3"/>
      <c r="PZK30" s="3"/>
      <c r="PZL30" s="3"/>
      <c r="PZM30" s="3"/>
      <c r="PZN30" s="3"/>
      <c r="PZO30" s="3"/>
      <c r="PZP30" s="3"/>
      <c r="PZQ30" s="3"/>
      <c r="PZR30" s="3"/>
      <c r="PZS30" s="3"/>
      <c r="PZT30" s="3"/>
      <c r="PZU30" s="3"/>
      <c r="PZV30" s="3"/>
      <c r="PZW30" s="3"/>
      <c r="PZX30" s="3"/>
      <c r="PZY30" s="3"/>
      <c r="PZZ30" s="3"/>
      <c r="QAA30" s="3"/>
      <c r="QAB30" s="3"/>
      <c r="QAC30" s="3"/>
      <c r="QAD30" s="3"/>
      <c r="QAE30" s="3"/>
      <c r="QAF30" s="3"/>
      <c r="QAG30" s="3"/>
      <c r="QAH30" s="3"/>
      <c r="QAI30" s="3"/>
      <c r="QAJ30" s="3"/>
      <c r="QAK30" s="3"/>
      <c r="QAL30" s="3"/>
      <c r="QAM30" s="3"/>
      <c r="QAN30" s="3"/>
      <c r="QAO30" s="3"/>
      <c r="QAP30" s="3"/>
      <c r="QAQ30" s="3"/>
      <c r="QAR30" s="3"/>
      <c r="QAS30" s="3"/>
      <c r="QAT30" s="3"/>
      <c r="QAU30" s="3"/>
      <c r="QAV30" s="3"/>
      <c r="QAW30" s="3"/>
      <c r="QAX30" s="3"/>
      <c r="QAY30" s="3"/>
      <c r="QAZ30" s="3"/>
      <c r="QBA30" s="3"/>
      <c r="QBB30" s="3"/>
      <c r="QBC30" s="3"/>
      <c r="QBD30" s="3"/>
      <c r="QBE30" s="3"/>
      <c r="QBF30" s="3"/>
      <c r="QBG30" s="3"/>
      <c r="QBH30" s="3"/>
      <c r="QBI30" s="3"/>
      <c r="QBJ30" s="3"/>
      <c r="QBK30" s="3"/>
      <c r="QBL30" s="3"/>
      <c r="QBM30" s="3"/>
      <c r="QBN30" s="3"/>
      <c r="QBO30" s="3"/>
      <c r="QBP30" s="3"/>
      <c r="QBQ30" s="3"/>
      <c r="QBR30" s="3"/>
      <c r="QBS30" s="3"/>
      <c r="QBT30" s="3"/>
      <c r="QBU30" s="3"/>
      <c r="QBV30" s="3"/>
      <c r="QBW30" s="3"/>
      <c r="QBX30" s="3"/>
      <c r="QBY30" s="3"/>
      <c r="QBZ30" s="3"/>
      <c r="QCA30" s="3"/>
      <c r="QCB30" s="3"/>
      <c r="QCC30" s="3"/>
      <c r="QCD30" s="3"/>
      <c r="QCE30" s="3"/>
      <c r="QCF30" s="3"/>
      <c r="QCG30" s="3"/>
      <c r="QCH30" s="3"/>
      <c r="QCI30" s="3"/>
      <c r="QCJ30" s="3"/>
      <c r="QCK30" s="3"/>
      <c r="QCL30" s="3"/>
      <c r="QCM30" s="3"/>
      <c r="QCN30" s="3"/>
      <c r="QCO30" s="3"/>
      <c r="QCP30" s="3"/>
      <c r="QCQ30" s="3"/>
      <c r="QCR30" s="3"/>
      <c r="QCS30" s="3"/>
      <c r="QCT30" s="3"/>
      <c r="QCU30" s="3"/>
      <c r="QCV30" s="3"/>
      <c r="QCW30" s="3"/>
      <c r="QCX30" s="3"/>
      <c r="QCY30" s="3"/>
      <c r="QCZ30" s="3"/>
      <c r="QDA30" s="3"/>
      <c r="QDB30" s="3"/>
      <c r="QDC30" s="3"/>
      <c r="QDD30" s="3"/>
      <c r="QDE30" s="3"/>
      <c r="QDF30" s="3"/>
      <c r="QDG30" s="3"/>
      <c r="QDH30" s="3"/>
      <c r="QDI30" s="3"/>
      <c r="QDJ30" s="3"/>
      <c r="QDK30" s="3"/>
      <c r="QDL30" s="3"/>
      <c r="QDM30" s="3"/>
      <c r="QDN30" s="3"/>
      <c r="QDO30" s="3"/>
      <c r="QDP30" s="3"/>
      <c r="QDQ30" s="3"/>
      <c r="QDR30" s="3"/>
      <c r="QDS30" s="3"/>
      <c r="QDT30" s="3"/>
      <c r="QDU30" s="3"/>
      <c r="QDV30" s="3"/>
      <c r="QDW30" s="3"/>
      <c r="QDX30" s="3"/>
      <c r="QDY30" s="3"/>
      <c r="QDZ30" s="3"/>
      <c r="QEA30" s="3"/>
      <c r="QEB30" s="3"/>
      <c r="QEC30" s="3"/>
      <c r="QED30" s="3"/>
      <c r="QEE30" s="3"/>
      <c r="QEF30" s="3"/>
      <c r="QEG30" s="3"/>
      <c r="QEH30" s="3"/>
      <c r="QEI30" s="3"/>
      <c r="QEJ30" s="3"/>
      <c r="QEK30" s="3"/>
      <c r="QEL30" s="3"/>
      <c r="QEM30" s="3"/>
      <c r="QEN30" s="3"/>
      <c r="QEO30" s="3"/>
      <c r="QEP30" s="3"/>
      <c r="QEQ30" s="3"/>
      <c r="QER30" s="3"/>
      <c r="QES30" s="3"/>
      <c r="QET30" s="3"/>
      <c r="QEU30" s="3"/>
      <c r="QEV30" s="3"/>
      <c r="QEW30" s="3"/>
      <c r="QEX30" s="3"/>
      <c r="QEY30" s="3"/>
      <c r="QEZ30" s="3"/>
      <c r="QFA30" s="3"/>
      <c r="QFB30" s="3"/>
      <c r="QFC30" s="3"/>
      <c r="QFD30" s="3"/>
      <c r="QFE30" s="3"/>
      <c r="QFF30" s="3"/>
      <c r="QFG30" s="3"/>
      <c r="QFH30" s="3"/>
      <c r="QFI30" s="3"/>
      <c r="QFJ30" s="3"/>
      <c r="QFK30" s="3"/>
      <c r="QFL30" s="3"/>
      <c r="QFM30" s="3"/>
      <c r="QFN30" s="3"/>
      <c r="QFO30" s="3"/>
      <c r="QFP30" s="3"/>
      <c r="QFQ30" s="3"/>
      <c r="QFR30" s="3"/>
      <c r="QFS30" s="3"/>
      <c r="QFT30" s="3"/>
      <c r="QFU30" s="3"/>
      <c r="QFV30" s="3"/>
      <c r="QFW30" s="3"/>
      <c r="QFX30" s="3"/>
      <c r="QFY30" s="3"/>
      <c r="QFZ30" s="3"/>
      <c r="QGA30" s="3"/>
      <c r="QGB30" s="3"/>
      <c r="QGC30" s="3"/>
      <c r="QGD30" s="3"/>
      <c r="QGE30" s="3"/>
      <c r="QGF30" s="3"/>
      <c r="QGG30" s="3"/>
      <c r="QGH30" s="3"/>
      <c r="QGI30" s="3"/>
      <c r="QGJ30" s="3"/>
      <c r="QGK30" s="3"/>
      <c r="QGL30" s="3"/>
      <c r="QGM30" s="3"/>
      <c r="QGN30" s="3"/>
      <c r="QGO30" s="3"/>
      <c r="QGP30" s="3"/>
      <c r="QGQ30" s="3"/>
      <c r="QGR30" s="3"/>
      <c r="QGS30" s="3"/>
      <c r="QGT30" s="3"/>
      <c r="QGU30" s="3"/>
      <c r="QGV30" s="3"/>
      <c r="QGW30" s="3"/>
      <c r="QGX30" s="3"/>
      <c r="QGY30" s="3"/>
      <c r="QGZ30" s="3"/>
      <c r="QHA30" s="3"/>
      <c r="QHB30" s="3"/>
      <c r="QHC30" s="3"/>
      <c r="QHD30" s="3"/>
      <c r="QHE30" s="3"/>
      <c r="QHF30" s="3"/>
      <c r="QHG30" s="3"/>
      <c r="QHH30" s="3"/>
      <c r="QHI30" s="3"/>
      <c r="QHJ30" s="3"/>
      <c r="QHK30" s="3"/>
      <c r="QHL30" s="3"/>
      <c r="QHM30" s="3"/>
      <c r="QHN30" s="3"/>
      <c r="QHO30" s="3"/>
      <c r="QHP30" s="3"/>
      <c r="QHQ30" s="3"/>
      <c r="QHR30" s="3"/>
      <c r="QHS30" s="3"/>
      <c r="QHT30" s="3"/>
      <c r="QHU30" s="3"/>
      <c r="QHV30" s="3"/>
      <c r="QHW30" s="3"/>
      <c r="QHX30" s="3"/>
      <c r="QHY30" s="3"/>
      <c r="QHZ30" s="3"/>
      <c r="QIA30" s="3"/>
      <c r="QIB30" s="3"/>
      <c r="QIC30" s="3"/>
      <c r="QID30" s="3"/>
      <c r="QIE30" s="3"/>
      <c r="QIF30" s="3"/>
      <c r="QIG30" s="3"/>
      <c r="QIH30" s="3"/>
      <c r="QII30" s="3"/>
      <c r="QIJ30" s="3"/>
      <c r="QIK30" s="3"/>
      <c r="QIL30" s="3"/>
      <c r="QIM30" s="3"/>
      <c r="QIN30" s="3"/>
      <c r="QIO30" s="3"/>
      <c r="QIP30" s="3"/>
      <c r="QIQ30" s="3"/>
      <c r="QIR30" s="3"/>
      <c r="QIS30" s="3"/>
      <c r="QIT30" s="3"/>
      <c r="QIU30" s="3"/>
      <c r="QIV30" s="3"/>
      <c r="QIW30" s="3"/>
      <c r="QIX30" s="3"/>
      <c r="QIY30" s="3"/>
      <c r="QIZ30" s="3"/>
      <c r="QJA30" s="3"/>
      <c r="QJB30" s="3"/>
      <c r="QJC30" s="3"/>
      <c r="QJD30" s="3"/>
      <c r="QJE30" s="3"/>
      <c r="QJF30" s="3"/>
      <c r="QJG30" s="3"/>
      <c r="QJH30" s="3"/>
      <c r="QJI30" s="3"/>
      <c r="QJJ30" s="3"/>
      <c r="QJK30" s="3"/>
      <c r="QJL30" s="3"/>
      <c r="QJM30" s="3"/>
      <c r="QJN30" s="3"/>
      <c r="QJO30" s="3"/>
      <c r="QJP30" s="3"/>
      <c r="QJQ30" s="3"/>
      <c r="QJR30" s="3"/>
      <c r="QJS30" s="3"/>
      <c r="QJT30" s="3"/>
      <c r="QJU30" s="3"/>
      <c r="QJV30" s="3"/>
      <c r="QJW30" s="3"/>
      <c r="QJX30" s="3"/>
      <c r="QJY30" s="3"/>
      <c r="QJZ30" s="3"/>
      <c r="QKA30" s="3"/>
      <c r="QKB30" s="3"/>
      <c r="QKC30" s="3"/>
      <c r="QKD30" s="3"/>
      <c r="QKE30" s="3"/>
      <c r="QKF30" s="3"/>
      <c r="QKG30" s="3"/>
      <c r="QKH30" s="3"/>
      <c r="QKI30" s="3"/>
      <c r="QKJ30" s="3"/>
      <c r="QKK30" s="3"/>
      <c r="QKL30" s="3"/>
      <c r="QKM30" s="3"/>
      <c r="QKN30" s="3"/>
      <c r="QKO30" s="3"/>
      <c r="QKP30" s="3"/>
      <c r="QKQ30" s="3"/>
      <c r="QKR30" s="3"/>
      <c r="QKS30" s="3"/>
      <c r="QKT30" s="3"/>
      <c r="QKU30" s="3"/>
      <c r="QKV30" s="3"/>
      <c r="QKW30" s="3"/>
      <c r="QKX30" s="3"/>
      <c r="QKY30" s="3"/>
      <c r="QKZ30" s="3"/>
      <c r="QLA30" s="3"/>
      <c r="QLB30" s="3"/>
      <c r="QLC30" s="3"/>
      <c r="QLD30" s="3"/>
      <c r="QLE30" s="3"/>
      <c r="QLF30" s="3"/>
      <c r="QLG30" s="3"/>
      <c r="QLH30" s="3"/>
      <c r="QLI30" s="3"/>
      <c r="QLJ30" s="3"/>
      <c r="QLK30" s="3"/>
      <c r="QLL30" s="3"/>
      <c r="QLM30" s="3"/>
      <c r="QLN30" s="3"/>
      <c r="QLO30" s="3"/>
      <c r="QLP30" s="3"/>
      <c r="QLQ30" s="3"/>
      <c r="QLR30" s="3"/>
      <c r="QLS30" s="3"/>
      <c r="QLT30" s="3"/>
      <c r="QLU30" s="3"/>
      <c r="QLV30" s="3"/>
      <c r="QLW30" s="3"/>
      <c r="QLX30" s="3"/>
      <c r="QLY30" s="3"/>
      <c r="QLZ30" s="3"/>
      <c r="QMA30" s="3"/>
      <c r="QMB30" s="3"/>
      <c r="QMC30" s="3"/>
      <c r="QMD30" s="3"/>
      <c r="QME30" s="3"/>
      <c r="QMF30" s="3"/>
      <c r="QMG30" s="3"/>
      <c r="QMH30" s="3"/>
      <c r="QMI30" s="3"/>
      <c r="QMJ30" s="3"/>
      <c r="QMK30" s="3"/>
      <c r="QML30" s="3"/>
      <c r="QMM30" s="3"/>
      <c r="QMN30" s="3"/>
      <c r="QMO30" s="3"/>
      <c r="QMP30" s="3"/>
      <c r="QMQ30" s="3"/>
      <c r="QMR30" s="3"/>
      <c r="QMS30" s="3"/>
      <c r="QMT30" s="3"/>
      <c r="QMU30" s="3"/>
      <c r="QMV30" s="3"/>
      <c r="QMW30" s="3"/>
      <c r="QMX30" s="3"/>
      <c r="QMY30" s="3"/>
      <c r="QMZ30" s="3"/>
      <c r="QNA30" s="3"/>
      <c r="QNB30" s="3"/>
      <c r="QNC30" s="3"/>
      <c r="QND30" s="3"/>
      <c r="QNE30" s="3"/>
      <c r="QNF30" s="3"/>
      <c r="QNG30" s="3"/>
      <c r="QNH30" s="3"/>
      <c r="QNI30" s="3"/>
      <c r="QNJ30" s="3"/>
      <c r="QNK30" s="3"/>
      <c r="QNL30" s="3"/>
      <c r="QNM30" s="3"/>
      <c r="QNN30" s="3"/>
      <c r="QNO30" s="3"/>
      <c r="QNP30" s="3"/>
      <c r="QNQ30" s="3"/>
      <c r="QNR30" s="3"/>
      <c r="QNS30" s="3"/>
      <c r="QNT30" s="3"/>
      <c r="QNU30" s="3"/>
      <c r="QNV30" s="3"/>
      <c r="QNW30" s="3"/>
      <c r="QNX30" s="3"/>
      <c r="QNY30" s="3"/>
      <c r="QNZ30" s="3"/>
      <c r="QOA30" s="3"/>
      <c r="QOB30" s="3"/>
      <c r="QOC30" s="3"/>
      <c r="QOD30" s="3"/>
      <c r="QOE30" s="3"/>
      <c r="QOF30" s="3"/>
      <c r="QOG30" s="3"/>
      <c r="QOH30" s="3"/>
      <c r="QOI30" s="3"/>
      <c r="QOJ30" s="3"/>
      <c r="QOK30" s="3"/>
      <c r="QOL30" s="3"/>
      <c r="QOM30" s="3"/>
      <c r="QON30" s="3"/>
      <c r="QOO30" s="3"/>
      <c r="QOP30" s="3"/>
      <c r="QOQ30" s="3"/>
      <c r="QOR30" s="3"/>
      <c r="QOS30" s="3"/>
      <c r="QOT30" s="3"/>
      <c r="QOU30" s="3"/>
      <c r="QOV30" s="3"/>
      <c r="QOW30" s="3"/>
      <c r="QOX30" s="3"/>
      <c r="QOY30" s="3"/>
      <c r="QOZ30" s="3"/>
      <c r="QPA30" s="3"/>
      <c r="QPB30" s="3"/>
      <c r="QPC30" s="3"/>
      <c r="QPD30" s="3"/>
      <c r="QPE30" s="3"/>
      <c r="QPF30" s="3"/>
      <c r="QPG30" s="3"/>
      <c r="QPH30" s="3"/>
      <c r="QPI30" s="3"/>
      <c r="QPJ30" s="3"/>
      <c r="QPK30" s="3"/>
      <c r="QPL30" s="3"/>
      <c r="QPM30" s="3"/>
      <c r="QPN30" s="3"/>
      <c r="QPO30" s="3"/>
      <c r="QPP30" s="3"/>
      <c r="QPQ30" s="3"/>
      <c r="QPR30" s="3"/>
      <c r="QPS30" s="3"/>
      <c r="QPT30" s="3"/>
      <c r="QPU30" s="3"/>
      <c r="QPV30" s="3"/>
      <c r="QPW30" s="3"/>
      <c r="QPX30" s="3"/>
      <c r="QPY30" s="3"/>
      <c r="QPZ30" s="3"/>
      <c r="QQA30" s="3"/>
      <c r="QQB30" s="3"/>
      <c r="QQC30" s="3"/>
      <c r="QQD30" s="3"/>
      <c r="QQE30" s="3"/>
      <c r="QQF30" s="3"/>
      <c r="QQG30" s="3"/>
      <c r="QQH30" s="3"/>
      <c r="QQI30" s="3"/>
      <c r="QQJ30" s="3"/>
      <c r="QQK30" s="3"/>
      <c r="QQL30" s="3"/>
      <c r="QQM30" s="3"/>
      <c r="QQN30" s="3"/>
      <c r="QQO30" s="3"/>
      <c r="QQP30" s="3"/>
      <c r="QQQ30" s="3"/>
      <c r="QQR30" s="3"/>
      <c r="QQS30" s="3"/>
      <c r="QQT30" s="3"/>
      <c r="QQU30" s="3"/>
      <c r="QQV30" s="3"/>
      <c r="QQW30" s="3"/>
      <c r="QQX30" s="3"/>
      <c r="QQY30" s="3"/>
      <c r="QQZ30" s="3"/>
      <c r="QRA30" s="3"/>
      <c r="QRB30" s="3"/>
      <c r="QRC30" s="3"/>
      <c r="QRD30" s="3"/>
      <c r="QRE30" s="3"/>
      <c r="QRF30" s="3"/>
      <c r="QRG30" s="3"/>
      <c r="QRH30" s="3"/>
      <c r="QRI30" s="3"/>
      <c r="QRJ30" s="3"/>
      <c r="QRK30" s="3"/>
      <c r="QRL30" s="3"/>
      <c r="QRM30" s="3"/>
      <c r="QRN30" s="3"/>
      <c r="QRO30" s="3"/>
      <c r="QRP30" s="3"/>
      <c r="QRQ30" s="3"/>
      <c r="QRR30" s="3"/>
      <c r="QRS30" s="3"/>
      <c r="QRT30" s="3"/>
      <c r="QRU30" s="3"/>
      <c r="QRV30" s="3"/>
      <c r="QRW30" s="3"/>
      <c r="QRX30" s="3"/>
      <c r="QRY30" s="3"/>
      <c r="QRZ30" s="3"/>
      <c r="QSA30" s="3"/>
      <c r="QSB30" s="3"/>
      <c r="QSC30" s="3"/>
      <c r="QSD30" s="3"/>
      <c r="QSE30" s="3"/>
      <c r="QSF30" s="3"/>
      <c r="QSG30" s="3"/>
      <c r="QSH30" s="3"/>
      <c r="QSI30" s="3"/>
      <c r="QSJ30" s="3"/>
      <c r="QSK30" s="3"/>
      <c r="QSL30" s="3"/>
      <c r="QSM30" s="3"/>
      <c r="QSN30" s="3"/>
      <c r="QSO30" s="3"/>
      <c r="QSP30" s="3"/>
      <c r="QSQ30" s="3"/>
      <c r="QSR30" s="3"/>
      <c r="QSS30" s="3"/>
      <c r="QST30" s="3"/>
      <c r="QSU30" s="3"/>
      <c r="QSV30" s="3"/>
      <c r="QSW30" s="3"/>
      <c r="QSX30" s="3"/>
      <c r="QSY30" s="3"/>
      <c r="QSZ30" s="3"/>
      <c r="QTA30" s="3"/>
      <c r="QTB30" s="3"/>
      <c r="QTC30" s="3"/>
      <c r="QTD30" s="3"/>
      <c r="QTE30" s="3"/>
      <c r="QTF30" s="3"/>
      <c r="QTG30" s="3"/>
      <c r="QTH30" s="3"/>
      <c r="QTI30" s="3"/>
      <c r="QTJ30" s="3"/>
      <c r="QTK30" s="3"/>
      <c r="QTL30" s="3"/>
      <c r="QTM30" s="3"/>
      <c r="QTN30" s="3"/>
      <c r="QTO30" s="3"/>
      <c r="QTP30" s="3"/>
      <c r="QTQ30" s="3"/>
      <c r="QTR30" s="3"/>
      <c r="QTS30" s="3"/>
      <c r="QTT30" s="3"/>
      <c r="QTU30" s="3"/>
      <c r="QTV30" s="3"/>
      <c r="QTW30" s="3"/>
      <c r="QTX30" s="3"/>
      <c r="QTY30" s="3"/>
      <c r="QTZ30" s="3"/>
      <c r="QUA30" s="3"/>
      <c r="QUB30" s="3"/>
      <c r="QUC30" s="3"/>
      <c r="QUD30" s="3"/>
      <c r="QUE30" s="3"/>
      <c r="QUF30" s="3"/>
      <c r="QUG30" s="3"/>
      <c r="QUH30" s="3"/>
      <c r="QUI30" s="3"/>
      <c r="QUJ30" s="3"/>
      <c r="QUK30" s="3"/>
      <c r="QUL30" s="3"/>
      <c r="QUM30" s="3"/>
      <c r="QUN30" s="3"/>
      <c r="QUO30" s="3"/>
      <c r="QUP30" s="3"/>
      <c r="QUQ30" s="3"/>
      <c r="QUR30" s="3"/>
      <c r="QUS30" s="3"/>
      <c r="QUT30" s="3"/>
      <c r="QUU30" s="3"/>
      <c r="QUV30" s="3"/>
      <c r="QUW30" s="3"/>
      <c r="QUX30" s="3"/>
      <c r="QUY30" s="3"/>
      <c r="QUZ30" s="3"/>
      <c r="QVA30" s="3"/>
      <c r="QVB30" s="3"/>
      <c r="QVC30" s="3"/>
      <c r="QVD30" s="3"/>
      <c r="QVE30" s="3"/>
      <c r="QVF30" s="3"/>
      <c r="QVG30" s="3"/>
      <c r="QVH30" s="3"/>
      <c r="QVI30" s="3"/>
      <c r="QVJ30" s="3"/>
      <c r="QVK30" s="3"/>
      <c r="QVL30" s="3"/>
      <c r="QVM30" s="3"/>
      <c r="QVN30" s="3"/>
      <c r="QVO30" s="3"/>
      <c r="QVP30" s="3"/>
      <c r="QVQ30" s="3"/>
      <c r="QVR30" s="3"/>
      <c r="QVS30" s="3"/>
      <c r="QVT30" s="3"/>
      <c r="QVU30" s="3"/>
      <c r="QVV30" s="3"/>
      <c r="QVW30" s="3"/>
      <c r="QVX30" s="3"/>
      <c r="QVY30" s="3"/>
      <c r="QVZ30" s="3"/>
      <c r="QWA30" s="3"/>
      <c r="QWB30" s="3"/>
      <c r="QWC30" s="3"/>
      <c r="QWD30" s="3"/>
      <c r="QWE30" s="3"/>
      <c r="QWF30" s="3"/>
      <c r="QWG30" s="3"/>
      <c r="QWH30" s="3"/>
      <c r="QWI30" s="3"/>
      <c r="QWJ30" s="3"/>
      <c r="QWK30" s="3"/>
      <c r="QWL30" s="3"/>
      <c r="QWM30" s="3"/>
      <c r="QWN30" s="3"/>
      <c r="QWO30" s="3"/>
      <c r="QWP30" s="3"/>
      <c r="QWQ30" s="3"/>
      <c r="QWR30" s="3"/>
      <c r="QWS30" s="3"/>
      <c r="QWT30" s="3"/>
      <c r="QWU30" s="3"/>
      <c r="QWV30" s="3"/>
      <c r="QWW30" s="3"/>
      <c r="QWX30" s="3"/>
      <c r="QWY30" s="3"/>
      <c r="QWZ30" s="3"/>
      <c r="QXA30" s="3"/>
      <c r="QXB30" s="3"/>
      <c r="QXC30" s="3"/>
      <c r="QXD30" s="3"/>
      <c r="QXE30" s="3"/>
      <c r="QXF30" s="3"/>
      <c r="QXG30" s="3"/>
      <c r="QXH30" s="3"/>
      <c r="QXI30" s="3"/>
      <c r="QXJ30" s="3"/>
      <c r="QXK30" s="3"/>
      <c r="QXL30" s="3"/>
      <c r="QXM30" s="3"/>
      <c r="QXN30" s="3"/>
      <c r="QXO30" s="3"/>
      <c r="QXP30" s="3"/>
      <c r="QXQ30" s="3"/>
      <c r="QXR30" s="3"/>
      <c r="QXS30" s="3"/>
      <c r="QXT30" s="3"/>
      <c r="QXU30" s="3"/>
      <c r="QXV30" s="3"/>
      <c r="QXW30" s="3"/>
      <c r="QXX30" s="3"/>
      <c r="QXY30" s="3"/>
      <c r="QXZ30" s="3"/>
      <c r="QYA30" s="3"/>
      <c r="QYB30" s="3"/>
      <c r="QYC30" s="3"/>
      <c r="QYD30" s="3"/>
      <c r="QYE30" s="3"/>
      <c r="QYF30" s="3"/>
      <c r="QYG30" s="3"/>
      <c r="QYH30" s="3"/>
      <c r="QYI30" s="3"/>
      <c r="QYJ30" s="3"/>
      <c r="QYK30" s="3"/>
      <c r="QYL30" s="3"/>
      <c r="QYM30" s="3"/>
      <c r="QYN30" s="3"/>
      <c r="QYO30" s="3"/>
      <c r="QYP30" s="3"/>
      <c r="QYQ30" s="3"/>
      <c r="QYR30" s="3"/>
      <c r="QYS30" s="3"/>
      <c r="QYT30" s="3"/>
      <c r="QYU30" s="3"/>
      <c r="QYV30" s="3"/>
      <c r="QYW30" s="3"/>
      <c r="QYX30" s="3"/>
      <c r="QYY30" s="3"/>
      <c r="QYZ30" s="3"/>
      <c r="QZA30" s="3"/>
      <c r="QZB30" s="3"/>
      <c r="QZC30" s="3"/>
      <c r="QZD30" s="3"/>
      <c r="QZE30" s="3"/>
      <c r="QZF30" s="3"/>
      <c r="QZG30" s="3"/>
      <c r="QZH30" s="3"/>
      <c r="QZI30" s="3"/>
      <c r="QZJ30" s="3"/>
      <c r="QZK30" s="3"/>
      <c r="QZL30" s="3"/>
      <c r="QZM30" s="3"/>
      <c r="QZN30" s="3"/>
      <c r="QZO30" s="3"/>
      <c r="QZP30" s="3"/>
      <c r="QZQ30" s="3"/>
      <c r="QZR30" s="3"/>
      <c r="QZS30" s="3"/>
      <c r="QZT30" s="3"/>
      <c r="QZU30" s="3"/>
      <c r="QZV30" s="3"/>
      <c r="QZW30" s="3"/>
      <c r="QZX30" s="3"/>
      <c r="QZY30" s="3"/>
      <c r="QZZ30" s="3"/>
      <c r="RAA30" s="3"/>
      <c r="RAB30" s="3"/>
      <c r="RAC30" s="3"/>
      <c r="RAD30" s="3"/>
      <c r="RAE30" s="3"/>
      <c r="RAF30" s="3"/>
      <c r="RAG30" s="3"/>
      <c r="RAH30" s="3"/>
      <c r="RAI30" s="3"/>
      <c r="RAJ30" s="3"/>
      <c r="RAK30" s="3"/>
      <c r="RAL30" s="3"/>
      <c r="RAM30" s="3"/>
      <c r="RAN30" s="3"/>
      <c r="RAO30" s="3"/>
      <c r="RAP30" s="3"/>
      <c r="RAQ30" s="3"/>
      <c r="RAR30" s="3"/>
      <c r="RAS30" s="3"/>
      <c r="RAT30" s="3"/>
      <c r="RAU30" s="3"/>
      <c r="RAV30" s="3"/>
      <c r="RAW30" s="3"/>
      <c r="RAX30" s="3"/>
      <c r="RAY30" s="3"/>
      <c r="RAZ30" s="3"/>
      <c r="RBA30" s="3"/>
      <c r="RBB30" s="3"/>
      <c r="RBC30" s="3"/>
      <c r="RBD30" s="3"/>
      <c r="RBE30" s="3"/>
      <c r="RBF30" s="3"/>
      <c r="RBG30" s="3"/>
      <c r="RBH30" s="3"/>
      <c r="RBI30" s="3"/>
      <c r="RBJ30" s="3"/>
      <c r="RBK30" s="3"/>
      <c r="RBL30" s="3"/>
      <c r="RBM30" s="3"/>
      <c r="RBN30" s="3"/>
      <c r="RBO30" s="3"/>
      <c r="RBP30" s="3"/>
      <c r="RBQ30" s="3"/>
      <c r="RBR30" s="3"/>
      <c r="RBS30" s="3"/>
      <c r="RBT30" s="3"/>
      <c r="RBU30" s="3"/>
      <c r="RBV30" s="3"/>
      <c r="RBW30" s="3"/>
      <c r="RBX30" s="3"/>
      <c r="RBY30" s="3"/>
      <c r="RBZ30" s="3"/>
      <c r="RCA30" s="3"/>
      <c r="RCB30" s="3"/>
      <c r="RCC30" s="3"/>
      <c r="RCD30" s="3"/>
      <c r="RCE30" s="3"/>
      <c r="RCF30" s="3"/>
      <c r="RCG30" s="3"/>
      <c r="RCH30" s="3"/>
      <c r="RCI30" s="3"/>
      <c r="RCJ30" s="3"/>
      <c r="RCK30" s="3"/>
      <c r="RCL30" s="3"/>
      <c r="RCM30" s="3"/>
      <c r="RCN30" s="3"/>
      <c r="RCO30" s="3"/>
      <c r="RCP30" s="3"/>
      <c r="RCQ30" s="3"/>
      <c r="RCR30" s="3"/>
      <c r="RCS30" s="3"/>
      <c r="RCT30" s="3"/>
      <c r="RCU30" s="3"/>
      <c r="RCV30" s="3"/>
      <c r="RCW30" s="3"/>
      <c r="RCX30" s="3"/>
      <c r="RCY30" s="3"/>
      <c r="RCZ30" s="3"/>
      <c r="RDA30" s="3"/>
      <c r="RDB30" s="3"/>
      <c r="RDC30" s="3"/>
      <c r="RDD30" s="3"/>
      <c r="RDE30" s="3"/>
      <c r="RDF30" s="3"/>
      <c r="RDG30" s="3"/>
      <c r="RDH30" s="3"/>
      <c r="RDI30" s="3"/>
      <c r="RDJ30" s="3"/>
      <c r="RDK30" s="3"/>
      <c r="RDL30" s="3"/>
      <c r="RDM30" s="3"/>
      <c r="RDN30" s="3"/>
      <c r="RDO30" s="3"/>
      <c r="RDP30" s="3"/>
      <c r="RDQ30" s="3"/>
      <c r="RDR30" s="3"/>
      <c r="RDS30" s="3"/>
      <c r="RDT30" s="3"/>
      <c r="RDU30" s="3"/>
      <c r="RDV30" s="3"/>
      <c r="RDW30" s="3"/>
      <c r="RDX30" s="3"/>
      <c r="RDY30" s="3"/>
      <c r="RDZ30" s="3"/>
      <c r="REA30" s="3"/>
      <c r="REB30" s="3"/>
      <c r="REC30" s="3"/>
      <c r="RED30" s="3"/>
      <c r="REE30" s="3"/>
      <c r="REF30" s="3"/>
      <c r="REG30" s="3"/>
      <c r="REH30" s="3"/>
      <c r="REI30" s="3"/>
      <c r="REJ30" s="3"/>
      <c r="REK30" s="3"/>
      <c r="REL30" s="3"/>
      <c r="REM30" s="3"/>
      <c r="REN30" s="3"/>
      <c r="REO30" s="3"/>
      <c r="REP30" s="3"/>
      <c r="REQ30" s="3"/>
      <c r="RER30" s="3"/>
      <c r="RES30" s="3"/>
      <c r="RET30" s="3"/>
      <c r="REU30" s="3"/>
      <c r="REV30" s="3"/>
      <c r="REW30" s="3"/>
      <c r="REX30" s="3"/>
      <c r="REY30" s="3"/>
      <c r="REZ30" s="3"/>
      <c r="RFA30" s="3"/>
      <c r="RFB30" s="3"/>
      <c r="RFC30" s="3"/>
      <c r="RFD30" s="3"/>
      <c r="RFE30" s="3"/>
      <c r="RFF30" s="3"/>
      <c r="RFG30" s="3"/>
      <c r="RFH30" s="3"/>
      <c r="RFI30" s="3"/>
      <c r="RFJ30" s="3"/>
      <c r="RFK30" s="3"/>
      <c r="RFL30" s="3"/>
      <c r="RFM30" s="3"/>
      <c r="RFN30" s="3"/>
      <c r="RFO30" s="3"/>
      <c r="RFP30" s="3"/>
      <c r="RFQ30" s="3"/>
      <c r="RFR30" s="3"/>
      <c r="RFS30" s="3"/>
      <c r="RFT30" s="3"/>
      <c r="RFU30" s="3"/>
      <c r="RFV30" s="3"/>
      <c r="RFW30" s="3"/>
      <c r="RFX30" s="3"/>
      <c r="RFY30" s="3"/>
      <c r="RFZ30" s="3"/>
      <c r="RGA30" s="3"/>
      <c r="RGB30" s="3"/>
      <c r="RGC30" s="3"/>
      <c r="RGD30" s="3"/>
      <c r="RGE30" s="3"/>
      <c r="RGF30" s="3"/>
      <c r="RGG30" s="3"/>
      <c r="RGH30" s="3"/>
      <c r="RGI30" s="3"/>
      <c r="RGJ30" s="3"/>
      <c r="RGK30" s="3"/>
      <c r="RGL30" s="3"/>
      <c r="RGM30" s="3"/>
      <c r="RGN30" s="3"/>
      <c r="RGO30" s="3"/>
      <c r="RGP30" s="3"/>
      <c r="RGQ30" s="3"/>
      <c r="RGR30" s="3"/>
      <c r="RGS30" s="3"/>
      <c r="RGT30" s="3"/>
      <c r="RGU30" s="3"/>
      <c r="RGV30" s="3"/>
      <c r="RGW30" s="3"/>
      <c r="RGX30" s="3"/>
      <c r="RGY30" s="3"/>
      <c r="RGZ30" s="3"/>
      <c r="RHA30" s="3"/>
      <c r="RHB30" s="3"/>
      <c r="RHC30" s="3"/>
      <c r="RHD30" s="3"/>
      <c r="RHE30" s="3"/>
      <c r="RHF30" s="3"/>
      <c r="RHG30" s="3"/>
      <c r="RHH30" s="3"/>
      <c r="RHI30" s="3"/>
      <c r="RHJ30" s="3"/>
      <c r="RHK30" s="3"/>
      <c r="RHL30" s="3"/>
      <c r="RHM30" s="3"/>
      <c r="RHN30" s="3"/>
      <c r="RHO30" s="3"/>
      <c r="RHP30" s="3"/>
      <c r="RHQ30" s="3"/>
      <c r="RHR30" s="3"/>
      <c r="RHS30" s="3"/>
      <c r="RHT30" s="3"/>
      <c r="RHU30" s="3"/>
      <c r="RHV30" s="3"/>
      <c r="RHW30" s="3"/>
      <c r="RHX30" s="3"/>
      <c r="RHY30" s="3"/>
      <c r="RHZ30" s="3"/>
      <c r="RIA30" s="3"/>
      <c r="RIB30" s="3"/>
      <c r="RIC30" s="3"/>
      <c r="RID30" s="3"/>
      <c r="RIE30" s="3"/>
      <c r="RIF30" s="3"/>
      <c r="RIG30" s="3"/>
      <c r="RIH30" s="3"/>
      <c r="RII30" s="3"/>
      <c r="RIJ30" s="3"/>
      <c r="RIK30" s="3"/>
      <c r="RIL30" s="3"/>
      <c r="RIM30" s="3"/>
      <c r="RIN30" s="3"/>
      <c r="RIO30" s="3"/>
      <c r="RIP30" s="3"/>
      <c r="RIQ30" s="3"/>
      <c r="RIR30" s="3"/>
      <c r="RIS30" s="3"/>
      <c r="RIT30" s="3"/>
      <c r="RIU30" s="3"/>
      <c r="RIV30" s="3"/>
      <c r="RIW30" s="3"/>
      <c r="RIX30" s="3"/>
      <c r="RIY30" s="3"/>
      <c r="RIZ30" s="3"/>
      <c r="RJA30" s="3"/>
      <c r="RJB30" s="3"/>
      <c r="RJC30" s="3"/>
      <c r="RJD30" s="3"/>
      <c r="RJE30" s="3"/>
      <c r="RJF30" s="3"/>
      <c r="RJG30" s="3"/>
      <c r="RJH30" s="3"/>
      <c r="RJI30" s="3"/>
      <c r="RJJ30" s="3"/>
      <c r="RJK30" s="3"/>
      <c r="RJL30" s="3"/>
      <c r="RJM30" s="3"/>
      <c r="RJN30" s="3"/>
      <c r="RJO30" s="3"/>
      <c r="RJP30" s="3"/>
      <c r="RJQ30" s="3"/>
      <c r="RJR30" s="3"/>
      <c r="RJS30" s="3"/>
      <c r="RJT30" s="3"/>
      <c r="RJU30" s="3"/>
      <c r="RJV30" s="3"/>
      <c r="RJW30" s="3"/>
      <c r="RJX30" s="3"/>
      <c r="RJY30" s="3"/>
      <c r="RJZ30" s="3"/>
      <c r="RKA30" s="3"/>
      <c r="RKB30" s="3"/>
      <c r="RKC30" s="3"/>
      <c r="RKD30" s="3"/>
      <c r="RKE30" s="3"/>
      <c r="RKF30" s="3"/>
      <c r="RKG30" s="3"/>
      <c r="RKH30" s="3"/>
      <c r="RKI30" s="3"/>
      <c r="RKJ30" s="3"/>
      <c r="RKK30" s="3"/>
      <c r="RKL30" s="3"/>
      <c r="RKM30" s="3"/>
      <c r="RKN30" s="3"/>
      <c r="RKO30" s="3"/>
      <c r="RKP30" s="3"/>
      <c r="RKQ30" s="3"/>
      <c r="RKR30" s="3"/>
      <c r="RKS30" s="3"/>
      <c r="RKT30" s="3"/>
      <c r="RKU30" s="3"/>
      <c r="RKV30" s="3"/>
      <c r="RKW30" s="3"/>
      <c r="RKX30" s="3"/>
      <c r="RKY30" s="3"/>
      <c r="RKZ30" s="3"/>
      <c r="RLA30" s="3"/>
      <c r="RLB30" s="3"/>
      <c r="RLC30" s="3"/>
      <c r="RLD30" s="3"/>
      <c r="RLE30" s="3"/>
      <c r="RLF30" s="3"/>
      <c r="RLG30" s="3"/>
      <c r="RLH30" s="3"/>
      <c r="RLI30" s="3"/>
      <c r="RLJ30" s="3"/>
      <c r="RLK30" s="3"/>
      <c r="RLL30" s="3"/>
      <c r="RLM30" s="3"/>
      <c r="RLN30" s="3"/>
      <c r="RLO30" s="3"/>
      <c r="RLP30" s="3"/>
      <c r="RLQ30" s="3"/>
      <c r="RLR30" s="3"/>
      <c r="RLS30" s="3"/>
      <c r="RLT30" s="3"/>
      <c r="RLU30" s="3"/>
      <c r="RLV30" s="3"/>
      <c r="RLW30" s="3"/>
      <c r="RLX30" s="3"/>
      <c r="RLY30" s="3"/>
      <c r="RLZ30" s="3"/>
      <c r="RMA30" s="3"/>
      <c r="RMB30" s="3"/>
      <c r="RMC30" s="3"/>
      <c r="RMD30" s="3"/>
      <c r="RME30" s="3"/>
      <c r="RMF30" s="3"/>
      <c r="RMG30" s="3"/>
      <c r="RMH30" s="3"/>
      <c r="RMI30" s="3"/>
      <c r="RMJ30" s="3"/>
      <c r="RMK30" s="3"/>
      <c r="RML30" s="3"/>
      <c r="RMM30" s="3"/>
      <c r="RMN30" s="3"/>
      <c r="RMO30" s="3"/>
      <c r="RMP30" s="3"/>
      <c r="RMQ30" s="3"/>
      <c r="RMR30" s="3"/>
      <c r="RMS30" s="3"/>
      <c r="RMT30" s="3"/>
      <c r="RMU30" s="3"/>
      <c r="RMV30" s="3"/>
      <c r="RMW30" s="3"/>
      <c r="RMX30" s="3"/>
      <c r="RMY30" s="3"/>
      <c r="RMZ30" s="3"/>
      <c r="RNA30" s="3"/>
      <c r="RNB30" s="3"/>
      <c r="RNC30" s="3"/>
      <c r="RND30" s="3"/>
      <c r="RNE30" s="3"/>
      <c r="RNF30" s="3"/>
      <c r="RNG30" s="3"/>
      <c r="RNH30" s="3"/>
      <c r="RNI30" s="3"/>
      <c r="RNJ30" s="3"/>
      <c r="RNK30" s="3"/>
      <c r="RNL30" s="3"/>
      <c r="RNM30" s="3"/>
      <c r="RNN30" s="3"/>
      <c r="RNO30" s="3"/>
      <c r="RNP30" s="3"/>
      <c r="RNQ30" s="3"/>
      <c r="RNR30" s="3"/>
      <c r="RNS30" s="3"/>
      <c r="RNT30" s="3"/>
      <c r="RNU30" s="3"/>
      <c r="RNV30" s="3"/>
      <c r="RNW30" s="3"/>
      <c r="RNX30" s="3"/>
      <c r="RNY30" s="3"/>
      <c r="RNZ30" s="3"/>
      <c r="ROA30" s="3"/>
      <c r="ROB30" s="3"/>
      <c r="ROC30" s="3"/>
      <c r="ROD30" s="3"/>
      <c r="ROE30" s="3"/>
      <c r="ROF30" s="3"/>
      <c r="ROG30" s="3"/>
      <c r="ROH30" s="3"/>
      <c r="ROI30" s="3"/>
      <c r="ROJ30" s="3"/>
      <c r="ROK30" s="3"/>
      <c r="ROL30" s="3"/>
      <c r="ROM30" s="3"/>
      <c r="RON30" s="3"/>
      <c r="ROO30" s="3"/>
      <c r="ROP30" s="3"/>
      <c r="ROQ30" s="3"/>
      <c r="ROR30" s="3"/>
      <c r="ROS30" s="3"/>
      <c r="ROT30" s="3"/>
      <c r="ROU30" s="3"/>
      <c r="ROV30" s="3"/>
      <c r="ROW30" s="3"/>
      <c r="ROX30" s="3"/>
      <c r="ROY30" s="3"/>
      <c r="ROZ30" s="3"/>
      <c r="RPA30" s="3"/>
      <c r="RPB30" s="3"/>
      <c r="RPC30" s="3"/>
      <c r="RPD30" s="3"/>
      <c r="RPE30" s="3"/>
      <c r="RPF30" s="3"/>
      <c r="RPG30" s="3"/>
      <c r="RPH30" s="3"/>
      <c r="RPI30" s="3"/>
      <c r="RPJ30" s="3"/>
      <c r="RPK30" s="3"/>
      <c r="RPL30" s="3"/>
      <c r="RPM30" s="3"/>
      <c r="RPN30" s="3"/>
      <c r="RPO30" s="3"/>
      <c r="RPP30" s="3"/>
      <c r="RPQ30" s="3"/>
      <c r="RPR30" s="3"/>
      <c r="RPS30" s="3"/>
      <c r="RPT30" s="3"/>
      <c r="RPU30" s="3"/>
      <c r="RPV30" s="3"/>
      <c r="RPW30" s="3"/>
      <c r="RPX30" s="3"/>
      <c r="RPY30" s="3"/>
      <c r="RPZ30" s="3"/>
      <c r="RQA30" s="3"/>
      <c r="RQB30" s="3"/>
      <c r="RQC30" s="3"/>
      <c r="RQD30" s="3"/>
      <c r="RQE30" s="3"/>
      <c r="RQF30" s="3"/>
      <c r="RQG30" s="3"/>
      <c r="RQH30" s="3"/>
      <c r="RQI30" s="3"/>
      <c r="RQJ30" s="3"/>
      <c r="RQK30" s="3"/>
      <c r="RQL30" s="3"/>
      <c r="RQM30" s="3"/>
      <c r="RQN30" s="3"/>
      <c r="RQO30" s="3"/>
      <c r="RQP30" s="3"/>
      <c r="RQQ30" s="3"/>
      <c r="RQR30" s="3"/>
      <c r="RQS30" s="3"/>
      <c r="RQT30" s="3"/>
      <c r="RQU30" s="3"/>
      <c r="RQV30" s="3"/>
      <c r="RQW30" s="3"/>
      <c r="RQX30" s="3"/>
      <c r="RQY30" s="3"/>
      <c r="RQZ30" s="3"/>
      <c r="RRA30" s="3"/>
      <c r="RRB30" s="3"/>
      <c r="RRC30" s="3"/>
      <c r="RRD30" s="3"/>
      <c r="RRE30" s="3"/>
      <c r="RRF30" s="3"/>
      <c r="RRG30" s="3"/>
      <c r="RRH30" s="3"/>
      <c r="RRI30" s="3"/>
      <c r="RRJ30" s="3"/>
      <c r="RRK30" s="3"/>
      <c r="RRL30" s="3"/>
      <c r="RRM30" s="3"/>
      <c r="RRN30" s="3"/>
      <c r="RRO30" s="3"/>
      <c r="RRP30" s="3"/>
      <c r="RRQ30" s="3"/>
      <c r="RRR30" s="3"/>
      <c r="RRS30" s="3"/>
      <c r="RRT30" s="3"/>
      <c r="RRU30" s="3"/>
      <c r="RRV30" s="3"/>
      <c r="RRW30" s="3"/>
      <c r="RRX30" s="3"/>
      <c r="RRY30" s="3"/>
      <c r="RRZ30" s="3"/>
      <c r="RSA30" s="3"/>
      <c r="RSB30" s="3"/>
      <c r="RSC30" s="3"/>
      <c r="RSD30" s="3"/>
      <c r="RSE30" s="3"/>
      <c r="RSF30" s="3"/>
      <c r="RSG30" s="3"/>
      <c r="RSH30" s="3"/>
      <c r="RSI30" s="3"/>
      <c r="RSJ30" s="3"/>
      <c r="RSK30" s="3"/>
      <c r="RSL30" s="3"/>
      <c r="RSM30" s="3"/>
      <c r="RSN30" s="3"/>
      <c r="RSO30" s="3"/>
      <c r="RSP30" s="3"/>
      <c r="RSQ30" s="3"/>
      <c r="RSR30" s="3"/>
      <c r="RSS30" s="3"/>
      <c r="RST30" s="3"/>
      <c r="RSU30" s="3"/>
      <c r="RSV30" s="3"/>
      <c r="RSW30" s="3"/>
      <c r="RSX30" s="3"/>
      <c r="RSY30" s="3"/>
      <c r="RSZ30" s="3"/>
      <c r="RTA30" s="3"/>
      <c r="RTB30" s="3"/>
      <c r="RTC30" s="3"/>
      <c r="RTD30" s="3"/>
      <c r="RTE30" s="3"/>
      <c r="RTF30" s="3"/>
      <c r="RTG30" s="3"/>
      <c r="RTH30" s="3"/>
      <c r="RTI30" s="3"/>
      <c r="RTJ30" s="3"/>
      <c r="RTK30" s="3"/>
      <c r="RTL30" s="3"/>
      <c r="RTM30" s="3"/>
      <c r="RTN30" s="3"/>
      <c r="RTO30" s="3"/>
      <c r="RTP30" s="3"/>
      <c r="RTQ30" s="3"/>
      <c r="RTR30" s="3"/>
      <c r="RTS30" s="3"/>
      <c r="RTT30" s="3"/>
      <c r="RTU30" s="3"/>
      <c r="RTV30" s="3"/>
      <c r="RTW30" s="3"/>
      <c r="RTX30" s="3"/>
      <c r="RTY30" s="3"/>
      <c r="RTZ30" s="3"/>
      <c r="RUA30" s="3"/>
      <c r="RUB30" s="3"/>
      <c r="RUC30" s="3"/>
      <c r="RUD30" s="3"/>
      <c r="RUE30" s="3"/>
      <c r="RUF30" s="3"/>
      <c r="RUG30" s="3"/>
      <c r="RUH30" s="3"/>
      <c r="RUI30" s="3"/>
      <c r="RUJ30" s="3"/>
      <c r="RUK30" s="3"/>
      <c r="RUL30" s="3"/>
      <c r="RUM30" s="3"/>
      <c r="RUN30" s="3"/>
      <c r="RUO30" s="3"/>
      <c r="RUP30" s="3"/>
      <c r="RUQ30" s="3"/>
      <c r="RUR30" s="3"/>
      <c r="RUS30" s="3"/>
      <c r="RUT30" s="3"/>
      <c r="RUU30" s="3"/>
      <c r="RUV30" s="3"/>
      <c r="RUW30" s="3"/>
      <c r="RUX30" s="3"/>
      <c r="RUY30" s="3"/>
      <c r="RUZ30" s="3"/>
      <c r="RVA30" s="3"/>
      <c r="RVB30" s="3"/>
      <c r="RVC30" s="3"/>
      <c r="RVD30" s="3"/>
      <c r="RVE30" s="3"/>
      <c r="RVF30" s="3"/>
      <c r="RVG30" s="3"/>
      <c r="RVH30" s="3"/>
      <c r="RVI30" s="3"/>
      <c r="RVJ30" s="3"/>
      <c r="RVK30" s="3"/>
      <c r="RVL30" s="3"/>
      <c r="RVM30" s="3"/>
      <c r="RVN30" s="3"/>
      <c r="RVO30" s="3"/>
      <c r="RVP30" s="3"/>
      <c r="RVQ30" s="3"/>
      <c r="RVR30" s="3"/>
      <c r="RVS30" s="3"/>
      <c r="RVT30" s="3"/>
      <c r="RVU30" s="3"/>
      <c r="RVV30" s="3"/>
      <c r="RVW30" s="3"/>
      <c r="RVX30" s="3"/>
      <c r="RVY30" s="3"/>
      <c r="RVZ30" s="3"/>
      <c r="RWA30" s="3"/>
      <c r="RWB30" s="3"/>
      <c r="RWC30" s="3"/>
      <c r="RWD30" s="3"/>
      <c r="RWE30" s="3"/>
      <c r="RWF30" s="3"/>
      <c r="RWG30" s="3"/>
      <c r="RWH30" s="3"/>
      <c r="RWI30" s="3"/>
      <c r="RWJ30" s="3"/>
      <c r="RWK30" s="3"/>
      <c r="RWL30" s="3"/>
      <c r="RWM30" s="3"/>
      <c r="RWN30" s="3"/>
      <c r="RWO30" s="3"/>
      <c r="RWP30" s="3"/>
      <c r="RWQ30" s="3"/>
      <c r="RWR30" s="3"/>
      <c r="RWS30" s="3"/>
      <c r="RWT30" s="3"/>
      <c r="RWU30" s="3"/>
      <c r="RWV30" s="3"/>
      <c r="RWW30" s="3"/>
      <c r="RWX30" s="3"/>
      <c r="RWY30" s="3"/>
      <c r="RWZ30" s="3"/>
      <c r="RXA30" s="3"/>
      <c r="RXB30" s="3"/>
      <c r="RXC30" s="3"/>
      <c r="RXD30" s="3"/>
      <c r="RXE30" s="3"/>
      <c r="RXF30" s="3"/>
      <c r="RXG30" s="3"/>
      <c r="RXH30" s="3"/>
      <c r="RXI30" s="3"/>
      <c r="RXJ30" s="3"/>
      <c r="RXK30" s="3"/>
      <c r="RXL30" s="3"/>
      <c r="RXM30" s="3"/>
      <c r="RXN30" s="3"/>
      <c r="RXO30" s="3"/>
      <c r="RXP30" s="3"/>
      <c r="RXQ30" s="3"/>
      <c r="RXR30" s="3"/>
      <c r="RXS30" s="3"/>
      <c r="RXT30" s="3"/>
      <c r="RXU30" s="3"/>
      <c r="RXV30" s="3"/>
      <c r="RXW30" s="3"/>
      <c r="RXX30" s="3"/>
      <c r="RXY30" s="3"/>
      <c r="RXZ30" s="3"/>
      <c r="RYA30" s="3"/>
      <c r="RYB30" s="3"/>
      <c r="RYC30" s="3"/>
      <c r="RYD30" s="3"/>
      <c r="RYE30" s="3"/>
      <c r="RYF30" s="3"/>
      <c r="RYG30" s="3"/>
      <c r="RYH30" s="3"/>
      <c r="RYI30" s="3"/>
      <c r="RYJ30" s="3"/>
      <c r="RYK30" s="3"/>
      <c r="RYL30" s="3"/>
      <c r="RYM30" s="3"/>
      <c r="RYN30" s="3"/>
      <c r="RYO30" s="3"/>
      <c r="RYP30" s="3"/>
      <c r="RYQ30" s="3"/>
      <c r="RYR30" s="3"/>
      <c r="RYS30" s="3"/>
      <c r="RYT30" s="3"/>
      <c r="RYU30" s="3"/>
      <c r="RYV30" s="3"/>
      <c r="RYW30" s="3"/>
      <c r="RYX30" s="3"/>
      <c r="RYY30" s="3"/>
      <c r="RYZ30" s="3"/>
      <c r="RZA30" s="3"/>
      <c r="RZB30" s="3"/>
      <c r="RZC30" s="3"/>
      <c r="RZD30" s="3"/>
      <c r="RZE30" s="3"/>
      <c r="RZF30" s="3"/>
      <c r="RZG30" s="3"/>
      <c r="RZH30" s="3"/>
      <c r="RZI30" s="3"/>
      <c r="RZJ30" s="3"/>
      <c r="RZK30" s="3"/>
      <c r="RZL30" s="3"/>
      <c r="RZM30" s="3"/>
      <c r="RZN30" s="3"/>
      <c r="RZO30" s="3"/>
      <c r="RZP30" s="3"/>
      <c r="RZQ30" s="3"/>
      <c r="RZR30" s="3"/>
      <c r="RZS30" s="3"/>
      <c r="RZT30" s="3"/>
      <c r="RZU30" s="3"/>
      <c r="RZV30" s="3"/>
      <c r="RZW30" s="3"/>
      <c r="RZX30" s="3"/>
      <c r="RZY30" s="3"/>
      <c r="RZZ30" s="3"/>
      <c r="SAA30" s="3"/>
      <c r="SAB30" s="3"/>
      <c r="SAC30" s="3"/>
      <c r="SAD30" s="3"/>
      <c r="SAE30" s="3"/>
      <c r="SAF30" s="3"/>
      <c r="SAG30" s="3"/>
      <c r="SAH30" s="3"/>
      <c r="SAI30" s="3"/>
      <c r="SAJ30" s="3"/>
      <c r="SAK30" s="3"/>
      <c r="SAL30" s="3"/>
      <c r="SAM30" s="3"/>
      <c r="SAN30" s="3"/>
      <c r="SAO30" s="3"/>
      <c r="SAP30" s="3"/>
      <c r="SAQ30" s="3"/>
      <c r="SAR30" s="3"/>
      <c r="SAS30" s="3"/>
      <c r="SAT30" s="3"/>
      <c r="SAU30" s="3"/>
      <c r="SAV30" s="3"/>
      <c r="SAW30" s="3"/>
      <c r="SAX30" s="3"/>
      <c r="SAY30" s="3"/>
      <c r="SAZ30" s="3"/>
      <c r="SBA30" s="3"/>
      <c r="SBB30" s="3"/>
      <c r="SBC30" s="3"/>
      <c r="SBD30" s="3"/>
      <c r="SBE30" s="3"/>
      <c r="SBF30" s="3"/>
      <c r="SBG30" s="3"/>
      <c r="SBH30" s="3"/>
      <c r="SBI30" s="3"/>
      <c r="SBJ30" s="3"/>
      <c r="SBK30" s="3"/>
      <c r="SBL30" s="3"/>
      <c r="SBM30" s="3"/>
      <c r="SBN30" s="3"/>
      <c r="SBO30" s="3"/>
      <c r="SBP30" s="3"/>
      <c r="SBQ30" s="3"/>
      <c r="SBR30" s="3"/>
      <c r="SBS30" s="3"/>
      <c r="SBT30" s="3"/>
      <c r="SBU30" s="3"/>
      <c r="SBV30" s="3"/>
      <c r="SBW30" s="3"/>
      <c r="SBX30" s="3"/>
      <c r="SBY30" s="3"/>
      <c r="SBZ30" s="3"/>
      <c r="SCA30" s="3"/>
      <c r="SCB30" s="3"/>
      <c r="SCC30" s="3"/>
      <c r="SCD30" s="3"/>
      <c r="SCE30" s="3"/>
      <c r="SCF30" s="3"/>
      <c r="SCG30" s="3"/>
      <c r="SCH30" s="3"/>
      <c r="SCI30" s="3"/>
      <c r="SCJ30" s="3"/>
      <c r="SCK30" s="3"/>
      <c r="SCL30" s="3"/>
      <c r="SCM30" s="3"/>
      <c r="SCN30" s="3"/>
      <c r="SCO30" s="3"/>
      <c r="SCP30" s="3"/>
      <c r="SCQ30" s="3"/>
      <c r="SCR30" s="3"/>
      <c r="SCS30" s="3"/>
      <c r="SCT30" s="3"/>
      <c r="SCU30" s="3"/>
      <c r="SCV30" s="3"/>
      <c r="SCW30" s="3"/>
      <c r="SCX30" s="3"/>
      <c r="SCY30" s="3"/>
      <c r="SCZ30" s="3"/>
      <c r="SDA30" s="3"/>
      <c r="SDB30" s="3"/>
      <c r="SDC30" s="3"/>
      <c r="SDD30" s="3"/>
      <c r="SDE30" s="3"/>
      <c r="SDF30" s="3"/>
      <c r="SDG30" s="3"/>
      <c r="SDH30" s="3"/>
      <c r="SDI30" s="3"/>
      <c r="SDJ30" s="3"/>
      <c r="SDK30" s="3"/>
      <c r="SDL30" s="3"/>
      <c r="SDM30" s="3"/>
      <c r="SDN30" s="3"/>
      <c r="SDO30" s="3"/>
      <c r="SDP30" s="3"/>
      <c r="SDQ30" s="3"/>
      <c r="SDR30" s="3"/>
      <c r="SDS30" s="3"/>
      <c r="SDT30" s="3"/>
      <c r="SDU30" s="3"/>
      <c r="SDV30" s="3"/>
      <c r="SDW30" s="3"/>
      <c r="SDX30" s="3"/>
      <c r="SDY30" s="3"/>
      <c r="SDZ30" s="3"/>
      <c r="SEA30" s="3"/>
      <c r="SEB30" s="3"/>
      <c r="SEC30" s="3"/>
      <c r="SED30" s="3"/>
      <c r="SEE30" s="3"/>
      <c r="SEF30" s="3"/>
      <c r="SEG30" s="3"/>
      <c r="SEH30" s="3"/>
      <c r="SEI30" s="3"/>
      <c r="SEJ30" s="3"/>
      <c r="SEK30" s="3"/>
      <c r="SEL30" s="3"/>
      <c r="SEM30" s="3"/>
      <c r="SEN30" s="3"/>
      <c r="SEO30" s="3"/>
      <c r="SEP30" s="3"/>
      <c r="SEQ30" s="3"/>
      <c r="SER30" s="3"/>
      <c r="SES30" s="3"/>
      <c r="SET30" s="3"/>
      <c r="SEU30" s="3"/>
      <c r="SEV30" s="3"/>
      <c r="SEW30" s="3"/>
      <c r="SEX30" s="3"/>
      <c r="SEY30" s="3"/>
      <c r="SEZ30" s="3"/>
      <c r="SFA30" s="3"/>
      <c r="SFB30" s="3"/>
      <c r="SFC30" s="3"/>
      <c r="SFD30" s="3"/>
      <c r="SFE30" s="3"/>
      <c r="SFF30" s="3"/>
      <c r="SFG30" s="3"/>
      <c r="SFH30" s="3"/>
      <c r="SFI30" s="3"/>
      <c r="SFJ30" s="3"/>
      <c r="SFK30" s="3"/>
      <c r="SFL30" s="3"/>
      <c r="SFM30" s="3"/>
      <c r="SFN30" s="3"/>
      <c r="SFO30" s="3"/>
      <c r="SFP30" s="3"/>
      <c r="SFQ30" s="3"/>
      <c r="SFR30" s="3"/>
      <c r="SFS30" s="3"/>
      <c r="SFT30" s="3"/>
      <c r="SFU30" s="3"/>
      <c r="SFV30" s="3"/>
      <c r="SFW30" s="3"/>
      <c r="SFX30" s="3"/>
      <c r="SFY30" s="3"/>
      <c r="SFZ30" s="3"/>
      <c r="SGA30" s="3"/>
      <c r="SGB30" s="3"/>
      <c r="SGC30" s="3"/>
      <c r="SGD30" s="3"/>
      <c r="SGE30" s="3"/>
      <c r="SGF30" s="3"/>
      <c r="SGG30" s="3"/>
      <c r="SGH30" s="3"/>
      <c r="SGI30" s="3"/>
      <c r="SGJ30" s="3"/>
      <c r="SGK30" s="3"/>
      <c r="SGL30" s="3"/>
      <c r="SGM30" s="3"/>
      <c r="SGN30" s="3"/>
      <c r="SGO30" s="3"/>
      <c r="SGP30" s="3"/>
      <c r="SGQ30" s="3"/>
      <c r="SGR30" s="3"/>
      <c r="SGS30" s="3"/>
      <c r="SGT30" s="3"/>
      <c r="SGU30" s="3"/>
      <c r="SGV30" s="3"/>
      <c r="SGW30" s="3"/>
      <c r="SGX30" s="3"/>
      <c r="SGY30" s="3"/>
      <c r="SGZ30" s="3"/>
      <c r="SHA30" s="3"/>
      <c r="SHB30" s="3"/>
      <c r="SHC30" s="3"/>
      <c r="SHD30" s="3"/>
      <c r="SHE30" s="3"/>
      <c r="SHF30" s="3"/>
      <c r="SHG30" s="3"/>
      <c r="SHH30" s="3"/>
      <c r="SHI30" s="3"/>
      <c r="SHJ30" s="3"/>
      <c r="SHK30" s="3"/>
      <c r="SHL30" s="3"/>
      <c r="SHM30" s="3"/>
      <c r="SHN30" s="3"/>
      <c r="SHO30" s="3"/>
      <c r="SHP30" s="3"/>
      <c r="SHQ30" s="3"/>
      <c r="SHR30" s="3"/>
      <c r="SHS30" s="3"/>
      <c r="SHT30" s="3"/>
      <c r="SHU30" s="3"/>
      <c r="SHV30" s="3"/>
      <c r="SHW30" s="3"/>
      <c r="SHX30" s="3"/>
      <c r="SHY30" s="3"/>
      <c r="SHZ30" s="3"/>
      <c r="SIA30" s="3"/>
      <c r="SIB30" s="3"/>
      <c r="SIC30" s="3"/>
      <c r="SID30" s="3"/>
      <c r="SIE30" s="3"/>
      <c r="SIF30" s="3"/>
      <c r="SIG30" s="3"/>
      <c r="SIH30" s="3"/>
      <c r="SII30" s="3"/>
      <c r="SIJ30" s="3"/>
      <c r="SIK30" s="3"/>
      <c r="SIL30" s="3"/>
      <c r="SIM30" s="3"/>
      <c r="SIN30" s="3"/>
      <c r="SIO30" s="3"/>
      <c r="SIP30" s="3"/>
      <c r="SIQ30" s="3"/>
      <c r="SIR30" s="3"/>
      <c r="SIS30" s="3"/>
      <c r="SIT30" s="3"/>
      <c r="SIU30" s="3"/>
      <c r="SIV30" s="3"/>
      <c r="SIW30" s="3"/>
      <c r="SIX30" s="3"/>
      <c r="SIY30" s="3"/>
      <c r="SIZ30" s="3"/>
      <c r="SJA30" s="3"/>
      <c r="SJB30" s="3"/>
      <c r="SJC30" s="3"/>
      <c r="SJD30" s="3"/>
      <c r="SJE30" s="3"/>
      <c r="SJF30" s="3"/>
      <c r="SJG30" s="3"/>
      <c r="SJH30" s="3"/>
      <c r="SJI30" s="3"/>
      <c r="SJJ30" s="3"/>
      <c r="SJK30" s="3"/>
      <c r="SJL30" s="3"/>
      <c r="SJM30" s="3"/>
      <c r="SJN30" s="3"/>
      <c r="SJO30" s="3"/>
      <c r="SJP30" s="3"/>
      <c r="SJQ30" s="3"/>
      <c r="SJR30" s="3"/>
      <c r="SJS30" s="3"/>
      <c r="SJT30" s="3"/>
      <c r="SJU30" s="3"/>
      <c r="SJV30" s="3"/>
      <c r="SJW30" s="3"/>
      <c r="SJX30" s="3"/>
      <c r="SJY30" s="3"/>
      <c r="SJZ30" s="3"/>
      <c r="SKA30" s="3"/>
      <c r="SKB30" s="3"/>
      <c r="SKC30" s="3"/>
      <c r="SKD30" s="3"/>
      <c r="SKE30" s="3"/>
      <c r="SKF30" s="3"/>
      <c r="SKG30" s="3"/>
      <c r="SKH30" s="3"/>
      <c r="SKI30" s="3"/>
      <c r="SKJ30" s="3"/>
      <c r="SKK30" s="3"/>
      <c r="SKL30" s="3"/>
      <c r="SKM30" s="3"/>
      <c r="SKN30" s="3"/>
      <c r="SKO30" s="3"/>
      <c r="SKP30" s="3"/>
      <c r="SKQ30" s="3"/>
      <c r="SKR30" s="3"/>
      <c r="SKS30" s="3"/>
      <c r="SKT30" s="3"/>
      <c r="SKU30" s="3"/>
      <c r="SKV30" s="3"/>
      <c r="SKW30" s="3"/>
      <c r="SKX30" s="3"/>
      <c r="SKY30" s="3"/>
      <c r="SKZ30" s="3"/>
      <c r="SLA30" s="3"/>
      <c r="SLB30" s="3"/>
      <c r="SLC30" s="3"/>
      <c r="SLD30" s="3"/>
      <c r="SLE30" s="3"/>
      <c r="SLF30" s="3"/>
      <c r="SLG30" s="3"/>
      <c r="SLH30" s="3"/>
      <c r="SLI30" s="3"/>
      <c r="SLJ30" s="3"/>
      <c r="SLK30" s="3"/>
      <c r="SLL30" s="3"/>
      <c r="SLM30" s="3"/>
      <c r="SLN30" s="3"/>
      <c r="SLO30" s="3"/>
      <c r="SLP30" s="3"/>
      <c r="SLQ30" s="3"/>
      <c r="SLR30" s="3"/>
      <c r="SLS30" s="3"/>
      <c r="SLT30" s="3"/>
      <c r="SLU30" s="3"/>
      <c r="SLV30" s="3"/>
      <c r="SLW30" s="3"/>
      <c r="SLX30" s="3"/>
      <c r="SLY30" s="3"/>
      <c r="SLZ30" s="3"/>
      <c r="SMA30" s="3"/>
      <c r="SMB30" s="3"/>
      <c r="SMC30" s="3"/>
      <c r="SMD30" s="3"/>
      <c r="SME30" s="3"/>
      <c r="SMF30" s="3"/>
      <c r="SMG30" s="3"/>
      <c r="SMH30" s="3"/>
      <c r="SMI30" s="3"/>
      <c r="SMJ30" s="3"/>
      <c r="SMK30" s="3"/>
      <c r="SML30" s="3"/>
      <c r="SMM30" s="3"/>
      <c r="SMN30" s="3"/>
      <c r="SMO30" s="3"/>
      <c r="SMP30" s="3"/>
      <c r="SMQ30" s="3"/>
      <c r="SMR30" s="3"/>
      <c r="SMS30" s="3"/>
      <c r="SMT30" s="3"/>
      <c r="SMU30" s="3"/>
      <c r="SMV30" s="3"/>
      <c r="SMW30" s="3"/>
      <c r="SMX30" s="3"/>
      <c r="SMY30" s="3"/>
      <c r="SMZ30" s="3"/>
      <c r="SNA30" s="3"/>
      <c r="SNB30" s="3"/>
      <c r="SNC30" s="3"/>
      <c r="SND30" s="3"/>
      <c r="SNE30" s="3"/>
      <c r="SNF30" s="3"/>
      <c r="SNG30" s="3"/>
      <c r="SNH30" s="3"/>
      <c r="SNI30" s="3"/>
      <c r="SNJ30" s="3"/>
      <c r="SNK30" s="3"/>
      <c r="SNL30" s="3"/>
      <c r="SNM30" s="3"/>
      <c r="SNN30" s="3"/>
      <c r="SNO30" s="3"/>
      <c r="SNP30" s="3"/>
      <c r="SNQ30" s="3"/>
      <c r="SNR30" s="3"/>
      <c r="SNS30" s="3"/>
      <c r="SNT30" s="3"/>
      <c r="SNU30" s="3"/>
      <c r="SNV30" s="3"/>
      <c r="SNW30" s="3"/>
      <c r="SNX30" s="3"/>
      <c r="SNY30" s="3"/>
      <c r="SNZ30" s="3"/>
      <c r="SOA30" s="3"/>
      <c r="SOB30" s="3"/>
      <c r="SOC30" s="3"/>
      <c r="SOD30" s="3"/>
      <c r="SOE30" s="3"/>
      <c r="SOF30" s="3"/>
      <c r="SOG30" s="3"/>
      <c r="SOH30" s="3"/>
      <c r="SOI30" s="3"/>
      <c r="SOJ30" s="3"/>
      <c r="SOK30" s="3"/>
      <c r="SOL30" s="3"/>
      <c r="SOM30" s="3"/>
      <c r="SON30" s="3"/>
      <c r="SOO30" s="3"/>
      <c r="SOP30" s="3"/>
      <c r="SOQ30" s="3"/>
      <c r="SOR30" s="3"/>
      <c r="SOS30" s="3"/>
      <c r="SOT30" s="3"/>
      <c r="SOU30" s="3"/>
      <c r="SOV30" s="3"/>
      <c r="SOW30" s="3"/>
      <c r="SOX30" s="3"/>
      <c r="SOY30" s="3"/>
      <c r="SOZ30" s="3"/>
      <c r="SPA30" s="3"/>
      <c r="SPB30" s="3"/>
      <c r="SPC30" s="3"/>
      <c r="SPD30" s="3"/>
      <c r="SPE30" s="3"/>
      <c r="SPF30" s="3"/>
      <c r="SPG30" s="3"/>
      <c r="SPH30" s="3"/>
      <c r="SPI30" s="3"/>
      <c r="SPJ30" s="3"/>
      <c r="SPK30" s="3"/>
      <c r="SPL30" s="3"/>
      <c r="SPM30" s="3"/>
      <c r="SPN30" s="3"/>
      <c r="SPO30" s="3"/>
      <c r="SPP30" s="3"/>
      <c r="SPQ30" s="3"/>
      <c r="SPR30" s="3"/>
      <c r="SPS30" s="3"/>
      <c r="SPT30" s="3"/>
      <c r="SPU30" s="3"/>
      <c r="SPV30" s="3"/>
      <c r="SPW30" s="3"/>
      <c r="SPX30" s="3"/>
      <c r="SPY30" s="3"/>
      <c r="SPZ30" s="3"/>
      <c r="SQA30" s="3"/>
      <c r="SQB30" s="3"/>
      <c r="SQC30" s="3"/>
      <c r="SQD30" s="3"/>
      <c r="SQE30" s="3"/>
      <c r="SQF30" s="3"/>
      <c r="SQG30" s="3"/>
      <c r="SQH30" s="3"/>
      <c r="SQI30" s="3"/>
      <c r="SQJ30" s="3"/>
      <c r="SQK30" s="3"/>
      <c r="SQL30" s="3"/>
      <c r="SQM30" s="3"/>
      <c r="SQN30" s="3"/>
      <c r="SQO30" s="3"/>
      <c r="SQP30" s="3"/>
      <c r="SQQ30" s="3"/>
      <c r="SQR30" s="3"/>
      <c r="SQS30" s="3"/>
      <c r="SQT30" s="3"/>
      <c r="SQU30" s="3"/>
      <c r="SQV30" s="3"/>
      <c r="SQW30" s="3"/>
      <c r="SQX30" s="3"/>
      <c r="SQY30" s="3"/>
      <c r="SQZ30" s="3"/>
      <c r="SRA30" s="3"/>
      <c r="SRB30" s="3"/>
      <c r="SRC30" s="3"/>
      <c r="SRD30" s="3"/>
      <c r="SRE30" s="3"/>
      <c r="SRF30" s="3"/>
      <c r="SRG30" s="3"/>
      <c r="SRH30" s="3"/>
      <c r="SRI30" s="3"/>
      <c r="SRJ30" s="3"/>
      <c r="SRK30" s="3"/>
      <c r="SRL30" s="3"/>
      <c r="SRM30" s="3"/>
      <c r="SRN30" s="3"/>
      <c r="SRO30" s="3"/>
      <c r="SRP30" s="3"/>
      <c r="SRQ30" s="3"/>
      <c r="SRR30" s="3"/>
      <c r="SRS30" s="3"/>
      <c r="SRT30" s="3"/>
      <c r="SRU30" s="3"/>
      <c r="SRV30" s="3"/>
      <c r="SRW30" s="3"/>
      <c r="SRX30" s="3"/>
      <c r="SRY30" s="3"/>
      <c r="SRZ30" s="3"/>
      <c r="SSA30" s="3"/>
      <c r="SSB30" s="3"/>
      <c r="SSC30" s="3"/>
      <c r="SSD30" s="3"/>
      <c r="SSE30" s="3"/>
      <c r="SSF30" s="3"/>
      <c r="SSG30" s="3"/>
      <c r="SSH30" s="3"/>
      <c r="SSI30" s="3"/>
      <c r="SSJ30" s="3"/>
      <c r="SSK30" s="3"/>
      <c r="SSL30" s="3"/>
      <c r="SSM30" s="3"/>
      <c r="SSN30" s="3"/>
      <c r="SSO30" s="3"/>
      <c r="SSP30" s="3"/>
      <c r="SSQ30" s="3"/>
      <c r="SSR30" s="3"/>
      <c r="SSS30" s="3"/>
      <c r="SST30" s="3"/>
      <c r="SSU30" s="3"/>
      <c r="SSV30" s="3"/>
      <c r="SSW30" s="3"/>
      <c r="SSX30" s="3"/>
      <c r="SSY30" s="3"/>
      <c r="SSZ30" s="3"/>
      <c r="STA30" s="3"/>
      <c r="STB30" s="3"/>
      <c r="STC30" s="3"/>
      <c r="STD30" s="3"/>
      <c r="STE30" s="3"/>
      <c r="STF30" s="3"/>
      <c r="STG30" s="3"/>
      <c r="STH30" s="3"/>
      <c r="STI30" s="3"/>
      <c r="STJ30" s="3"/>
      <c r="STK30" s="3"/>
      <c r="STL30" s="3"/>
      <c r="STM30" s="3"/>
      <c r="STN30" s="3"/>
      <c r="STO30" s="3"/>
      <c r="STP30" s="3"/>
      <c r="STQ30" s="3"/>
      <c r="STR30" s="3"/>
      <c r="STS30" s="3"/>
      <c r="STT30" s="3"/>
      <c r="STU30" s="3"/>
      <c r="STV30" s="3"/>
      <c r="STW30" s="3"/>
      <c r="STX30" s="3"/>
      <c r="STY30" s="3"/>
      <c r="STZ30" s="3"/>
      <c r="SUA30" s="3"/>
      <c r="SUB30" s="3"/>
      <c r="SUC30" s="3"/>
      <c r="SUD30" s="3"/>
      <c r="SUE30" s="3"/>
      <c r="SUF30" s="3"/>
      <c r="SUG30" s="3"/>
      <c r="SUH30" s="3"/>
      <c r="SUI30" s="3"/>
      <c r="SUJ30" s="3"/>
      <c r="SUK30" s="3"/>
      <c r="SUL30" s="3"/>
      <c r="SUM30" s="3"/>
      <c r="SUN30" s="3"/>
      <c r="SUO30" s="3"/>
      <c r="SUP30" s="3"/>
      <c r="SUQ30" s="3"/>
      <c r="SUR30" s="3"/>
      <c r="SUS30" s="3"/>
      <c r="SUT30" s="3"/>
      <c r="SUU30" s="3"/>
      <c r="SUV30" s="3"/>
      <c r="SUW30" s="3"/>
      <c r="SUX30" s="3"/>
      <c r="SUY30" s="3"/>
      <c r="SUZ30" s="3"/>
      <c r="SVA30" s="3"/>
      <c r="SVB30" s="3"/>
      <c r="SVC30" s="3"/>
      <c r="SVD30" s="3"/>
      <c r="SVE30" s="3"/>
      <c r="SVF30" s="3"/>
      <c r="SVG30" s="3"/>
      <c r="SVH30" s="3"/>
      <c r="SVI30" s="3"/>
      <c r="SVJ30" s="3"/>
      <c r="SVK30" s="3"/>
      <c r="SVL30" s="3"/>
      <c r="SVM30" s="3"/>
      <c r="SVN30" s="3"/>
      <c r="SVO30" s="3"/>
      <c r="SVP30" s="3"/>
      <c r="SVQ30" s="3"/>
      <c r="SVR30" s="3"/>
      <c r="SVS30" s="3"/>
      <c r="SVT30" s="3"/>
      <c r="SVU30" s="3"/>
      <c r="SVV30" s="3"/>
      <c r="SVW30" s="3"/>
      <c r="SVX30" s="3"/>
      <c r="SVY30" s="3"/>
      <c r="SVZ30" s="3"/>
      <c r="SWA30" s="3"/>
      <c r="SWB30" s="3"/>
      <c r="SWC30" s="3"/>
      <c r="SWD30" s="3"/>
      <c r="SWE30" s="3"/>
      <c r="SWF30" s="3"/>
      <c r="SWG30" s="3"/>
      <c r="SWH30" s="3"/>
      <c r="SWI30" s="3"/>
      <c r="SWJ30" s="3"/>
      <c r="SWK30" s="3"/>
      <c r="SWL30" s="3"/>
      <c r="SWM30" s="3"/>
      <c r="SWN30" s="3"/>
      <c r="SWO30" s="3"/>
      <c r="SWP30" s="3"/>
      <c r="SWQ30" s="3"/>
      <c r="SWR30" s="3"/>
      <c r="SWS30" s="3"/>
      <c r="SWT30" s="3"/>
      <c r="SWU30" s="3"/>
      <c r="SWV30" s="3"/>
      <c r="SWW30" s="3"/>
      <c r="SWX30" s="3"/>
      <c r="SWY30" s="3"/>
      <c r="SWZ30" s="3"/>
      <c r="SXA30" s="3"/>
      <c r="SXB30" s="3"/>
      <c r="SXC30" s="3"/>
      <c r="SXD30" s="3"/>
      <c r="SXE30" s="3"/>
      <c r="SXF30" s="3"/>
      <c r="SXG30" s="3"/>
      <c r="SXH30" s="3"/>
      <c r="SXI30" s="3"/>
      <c r="SXJ30" s="3"/>
      <c r="SXK30" s="3"/>
      <c r="SXL30" s="3"/>
      <c r="SXM30" s="3"/>
      <c r="SXN30" s="3"/>
      <c r="SXO30" s="3"/>
      <c r="SXP30" s="3"/>
      <c r="SXQ30" s="3"/>
      <c r="SXR30" s="3"/>
      <c r="SXS30" s="3"/>
      <c r="SXT30" s="3"/>
      <c r="SXU30" s="3"/>
      <c r="SXV30" s="3"/>
      <c r="SXW30" s="3"/>
      <c r="SXX30" s="3"/>
      <c r="SXY30" s="3"/>
      <c r="SXZ30" s="3"/>
      <c r="SYA30" s="3"/>
      <c r="SYB30" s="3"/>
      <c r="SYC30" s="3"/>
      <c r="SYD30" s="3"/>
      <c r="SYE30" s="3"/>
      <c r="SYF30" s="3"/>
      <c r="SYG30" s="3"/>
      <c r="SYH30" s="3"/>
      <c r="SYI30" s="3"/>
      <c r="SYJ30" s="3"/>
      <c r="SYK30" s="3"/>
      <c r="SYL30" s="3"/>
      <c r="SYM30" s="3"/>
      <c r="SYN30" s="3"/>
      <c r="SYO30" s="3"/>
      <c r="SYP30" s="3"/>
      <c r="SYQ30" s="3"/>
      <c r="SYR30" s="3"/>
      <c r="SYS30" s="3"/>
      <c r="SYT30" s="3"/>
      <c r="SYU30" s="3"/>
      <c r="SYV30" s="3"/>
      <c r="SYW30" s="3"/>
      <c r="SYX30" s="3"/>
      <c r="SYY30" s="3"/>
      <c r="SYZ30" s="3"/>
      <c r="SZA30" s="3"/>
      <c r="SZB30" s="3"/>
      <c r="SZC30" s="3"/>
      <c r="SZD30" s="3"/>
      <c r="SZE30" s="3"/>
      <c r="SZF30" s="3"/>
      <c r="SZG30" s="3"/>
      <c r="SZH30" s="3"/>
      <c r="SZI30" s="3"/>
      <c r="SZJ30" s="3"/>
      <c r="SZK30" s="3"/>
      <c r="SZL30" s="3"/>
      <c r="SZM30" s="3"/>
      <c r="SZN30" s="3"/>
      <c r="SZO30" s="3"/>
      <c r="SZP30" s="3"/>
      <c r="SZQ30" s="3"/>
      <c r="SZR30" s="3"/>
      <c r="SZS30" s="3"/>
      <c r="SZT30" s="3"/>
      <c r="SZU30" s="3"/>
      <c r="SZV30" s="3"/>
      <c r="SZW30" s="3"/>
      <c r="SZX30" s="3"/>
      <c r="SZY30" s="3"/>
      <c r="SZZ30" s="3"/>
      <c r="TAA30" s="3"/>
      <c r="TAB30" s="3"/>
      <c r="TAC30" s="3"/>
      <c r="TAD30" s="3"/>
      <c r="TAE30" s="3"/>
      <c r="TAF30" s="3"/>
      <c r="TAG30" s="3"/>
      <c r="TAH30" s="3"/>
      <c r="TAI30" s="3"/>
      <c r="TAJ30" s="3"/>
      <c r="TAK30" s="3"/>
      <c r="TAL30" s="3"/>
      <c r="TAM30" s="3"/>
      <c r="TAN30" s="3"/>
      <c r="TAO30" s="3"/>
      <c r="TAP30" s="3"/>
      <c r="TAQ30" s="3"/>
      <c r="TAR30" s="3"/>
      <c r="TAS30" s="3"/>
      <c r="TAT30" s="3"/>
      <c r="TAU30" s="3"/>
      <c r="TAV30" s="3"/>
      <c r="TAW30" s="3"/>
      <c r="TAX30" s="3"/>
      <c r="TAY30" s="3"/>
      <c r="TAZ30" s="3"/>
      <c r="TBA30" s="3"/>
      <c r="TBB30" s="3"/>
      <c r="TBC30" s="3"/>
      <c r="TBD30" s="3"/>
      <c r="TBE30" s="3"/>
      <c r="TBF30" s="3"/>
      <c r="TBG30" s="3"/>
      <c r="TBH30" s="3"/>
      <c r="TBI30" s="3"/>
      <c r="TBJ30" s="3"/>
      <c r="TBK30" s="3"/>
      <c r="TBL30" s="3"/>
      <c r="TBM30" s="3"/>
      <c r="TBN30" s="3"/>
      <c r="TBO30" s="3"/>
      <c r="TBP30" s="3"/>
      <c r="TBQ30" s="3"/>
      <c r="TBR30" s="3"/>
      <c r="TBS30" s="3"/>
      <c r="TBT30" s="3"/>
      <c r="TBU30" s="3"/>
      <c r="TBV30" s="3"/>
      <c r="TBW30" s="3"/>
      <c r="TBX30" s="3"/>
      <c r="TBY30" s="3"/>
      <c r="TBZ30" s="3"/>
      <c r="TCA30" s="3"/>
      <c r="TCB30" s="3"/>
      <c r="TCC30" s="3"/>
      <c r="TCD30" s="3"/>
      <c r="TCE30" s="3"/>
      <c r="TCF30" s="3"/>
      <c r="TCG30" s="3"/>
      <c r="TCH30" s="3"/>
      <c r="TCI30" s="3"/>
      <c r="TCJ30" s="3"/>
      <c r="TCK30" s="3"/>
      <c r="TCL30" s="3"/>
      <c r="TCM30" s="3"/>
      <c r="TCN30" s="3"/>
      <c r="TCO30" s="3"/>
      <c r="TCP30" s="3"/>
      <c r="TCQ30" s="3"/>
      <c r="TCR30" s="3"/>
      <c r="TCS30" s="3"/>
      <c r="TCT30" s="3"/>
      <c r="TCU30" s="3"/>
      <c r="TCV30" s="3"/>
      <c r="TCW30" s="3"/>
      <c r="TCX30" s="3"/>
      <c r="TCY30" s="3"/>
      <c r="TCZ30" s="3"/>
      <c r="TDA30" s="3"/>
      <c r="TDB30" s="3"/>
      <c r="TDC30" s="3"/>
      <c r="TDD30" s="3"/>
      <c r="TDE30" s="3"/>
      <c r="TDF30" s="3"/>
      <c r="TDG30" s="3"/>
      <c r="TDH30" s="3"/>
      <c r="TDI30" s="3"/>
      <c r="TDJ30" s="3"/>
      <c r="TDK30" s="3"/>
      <c r="TDL30" s="3"/>
      <c r="TDM30" s="3"/>
      <c r="TDN30" s="3"/>
      <c r="TDO30" s="3"/>
      <c r="TDP30" s="3"/>
      <c r="TDQ30" s="3"/>
      <c r="TDR30" s="3"/>
      <c r="TDS30" s="3"/>
      <c r="TDT30" s="3"/>
      <c r="TDU30" s="3"/>
      <c r="TDV30" s="3"/>
      <c r="TDW30" s="3"/>
      <c r="TDX30" s="3"/>
      <c r="TDY30" s="3"/>
      <c r="TDZ30" s="3"/>
      <c r="TEA30" s="3"/>
      <c r="TEB30" s="3"/>
      <c r="TEC30" s="3"/>
      <c r="TED30" s="3"/>
      <c r="TEE30" s="3"/>
      <c r="TEF30" s="3"/>
      <c r="TEG30" s="3"/>
      <c r="TEH30" s="3"/>
      <c r="TEI30" s="3"/>
      <c r="TEJ30" s="3"/>
      <c r="TEK30" s="3"/>
      <c r="TEL30" s="3"/>
      <c r="TEM30" s="3"/>
      <c r="TEN30" s="3"/>
      <c r="TEO30" s="3"/>
      <c r="TEP30" s="3"/>
      <c r="TEQ30" s="3"/>
      <c r="TER30" s="3"/>
      <c r="TES30" s="3"/>
      <c r="TET30" s="3"/>
      <c r="TEU30" s="3"/>
      <c r="TEV30" s="3"/>
      <c r="TEW30" s="3"/>
      <c r="TEX30" s="3"/>
      <c r="TEY30" s="3"/>
      <c r="TEZ30" s="3"/>
      <c r="TFA30" s="3"/>
      <c r="TFB30" s="3"/>
      <c r="TFC30" s="3"/>
      <c r="TFD30" s="3"/>
      <c r="TFE30" s="3"/>
      <c r="TFF30" s="3"/>
      <c r="TFG30" s="3"/>
      <c r="TFH30" s="3"/>
      <c r="TFI30" s="3"/>
      <c r="TFJ30" s="3"/>
      <c r="TFK30" s="3"/>
      <c r="TFL30" s="3"/>
      <c r="TFM30" s="3"/>
      <c r="TFN30" s="3"/>
      <c r="TFO30" s="3"/>
      <c r="TFP30" s="3"/>
      <c r="TFQ30" s="3"/>
      <c r="TFR30" s="3"/>
      <c r="TFS30" s="3"/>
      <c r="TFT30" s="3"/>
      <c r="TFU30" s="3"/>
      <c r="TFV30" s="3"/>
      <c r="TFW30" s="3"/>
      <c r="TFX30" s="3"/>
      <c r="TFY30" s="3"/>
      <c r="TFZ30" s="3"/>
      <c r="TGA30" s="3"/>
      <c r="TGB30" s="3"/>
      <c r="TGC30" s="3"/>
      <c r="TGD30" s="3"/>
      <c r="TGE30" s="3"/>
      <c r="TGF30" s="3"/>
      <c r="TGG30" s="3"/>
      <c r="TGH30" s="3"/>
      <c r="TGI30" s="3"/>
      <c r="TGJ30" s="3"/>
      <c r="TGK30" s="3"/>
      <c r="TGL30" s="3"/>
      <c r="TGM30" s="3"/>
      <c r="TGN30" s="3"/>
      <c r="TGO30" s="3"/>
      <c r="TGP30" s="3"/>
      <c r="TGQ30" s="3"/>
      <c r="TGR30" s="3"/>
      <c r="TGS30" s="3"/>
      <c r="TGT30" s="3"/>
      <c r="TGU30" s="3"/>
      <c r="TGV30" s="3"/>
      <c r="TGW30" s="3"/>
      <c r="TGX30" s="3"/>
      <c r="TGY30" s="3"/>
      <c r="TGZ30" s="3"/>
      <c r="THA30" s="3"/>
      <c r="THB30" s="3"/>
      <c r="THC30" s="3"/>
      <c r="THD30" s="3"/>
      <c r="THE30" s="3"/>
      <c r="THF30" s="3"/>
      <c r="THG30" s="3"/>
      <c r="THH30" s="3"/>
      <c r="THI30" s="3"/>
      <c r="THJ30" s="3"/>
      <c r="THK30" s="3"/>
      <c r="THL30" s="3"/>
      <c r="THM30" s="3"/>
      <c r="THN30" s="3"/>
      <c r="THO30" s="3"/>
      <c r="THP30" s="3"/>
      <c r="THQ30" s="3"/>
      <c r="THR30" s="3"/>
      <c r="THS30" s="3"/>
      <c r="THT30" s="3"/>
      <c r="THU30" s="3"/>
      <c r="THV30" s="3"/>
      <c r="THW30" s="3"/>
      <c r="THX30" s="3"/>
      <c r="THY30" s="3"/>
      <c r="THZ30" s="3"/>
      <c r="TIA30" s="3"/>
      <c r="TIB30" s="3"/>
      <c r="TIC30" s="3"/>
      <c r="TID30" s="3"/>
      <c r="TIE30" s="3"/>
      <c r="TIF30" s="3"/>
      <c r="TIG30" s="3"/>
      <c r="TIH30" s="3"/>
      <c r="TII30" s="3"/>
      <c r="TIJ30" s="3"/>
      <c r="TIK30" s="3"/>
      <c r="TIL30" s="3"/>
      <c r="TIM30" s="3"/>
      <c r="TIN30" s="3"/>
      <c r="TIO30" s="3"/>
      <c r="TIP30" s="3"/>
      <c r="TIQ30" s="3"/>
      <c r="TIR30" s="3"/>
      <c r="TIS30" s="3"/>
      <c r="TIT30" s="3"/>
      <c r="TIU30" s="3"/>
      <c r="TIV30" s="3"/>
      <c r="TIW30" s="3"/>
      <c r="TIX30" s="3"/>
      <c r="TIY30" s="3"/>
      <c r="TIZ30" s="3"/>
      <c r="TJA30" s="3"/>
      <c r="TJB30" s="3"/>
      <c r="TJC30" s="3"/>
      <c r="TJD30" s="3"/>
      <c r="TJE30" s="3"/>
      <c r="TJF30" s="3"/>
      <c r="TJG30" s="3"/>
      <c r="TJH30" s="3"/>
      <c r="TJI30" s="3"/>
      <c r="TJJ30" s="3"/>
      <c r="TJK30" s="3"/>
      <c r="TJL30" s="3"/>
      <c r="TJM30" s="3"/>
      <c r="TJN30" s="3"/>
      <c r="TJO30" s="3"/>
      <c r="TJP30" s="3"/>
      <c r="TJQ30" s="3"/>
      <c r="TJR30" s="3"/>
      <c r="TJS30" s="3"/>
      <c r="TJT30" s="3"/>
      <c r="TJU30" s="3"/>
      <c r="TJV30" s="3"/>
      <c r="TJW30" s="3"/>
      <c r="TJX30" s="3"/>
      <c r="TJY30" s="3"/>
      <c r="TJZ30" s="3"/>
      <c r="TKA30" s="3"/>
      <c r="TKB30" s="3"/>
      <c r="TKC30" s="3"/>
      <c r="TKD30" s="3"/>
      <c r="TKE30" s="3"/>
      <c r="TKF30" s="3"/>
      <c r="TKG30" s="3"/>
      <c r="TKH30" s="3"/>
      <c r="TKI30" s="3"/>
      <c r="TKJ30" s="3"/>
      <c r="TKK30" s="3"/>
      <c r="TKL30" s="3"/>
      <c r="TKM30" s="3"/>
      <c r="TKN30" s="3"/>
      <c r="TKO30" s="3"/>
      <c r="TKP30" s="3"/>
      <c r="TKQ30" s="3"/>
      <c r="TKR30" s="3"/>
      <c r="TKS30" s="3"/>
      <c r="TKT30" s="3"/>
      <c r="TKU30" s="3"/>
      <c r="TKV30" s="3"/>
      <c r="TKW30" s="3"/>
      <c r="TKX30" s="3"/>
      <c r="TKY30" s="3"/>
      <c r="TKZ30" s="3"/>
      <c r="TLA30" s="3"/>
      <c r="TLB30" s="3"/>
      <c r="TLC30" s="3"/>
      <c r="TLD30" s="3"/>
      <c r="TLE30" s="3"/>
      <c r="TLF30" s="3"/>
      <c r="TLG30" s="3"/>
      <c r="TLH30" s="3"/>
      <c r="TLI30" s="3"/>
      <c r="TLJ30" s="3"/>
      <c r="TLK30" s="3"/>
      <c r="TLL30" s="3"/>
      <c r="TLM30" s="3"/>
      <c r="TLN30" s="3"/>
      <c r="TLO30" s="3"/>
      <c r="TLP30" s="3"/>
      <c r="TLQ30" s="3"/>
      <c r="TLR30" s="3"/>
      <c r="TLS30" s="3"/>
      <c r="TLT30" s="3"/>
      <c r="TLU30" s="3"/>
      <c r="TLV30" s="3"/>
      <c r="TLW30" s="3"/>
      <c r="TLX30" s="3"/>
      <c r="TLY30" s="3"/>
      <c r="TLZ30" s="3"/>
      <c r="TMA30" s="3"/>
      <c r="TMB30" s="3"/>
      <c r="TMC30" s="3"/>
      <c r="TMD30" s="3"/>
      <c r="TME30" s="3"/>
      <c r="TMF30" s="3"/>
      <c r="TMG30" s="3"/>
      <c r="TMH30" s="3"/>
      <c r="TMI30" s="3"/>
      <c r="TMJ30" s="3"/>
      <c r="TMK30" s="3"/>
      <c r="TML30" s="3"/>
      <c r="TMM30" s="3"/>
      <c r="TMN30" s="3"/>
      <c r="TMO30" s="3"/>
      <c r="TMP30" s="3"/>
      <c r="TMQ30" s="3"/>
      <c r="TMR30" s="3"/>
      <c r="TMS30" s="3"/>
      <c r="TMT30" s="3"/>
      <c r="TMU30" s="3"/>
      <c r="TMV30" s="3"/>
      <c r="TMW30" s="3"/>
      <c r="TMX30" s="3"/>
      <c r="TMY30" s="3"/>
      <c r="TMZ30" s="3"/>
      <c r="TNA30" s="3"/>
      <c r="TNB30" s="3"/>
      <c r="TNC30" s="3"/>
      <c r="TND30" s="3"/>
      <c r="TNE30" s="3"/>
      <c r="TNF30" s="3"/>
      <c r="TNG30" s="3"/>
      <c r="TNH30" s="3"/>
      <c r="TNI30" s="3"/>
      <c r="TNJ30" s="3"/>
      <c r="TNK30" s="3"/>
      <c r="TNL30" s="3"/>
      <c r="TNM30" s="3"/>
      <c r="TNN30" s="3"/>
      <c r="TNO30" s="3"/>
      <c r="TNP30" s="3"/>
      <c r="TNQ30" s="3"/>
      <c r="TNR30" s="3"/>
      <c r="TNS30" s="3"/>
      <c r="TNT30" s="3"/>
      <c r="TNU30" s="3"/>
      <c r="TNV30" s="3"/>
      <c r="TNW30" s="3"/>
      <c r="TNX30" s="3"/>
      <c r="TNY30" s="3"/>
      <c r="TNZ30" s="3"/>
      <c r="TOA30" s="3"/>
      <c r="TOB30" s="3"/>
      <c r="TOC30" s="3"/>
      <c r="TOD30" s="3"/>
      <c r="TOE30" s="3"/>
      <c r="TOF30" s="3"/>
      <c r="TOG30" s="3"/>
      <c r="TOH30" s="3"/>
      <c r="TOI30" s="3"/>
      <c r="TOJ30" s="3"/>
      <c r="TOK30" s="3"/>
      <c r="TOL30" s="3"/>
      <c r="TOM30" s="3"/>
      <c r="TON30" s="3"/>
      <c r="TOO30" s="3"/>
      <c r="TOP30" s="3"/>
      <c r="TOQ30" s="3"/>
      <c r="TOR30" s="3"/>
      <c r="TOS30" s="3"/>
      <c r="TOT30" s="3"/>
      <c r="TOU30" s="3"/>
      <c r="TOV30" s="3"/>
      <c r="TOW30" s="3"/>
      <c r="TOX30" s="3"/>
      <c r="TOY30" s="3"/>
      <c r="TOZ30" s="3"/>
      <c r="TPA30" s="3"/>
      <c r="TPB30" s="3"/>
      <c r="TPC30" s="3"/>
      <c r="TPD30" s="3"/>
      <c r="TPE30" s="3"/>
      <c r="TPF30" s="3"/>
      <c r="TPG30" s="3"/>
      <c r="TPH30" s="3"/>
      <c r="TPI30" s="3"/>
      <c r="TPJ30" s="3"/>
      <c r="TPK30" s="3"/>
      <c r="TPL30" s="3"/>
      <c r="TPM30" s="3"/>
      <c r="TPN30" s="3"/>
      <c r="TPO30" s="3"/>
      <c r="TPP30" s="3"/>
      <c r="TPQ30" s="3"/>
      <c r="TPR30" s="3"/>
      <c r="TPS30" s="3"/>
      <c r="TPT30" s="3"/>
      <c r="TPU30" s="3"/>
      <c r="TPV30" s="3"/>
      <c r="TPW30" s="3"/>
      <c r="TPX30" s="3"/>
      <c r="TPY30" s="3"/>
      <c r="TPZ30" s="3"/>
      <c r="TQA30" s="3"/>
      <c r="TQB30" s="3"/>
      <c r="TQC30" s="3"/>
      <c r="TQD30" s="3"/>
      <c r="TQE30" s="3"/>
      <c r="TQF30" s="3"/>
      <c r="TQG30" s="3"/>
      <c r="TQH30" s="3"/>
      <c r="TQI30" s="3"/>
      <c r="TQJ30" s="3"/>
      <c r="TQK30" s="3"/>
      <c r="TQL30" s="3"/>
      <c r="TQM30" s="3"/>
      <c r="TQN30" s="3"/>
      <c r="TQO30" s="3"/>
      <c r="TQP30" s="3"/>
      <c r="TQQ30" s="3"/>
      <c r="TQR30" s="3"/>
      <c r="TQS30" s="3"/>
      <c r="TQT30" s="3"/>
      <c r="TQU30" s="3"/>
      <c r="TQV30" s="3"/>
      <c r="TQW30" s="3"/>
      <c r="TQX30" s="3"/>
      <c r="TQY30" s="3"/>
      <c r="TQZ30" s="3"/>
      <c r="TRA30" s="3"/>
      <c r="TRB30" s="3"/>
      <c r="TRC30" s="3"/>
      <c r="TRD30" s="3"/>
      <c r="TRE30" s="3"/>
      <c r="TRF30" s="3"/>
      <c r="TRG30" s="3"/>
      <c r="TRH30" s="3"/>
      <c r="TRI30" s="3"/>
      <c r="TRJ30" s="3"/>
      <c r="TRK30" s="3"/>
      <c r="TRL30" s="3"/>
      <c r="TRM30" s="3"/>
      <c r="TRN30" s="3"/>
      <c r="TRO30" s="3"/>
      <c r="TRP30" s="3"/>
      <c r="TRQ30" s="3"/>
      <c r="TRR30" s="3"/>
      <c r="TRS30" s="3"/>
      <c r="TRT30" s="3"/>
      <c r="TRU30" s="3"/>
      <c r="TRV30" s="3"/>
      <c r="TRW30" s="3"/>
      <c r="TRX30" s="3"/>
      <c r="TRY30" s="3"/>
      <c r="TRZ30" s="3"/>
      <c r="TSA30" s="3"/>
      <c r="TSB30" s="3"/>
      <c r="TSC30" s="3"/>
      <c r="TSD30" s="3"/>
      <c r="TSE30" s="3"/>
      <c r="TSF30" s="3"/>
      <c r="TSG30" s="3"/>
      <c r="TSH30" s="3"/>
      <c r="TSI30" s="3"/>
      <c r="TSJ30" s="3"/>
      <c r="TSK30" s="3"/>
      <c r="TSL30" s="3"/>
      <c r="TSM30" s="3"/>
      <c r="TSN30" s="3"/>
      <c r="TSO30" s="3"/>
      <c r="TSP30" s="3"/>
      <c r="TSQ30" s="3"/>
      <c r="TSR30" s="3"/>
      <c r="TSS30" s="3"/>
      <c r="TST30" s="3"/>
      <c r="TSU30" s="3"/>
      <c r="TSV30" s="3"/>
      <c r="TSW30" s="3"/>
      <c r="TSX30" s="3"/>
      <c r="TSY30" s="3"/>
      <c r="TSZ30" s="3"/>
      <c r="TTA30" s="3"/>
      <c r="TTB30" s="3"/>
      <c r="TTC30" s="3"/>
      <c r="TTD30" s="3"/>
      <c r="TTE30" s="3"/>
      <c r="TTF30" s="3"/>
      <c r="TTG30" s="3"/>
      <c r="TTH30" s="3"/>
      <c r="TTI30" s="3"/>
      <c r="TTJ30" s="3"/>
      <c r="TTK30" s="3"/>
      <c r="TTL30" s="3"/>
      <c r="TTM30" s="3"/>
      <c r="TTN30" s="3"/>
      <c r="TTO30" s="3"/>
      <c r="TTP30" s="3"/>
      <c r="TTQ30" s="3"/>
      <c r="TTR30" s="3"/>
      <c r="TTS30" s="3"/>
      <c r="TTT30" s="3"/>
      <c r="TTU30" s="3"/>
      <c r="TTV30" s="3"/>
      <c r="TTW30" s="3"/>
      <c r="TTX30" s="3"/>
      <c r="TTY30" s="3"/>
      <c r="TTZ30" s="3"/>
      <c r="TUA30" s="3"/>
      <c r="TUB30" s="3"/>
      <c r="TUC30" s="3"/>
      <c r="TUD30" s="3"/>
      <c r="TUE30" s="3"/>
      <c r="TUF30" s="3"/>
      <c r="TUG30" s="3"/>
      <c r="TUH30" s="3"/>
      <c r="TUI30" s="3"/>
      <c r="TUJ30" s="3"/>
      <c r="TUK30" s="3"/>
      <c r="TUL30" s="3"/>
      <c r="TUM30" s="3"/>
      <c r="TUN30" s="3"/>
      <c r="TUO30" s="3"/>
      <c r="TUP30" s="3"/>
      <c r="TUQ30" s="3"/>
      <c r="TUR30" s="3"/>
      <c r="TUS30" s="3"/>
      <c r="TUT30" s="3"/>
      <c r="TUU30" s="3"/>
      <c r="TUV30" s="3"/>
      <c r="TUW30" s="3"/>
      <c r="TUX30" s="3"/>
      <c r="TUY30" s="3"/>
      <c r="TUZ30" s="3"/>
      <c r="TVA30" s="3"/>
      <c r="TVB30" s="3"/>
      <c r="TVC30" s="3"/>
      <c r="TVD30" s="3"/>
      <c r="TVE30" s="3"/>
      <c r="TVF30" s="3"/>
      <c r="TVG30" s="3"/>
      <c r="TVH30" s="3"/>
      <c r="TVI30" s="3"/>
      <c r="TVJ30" s="3"/>
      <c r="TVK30" s="3"/>
      <c r="TVL30" s="3"/>
      <c r="TVM30" s="3"/>
      <c r="TVN30" s="3"/>
      <c r="TVO30" s="3"/>
      <c r="TVP30" s="3"/>
      <c r="TVQ30" s="3"/>
      <c r="TVR30" s="3"/>
      <c r="TVS30" s="3"/>
      <c r="TVT30" s="3"/>
      <c r="TVU30" s="3"/>
      <c r="TVV30" s="3"/>
      <c r="TVW30" s="3"/>
      <c r="TVX30" s="3"/>
      <c r="TVY30" s="3"/>
      <c r="TVZ30" s="3"/>
      <c r="TWA30" s="3"/>
      <c r="TWB30" s="3"/>
      <c r="TWC30" s="3"/>
      <c r="TWD30" s="3"/>
      <c r="TWE30" s="3"/>
      <c r="TWF30" s="3"/>
      <c r="TWG30" s="3"/>
      <c r="TWH30" s="3"/>
      <c r="TWI30" s="3"/>
      <c r="TWJ30" s="3"/>
      <c r="TWK30" s="3"/>
      <c r="TWL30" s="3"/>
      <c r="TWM30" s="3"/>
      <c r="TWN30" s="3"/>
      <c r="TWO30" s="3"/>
      <c r="TWP30" s="3"/>
      <c r="TWQ30" s="3"/>
      <c r="TWR30" s="3"/>
      <c r="TWS30" s="3"/>
      <c r="TWT30" s="3"/>
      <c r="TWU30" s="3"/>
      <c r="TWV30" s="3"/>
      <c r="TWW30" s="3"/>
      <c r="TWX30" s="3"/>
      <c r="TWY30" s="3"/>
      <c r="TWZ30" s="3"/>
      <c r="TXA30" s="3"/>
      <c r="TXB30" s="3"/>
      <c r="TXC30" s="3"/>
      <c r="TXD30" s="3"/>
      <c r="TXE30" s="3"/>
      <c r="TXF30" s="3"/>
      <c r="TXG30" s="3"/>
      <c r="TXH30" s="3"/>
      <c r="TXI30" s="3"/>
      <c r="TXJ30" s="3"/>
      <c r="TXK30" s="3"/>
      <c r="TXL30" s="3"/>
      <c r="TXM30" s="3"/>
      <c r="TXN30" s="3"/>
      <c r="TXO30" s="3"/>
      <c r="TXP30" s="3"/>
      <c r="TXQ30" s="3"/>
      <c r="TXR30" s="3"/>
      <c r="TXS30" s="3"/>
      <c r="TXT30" s="3"/>
      <c r="TXU30" s="3"/>
      <c r="TXV30" s="3"/>
      <c r="TXW30" s="3"/>
      <c r="TXX30" s="3"/>
      <c r="TXY30" s="3"/>
      <c r="TXZ30" s="3"/>
      <c r="TYA30" s="3"/>
      <c r="TYB30" s="3"/>
      <c r="TYC30" s="3"/>
      <c r="TYD30" s="3"/>
      <c r="TYE30" s="3"/>
      <c r="TYF30" s="3"/>
      <c r="TYG30" s="3"/>
      <c r="TYH30" s="3"/>
      <c r="TYI30" s="3"/>
      <c r="TYJ30" s="3"/>
      <c r="TYK30" s="3"/>
      <c r="TYL30" s="3"/>
      <c r="TYM30" s="3"/>
      <c r="TYN30" s="3"/>
      <c r="TYO30" s="3"/>
      <c r="TYP30" s="3"/>
      <c r="TYQ30" s="3"/>
      <c r="TYR30" s="3"/>
      <c r="TYS30" s="3"/>
      <c r="TYT30" s="3"/>
      <c r="TYU30" s="3"/>
      <c r="TYV30" s="3"/>
      <c r="TYW30" s="3"/>
      <c r="TYX30" s="3"/>
      <c r="TYY30" s="3"/>
      <c r="TYZ30" s="3"/>
      <c r="TZA30" s="3"/>
      <c r="TZB30" s="3"/>
      <c r="TZC30" s="3"/>
      <c r="TZD30" s="3"/>
      <c r="TZE30" s="3"/>
      <c r="TZF30" s="3"/>
      <c r="TZG30" s="3"/>
      <c r="TZH30" s="3"/>
      <c r="TZI30" s="3"/>
      <c r="TZJ30" s="3"/>
      <c r="TZK30" s="3"/>
      <c r="TZL30" s="3"/>
      <c r="TZM30" s="3"/>
      <c r="TZN30" s="3"/>
      <c r="TZO30" s="3"/>
      <c r="TZP30" s="3"/>
      <c r="TZQ30" s="3"/>
      <c r="TZR30" s="3"/>
      <c r="TZS30" s="3"/>
      <c r="TZT30" s="3"/>
      <c r="TZU30" s="3"/>
      <c r="TZV30" s="3"/>
      <c r="TZW30" s="3"/>
      <c r="TZX30" s="3"/>
      <c r="TZY30" s="3"/>
      <c r="TZZ30" s="3"/>
      <c r="UAA30" s="3"/>
      <c r="UAB30" s="3"/>
      <c r="UAC30" s="3"/>
      <c r="UAD30" s="3"/>
      <c r="UAE30" s="3"/>
      <c r="UAF30" s="3"/>
      <c r="UAG30" s="3"/>
      <c r="UAH30" s="3"/>
      <c r="UAI30" s="3"/>
      <c r="UAJ30" s="3"/>
      <c r="UAK30" s="3"/>
      <c r="UAL30" s="3"/>
      <c r="UAM30" s="3"/>
      <c r="UAN30" s="3"/>
      <c r="UAO30" s="3"/>
      <c r="UAP30" s="3"/>
      <c r="UAQ30" s="3"/>
      <c r="UAR30" s="3"/>
      <c r="UAS30" s="3"/>
      <c r="UAT30" s="3"/>
      <c r="UAU30" s="3"/>
      <c r="UAV30" s="3"/>
      <c r="UAW30" s="3"/>
      <c r="UAX30" s="3"/>
      <c r="UAY30" s="3"/>
      <c r="UAZ30" s="3"/>
      <c r="UBA30" s="3"/>
      <c r="UBB30" s="3"/>
      <c r="UBC30" s="3"/>
      <c r="UBD30" s="3"/>
      <c r="UBE30" s="3"/>
      <c r="UBF30" s="3"/>
      <c r="UBG30" s="3"/>
      <c r="UBH30" s="3"/>
      <c r="UBI30" s="3"/>
      <c r="UBJ30" s="3"/>
      <c r="UBK30" s="3"/>
      <c r="UBL30" s="3"/>
      <c r="UBM30" s="3"/>
      <c r="UBN30" s="3"/>
      <c r="UBO30" s="3"/>
      <c r="UBP30" s="3"/>
      <c r="UBQ30" s="3"/>
      <c r="UBR30" s="3"/>
      <c r="UBS30" s="3"/>
      <c r="UBT30" s="3"/>
      <c r="UBU30" s="3"/>
      <c r="UBV30" s="3"/>
      <c r="UBW30" s="3"/>
      <c r="UBX30" s="3"/>
      <c r="UBY30" s="3"/>
      <c r="UBZ30" s="3"/>
      <c r="UCA30" s="3"/>
      <c r="UCB30" s="3"/>
      <c r="UCC30" s="3"/>
      <c r="UCD30" s="3"/>
      <c r="UCE30" s="3"/>
      <c r="UCF30" s="3"/>
      <c r="UCG30" s="3"/>
      <c r="UCH30" s="3"/>
      <c r="UCI30" s="3"/>
      <c r="UCJ30" s="3"/>
      <c r="UCK30" s="3"/>
      <c r="UCL30" s="3"/>
      <c r="UCM30" s="3"/>
      <c r="UCN30" s="3"/>
      <c r="UCO30" s="3"/>
      <c r="UCP30" s="3"/>
      <c r="UCQ30" s="3"/>
      <c r="UCR30" s="3"/>
      <c r="UCS30" s="3"/>
      <c r="UCT30" s="3"/>
      <c r="UCU30" s="3"/>
      <c r="UCV30" s="3"/>
      <c r="UCW30" s="3"/>
      <c r="UCX30" s="3"/>
      <c r="UCY30" s="3"/>
      <c r="UCZ30" s="3"/>
      <c r="UDA30" s="3"/>
      <c r="UDB30" s="3"/>
      <c r="UDC30" s="3"/>
      <c r="UDD30" s="3"/>
      <c r="UDE30" s="3"/>
      <c r="UDF30" s="3"/>
      <c r="UDG30" s="3"/>
      <c r="UDH30" s="3"/>
      <c r="UDI30" s="3"/>
      <c r="UDJ30" s="3"/>
      <c r="UDK30" s="3"/>
      <c r="UDL30" s="3"/>
      <c r="UDM30" s="3"/>
      <c r="UDN30" s="3"/>
      <c r="UDO30" s="3"/>
      <c r="UDP30" s="3"/>
      <c r="UDQ30" s="3"/>
      <c r="UDR30" s="3"/>
      <c r="UDS30" s="3"/>
      <c r="UDT30" s="3"/>
      <c r="UDU30" s="3"/>
      <c r="UDV30" s="3"/>
      <c r="UDW30" s="3"/>
      <c r="UDX30" s="3"/>
      <c r="UDY30" s="3"/>
      <c r="UDZ30" s="3"/>
      <c r="UEA30" s="3"/>
      <c r="UEB30" s="3"/>
      <c r="UEC30" s="3"/>
      <c r="UED30" s="3"/>
      <c r="UEE30" s="3"/>
      <c r="UEF30" s="3"/>
      <c r="UEG30" s="3"/>
      <c r="UEH30" s="3"/>
      <c r="UEI30" s="3"/>
      <c r="UEJ30" s="3"/>
      <c r="UEK30" s="3"/>
      <c r="UEL30" s="3"/>
      <c r="UEM30" s="3"/>
      <c r="UEN30" s="3"/>
      <c r="UEO30" s="3"/>
      <c r="UEP30" s="3"/>
      <c r="UEQ30" s="3"/>
      <c r="UER30" s="3"/>
      <c r="UES30" s="3"/>
      <c r="UET30" s="3"/>
      <c r="UEU30" s="3"/>
      <c r="UEV30" s="3"/>
      <c r="UEW30" s="3"/>
      <c r="UEX30" s="3"/>
      <c r="UEY30" s="3"/>
      <c r="UEZ30" s="3"/>
      <c r="UFA30" s="3"/>
      <c r="UFB30" s="3"/>
      <c r="UFC30" s="3"/>
      <c r="UFD30" s="3"/>
      <c r="UFE30" s="3"/>
      <c r="UFF30" s="3"/>
      <c r="UFG30" s="3"/>
      <c r="UFH30" s="3"/>
      <c r="UFI30" s="3"/>
      <c r="UFJ30" s="3"/>
      <c r="UFK30" s="3"/>
      <c r="UFL30" s="3"/>
      <c r="UFM30" s="3"/>
      <c r="UFN30" s="3"/>
      <c r="UFO30" s="3"/>
      <c r="UFP30" s="3"/>
      <c r="UFQ30" s="3"/>
      <c r="UFR30" s="3"/>
      <c r="UFS30" s="3"/>
      <c r="UFT30" s="3"/>
      <c r="UFU30" s="3"/>
      <c r="UFV30" s="3"/>
      <c r="UFW30" s="3"/>
      <c r="UFX30" s="3"/>
      <c r="UFY30" s="3"/>
      <c r="UFZ30" s="3"/>
      <c r="UGA30" s="3"/>
      <c r="UGB30" s="3"/>
      <c r="UGC30" s="3"/>
      <c r="UGD30" s="3"/>
      <c r="UGE30" s="3"/>
      <c r="UGF30" s="3"/>
      <c r="UGG30" s="3"/>
      <c r="UGH30" s="3"/>
      <c r="UGI30" s="3"/>
      <c r="UGJ30" s="3"/>
      <c r="UGK30" s="3"/>
      <c r="UGL30" s="3"/>
      <c r="UGM30" s="3"/>
      <c r="UGN30" s="3"/>
      <c r="UGO30" s="3"/>
      <c r="UGP30" s="3"/>
      <c r="UGQ30" s="3"/>
      <c r="UGR30" s="3"/>
      <c r="UGS30" s="3"/>
      <c r="UGT30" s="3"/>
      <c r="UGU30" s="3"/>
      <c r="UGV30" s="3"/>
      <c r="UGW30" s="3"/>
      <c r="UGX30" s="3"/>
      <c r="UGY30" s="3"/>
      <c r="UGZ30" s="3"/>
      <c r="UHA30" s="3"/>
      <c r="UHB30" s="3"/>
      <c r="UHC30" s="3"/>
      <c r="UHD30" s="3"/>
      <c r="UHE30" s="3"/>
      <c r="UHF30" s="3"/>
      <c r="UHG30" s="3"/>
      <c r="UHH30" s="3"/>
      <c r="UHI30" s="3"/>
      <c r="UHJ30" s="3"/>
      <c r="UHK30" s="3"/>
      <c r="UHL30" s="3"/>
      <c r="UHM30" s="3"/>
      <c r="UHN30" s="3"/>
      <c r="UHO30" s="3"/>
      <c r="UHP30" s="3"/>
      <c r="UHQ30" s="3"/>
      <c r="UHR30" s="3"/>
      <c r="UHS30" s="3"/>
      <c r="UHT30" s="3"/>
      <c r="UHU30" s="3"/>
      <c r="UHV30" s="3"/>
      <c r="UHW30" s="3"/>
      <c r="UHX30" s="3"/>
      <c r="UHY30" s="3"/>
      <c r="UHZ30" s="3"/>
      <c r="UIA30" s="3"/>
      <c r="UIB30" s="3"/>
      <c r="UIC30" s="3"/>
      <c r="UID30" s="3"/>
      <c r="UIE30" s="3"/>
      <c r="UIF30" s="3"/>
      <c r="UIG30" s="3"/>
      <c r="UIH30" s="3"/>
      <c r="UII30" s="3"/>
      <c r="UIJ30" s="3"/>
      <c r="UIK30" s="3"/>
      <c r="UIL30" s="3"/>
      <c r="UIM30" s="3"/>
      <c r="UIN30" s="3"/>
      <c r="UIO30" s="3"/>
      <c r="UIP30" s="3"/>
      <c r="UIQ30" s="3"/>
      <c r="UIR30" s="3"/>
      <c r="UIS30" s="3"/>
      <c r="UIT30" s="3"/>
      <c r="UIU30" s="3"/>
      <c r="UIV30" s="3"/>
      <c r="UIW30" s="3"/>
      <c r="UIX30" s="3"/>
      <c r="UIY30" s="3"/>
      <c r="UIZ30" s="3"/>
      <c r="UJA30" s="3"/>
      <c r="UJB30" s="3"/>
      <c r="UJC30" s="3"/>
      <c r="UJD30" s="3"/>
      <c r="UJE30" s="3"/>
      <c r="UJF30" s="3"/>
      <c r="UJG30" s="3"/>
      <c r="UJH30" s="3"/>
      <c r="UJI30" s="3"/>
      <c r="UJJ30" s="3"/>
      <c r="UJK30" s="3"/>
      <c r="UJL30" s="3"/>
      <c r="UJM30" s="3"/>
      <c r="UJN30" s="3"/>
      <c r="UJO30" s="3"/>
      <c r="UJP30" s="3"/>
      <c r="UJQ30" s="3"/>
      <c r="UJR30" s="3"/>
      <c r="UJS30" s="3"/>
      <c r="UJT30" s="3"/>
      <c r="UJU30" s="3"/>
      <c r="UJV30" s="3"/>
      <c r="UJW30" s="3"/>
      <c r="UJX30" s="3"/>
      <c r="UJY30" s="3"/>
      <c r="UJZ30" s="3"/>
      <c r="UKA30" s="3"/>
      <c r="UKB30" s="3"/>
      <c r="UKC30" s="3"/>
      <c r="UKD30" s="3"/>
      <c r="UKE30" s="3"/>
      <c r="UKF30" s="3"/>
      <c r="UKG30" s="3"/>
      <c r="UKH30" s="3"/>
      <c r="UKI30" s="3"/>
      <c r="UKJ30" s="3"/>
      <c r="UKK30" s="3"/>
      <c r="UKL30" s="3"/>
      <c r="UKM30" s="3"/>
      <c r="UKN30" s="3"/>
      <c r="UKO30" s="3"/>
      <c r="UKP30" s="3"/>
      <c r="UKQ30" s="3"/>
      <c r="UKR30" s="3"/>
      <c r="UKS30" s="3"/>
      <c r="UKT30" s="3"/>
      <c r="UKU30" s="3"/>
      <c r="UKV30" s="3"/>
      <c r="UKW30" s="3"/>
      <c r="UKX30" s="3"/>
      <c r="UKY30" s="3"/>
      <c r="UKZ30" s="3"/>
      <c r="ULA30" s="3"/>
      <c r="ULB30" s="3"/>
      <c r="ULC30" s="3"/>
      <c r="ULD30" s="3"/>
      <c r="ULE30" s="3"/>
      <c r="ULF30" s="3"/>
      <c r="ULG30" s="3"/>
      <c r="ULH30" s="3"/>
      <c r="ULI30" s="3"/>
      <c r="ULJ30" s="3"/>
      <c r="ULK30" s="3"/>
      <c r="ULL30" s="3"/>
      <c r="ULM30" s="3"/>
      <c r="ULN30" s="3"/>
      <c r="ULO30" s="3"/>
      <c r="ULP30" s="3"/>
      <c r="ULQ30" s="3"/>
      <c r="ULR30" s="3"/>
      <c r="ULS30" s="3"/>
      <c r="ULT30" s="3"/>
      <c r="ULU30" s="3"/>
      <c r="ULV30" s="3"/>
      <c r="ULW30" s="3"/>
      <c r="ULX30" s="3"/>
      <c r="ULY30" s="3"/>
      <c r="ULZ30" s="3"/>
      <c r="UMA30" s="3"/>
      <c r="UMB30" s="3"/>
      <c r="UMC30" s="3"/>
      <c r="UMD30" s="3"/>
      <c r="UME30" s="3"/>
      <c r="UMF30" s="3"/>
      <c r="UMG30" s="3"/>
      <c r="UMH30" s="3"/>
      <c r="UMI30" s="3"/>
      <c r="UMJ30" s="3"/>
      <c r="UMK30" s="3"/>
      <c r="UML30" s="3"/>
      <c r="UMM30" s="3"/>
      <c r="UMN30" s="3"/>
      <c r="UMO30" s="3"/>
      <c r="UMP30" s="3"/>
      <c r="UMQ30" s="3"/>
      <c r="UMR30" s="3"/>
      <c r="UMS30" s="3"/>
      <c r="UMT30" s="3"/>
      <c r="UMU30" s="3"/>
      <c r="UMV30" s="3"/>
      <c r="UMW30" s="3"/>
      <c r="UMX30" s="3"/>
      <c r="UMY30" s="3"/>
      <c r="UMZ30" s="3"/>
      <c r="UNA30" s="3"/>
      <c r="UNB30" s="3"/>
      <c r="UNC30" s="3"/>
      <c r="UND30" s="3"/>
      <c r="UNE30" s="3"/>
      <c r="UNF30" s="3"/>
      <c r="UNG30" s="3"/>
      <c r="UNH30" s="3"/>
      <c r="UNI30" s="3"/>
      <c r="UNJ30" s="3"/>
      <c r="UNK30" s="3"/>
      <c r="UNL30" s="3"/>
      <c r="UNM30" s="3"/>
      <c r="UNN30" s="3"/>
      <c r="UNO30" s="3"/>
      <c r="UNP30" s="3"/>
      <c r="UNQ30" s="3"/>
      <c r="UNR30" s="3"/>
      <c r="UNS30" s="3"/>
      <c r="UNT30" s="3"/>
      <c r="UNU30" s="3"/>
      <c r="UNV30" s="3"/>
      <c r="UNW30" s="3"/>
      <c r="UNX30" s="3"/>
      <c r="UNY30" s="3"/>
      <c r="UNZ30" s="3"/>
      <c r="UOA30" s="3"/>
      <c r="UOB30" s="3"/>
      <c r="UOC30" s="3"/>
      <c r="UOD30" s="3"/>
      <c r="UOE30" s="3"/>
      <c r="UOF30" s="3"/>
      <c r="UOG30" s="3"/>
      <c r="UOH30" s="3"/>
      <c r="UOI30" s="3"/>
      <c r="UOJ30" s="3"/>
      <c r="UOK30" s="3"/>
      <c r="UOL30" s="3"/>
      <c r="UOM30" s="3"/>
      <c r="UON30" s="3"/>
      <c r="UOO30" s="3"/>
      <c r="UOP30" s="3"/>
      <c r="UOQ30" s="3"/>
      <c r="UOR30" s="3"/>
      <c r="UOS30" s="3"/>
      <c r="UOT30" s="3"/>
      <c r="UOU30" s="3"/>
      <c r="UOV30" s="3"/>
      <c r="UOW30" s="3"/>
      <c r="UOX30" s="3"/>
      <c r="UOY30" s="3"/>
      <c r="UOZ30" s="3"/>
      <c r="UPA30" s="3"/>
      <c r="UPB30" s="3"/>
      <c r="UPC30" s="3"/>
      <c r="UPD30" s="3"/>
      <c r="UPE30" s="3"/>
      <c r="UPF30" s="3"/>
      <c r="UPG30" s="3"/>
      <c r="UPH30" s="3"/>
      <c r="UPI30" s="3"/>
      <c r="UPJ30" s="3"/>
      <c r="UPK30" s="3"/>
      <c r="UPL30" s="3"/>
      <c r="UPM30" s="3"/>
      <c r="UPN30" s="3"/>
      <c r="UPO30" s="3"/>
      <c r="UPP30" s="3"/>
      <c r="UPQ30" s="3"/>
      <c r="UPR30" s="3"/>
      <c r="UPS30" s="3"/>
      <c r="UPT30" s="3"/>
      <c r="UPU30" s="3"/>
      <c r="UPV30" s="3"/>
      <c r="UPW30" s="3"/>
      <c r="UPX30" s="3"/>
      <c r="UPY30" s="3"/>
      <c r="UPZ30" s="3"/>
      <c r="UQA30" s="3"/>
      <c r="UQB30" s="3"/>
      <c r="UQC30" s="3"/>
      <c r="UQD30" s="3"/>
      <c r="UQE30" s="3"/>
      <c r="UQF30" s="3"/>
      <c r="UQG30" s="3"/>
      <c r="UQH30" s="3"/>
      <c r="UQI30" s="3"/>
      <c r="UQJ30" s="3"/>
      <c r="UQK30" s="3"/>
      <c r="UQL30" s="3"/>
      <c r="UQM30" s="3"/>
      <c r="UQN30" s="3"/>
      <c r="UQO30" s="3"/>
      <c r="UQP30" s="3"/>
      <c r="UQQ30" s="3"/>
      <c r="UQR30" s="3"/>
      <c r="UQS30" s="3"/>
      <c r="UQT30" s="3"/>
      <c r="UQU30" s="3"/>
      <c r="UQV30" s="3"/>
      <c r="UQW30" s="3"/>
      <c r="UQX30" s="3"/>
      <c r="UQY30" s="3"/>
      <c r="UQZ30" s="3"/>
      <c r="URA30" s="3"/>
      <c r="URB30" s="3"/>
      <c r="URC30" s="3"/>
      <c r="URD30" s="3"/>
      <c r="URE30" s="3"/>
      <c r="URF30" s="3"/>
      <c r="URG30" s="3"/>
      <c r="URH30" s="3"/>
      <c r="URI30" s="3"/>
      <c r="URJ30" s="3"/>
      <c r="URK30" s="3"/>
      <c r="URL30" s="3"/>
      <c r="URM30" s="3"/>
      <c r="URN30" s="3"/>
      <c r="URO30" s="3"/>
      <c r="URP30" s="3"/>
      <c r="URQ30" s="3"/>
      <c r="URR30" s="3"/>
      <c r="URS30" s="3"/>
      <c r="URT30" s="3"/>
      <c r="URU30" s="3"/>
      <c r="URV30" s="3"/>
      <c r="URW30" s="3"/>
      <c r="URX30" s="3"/>
      <c r="URY30" s="3"/>
      <c r="URZ30" s="3"/>
      <c r="USA30" s="3"/>
      <c r="USB30" s="3"/>
      <c r="USC30" s="3"/>
      <c r="USD30" s="3"/>
      <c r="USE30" s="3"/>
      <c r="USF30" s="3"/>
      <c r="USG30" s="3"/>
      <c r="USH30" s="3"/>
      <c r="USI30" s="3"/>
      <c r="USJ30" s="3"/>
      <c r="USK30" s="3"/>
      <c r="USL30" s="3"/>
      <c r="USM30" s="3"/>
      <c r="USN30" s="3"/>
      <c r="USO30" s="3"/>
      <c r="USP30" s="3"/>
      <c r="USQ30" s="3"/>
      <c r="USR30" s="3"/>
      <c r="USS30" s="3"/>
      <c r="UST30" s="3"/>
      <c r="USU30" s="3"/>
      <c r="USV30" s="3"/>
      <c r="USW30" s="3"/>
      <c r="USX30" s="3"/>
      <c r="USY30" s="3"/>
      <c r="USZ30" s="3"/>
      <c r="UTA30" s="3"/>
      <c r="UTB30" s="3"/>
      <c r="UTC30" s="3"/>
      <c r="UTD30" s="3"/>
      <c r="UTE30" s="3"/>
      <c r="UTF30" s="3"/>
      <c r="UTG30" s="3"/>
      <c r="UTH30" s="3"/>
      <c r="UTI30" s="3"/>
      <c r="UTJ30" s="3"/>
      <c r="UTK30" s="3"/>
      <c r="UTL30" s="3"/>
      <c r="UTM30" s="3"/>
      <c r="UTN30" s="3"/>
      <c r="UTO30" s="3"/>
      <c r="UTP30" s="3"/>
      <c r="UTQ30" s="3"/>
      <c r="UTR30" s="3"/>
      <c r="UTS30" s="3"/>
      <c r="UTT30" s="3"/>
      <c r="UTU30" s="3"/>
      <c r="UTV30" s="3"/>
      <c r="UTW30" s="3"/>
      <c r="UTX30" s="3"/>
      <c r="UTY30" s="3"/>
      <c r="UTZ30" s="3"/>
      <c r="UUA30" s="3"/>
      <c r="UUB30" s="3"/>
      <c r="UUC30" s="3"/>
      <c r="UUD30" s="3"/>
      <c r="UUE30" s="3"/>
      <c r="UUF30" s="3"/>
      <c r="UUG30" s="3"/>
      <c r="UUH30" s="3"/>
      <c r="UUI30" s="3"/>
      <c r="UUJ30" s="3"/>
      <c r="UUK30" s="3"/>
      <c r="UUL30" s="3"/>
      <c r="UUM30" s="3"/>
      <c r="UUN30" s="3"/>
      <c r="UUO30" s="3"/>
      <c r="UUP30" s="3"/>
      <c r="UUQ30" s="3"/>
      <c r="UUR30" s="3"/>
      <c r="UUS30" s="3"/>
      <c r="UUT30" s="3"/>
      <c r="UUU30" s="3"/>
      <c r="UUV30" s="3"/>
      <c r="UUW30" s="3"/>
      <c r="UUX30" s="3"/>
      <c r="UUY30" s="3"/>
      <c r="UUZ30" s="3"/>
      <c r="UVA30" s="3"/>
      <c r="UVB30" s="3"/>
      <c r="UVC30" s="3"/>
      <c r="UVD30" s="3"/>
      <c r="UVE30" s="3"/>
      <c r="UVF30" s="3"/>
      <c r="UVG30" s="3"/>
      <c r="UVH30" s="3"/>
      <c r="UVI30" s="3"/>
      <c r="UVJ30" s="3"/>
      <c r="UVK30" s="3"/>
      <c r="UVL30" s="3"/>
      <c r="UVM30" s="3"/>
      <c r="UVN30" s="3"/>
      <c r="UVO30" s="3"/>
      <c r="UVP30" s="3"/>
      <c r="UVQ30" s="3"/>
      <c r="UVR30" s="3"/>
      <c r="UVS30" s="3"/>
      <c r="UVT30" s="3"/>
      <c r="UVU30" s="3"/>
      <c r="UVV30" s="3"/>
      <c r="UVW30" s="3"/>
      <c r="UVX30" s="3"/>
      <c r="UVY30" s="3"/>
      <c r="UVZ30" s="3"/>
      <c r="UWA30" s="3"/>
      <c r="UWB30" s="3"/>
      <c r="UWC30" s="3"/>
      <c r="UWD30" s="3"/>
      <c r="UWE30" s="3"/>
      <c r="UWF30" s="3"/>
      <c r="UWG30" s="3"/>
      <c r="UWH30" s="3"/>
      <c r="UWI30" s="3"/>
      <c r="UWJ30" s="3"/>
      <c r="UWK30" s="3"/>
      <c r="UWL30" s="3"/>
      <c r="UWM30" s="3"/>
      <c r="UWN30" s="3"/>
      <c r="UWO30" s="3"/>
      <c r="UWP30" s="3"/>
      <c r="UWQ30" s="3"/>
      <c r="UWR30" s="3"/>
      <c r="UWS30" s="3"/>
      <c r="UWT30" s="3"/>
      <c r="UWU30" s="3"/>
      <c r="UWV30" s="3"/>
      <c r="UWW30" s="3"/>
      <c r="UWX30" s="3"/>
      <c r="UWY30" s="3"/>
      <c r="UWZ30" s="3"/>
      <c r="UXA30" s="3"/>
      <c r="UXB30" s="3"/>
      <c r="UXC30" s="3"/>
      <c r="UXD30" s="3"/>
      <c r="UXE30" s="3"/>
      <c r="UXF30" s="3"/>
      <c r="UXG30" s="3"/>
      <c r="UXH30" s="3"/>
      <c r="UXI30" s="3"/>
      <c r="UXJ30" s="3"/>
      <c r="UXK30" s="3"/>
      <c r="UXL30" s="3"/>
      <c r="UXM30" s="3"/>
      <c r="UXN30" s="3"/>
      <c r="UXO30" s="3"/>
      <c r="UXP30" s="3"/>
      <c r="UXQ30" s="3"/>
      <c r="UXR30" s="3"/>
      <c r="UXS30" s="3"/>
      <c r="UXT30" s="3"/>
      <c r="UXU30" s="3"/>
      <c r="UXV30" s="3"/>
      <c r="UXW30" s="3"/>
      <c r="UXX30" s="3"/>
      <c r="UXY30" s="3"/>
      <c r="UXZ30" s="3"/>
      <c r="UYA30" s="3"/>
      <c r="UYB30" s="3"/>
      <c r="UYC30" s="3"/>
      <c r="UYD30" s="3"/>
      <c r="UYE30" s="3"/>
      <c r="UYF30" s="3"/>
      <c r="UYG30" s="3"/>
      <c r="UYH30" s="3"/>
      <c r="UYI30" s="3"/>
      <c r="UYJ30" s="3"/>
      <c r="UYK30" s="3"/>
      <c r="UYL30" s="3"/>
      <c r="UYM30" s="3"/>
      <c r="UYN30" s="3"/>
      <c r="UYO30" s="3"/>
      <c r="UYP30" s="3"/>
      <c r="UYQ30" s="3"/>
      <c r="UYR30" s="3"/>
      <c r="UYS30" s="3"/>
      <c r="UYT30" s="3"/>
      <c r="UYU30" s="3"/>
      <c r="UYV30" s="3"/>
      <c r="UYW30" s="3"/>
      <c r="UYX30" s="3"/>
      <c r="UYY30" s="3"/>
      <c r="UYZ30" s="3"/>
      <c r="UZA30" s="3"/>
      <c r="UZB30" s="3"/>
      <c r="UZC30" s="3"/>
      <c r="UZD30" s="3"/>
      <c r="UZE30" s="3"/>
      <c r="UZF30" s="3"/>
      <c r="UZG30" s="3"/>
      <c r="UZH30" s="3"/>
      <c r="UZI30" s="3"/>
      <c r="UZJ30" s="3"/>
      <c r="UZK30" s="3"/>
      <c r="UZL30" s="3"/>
      <c r="UZM30" s="3"/>
      <c r="UZN30" s="3"/>
      <c r="UZO30" s="3"/>
      <c r="UZP30" s="3"/>
      <c r="UZQ30" s="3"/>
      <c r="UZR30" s="3"/>
      <c r="UZS30" s="3"/>
      <c r="UZT30" s="3"/>
      <c r="UZU30" s="3"/>
      <c r="UZV30" s="3"/>
      <c r="UZW30" s="3"/>
      <c r="UZX30" s="3"/>
      <c r="UZY30" s="3"/>
      <c r="UZZ30" s="3"/>
      <c r="VAA30" s="3"/>
      <c r="VAB30" s="3"/>
      <c r="VAC30" s="3"/>
      <c r="VAD30" s="3"/>
      <c r="VAE30" s="3"/>
      <c r="VAF30" s="3"/>
      <c r="VAG30" s="3"/>
      <c r="VAH30" s="3"/>
      <c r="VAI30" s="3"/>
      <c r="VAJ30" s="3"/>
      <c r="VAK30" s="3"/>
      <c r="VAL30" s="3"/>
      <c r="VAM30" s="3"/>
      <c r="VAN30" s="3"/>
      <c r="VAO30" s="3"/>
      <c r="VAP30" s="3"/>
      <c r="VAQ30" s="3"/>
      <c r="VAR30" s="3"/>
      <c r="VAS30" s="3"/>
      <c r="VAT30" s="3"/>
      <c r="VAU30" s="3"/>
      <c r="VAV30" s="3"/>
      <c r="VAW30" s="3"/>
      <c r="VAX30" s="3"/>
      <c r="VAY30" s="3"/>
      <c r="VAZ30" s="3"/>
      <c r="VBA30" s="3"/>
      <c r="VBB30" s="3"/>
      <c r="VBC30" s="3"/>
      <c r="VBD30" s="3"/>
      <c r="VBE30" s="3"/>
      <c r="VBF30" s="3"/>
      <c r="VBG30" s="3"/>
      <c r="VBH30" s="3"/>
      <c r="VBI30" s="3"/>
      <c r="VBJ30" s="3"/>
      <c r="VBK30" s="3"/>
      <c r="VBL30" s="3"/>
      <c r="VBM30" s="3"/>
      <c r="VBN30" s="3"/>
      <c r="VBO30" s="3"/>
      <c r="VBP30" s="3"/>
      <c r="VBQ30" s="3"/>
      <c r="VBR30" s="3"/>
      <c r="VBS30" s="3"/>
      <c r="VBT30" s="3"/>
      <c r="VBU30" s="3"/>
      <c r="VBV30" s="3"/>
      <c r="VBW30" s="3"/>
      <c r="VBX30" s="3"/>
      <c r="VBY30" s="3"/>
      <c r="VBZ30" s="3"/>
      <c r="VCA30" s="3"/>
      <c r="VCB30" s="3"/>
      <c r="VCC30" s="3"/>
      <c r="VCD30" s="3"/>
      <c r="VCE30" s="3"/>
      <c r="VCF30" s="3"/>
      <c r="VCG30" s="3"/>
      <c r="VCH30" s="3"/>
      <c r="VCI30" s="3"/>
      <c r="VCJ30" s="3"/>
      <c r="VCK30" s="3"/>
      <c r="VCL30" s="3"/>
      <c r="VCM30" s="3"/>
      <c r="VCN30" s="3"/>
      <c r="VCO30" s="3"/>
      <c r="VCP30" s="3"/>
      <c r="VCQ30" s="3"/>
      <c r="VCR30" s="3"/>
      <c r="VCS30" s="3"/>
      <c r="VCT30" s="3"/>
      <c r="VCU30" s="3"/>
      <c r="VCV30" s="3"/>
      <c r="VCW30" s="3"/>
      <c r="VCX30" s="3"/>
      <c r="VCY30" s="3"/>
      <c r="VCZ30" s="3"/>
      <c r="VDA30" s="3"/>
      <c r="VDB30" s="3"/>
      <c r="VDC30" s="3"/>
      <c r="VDD30" s="3"/>
      <c r="VDE30" s="3"/>
      <c r="VDF30" s="3"/>
      <c r="VDG30" s="3"/>
      <c r="VDH30" s="3"/>
      <c r="VDI30" s="3"/>
      <c r="VDJ30" s="3"/>
      <c r="VDK30" s="3"/>
      <c r="VDL30" s="3"/>
      <c r="VDM30" s="3"/>
      <c r="VDN30" s="3"/>
      <c r="VDO30" s="3"/>
      <c r="VDP30" s="3"/>
      <c r="VDQ30" s="3"/>
      <c r="VDR30" s="3"/>
      <c r="VDS30" s="3"/>
      <c r="VDT30" s="3"/>
      <c r="VDU30" s="3"/>
      <c r="VDV30" s="3"/>
      <c r="VDW30" s="3"/>
      <c r="VDX30" s="3"/>
      <c r="VDY30" s="3"/>
      <c r="VDZ30" s="3"/>
      <c r="VEA30" s="3"/>
      <c r="VEB30" s="3"/>
      <c r="VEC30" s="3"/>
      <c r="VED30" s="3"/>
      <c r="VEE30" s="3"/>
      <c r="VEF30" s="3"/>
      <c r="VEG30" s="3"/>
      <c r="VEH30" s="3"/>
      <c r="VEI30" s="3"/>
      <c r="VEJ30" s="3"/>
      <c r="VEK30" s="3"/>
      <c r="VEL30" s="3"/>
      <c r="VEM30" s="3"/>
      <c r="VEN30" s="3"/>
      <c r="VEO30" s="3"/>
      <c r="VEP30" s="3"/>
      <c r="VEQ30" s="3"/>
      <c r="VER30" s="3"/>
      <c r="VES30" s="3"/>
      <c r="VET30" s="3"/>
      <c r="VEU30" s="3"/>
      <c r="VEV30" s="3"/>
      <c r="VEW30" s="3"/>
      <c r="VEX30" s="3"/>
      <c r="VEY30" s="3"/>
      <c r="VEZ30" s="3"/>
      <c r="VFA30" s="3"/>
      <c r="VFB30" s="3"/>
      <c r="VFC30" s="3"/>
      <c r="VFD30" s="3"/>
      <c r="VFE30" s="3"/>
      <c r="VFF30" s="3"/>
      <c r="VFG30" s="3"/>
      <c r="VFH30" s="3"/>
      <c r="VFI30" s="3"/>
      <c r="VFJ30" s="3"/>
      <c r="VFK30" s="3"/>
      <c r="VFL30" s="3"/>
      <c r="VFM30" s="3"/>
      <c r="VFN30" s="3"/>
      <c r="VFO30" s="3"/>
      <c r="VFP30" s="3"/>
      <c r="VFQ30" s="3"/>
      <c r="VFR30" s="3"/>
      <c r="VFS30" s="3"/>
      <c r="VFT30" s="3"/>
      <c r="VFU30" s="3"/>
      <c r="VFV30" s="3"/>
      <c r="VFW30" s="3"/>
      <c r="VFX30" s="3"/>
      <c r="VFY30" s="3"/>
      <c r="VFZ30" s="3"/>
      <c r="VGA30" s="3"/>
      <c r="VGB30" s="3"/>
      <c r="VGC30" s="3"/>
      <c r="VGD30" s="3"/>
      <c r="VGE30" s="3"/>
      <c r="VGF30" s="3"/>
      <c r="VGG30" s="3"/>
      <c r="VGH30" s="3"/>
      <c r="VGI30" s="3"/>
      <c r="VGJ30" s="3"/>
      <c r="VGK30" s="3"/>
      <c r="VGL30" s="3"/>
      <c r="VGM30" s="3"/>
      <c r="VGN30" s="3"/>
      <c r="VGO30" s="3"/>
      <c r="VGP30" s="3"/>
      <c r="VGQ30" s="3"/>
      <c r="VGR30" s="3"/>
      <c r="VGS30" s="3"/>
      <c r="VGT30" s="3"/>
      <c r="VGU30" s="3"/>
      <c r="VGV30" s="3"/>
      <c r="VGW30" s="3"/>
      <c r="VGX30" s="3"/>
      <c r="VGY30" s="3"/>
      <c r="VGZ30" s="3"/>
      <c r="VHA30" s="3"/>
      <c r="VHB30" s="3"/>
      <c r="VHC30" s="3"/>
      <c r="VHD30" s="3"/>
      <c r="VHE30" s="3"/>
      <c r="VHF30" s="3"/>
      <c r="VHG30" s="3"/>
      <c r="VHH30" s="3"/>
      <c r="VHI30" s="3"/>
      <c r="VHJ30" s="3"/>
      <c r="VHK30" s="3"/>
      <c r="VHL30" s="3"/>
      <c r="VHM30" s="3"/>
      <c r="VHN30" s="3"/>
      <c r="VHO30" s="3"/>
      <c r="VHP30" s="3"/>
      <c r="VHQ30" s="3"/>
      <c r="VHR30" s="3"/>
      <c r="VHS30" s="3"/>
      <c r="VHT30" s="3"/>
      <c r="VHU30" s="3"/>
      <c r="VHV30" s="3"/>
      <c r="VHW30" s="3"/>
      <c r="VHX30" s="3"/>
      <c r="VHY30" s="3"/>
      <c r="VHZ30" s="3"/>
      <c r="VIA30" s="3"/>
      <c r="VIB30" s="3"/>
      <c r="VIC30" s="3"/>
      <c r="VID30" s="3"/>
      <c r="VIE30" s="3"/>
      <c r="VIF30" s="3"/>
      <c r="VIG30" s="3"/>
      <c r="VIH30" s="3"/>
      <c r="VII30" s="3"/>
      <c r="VIJ30" s="3"/>
      <c r="VIK30" s="3"/>
      <c r="VIL30" s="3"/>
      <c r="VIM30" s="3"/>
      <c r="VIN30" s="3"/>
      <c r="VIO30" s="3"/>
      <c r="VIP30" s="3"/>
      <c r="VIQ30" s="3"/>
      <c r="VIR30" s="3"/>
      <c r="VIS30" s="3"/>
      <c r="VIT30" s="3"/>
      <c r="VIU30" s="3"/>
      <c r="VIV30" s="3"/>
      <c r="VIW30" s="3"/>
      <c r="VIX30" s="3"/>
      <c r="VIY30" s="3"/>
      <c r="VIZ30" s="3"/>
      <c r="VJA30" s="3"/>
      <c r="VJB30" s="3"/>
      <c r="VJC30" s="3"/>
      <c r="VJD30" s="3"/>
      <c r="VJE30" s="3"/>
      <c r="VJF30" s="3"/>
      <c r="VJG30" s="3"/>
      <c r="VJH30" s="3"/>
      <c r="VJI30" s="3"/>
      <c r="VJJ30" s="3"/>
      <c r="VJK30" s="3"/>
      <c r="VJL30" s="3"/>
      <c r="VJM30" s="3"/>
      <c r="VJN30" s="3"/>
      <c r="VJO30" s="3"/>
      <c r="VJP30" s="3"/>
      <c r="VJQ30" s="3"/>
      <c r="VJR30" s="3"/>
      <c r="VJS30" s="3"/>
      <c r="VJT30" s="3"/>
      <c r="VJU30" s="3"/>
      <c r="VJV30" s="3"/>
      <c r="VJW30" s="3"/>
      <c r="VJX30" s="3"/>
      <c r="VJY30" s="3"/>
      <c r="VJZ30" s="3"/>
      <c r="VKA30" s="3"/>
      <c r="VKB30" s="3"/>
      <c r="VKC30" s="3"/>
      <c r="VKD30" s="3"/>
      <c r="VKE30" s="3"/>
      <c r="VKF30" s="3"/>
      <c r="VKG30" s="3"/>
      <c r="VKH30" s="3"/>
      <c r="VKI30" s="3"/>
      <c r="VKJ30" s="3"/>
      <c r="VKK30" s="3"/>
      <c r="VKL30" s="3"/>
      <c r="VKM30" s="3"/>
      <c r="VKN30" s="3"/>
      <c r="VKO30" s="3"/>
      <c r="VKP30" s="3"/>
      <c r="VKQ30" s="3"/>
      <c r="VKR30" s="3"/>
      <c r="VKS30" s="3"/>
      <c r="VKT30" s="3"/>
      <c r="VKU30" s="3"/>
      <c r="VKV30" s="3"/>
      <c r="VKW30" s="3"/>
      <c r="VKX30" s="3"/>
      <c r="VKY30" s="3"/>
      <c r="VKZ30" s="3"/>
      <c r="VLA30" s="3"/>
      <c r="VLB30" s="3"/>
      <c r="VLC30" s="3"/>
      <c r="VLD30" s="3"/>
      <c r="VLE30" s="3"/>
      <c r="VLF30" s="3"/>
      <c r="VLG30" s="3"/>
      <c r="VLH30" s="3"/>
      <c r="VLI30" s="3"/>
      <c r="VLJ30" s="3"/>
      <c r="VLK30" s="3"/>
      <c r="VLL30" s="3"/>
      <c r="VLM30" s="3"/>
      <c r="VLN30" s="3"/>
      <c r="VLO30" s="3"/>
      <c r="VLP30" s="3"/>
      <c r="VLQ30" s="3"/>
      <c r="VLR30" s="3"/>
      <c r="VLS30" s="3"/>
      <c r="VLT30" s="3"/>
      <c r="VLU30" s="3"/>
      <c r="VLV30" s="3"/>
      <c r="VLW30" s="3"/>
      <c r="VLX30" s="3"/>
      <c r="VLY30" s="3"/>
      <c r="VLZ30" s="3"/>
      <c r="VMA30" s="3"/>
      <c r="VMB30" s="3"/>
      <c r="VMC30" s="3"/>
      <c r="VMD30" s="3"/>
      <c r="VME30" s="3"/>
      <c r="VMF30" s="3"/>
      <c r="VMG30" s="3"/>
      <c r="VMH30" s="3"/>
      <c r="VMI30" s="3"/>
      <c r="VMJ30" s="3"/>
      <c r="VMK30" s="3"/>
      <c r="VML30" s="3"/>
      <c r="VMM30" s="3"/>
      <c r="VMN30" s="3"/>
      <c r="VMO30" s="3"/>
      <c r="VMP30" s="3"/>
      <c r="VMQ30" s="3"/>
      <c r="VMR30" s="3"/>
      <c r="VMS30" s="3"/>
      <c r="VMT30" s="3"/>
      <c r="VMU30" s="3"/>
      <c r="VMV30" s="3"/>
      <c r="VMW30" s="3"/>
      <c r="VMX30" s="3"/>
      <c r="VMY30" s="3"/>
      <c r="VMZ30" s="3"/>
      <c r="VNA30" s="3"/>
      <c r="VNB30" s="3"/>
      <c r="VNC30" s="3"/>
      <c r="VND30" s="3"/>
      <c r="VNE30" s="3"/>
      <c r="VNF30" s="3"/>
      <c r="VNG30" s="3"/>
      <c r="VNH30" s="3"/>
      <c r="VNI30" s="3"/>
      <c r="VNJ30" s="3"/>
      <c r="VNK30" s="3"/>
      <c r="VNL30" s="3"/>
      <c r="VNM30" s="3"/>
      <c r="VNN30" s="3"/>
      <c r="VNO30" s="3"/>
      <c r="VNP30" s="3"/>
      <c r="VNQ30" s="3"/>
      <c r="VNR30" s="3"/>
      <c r="VNS30" s="3"/>
      <c r="VNT30" s="3"/>
      <c r="VNU30" s="3"/>
      <c r="VNV30" s="3"/>
      <c r="VNW30" s="3"/>
      <c r="VNX30" s="3"/>
      <c r="VNY30" s="3"/>
      <c r="VNZ30" s="3"/>
      <c r="VOA30" s="3"/>
      <c r="VOB30" s="3"/>
      <c r="VOC30" s="3"/>
      <c r="VOD30" s="3"/>
      <c r="VOE30" s="3"/>
      <c r="VOF30" s="3"/>
      <c r="VOG30" s="3"/>
      <c r="VOH30" s="3"/>
      <c r="VOI30" s="3"/>
      <c r="VOJ30" s="3"/>
      <c r="VOK30" s="3"/>
      <c r="VOL30" s="3"/>
      <c r="VOM30" s="3"/>
      <c r="VON30" s="3"/>
      <c r="VOO30" s="3"/>
      <c r="VOP30" s="3"/>
      <c r="VOQ30" s="3"/>
      <c r="VOR30" s="3"/>
      <c r="VOS30" s="3"/>
      <c r="VOT30" s="3"/>
      <c r="VOU30" s="3"/>
      <c r="VOV30" s="3"/>
      <c r="VOW30" s="3"/>
      <c r="VOX30" s="3"/>
      <c r="VOY30" s="3"/>
      <c r="VOZ30" s="3"/>
      <c r="VPA30" s="3"/>
      <c r="VPB30" s="3"/>
      <c r="VPC30" s="3"/>
      <c r="VPD30" s="3"/>
      <c r="VPE30" s="3"/>
      <c r="VPF30" s="3"/>
      <c r="VPG30" s="3"/>
      <c r="VPH30" s="3"/>
      <c r="VPI30" s="3"/>
      <c r="VPJ30" s="3"/>
      <c r="VPK30" s="3"/>
      <c r="VPL30" s="3"/>
      <c r="VPM30" s="3"/>
      <c r="VPN30" s="3"/>
      <c r="VPO30" s="3"/>
      <c r="VPP30" s="3"/>
      <c r="VPQ30" s="3"/>
      <c r="VPR30" s="3"/>
      <c r="VPS30" s="3"/>
      <c r="VPT30" s="3"/>
      <c r="VPU30" s="3"/>
      <c r="VPV30" s="3"/>
      <c r="VPW30" s="3"/>
      <c r="VPX30" s="3"/>
      <c r="VPY30" s="3"/>
      <c r="VPZ30" s="3"/>
      <c r="VQA30" s="3"/>
      <c r="VQB30" s="3"/>
      <c r="VQC30" s="3"/>
      <c r="VQD30" s="3"/>
      <c r="VQE30" s="3"/>
      <c r="VQF30" s="3"/>
      <c r="VQG30" s="3"/>
      <c r="VQH30" s="3"/>
      <c r="VQI30" s="3"/>
      <c r="VQJ30" s="3"/>
      <c r="VQK30" s="3"/>
      <c r="VQL30" s="3"/>
      <c r="VQM30" s="3"/>
      <c r="VQN30" s="3"/>
      <c r="VQO30" s="3"/>
      <c r="VQP30" s="3"/>
      <c r="VQQ30" s="3"/>
      <c r="VQR30" s="3"/>
      <c r="VQS30" s="3"/>
      <c r="VQT30" s="3"/>
      <c r="VQU30" s="3"/>
      <c r="VQV30" s="3"/>
      <c r="VQW30" s="3"/>
      <c r="VQX30" s="3"/>
      <c r="VQY30" s="3"/>
      <c r="VQZ30" s="3"/>
      <c r="VRA30" s="3"/>
      <c r="VRB30" s="3"/>
      <c r="VRC30" s="3"/>
      <c r="VRD30" s="3"/>
      <c r="VRE30" s="3"/>
      <c r="VRF30" s="3"/>
      <c r="VRG30" s="3"/>
      <c r="VRH30" s="3"/>
      <c r="VRI30" s="3"/>
      <c r="VRJ30" s="3"/>
      <c r="VRK30" s="3"/>
      <c r="VRL30" s="3"/>
      <c r="VRM30" s="3"/>
      <c r="VRN30" s="3"/>
      <c r="VRO30" s="3"/>
      <c r="VRP30" s="3"/>
      <c r="VRQ30" s="3"/>
      <c r="VRR30" s="3"/>
      <c r="VRS30" s="3"/>
      <c r="VRT30" s="3"/>
      <c r="VRU30" s="3"/>
      <c r="VRV30" s="3"/>
      <c r="VRW30" s="3"/>
      <c r="VRX30" s="3"/>
      <c r="VRY30" s="3"/>
      <c r="VRZ30" s="3"/>
      <c r="VSA30" s="3"/>
      <c r="VSB30" s="3"/>
      <c r="VSC30" s="3"/>
      <c r="VSD30" s="3"/>
      <c r="VSE30" s="3"/>
      <c r="VSF30" s="3"/>
      <c r="VSG30" s="3"/>
      <c r="VSH30" s="3"/>
      <c r="VSI30" s="3"/>
      <c r="VSJ30" s="3"/>
      <c r="VSK30" s="3"/>
      <c r="VSL30" s="3"/>
      <c r="VSM30" s="3"/>
      <c r="VSN30" s="3"/>
      <c r="VSO30" s="3"/>
      <c r="VSP30" s="3"/>
      <c r="VSQ30" s="3"/>
      <c r="VSR30" s="3"/>
      <c r="VSS30" s="3"/>
      <c r="VST30" s="3"/>
      <c r="VSU30" s="3"/>
      <c r="VSV30" s="3"/>
      <c r="VSW30" s="3"/>
      <c r="VSX30" s="3"/>
      <c r="VSY30" s="3"/>
      <c r="VSZ30" s="3"/>
      <c r="VTA30" s="3"/>
      <c r="VTB30" s="3"/>
      <c r="VTC30" s="3"/>
      <c r="VTD30" s="3"/>
      <c r="VTE30" s="3"/>
      <c r="VTF30" s="3"/>
      <c r="VTG30" s="3"/>
      <c r="VTH30" s="3"/>
      <c r="VTI30" s="3"/>
      <c r="VTJ30" s="3"/>
      <c r="VTK30" s="3"/>
      <c r="VTL30" s="3"/>
      <c r="VTM30" s="3"/>
      <c r="VTN30" s="3"/>
      <c r="VTO30" s="3"/>
      <c r="VTP30" s="3"/>
      <c r="VTQ30" s="3"/>
      <c r="VTR30" s="3"/>
      <c r="VTS30" s="3"/>
      <c r="VTT30" s="3"/>
      <c r="VTU30" s="3"/>
      <c r="VTV30" s="3"/>
      <c r="VTW30" s="3"/>
      <c r="VTX30" s="3"/>
      <c r="VTY30" s="3"/>
      <c r="VTZ30" s="3"/>
      <c r="VUA30" s="3"/>
      <c r="VUB30" s="3"/>
      <c r="VUC30" s="3"/>
      <c r="VUD30" s="3"/>
      <c r="VUE30" s="3"/>
      <c r="VUF30" s="3"/>
      <c r="VUG30" s="3"/>
      <c r="VUH30" s="3"/>
      <c r="VUI30" s="3"/>
      <c r="VUJ30" s="3"/>
      <c r="VUK30" s="3"/>
      <c r="VUL30" s="3"/>
      <c r="VUM30" s="3"/>
      <c r="VUN30" s="3"/>
      <c r="VUO30" s="3"/>
      <c r="VUP30" s="3"/>
      <c r="VUQ30" s="3"/>
      <c r="VUR30" s="3"/>
      <c r="VUS30" s="3"/>
      <c r="VUT30" s="3"/>
      <c r="VUU30" s="3"/>
      <c r="VUV30" s="3"/>
      <c r="VUW30" s="3"/>
      <c r="VUX30" s="3"/>
      <c r="VUY30" s="3"/>
      <c r="VUZ30" s="3"/>
      <c r="VVA30" s="3"/>
      <c r="VVB30" s="3"/>
      <c r="VVC30" s="3"/>
      <c r="VVD30" s="3"/>
      <c r="VVE30" s="3"/>
      <c r="VVF30" s="3"/>
      <c r="VVG30" s="3"/>
      <c r="VVH30" s="3"/>
      <c r="VVI30" s="3"/>
      <c r="VVJ30" s="3"/>
      <c r="VVK30" s="3"/>
      <c r="VVL30" s="3"/>
      <c r="VVM30" s="3"/>
      <c r="VVN30" s="3"/>
      <c r="VVO30" s="3"/>
      <c r="VVP30" s="3"/>
      <c r="VVQ30" s="3"/>
      <c r="VVR30" s="3"/>
      <c r="VVS30" s="3"/>
      <c r="VVT30" s="3"/>
      <c r="VVU30" s="3"/>
      <c r="VVV30" s="3"/>
      <c r="VVW30" s="3"/>
      <c r="VVX30" s="3"/>
      <c r="VVY30" s="3"/>
      <c r="VVZ30" s="3"/>
      <c r="VWA30" s="3"/>
      <c r="VWB30" s="3"/>
      <c r="VWC30" s="3"/>
      <c r="VWD30" s="3"/>
      <c r="VWE30" s="3"/>
      <c r="VWF30" s="3"/>
      <c r="VWG30" s="3"/>
      <c r="VWH30" s="3"/>
      <c r="VWI30" s="3"/>
      <c r="VWJ30" s="3"/>
      <c r="VWK30" s="3"/>
      <c r="VWL30" s="3"/>
      <c r="VWM30" s="3"/>
      <c r="VWN30" s="3"/>
      <c r="VWO30" s="3"/>
      <c r="VWP30" s="3"/>
      <c r="VWQ30" s="3"/>
      <c r="VWR30" s="3"/>
      <c r="VWS30" s="3"/>
      <c r="VWT30" s="3"/>
      <c r="VWU30" s="3"/>
      <c r="VWV30" s="3"/>
      <c r="VWW30" s="3"/>
      <c r="VWX30" s="3"/>
      <c r="VWY30" s="3"/>
      <c r="VWZ30" s="3"/>
      <c r="VXA30" s="3"/>
      <c r="VXB30" s="3"/>
      <c r="VXC30" s="3"/>
      <c r="VXD30" s="3"/>
      <c r="VXE30" s="3"/>
      <c r="VXF30" s="3"/>
      <c r="VXG30" s="3"/>
      <c r="VXH30" s="3"/>
      <c r="VXI30" s="3"/>
      <c r="VXJ30" s="3"/>
      <c r="VXK30" s="3"/>
      <c r="VXL30" s="3"/>
      <c r="VXM30" s="3"/>
      <c r="VXN30" s="3"/>
      <c r="VXO30" s="3"/>
      <c r="VXP30" s="3"/>
      <c r="VXQ30" s="3"/>
      <c r="VXR30" s="3"/>
      <c r="VXS30" s="3"/>
      <c r="VXT30" s="3"/>
      <c r="VXU30" s="3"/>
      <c r="VXV30" s="3"/>
      <c r="VXW30" s="3"/>
      <c r="VXX30" s="3"/>
      <c r="VXY30" s="3"/>
      <c r="VXZ30" s="3"/>
      <c r="VYA30" s="3"/>
      <c r="VYB30" s="3"/>
      <c r="VYC30" s="3"/>
      <c r="VYD30" s="3"/>
      <c r="VYE30" s="3"/>
      <c r="VYF30" s="3"/>
      <c r="VYG30" s="3"/>
      <c r="VYH30" s="3"/>
      <c r="VYI30" s="3"/>
      <c r="VYJ30" s="3"/>
      <c r="VYK30" s="3"/>
      <c r="VYL30" s="3"/>
      <c r="VYM30" s="3"/>
      <c r="VYN30" s="3"/>
      <c r="VYO30" s="3"/>
      <c r="VYP30" s="3"/>
      <c r="VYQ30" s="3"/>
      <c r="VYR30" s="3"/>
      <c r="VYS30" s="3"/>
      <c r="VYT30" s="3"/>
      <c r="VYU30" s="3"/>
      <c r="VYV30" s="3"/>
      <c r="VYW30" s="3"/>
      <c r="VYX30" s="3"/>
      <c r="VYY30" s="3"/>
      <c r="VYZ30" s="3"/>
      <c r="VZA30" s="3"/>
      <c r="VZB30" s="3"/>
      <c r="VZC30" s="3"/>
      <c r="VZD30" s="3"/>
      <c r="VZE30" s="3"/>
      <c r="VZF30" s="3"/>
      <c r="VZG30" s="3"/>
      <c r="VZH30" s="3"/>
      <c r="VZI30" s="3"/>
      <c r="VZJ30" s="3"/>
      <c r="VZK30" s="3"/>
      <c r="VZL30" s="3"/>
      <c r="VZM30" s="3"/>
      <c r="VZN30" s="3"/>
      <c r="VZO30" s="3"/>
      <c r="VZP30" s="3"/>
      <c r="VZQ30" s="3"/>
      <c r="VZR30" s="3"/>
      <c r="VZS30" s="3"/>
      <c r="VZT30" s="3"/>
      <c r="VZU30" s="3"/>
      <c r="VZV30" s="3"/>
      <c r="VZW30" s="3"/>
      <c r="VZX30" s="3"/>
      <c r="VZY30" s="3"/>
      <c r="VZZ30" s="3"/>
      <c r="WAA30" s="3"/>
      <c r="WAB30" s="3"/>
      <c r="WAC30" s="3"/>
      <c r="WAD30" s="3"/>
      <c r="WAE30" s="3"/>
      <c r="WAF30" s="3"/>
      <c r="WAG30" s="3"/>
      <c r="WAH30" s="3"/>
      <c r="WAI30" s="3"/>
      <c r="WAJ30" s="3"/>
      <c r="WAK30" s="3"/>
      <c r="WAL30" s="3"/>
      <c r="WAM30" s="3"/>
      <c r="WAN30" s="3"/>
      <c r="WAO30" s="3"/>
      <c r="WAP30" s="3"/>
      <c r="WAQ30" s="3"/>
      <c r="WAR30" s="3"/>
      <c r="WAS30" s="3"/>
      <c r="WAT30" s="3"/>
      <c r="WAU30" s="3"/>
      <c r="WAV30" s="3"/>
      <c r="WAW30" s="3"/>
      <c r="WAX30" s="3"/>
      <c r="WAY30" s="3"/>
      <c r="WAZ30" s="3"/>
      <c r="WBA30" s="3"/>
      <c r="WBB30" s="3"/>
      <c r="WBC30" s="3"/>
      <c r="WBD30" s="3"/>
      <c r="WBE30" s="3"/>
      <c r="WBF30" s="3"/>
      <c r="WBG30" s="3"/>
      <c r="WBH30" s="3"/>
      <c r="WBI30" s="3"/>
      <c r="WBJ30" s="3"/>
      <c r="WBK30" s="3"/>
      <c r="WBL30" s="3"/>
      <c r="WBM30" s="3"/>
      <c r="WBN30" s="3"/>
      <c r="WBO30" s="3"/>
      <c r="WBP30" s="3"/>
      <c r="WBQ30" s="3"/>
      <c r="WBR30" s="3"/>
      <c r="WBS30" s="3"/>
      <c r="WBT30" s="3"/>
      <c r="WBU30" s="3"/>
      <c r="WBV30" s="3"/>
      <c r="WBW30" s="3"/>
      <c r="WBX30" s="3"/>
      <c r="WBY30" s="3"/>
      <c r="WBZ30" s="3"/>
      <c r="WCA30" s="3"/>
      <c r="WCB30" s="3"/>
      <c r="WCC30" s="3"/>
      <c r="WCD30" s="3"/>
      <c r="WCE30" s="3"/>
      <c r="WCF30" s="3"/>
      <c r="WCG30" s="3"/>
      <c r="WCH30" s="3"/>
      <c r="WCI30" s="3"/>
      <c r="WCJ30" s="3"/>
      <c r="WCK30" s="3"/>
      <c r="WCL30" s="3"/>
      <c r="WCM30" s="3"/>
      <c r="WCN30" s="3"/>
      <c r="WCO30" s="3"/>
      <c r="WCP30" s="3"/>
      <c r="WCQ30" s="3"/>
      <c r="WCR30" s="3"/>
      <c r="WCS30" s="3"/>
      <c r="WCT30" s="3"/>
      <c r="WCU30" s="3"/>
      <c r="WCV30" s="3"/>
      <c r="WCW30" s="3"/>
      <c r="WCX30" s="3"/>
      <c r="WCY30" s="3"/>
      <c r="WCZ30" s="3"/>
      <c r="WDA30" s="3"/>
      <c r="WDB30" s="3"/>
      <c r="WDC30" s="3"/>
      <c r="WDD30" s="3"/>
      <c r="WDE30" s="3"/>
      <c r="WDF30" s="3"/>
      <c r="WDG30" s="3"/>
      <c r="WDH30" s="3"/>
      <c r="WDI30" s="3"/>
      <c r="WDJ30" s="3"/>
      <c r="WDK30" s="3"/>
      <c r="WDL30" s="3"/>
      <c r="WDM30" s="3"/>
      <c r="WDN30" s="3"/>
      <c r="WDO30" s="3"/>
      <c r="WDP30" s="3"/>
      <c r="WDQ30" s="3"/>
      <c r="WDR30" s="3"/>
      <c r="WDS30" s="3"/>
      <c r="WDT30" s="3"/>
      <c r="WDU30" s="3"/>
      <c r="WDV30" s="3"/>
      <c r="WDW30" s="3"/>
      <c r="WDX30" s="3"/>
      <c r="WDY30" s="3"/>
      <c r="WDZ30" s="3"/>
      <c r="WEA30" s="3"/>
      <c r="WEB30" s="3"/>
      <c r="WEC30" s="3"/>
      <c r="WED30" s="3"/>
      <c r="WEE30" s="3"/>
      <c r="WEF30" s="3"/>
      <c r="WEG30" s="3"/>
      <c r="WEH30" s="3"/>
      <c r="WEI30" s="3"/>
      <c r="WEJ30" s="3"/>
      <c r="WEK30" s="3"/>
      <c r="WEL30" s="3"/>
      <c r="WEM30" s="3"/>
      <c r="WEN30" s="3"/>
      <c r="WEO30" s="3"/>
      <c r="WEP30" s="3"/>
      <c r="WEQ30" s="3"/>
      <c r="WER30" s="3"/>
      <c r="WES30" s="3"/>
      <c r="WET30" s="3"/>
      <c r="WEU30" s="3"/>
      <c r="WEV30" s="3"/>
      <c r="WEW30" s="3"/>
      <c r="WEX30" s="3"/>
      <c r="WEY30" s="3"/>
      <c r="WEZ30" s="3"/>
      <c r="WFA30" s="3"/>
      <c r="WFB30" s="3"/>
      <c r="WFC30" s="3"/>
      <c r="WFD30" s="3"/>
      <c r="WFE30" s="3"/>
      <c r="WFF30" s="3"/>
      <c r="WFG30" s="3"/>
      <c r="WFH30" s="3"/>
      <c r="WFI30" s="3"/>
      <c r="WFJ30" s="3"/>
      <c r="WFK30" s="3"/>
      <c r="WFL30" s="3"/>
      <c r="WFM30" s="3"/>
      <c r="WFN30" s="3"/>
      <c r="WFO30" s="3"/>
      <c r="WFP30" s="3"/>
      <c r="WFQ30" s="3"/>
      <c r="WFR30" s="3"/>
      <c r="WFS30" s="3"/>
      <c r="WFT30" s="3"/>
      <c r="WFU30" s="3"/>
      <c r="WFV30" s="3"/>
      <c r="WFW30" s="3"/>
      <c r="WFX30" s="3"/>
      <c r="WFY30" s="3"/>
      <c r="WFZ30" s="3"/>
      <c r="WGA30" s="3"/>
      <c r="WGB30" s="3"/>
      <c r="WGC30" s="3"/>
      <c r="WGD30" s="3"/>
      <c r="WGE30" s="3"/>
      <c r="WGF30" s="3"/>
      <c r="WGG30" s="3"/>
      <c r="WGH30" s="3"/>
      <c r="WGI30" s="3"/>
      <c r="WGJ30" s="3"/>
      <c r="WGK30" s="3"/>
      <c r="WGL30" s="3"/>
      <c r="WGM30" s="3"/>
      <c r="WGN30" s="3"/>
      <c r="WGO30" s="3"/>
      <c r="WGP30" s="3"/>
      <c r="WGQ30" s="3"/>
      <c r="WGR30" s="3"/>
      <c r="WGS30" s="3"/>
      <c r="WGT30" s="3"/>
      <c r="WGU30" s="3"/>
      <c r="WGV30" s="3"/>
      <c r="WGW30" s="3"/>
      <c r="WGX30" s="3"/>
      <c r="WGY30" s="3"/>
      <c r="WGZ30" s="3"/>
      <c r="WHA30" s="3"/>
      <c r="WHB30" s="3"/>
      <c r="WHC30" s="3"/>
      <c r="WHD30" s="3"/>
      <c r="WHE30" s="3"/>
      <c r="WHF30" s="3"/>
      <c r="WHG30" s="3"/>
      <c r="WHH30" s="3"/>
      <c r="WHI30" s="3"/>
      <c r="WHJ30" s="3"/>
      <c r="WHK30" s="3"/>
      <c r="WHL30" s="3"/>
      <c r="WHM30" s="3"/>
      <c r="WHN30" s="3"/>
      <c r="WHO30" s="3"/>
      <c r="WHP30" s="3"/>
      <c r="WHQ30" s="3"/>
      <c r="WHR30" s="3"/>
      <c r="WHS30" s="3"/>
      <c r="WHT30" s="3"/>
      <c r="WHU30" s="3"/>
      <c r="WHV30" s="3"/>
      <c r="WHW30" s="3"/>
      <c r="WHX30" s="3"/>
      <c r="WHY30" s="3"/>
      <c r="WHZ30" s="3"/>
      <c r="WIA30" s="3"/>
      <c r="WIB30" s="3"/>
      <c r="WIC30" s="3"/>
      <c r="WID30" s="3"/>
      <c r="WIE30" s="3"/>
      <c r="WIF30" s="3"/>
      <c r="WIG30" s="3"/>
      <c r="WIH30" s="3"/>
      <c r="WII30" s="3"/>
      <c r="WIJ30" s="3"/>
      <c r="WIK30" s="3"/>
      <c r="WIL30" s="3"/>
      <c r="WIM30" s="3"/>
      <c r="WIN30" s="3"/>
      <c r="WIO30" s="3"/>
      <c r="WIP30" s="3"/>
      <c r="WIQ30" s="3"/>
      <c r="WIR30" s="3"/>
      <c r="WIS30" s="3"/>
      <c r="WIT30" s="3"/>
      <c r="WIU30" s="3"/>
      <c r="WIV30" s="3"/>
      <c r="WIW30" s="3"/>
      <c r="WIX30" s="3"/>
      <c r="WIY30" s="3"/>
      <c r="WIZ30" s="3"/>
      <c r="WJA30" s="3"/>
      <c r="WJB30" s="3"/>
      <c r="WJC30" s="3"/>
      <c r="WJD30" s="3"/>
      <c r="WJE30" s="3"/>
      <c r="WJF30" s="3"/>
      <c r="WJG30" s="3"/>
      <c r="WJH30" s="3"/>
      <c r="WJI30" s="3"/>
      <c r="WJJ30" s="3"/>
      <c r="WJK30" s="3"/>
      <c r="WJL30" s="3"/>
      <c r="WJM30" s="3"/>
      <c r="WJN30" s="3"/>
      <c r="WJO30" s="3"/>
      <c r="WJP30" s="3"/>
      <c r="WJQ30" s="3"/>
      <c r="WJR30" s="3"/>
      <c r="WJS30" s="3"/>
      <c r="WJT30" s="3"/>
      <c r="WJU30" s="3"/>
      <c r="WJV30" s="3"/>
      <c r="WJW30" s="3"/>
      <c r="WJX30" s="3"/>
      <c r="WJY30" s="3"/>
      <c r="WJZ30" s="3"/>
      <c r="WKA30" s="3"/>
      <c r="WKB30" s="3"/>
      <c r="WKC30" s="3"/>
      <c r="WKD30" s="3"/>
      <c r="WKE30" s="3"/>
      <c r="WKF30" s="3"/>
      <c r="WKG30" s="3"/>
      <c r="WKH30" s="3"/>
      <c r="WKI30" s="3"/>
      <c r="WKJ30" s="3"/>
      <c r="WKK30" s="3"/>
      <c r="WKL30" s="3"/>
      <c r="WKM30" s="3"/>
      <c r="WKN30" s="3"/>
      <c r="WKO30" s="3"/>
      <c r="WKP30" s="3"/>
      <c r="WKQ30" s="3"/>
      <c r="WKR30" s="3"/>
      <c r="WKS30" s="3"/>
      <c r="WKT30" s="3"/>
      <c r="WKU30" s="3"/>
      <c r="WKV30" s="3"/>
      <c r="WKW30" s="3"/>
      <c r="WKX30" s="3"/>
      <c r="WKY30" s="3"/>
      <c r="WKZ30" s="3"/>
      <c r="WLA30" s="3"/>
      <c r="WLB30" s="3"/>
      <c r="WLC30" s="3"/>
      <c r="WLD30" s="3"/>
      <c r="WLE30" s="3"/>
      <c r="WLF30" s="3"/>
      <c r="WLG30" s="3"/>
      <c r="WLH30" s="3"/>
      <c r="WLI30" s="3"/>
      <c r="WLJ30" s="3"/>
      <c r="WLK30" s="3"/>
      <c r="WLL30" s="3"/>
      <c r="WLM30" s="3"/>
      <c r="WLN30" s="3"/>
      <c r="WLO30" s="3"/>
      <c r="WLP30" s="3"/>
      <c r="WLQ30" s="3"/>
      <c r="WLR30" s="3"/>
      <c r="WLS30" s="3"/>
      <c r="WLT30" s="3"/>
      <c r="WLU30" s="3"/>
      <c r="WLV30" s="3"/>
      <c r="WLW30" s="3"/>
      <c r="WLX30" s="3"/>
      <c r="WLY30" s="3"/>
      <c r="WLZ30" s="3"/>
      <c r="WMA30" s="3"/>
      <c r="WMB30" s="3"/>
      <c r="WMC30" s="3"/>
      <c r="WMD30" s="3"/>
      <c r="WME30" s="3"/>
      <c r="WMF30" s="3"/>
      <c r="WMG30" s="3"/>
      <c r="WMH30" s="3"/>
      <c r="WMI30" s="3"/>
      <c r="WMJ30" s="3"/>
      <c r="WMK30" s="3"/>
      <c r="WML30" s="3"/>
      <c r="WMM30" s="3"/>
      <c r="WMN30" s="3"/>
      <c r="WMO30" s="3"/>
      <c r="WMP30" s="3"/>
      <c r="WMQ30" s="3"/>
      <c r="WMR30" s="3"/>
      <c r="WMS30" s="3"/>
      <c r="WMT30" s="3"/>
      <c r="WMU30" s="3"/>
      <c r="WMV30" s="3"/>
      <c r="WMW30" s="3"/>
      <c r="WMX30" s="3"/>
      <c r="WMY30" s="3"/>
      <c r="WMZ30" s="3"/>
      <c r="WNA30" s="3"/>
      <c r="WNB30" s="3"/>
      <c r="WNC30" s="3"/>
      <c r="WND30" s="3"/>
      <c r="WNE30" s="3"/>
      <c r="WNF30" s="3"/>
      <c r="WNG30" s="3"/>
      <c r="WNH30" s="3"/>
      <c r="WNI30" s="3"/>
      <c r="WNJ30" s="3"/>
      <c r="WNK30" s="3"/>
      <c r="WNL30" s="3"/>
      <c r="WNM30" s="3"/>
      <c r="WNN30" s="3"/>
      <c r="WNO30" s="3"/>
      <c r="WNP30" s="3"/>
      <c r="WNQ30" s="3"/>
      <c r="WNR30" s="3"/>
      <c r="WNS30" s="3"/>
      <c r="WNT30" s="3"/>
      <c r="WNU30" s="3"/>
      <c r="WNV30" s="3"/>
      <c r="WNW30" s="3"/>
      <c r="WNX30" s="3"/>
      <c r="WNY30" s="3"/>
      <c r="WNZ30" s="3"/>
      <c r="WOA30" s="3"/>
      <c r="WOB30" s="3"/>
      <c r="WOC30" s="3"/>
      <c r="WOD30" s="3"/>
      <c r="WOE30" s="3"/>
      <c r="WOF30" s="3"/>
      <c r="WOG30" s="3"/>
      <c r="WOH30" s="3"/>
      <c r="WOI30" s="3"/>
      <c r="WOJ30" s="3"/>
      <c r="WOK30" s="3"/>
      <c r="WOL30" s="3"/>
      <c r="WOM30" s="3"/>
      <c r="WON30" s="3"/>
      <c r="WOO30" s="3"/>
      <c r="WOP30" s="3"/>
      <c r="WOQ30" s="3"/>
      <c r="WOR30" s="3"/>
      <c r="WOS30" s="3"/>
      <c r="WOT30" s="3"/>
      <c r="WOU30" s="3"/>
      <c r="WOV30" s="3"/>
      <c r="WOW30" s="3"/>
      <c r="WOX30" s="3"/>
      <c r="WOY30" s="3"/>
      <c r="WOZ30" s="3"/>
      <c r="WPA30" s="3"/>
      <c r="WPB30" s="3"/>
      <c r="WPC30" s="3"/>
      <c r="WPD30" s="3"/>
      <c r="WPE30" s="3"/>
      <c r="WPF30" s="3"/>
      <c r="WPG30" s="3"/>
      <c r="WPH30" s="3"/>
      <c r="WPI30" s="3"/>
      <c r="WPJ30" s="3"/>
      <c r="WPK30" s="3"/>
      <c r="WPL30" s="3"/>
      <c r="WPM30" s="3"/>
      <c r="WPN30" s="3"/>
      <c r="WPO30" s="3"/>
      <c r="WPP30" s="3"/>
      <c r="WPQ30" s="3"/>
      <c r="WPR30" s="3"/>
      <c r="WPS30" s="3"/>
      <c r="WPT30" s="3"/>
      <c r="WPU30" s="3"/>
      <c r="WPV30" s="3"/>
      <c r="WPW30" s="3"/>
      <c r="WPX30" s="3"/>
      <c r="WPY30" s="3"/>
      <c r="WPZ30" s="3"/>
      <c r="WQA30" s="3"/>
      <c r="WQB30" s="3"/>
      <c r="WQC30" s="3"/>
      <c r="WQD30" s="3"/>
      <c r="WQE30" s="3"/>
      <c r="WQF30" s="3"/>
      <c r="WQG30" s="3"/>
      <c r="WQH30" s="3"/>
      <c r="WQI30" s="3"/>
      <c r="WQJ30" s="3"/>
      <c r="WQK30" s="3"/>
      <c r="WQL30" s="3"/>
      <c r="WQM30" s="3"/>
      <c r="WQN30" s="3"/>
      <c r="WQO30" s="3"/>
      <c r="WQP30" s="3"/>
      <c r="WQQ30" s="3"/>
      <c r="WQR30" s="3"/>
      <c r="WQS30" s="3"/>
      <c r="WQT30" s="3"/>
      <c r="WQU30" s="3"/>
      <c r="WQV30" s="3"/>
      <c r="WQW30" s="3"/>
      <c r="WQX30" s="3"/>
      <c r="WQY30" s="3"/>
      <c r="WQZ30" s="3"/>
      <c r="WRA30" s="3"/>
      <c r="WRB30" s="3"/>
      <c r="WRC30" s="3"/>
      <c r="WRD30" s="3"/>
      <c r="WRE30" s="3"/>
      <c r="WRF30" s="3"/>
      <c r="WRG30" s="3"/>
      <c r="WRH30" s="3"/>
      <c r="WRI30" s="3"/>
      <c r="WRJ30" s="3"/>
      <c r="WRK30" s="3"/>
      <c r="WRL30" s="3"/>
      <c r="WRM30" s="3"/>
      <c r="WRN30" s="3"/>
      <c r="WRO30" s="3"/>
      <c r="WRP30" s="3"/>
      <c r="WRQ30" s="3"/>
      <c r="WRR30" s="3"/>
      <c r="WRS30" s="3"/>
      <c r="WRT30" s="3"/>
      <c r="WRU30" s="3"/>
      <c r="WRV30" s="3"/>
      <c r="WRW30" s="3"/>
      <c r="WRX30" s="3"/>
      <c r="WRY30" s="3"/>
      <c r="WRZ30" s="3"/>
      <c r="WSA30" s="3"/>
      <c r="WSB30" s="3"/>
      <c r="WSC30" s="3"/>
      <c r="WSD30" s="3"/>
      <c r="WSE30" s="3"/>
      <c r="WSF30" s="3"/>
      <c r="WSG30" s="3"/>
      <c r="WSH30" s="3"/>
      <c r="WSI30" s="3"/>
      <c r="WSJ30" s="3"/>
      <c r="WSK30" s="3"/>
      <c r="WSL30" s="3"/>
      <c r="WSM30" s="3"/>
      <c r="WSN30" s="3"/>
      <c r="WSO30" s="3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1:16384">
      <c r="B31" s="306" t="s">
        <v>137</v>
      </c>
      <c r="C31" s="306"/>
      <c r="D31" s="306"/>
      <c r="E31" s="14"/>
      <c r="F31" s="14"/>
      <c r="G31" s="15">
        <f>AVERAGE(G27:G30)</f>
        <v>5.2050000000000001</v>
      </c>
      <c r="H31" s="16">
        <f>AVERAGE(H27:H30)</f>
        <v>1.98</v>
      </c>
      <c r="J31" s="19"/>
    </row>
    <row r="33" spans="1:16384">
      <c r="B33" s="3" t="s">
        <v>138</v>
      </c>
    </row>
    <row r="34" spans="1:16384" s="4" customFormat="1">
      <c r="A34" s="3"/>
      <c r="B34" s="3"/>
      <c r="C34" s="17" t="s">
        <v>139</v>
      </c>
      <c r="D34" s="17" t="s">
        <v>135</v>
      </c>
      <c r="E34" s="17" t="s">
        <v>136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/>
      <c r="BIB34" s="3"/>
      <c r="BIC34" s="3"/>
      <c r="BID34" s="3"/>
      <c r="BIE34" s="3"/>
      <c r="BIF34" s="3"/>
      <c r="BIG34" s="3"/>
      <c r="BIH34" s="3"/>
      <c r="BII34" s="3"/>
      <c r="BIJ34" s="3"/>
      <c r="BIK34" s="3"/>
      <c r="BIL34" s="3"/>
      <c r="BIM34" s="3"/>
      <c r="BIN34" s="3"/>
      <c r="BIO34" s="3"/>
      <c r="BIP34" s="3"/>
      <c r="BIQ34" s="3"/>
      <c r="BIR34" s="3"/>
      <c r="BIS34" s="3"/>
      <c r="BIT34" s="3"/>
      <c r="BIU34" s="3"/>
      <c r="BIV34" s="3"/>
      <c r="BIW34" s="3"/>
      <c r="BIX34" s="3"/>
      <c r="BIY34" s="3"/>
      <c r="BIZ34" s="3"/>
      <c r="BJA34" s="3"/>
      <c r="BJB34" s="3"/>
      <c r="BJC34" s="3"/>
      <c r="BJD34" s="3"/>
      <c r="BJE34" s="3"/>
      <c r="BJF34" s="3"/>
      <c r="BJG34" s="3"/>
      <c r="BJH34" s="3"/>
      <c r="BJI34" s="3"/>
      <c r="BJJ34" s="3"/>
      <c r="BJK34" s="3"/>
      <c r="BJL34" s="3"/>
      <c r="BJM34" s="3"/>
      <c r="BJN34" s="3"/>
      <c r="BJO34" s="3"/>
      <c r="BJP34" s="3"/>
      <c r="BJQ34" s="3"/>
      <c r="BJR34" s="3"/>
      <c r="BJS34" s="3"/>
      <c r="BJT34" s="3"/>
      <c r="BJU34" s="3"/>
      <c r="BJV34" s="3"/>
      <c r="BJW34" s="3"/>
      <c r="BJX34" s="3"/>
      <c r="BJY34" s="3"/>
      <c r="BJZ34" s="3"/>
      <c r="BKA34" s="3"/>
      <c r="BKB34" s="3"/>
      <c r="BKC34" s="3"/>
      <c r="BKD34" s="3"/>
      <c r="BKE34" s="3"/>
      <c r="BKF34" s="3"/>
      <c r="BKG34" s="3"/>
      <c r="BKH34" s="3"/>
      <c r="BKI34" s="3"/>
      <c r="BKJ34" s="3"/>
      <c r="BKK34" s="3"/>
      <c r="BKL34" s="3"/>
      <c r="BKM34" s="3"/>
      <c r="BKN34" s="3"/>
      <c r="BKO34" s="3"/>
      <c r="BKP34" s="3"/>
      <c r="BKQ34" s="3"/>
      <c r="BKR34" s="3"/>
      <c r="BKS34" s="3"/>
      <c r="BKT34" s="3"/>
      <c r="BKU34" s="3"/>
      <c r="BKV34" s="3"/>
      <c r="BKW34" s="3"/>
      <c r="BKX34" s="3"/>
      <c r="BKY34" s="3"/>
      <c r="BKZ34" s="3"/>
      <c r="BLA34" s="3"/>
      <c r="BLB34" s="3"/>
      <c r="BLC34" s="3"/>
      <c r="BLD34" s="3"/>
      <c r="BLE34" s="3"/>
      <c r="BLF34" s="3"/>
      <c r="BLG34" s="3"/>
      <c r="BLH34" s="3"/>
      <c r="BLI34" s="3"/>
      <c r="BLJ34" s="3"/>
      <c r="BLK34" s="3"/>
      <c r="BLL34" s="3"/>
      <c r="BLM34" s="3"/>
      <c r="BLN34" s="3"/>
      <c r="BLO34" s="3"/>
      <c r="BLP34" s="3"/>
      <c r="BLQ34" s="3"/>
      <c r="BLR34" s="3"/>
      <c r="BLS34" s="3"/>
      <c r="BLT34" s="3"/>
      <c r="BLU34" s="3"/>
      <c r="BLV34" s="3"/>
      <c r="BLW34" s="3"/>
      <c r="BLX34" s="3"/>
      <c r="BLY34" s="3"/>
      <c r="BLZ34" s="3"/>
      <c r="BMA34" s="3"/>
      <c r="BMB34" s="3"/>
      <c r="BMC34" s="3"/>
      <c r="BMD34" s="3"/>
      <c r="BME34" s="3"/>
      <c r="BMF34" s="3"/>
      <c r="BMG34" s="3"/>
      <c r="BMH34" s="3"/>
      <c r="BMI34" s="3"/>
      <c r="BMJ34" s="3"/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3"/>
      <c r="CAK34" s="3"/>
      <c r="CAL34" s="3"/>
      <c r="CAM34" s="3"/>
      <c r="CAN34" s="3"/>
      <c r="CAO34" s="3"/>
      <c r="CAP34" s="3"/>
      <c r="CAQ34" s="3"/>
      <c r="CAR34" s="3"/>
      <c r="CAS34" s="3"/>
      <c r="CAT34" s="3"/>
      <c r="CAU34" s="3"/>
      <c r="CAV34" s="3"/>
      <c r="CAW34" s="3"/>
      <c r="CAX34" s="3"/>
      <c r="CAY34" s="3"/>
      <c r="CAZ34" s="3"/>
      <c r="CBA34" s="3"/>
      <c r="CBB34" s="3"/>
      <c r="CBC34" s="3"/>
      <c r="CBD34" s="3"/>
      <c r="CBE34" s="3"/>
      <c r="CBF34" s="3"/>
      <c r="CBG34" s="3"/>
      <c r="CBH34" s="3"/>
      <c r="CBI34" s="3"/>
      <c r="CBJ34" s="3"/>
      <c r="CBK34" s="3"/>
      <c r="CBL34" s="3"/>
      <c r="CBM34" s="3"/>
      <c r="CBN34" s="3"/>
      <c r="CBO34" s="3"/>
      <c r="CBP34" s="3"/>
      <c r="CBQ34" s="3"/>
      <c r="CBR34" s="3"/>
      <c r="CBS34" s="3"/>
      <c r="CBT34" s="3"/>
      <c r="CBU34" s="3"/>
      <c r="CBV34" s="3"/>
      <c r="CBW34" s="3"/>
      <c r="CBX34" s="3"/>
      <c r="CBY34" s="3"/>
      <c r="CBZ34" s="3"/>
      <c r="CCA34" s="3"/>
      <c r="CCB34" s="3"/>
      <c r="CCC34" s="3"/>
      <c r="CCD34" s="3"/>
      <c r="CCE34" s="3"/>
      <c r="CCF34" s="3"/>
      <c r="CCG34" s="3"/>
      <c r="CCH34" s="3"/>
      <c r="CCI34" s="3"/>
      <c r="CCJ34" s="3"/>
      <c r="CCK34" s="3"/>
      <c r="CCL34" s="3"/>
      <c r="CCM34" s="3"/>
      <c r="CCN34" s="3"/>
      <c r="CCO34" s="3"/>
      <c r="CCP34" s="3"/>
      <c r="CCQ34" s="3"/>
      <c r="CCR34" s="3"/>
      <c r="CCS34" s="3"/>
      <c r="CCT34" s="3"/>
      <c r="CCU34" s="3"/>
      <c r="CCV34" s="3"/>
      <c r="CCW34" s="3"/>
      <c r="CCX34" s="3"/>
      <c r="CCY34" s="3"/>
      <c r="CCZ34" s="3"/>
      <c r="CDA34" s="3"/>
      <c r="CDB34" s="3"/>
      <c r="CDC34" s="3"/>
      <c r="CDD34" s="3"/>
      <c r="CDE34" s="3"/>
      <c r="CDF34" s="3"/>
      <c r="CDG34" s="3"/>
      <c r="CDH34" s="3"/>
      <c r="CDI34" s="3"/>
      <c r="CDJ34" s="3"/>
      <c r="CDK34" s="3"/>
      <c r="CDL34" s="3"/>
      <c r="CDM34" s="3"/>
      <c r="CDN34" s="3"/>
      <c r="CDO34" s="3"/>
      <c r="CDP34" s="3"/>
      <c r="CDQ34" s="3"/>
      <c r="CDR34" s="3"/>
      <c r="CDS34" s="3"/>
      <c r="CDT34" s="3"/>
      <c r="CDU34" s="3"/>
      <c r="CDV34" s="3"/>
      <c r="CDW34" s="3"/>
      <c r="CDX34" s="3"/>
      <c r="CDY34" s="3"/>
      <c r="CDZ34" s="3"/>
      <c r="CEA34" s="3"/>
      <c r="CEB34" s="3"/>
      <c r="CEC34" s="3"/>
      <c r="CED34" s="3"/>
      <c r="CEE34" s="3"/>
      <c r="CEF34" s="3"/>
      <c r="CEG34" s="3"/>
      <c r="CEH34" s="3"/>
      <c r="CEI34" s="3"/>
      <c r="CEJ34" s="3"/>
      <c r="CEK34" s="3"/>
      <c r="CEL34" s="3"/>
      <c r="CEM34" s="3"/>
      <c r="CEN34" s="3"/>
      <c r="CEO34" s="3"/>
      <c r="CEP34" s="3"/>
      <c r="CEQ34" s="3"/>
      <c r="CER34" s="3"/>
      <c r="CES34" s="3"/>
      <c r="CET34" s="3"/>
      <c r="CEU34" s="3"/>
      <c r="CEV34" s="3"/>
      <c r="CEW34" s="3"/>
      <c r="CEX34" s="3"/>
      <c r="CEY34" s="3"/>
      <c r="CEZ34" s="3"/>
      <c r="CFA34" s="3"/>
      <c r="CFB34" s="3"/>
      <c r="CFC34" s="3"/>
      <c r="CFD34" s="3"/>
      <c r="CFE34" s="3"/>
      <c r="CFF34" s="3"/>
      <c r="CFG34" s="3"/>
      <c r="CFH34" s="3"/>
      <c r="CFI34" s="3"/>
      <c r="CFJ34" s="3"/>
      <c r="CFK34" s="3"/>
      <c r="CFL34" s="3"/>
      <c r="CFM34" s="3"/>
      <c r="CFN34" s="3"/>
      <c r="CFO34" s="3"/>
      <c r="CFP34" s="3"/>
      <c r="CFQ34" s="3"/>
      <c r="CFR34" s="3"/>
      <c r="CFS34" s="3"/>
      <c r="CFT34" s="3"/>
      <c r="CFU34" s="3"/>
      <c r="CFV34" s="3"/>
      <c r="CFW34" s="3"/>
      <c r="CFX34" s="3"/>
      <c r="CFY34" s="3"/>
      <c r="CFZ34" s="3"/>
      <c r="CGA34" s="3"/>
      <c r="CGB34" s="3"/>
      <c r="CGC34" s="3"/>
      <c r="CGD34" s="3"/>
      <c r="CGE34" s="3"/>
      <c r="CGF34" s="3"/>
      <c r="CGG34" s="3"/>
      <c r="CGH34" s="3"/>
      <c r="CGI34" s="3"/>
      <c r="CGJ34" s="3"/>
      <c r="CGK34" s="3"/>
      <c r="CGL34" s="3"/>
      <c r="CGM34" s="3"/>
      <c r="CGN34" s="3"/>
      <c r="CGO34" s="3"/>
      <c r="CGP34" s="3"/>
      <c r="CGQ34" s="3"/>
      <c r="CGR34" s="3"/>
      <c r="CGS34" s="3"/>
      <c r="CGT34" s="3"/>
      <c r="CGU34" s="3"/>
      <c r="CGV34" s="3"/>
      <c r="CGW34" s="3"/>
      <c r="CGX34" s="3"/>
      <c r="CGY34" s="3"/>
      <c r="CGZ34" s="3"/>
      <c r="CHA34" s="3"/>
      <c r="CHB34" s="3"/>
      <c r="CHC34" s="3"/>
      <c r="CHD34" s="3"/>
      <c r="CHE34" s="3"/>
      <c r="CHF34" s="3"/>
      <c r="CHG34" s="3"/>
      <c r="CHH34" s="3"/>
      <c r="CHI34" s="3"/>
      <c r="CHJ34" s="3"/>
      <c r="CHK34" s="3"/>
      <c r="CHL34" s="3"/>
      <c r="CHM34" s="3"/>
      <c r="CHN34" s="3"/>
      <c r="CHO34" s="3"/>
      <c r="CHP34" s="3"/>
      <c r="CHQ34" s="3"/>
      <c r="CHR34" s="3"/>
      <c r="CHS34" s="3"/>
      <c r="CHT34" s="3"/>
      <c r="CHU34" s="3"/>
      <c r="CHV34" s="3"/>
      <c r="CHW34" s="3"/>
      <c r="CHX34" s="3"/>
      <c r="CHY34" s="3"/>
      <c r="CHZ34" s="3"/>
      <c r="CIA34" s="3"/>
      <c r="CIB34" s="3"/>
      <c r="CIC34" s="3"/>
      <c r="CID34" s="3"/>
      <c r="CIE34" s="3"/>
      <c r="CIF34" s="3"/>
      <c r="CIG34" s="3"/>
      <c r="CIH34" s="3"/>
      <c r="CII34" s="3"/>
      <c r="CIJ34" s="3"/>
      <c r="CIK34" s="3"/>
      <c r="CIL34" s="3"/>
      <c r="CIM34" s="3"/>
      <c r="CIN34" s="3"/>
      <c r="CIO34" s="3"/>
      <c r="CIP34" s="3"/>
      <c r="CIQ34" s="3"/>
      <c r="CIR34" s="3"/>
      <c r="CIS34" s="3"/>
      <c r="CIT34" s="3"/>
      <c r="CIU34" s="3"/>
      <c r="CIV34" s="3"/>
      <c r="CIW34" s="3"/>
      <c r="CIX34" s="3"/>
      <c r="CIY34" s="3"/>
      <c r="CIZ34" s="3"/>
      <c r="CJA34" s="3"/>
      <c r="CJB34" s="3"/>
      <c r="CJC34" s="3"/>
      <c r="CJD34" s="3"/>
      <c r="CJE34" s="3"/>
      <c r="CJF34" s="3"/>
      <c r="CJG34" s="3"/>
      <c r="CJH34" s="3"/>
      <c r="CJI34" s="3"/>
      <c r="CJJ34" s="3"/>
      <c r="CJK34" s="3"/>
      <c r="CJL34" s="3"/>
      <c r="CJM34" s="3"/>
      <c r="CJN34" s="3"/>
      <c r="CJO34" s="3"/>
      <c r="CJP34" s="3"/>
      <c r="CJQ34" s="3"/>
      <c r="CJR34" s="3"/>
      <c r="CJS34" s="3"/>
      <c r="CJT34" s="3"/>
      <c r="CJU34" s="3"/>
      <c r="CJV34" s="3"/>
      <c r="CJW34" s="3"/>
      <c r="CJX34" s="3"/>
      <c r="CJY34" s="3"/>
      <c r="CJZ34" s="3"/>
      <c r="CKA34" s="3"/>
      <c r="CKB34" s="3"/>
      <c r="CKC34" s="3"/>
      <c r="CKD34" s="3"/>
      <c r="CKE34" s="3"/>
      <c r="CKF34" s="3"/>
      <c r="CKG34" s="3"/>
      <c r="CKH34" s="3"/>
      <c r="CKI34" s="3"/>
      <c r="CKJ34" s="3"/>
      <c r="CKK34" s="3"/>
      <c r="CKL34" s="3"/>
      <c r="CKM34" s="3"/>
      <c r="CKN34" s="3"/>
      <c r="CKO34" s="3"/>
      <c r="CKP34" s="3"/>
      <c r="CKQ34" s="3"/>
      <c r="CKR34" s="3"/>
      <c r="CKS34" s="3"/>
      <c r="CKT34" s="3"/>
      <c r="CKU34" s="3"/>
      <c r="CKV34" s="3"/>
      <c r="CKW34" s="3"/>
      <c r="CKX34" s="3"/>
      <c r="CKY34" s="3"/>
      <c r="CKZ34" s="3"/>
      <c r="CLA34" s="3"/>
      <c r="CLB34" s="3"/>
      <c r="CLC34" s="3"/>
      <c r="CLD34" s="3"/>
      <c r="CLE34" s="3"/>
      <c r="CLF34" s="3"/>
      <c r="CLG34" s="3"/>
      <c r="CLH34" s="3"/>
      <c r="CLI34" s="3"/>
      <c r="CLJ34" s="3"/>
      <c r="CLK34" s="3"/>
      <c r="CLL34" s="3"/>
      <c r="CLM34" s="3"/>
      <c r="CLN34" s="3"/>
      <c r="CLO34" s="3"/>
      <c r="CLP34" s="3"/>
      <c r="CLQ34" s="3"/>
      <c r="CLR34" s="3"/>
      <c r="CLS34" s="3"/>
      <c r="CLT34" s="3"/>
      <c r="CLU34" s="3"/>
      <c r="CLV34" s="3"/>
      <c r="CLW34" s="3"/>
      <c r="CLX34" s="3"/>
      <c r="CLY34" s="3"/>
      <c r="CLZ34" s="3"/>
      <c r="CMA34" s="3"/>
      <c r="CMB34" s="3"/>
      <c r="CMC34" s="3"/>
      <c r="CMD34" s="3"/>
      <c r="CME34" s="3"/>
      <c r="CMF34" s="3"/>
      <c r="CMG34" s="3"/>
      <c r="CMH34" s="3"/>
      <c r="CMI34" s="3"/>
      <c r="CMJ34" s="3"/>
      <c r="CMK34" s="3"/>
      <c r="CML34" s="3"/>
      <c r="CMM34" s="3"/>
      <c r="CMN34" s="3"/>
      <c r="CMO34" s="3"/>
      <c r="CMP34" s="3"/>
      <c r="CMQ34" s="3"/>
      <c r="CMR34" s="3"/>
      <c r="CMS34" s="3"/>
      <c r="CMT34" s="3"/>
      <c r="CMU34" s="3"/>
      <c r="CMV34" s="3"/>
      <c r="CMW34" s="3"/>
      <c r="CMX34" s="3"/>
      <c r="CMY34" s="3"/>
      <c r="CMZ34" s="3"/>
      <c r="CNA34" s="3"/>
      <c r="CNB34" s="3"/>
      <c r="CNC34" s="3"/>
      <c r="CND34" s="3"/>
      <c r="CNE34" s="3"/>
      <c r="CNF34" s="3"/>
      <c r="CNG34" s="3"/>
      <c r="CNH34" s="3"/>
      <c r="CNI34" s="3"/>
      <c r="CNJ34" s="3"/>
      <c r="CNK34" s="3"/>
      <c r="CNL34" s="3"/>
      <c r="CNM34" s="3"/>
      <c r="CNN34" s="3"/>
      <c r="CNO34" s="3"/>
      <c r="CNP34" s="3"/>
      <c r="CNQ34" s="3"/>
      <c r="CNR34" s="3"/>
      <c r="CNS34" s="3"/>
      <c r="CNT34" s="3"/>
      <c r="CNU34" s="3"/>
      <c r="CNV34" s="3"/>
      <c r="CNW34" s="3"/>
      <c r="CNX34" s="3"/>
      <c r="CNY34" s="3"/>
      <c r="CNZ34" s="3"/>
      <c r="COA34" s="3"/>
      <c r="COB34" s="3"/>
      <c r="COC34" s="3"/>
      <c r="COD34" s="3"/>
      <c r="COE34" s="3"/>
      <c r="COF34" s="3"/>
      <c r="COG34" s="3"/>
      <c r="COH34" s="3"/>
      <c r="COI34" s="3"/>
      <c r="COJ34" s="3"/>
      <c r="COK34" s="3"/>
      <c r="COL34" s="3"/>
      <c r="COM34" s="3"/>
      <c r="CON34" s="3"/>
      <c r="COO34" s="3"/>
      <c r="COP34" s="3"/>
      <c r="COQ34" s="3"/>
      <c r="COR34" s="3"/>
      <c r="COS34" s="3"/>
      <c r="COT34" s="3"/>
      <c r="COU34" s="3"/>
      <c r="COV34" s="3"/>
      <c r="COW34" s="3"/>
      <c r="COX34" s="3"/>
      <c r="COY34" s="3"/>
      <c r="COZ34" s="3"/>
      <c r="CPA34" s="3"/>
      <c r="CPB34" s="3"/>
      <c r="CPC34" s="3"/>
      <c r="CPD34" s="3"/>
      <c r="CPE34" s="3"/>
      <c r="CPF34" s="3"/>
      <c r="CPG34" s="3"/>
      <c r="CPH34" s="3"/>
      <c r="CPI34" s="3"/>
      <c r="CPJ34" s="3"/>
      <c r="CPK34" s="3"/>
      <c r="CPL34" s="3"/>
      <c r="CPM34" s="3"/>
      <c r="CPN34" s="3"/>
      <c r="CPO34" s="3"/>
      <c r="CPP34" s="3"/>
      <c r="CPQ34" s="3"/>
      <c r="CPR34" s="3"/>
      <c r="CPS34" s="3"/>
      <c r="CPT34" s="3"/>
      <c r="CPU34" s="3"/>
      <c r="CPV34" s="3"/>
      <c r="CPW34" s="3"/>
      <c r="CPX34" s="3"/>
      <c r="CPY34" s="3"/>
      <c r="CPZ34" s="3"/>
      <c r="CQA34" s="3"/>
      <c r="CQB34" s="3"/>
      <c r="CQC34" s="3"/>
      <c r="CQD34" s="3"/>
      <c r="CQE34" s="3"/>
      <c r="CQF34" s="3"/>
      <c r="CQG34" s="3"/>
      <c r="CQH34" s="3"/>
      <c r="CQI34" s="3"/>
      <c r="CQJ34" s="3"/>
      <c r="CQK34" s="3"/>
      <c r="CQL34" s="3"/>
      <c r="CQM34" s="3"/>
      <c r="CQN34" s="3"/>
      <c r="CQO34" s="3"/>
      <c r="CQP34" s="3"/>
      <c r="CQQ34" s="3"/>
      <c r="CQR34" s="3"/>
      <c r="CQS34" s="3"/>
      <c r="CQT34" s="3"/>
      <c r="CQU34" s="3"/>
      <c r="CQV34" s="3"/>
      <c r="CQW34" s="3"/>
      <c r="CQX34" s="3"/>
      <c r="CQY34" s="3"/>
      <c r="CQZ34" s="3"/>
      <c r="CRA34" s="3"/>
      <c r="CRB34" s="3"/>
      <c r="CRC34" s="3"/>
      <c r="CRD34" s="3"/>
      <c r="CRE34" s="3"/>
      <c r="CRF34" s="3"/>
      <c r="CRG34" s="3"/>
      <c r="CRH34" s="3"/>
      <c r="CRI34" s="3"/>
      <c r="CRJ34" s="3"/>
      <c r="CRK34" s="3"/>
      <c r="CRL34" s="3"/>
      <c r="CRM34" s="3"/>
      <c r="CRN34" s="3"/>
      <c r="CRO34" s="3"/>
      <c r="CRP34" s="3"/>
      <c r="CRQ34" s="3"/>
      <c r="CRR34" s="3"/>
      <c r="CRS34" s="3"/>
      <c r="CRT34" s="3"/>
      <c r="CRU34" s="3"/>
      <c r="CRV34" s="3"/>
      <c r="CRW34" s="3"/>
      <c r="CRX34" s="3"/>
      <c r="CRY34" s="3"/>
      <c r="CRZ34" s="3"/>
      <c r="CSA34" s="3"/>
      <c r="CSB34" s="3"/>
      <c r="CSC34" s="3"/>
      <c r="CSD34" s="3"/>
      <c r="CSE34" s="3"/>
      <c r="CSF34" s="3"/>
      <c r="CSG34" s="3"/>
      <c r="CSH34" s="3"/>
      <c r="CSI34" s="3"/>
      <c r="CSJ34" s="3"/>
      <c r="CSK34" s="3"/>
      <c r="CSL34" s="3"/>
      <c r="CSM34" s="3"/>
      <c r="CSN34" s="3"/>
      <c r="CSO34" s="3"/>
      <c r="CSP34" s="3"/>
      <c r="CSQ34" s="3"/>
      <c r="CSR34" s="3"/>
      <c r="CSS34" s="3"/>
      <c r="CST34" s="3"/>
      <c r="CSU34" s="3"/>
      <c r="CSV34" s="3"/>
      <c r="CSW34" s="3"/>
      <c r="CSX34" s="3"/>
      <c r="CSY34" s="3"/>
      <c r="CSZ34" s="3"/>
      <c r="CTA34" s="3"/>
      <c r="CTB34" s="3"/>
      <c r="CTC34" s="3"/>
      <c r="CTD34" s="3"/>
      <c r="CTE34" s="3"/>
      <c r="CTF34" s="3"/>
      <c r="CTG34" s="3"/>
      <c r="CTH34" s="3"/>
      <c r="CTI34" s="3"/>
      <c r="CTJ34" s="3"/>
      <c r="CTK34" s="3"/>
      <c r="CTL34" s="3"/>
      <c r="CTM34" s="3"/>
      <c r="CTN34" s="3"/>
      <c r="CTO34" s="3"/>
      <c r="CTP34" s="3"/>
      <c r="CTQ34" s="3"/>
      <c r="CTR34" s="3"/>
      <c r="CTS34" s="3"/>
      <c r="CTT34" s="3"/>
      <c r="CTU34" s="3"/>
      <c r="CTV34" s="3"/>
      <c r="CTW34" s="3"/>
      <c r="CTX34" s="3"/>
      <c r="CTY34" s="3"/>
      <c r="CTZ34" s="3"/>
      <c r="CUA34" s="3"/>
      <c r="CUB34" s="3"/>
      <c r="CUC34" s="3"/>
      <c r="CUD34" s="3"/>
      <c r="CUE34" s="3"/>
      <c r="CUF34" s="3"/>
      <c r="CUG34" s="3"/>
      <c r="CUH34" s="3"/>
      <c r="CUI34" s="3"/>
      <c r="CUJ34" s="3"/>
      <c r="CUK34" s="3"/>
      <c r="CUL34" s="3"/>
      <c r="CUM34" s="3"/>
      <c r="CUN34" s="3"/>
      <c r="CUO34" s="3"/>
      <c r="CUP34" s="3"/>
      <c r="CUQ34" s="3"/>
      <c r="CUR34" s="3"/>
      <c r="CUS34" s="3"/>
      <c r="CUT34" s="3"/>
      <c r="CUU34" s="3"/>
      <c r="CUV34" s="3"/>
      <c r="CUW34" s="3"/>
      <c r="CUX34" s="3"/>
      <c r="CUY34" s="3"/>
      <c r="CUZ34" s="3"/>
      <c r="CVA34" s="3"/>
      <c r="CVB34" s="3"/>
      <c r="CVC34" s="3"/>
      <c r="CVD34" s="3"/>
      <c r="CVE34" s="3"/>
      <c r="CVF34" s="3"/>
      <c r="CVG34" s="3"/>
      <c r="CVH34" s="3"/>
      <c r="CVI34" s="3"/>
      <c r="CVJ34" s="3"/>
      <c r="CVK34" s="3"/>
      <c r="CVL34" s="3"/>
      <c r="CVM34" s="3"/>
      <c r="CVN34" s="3"/>
      <c r="CVO34" s="3"/>
      <c r="CVP34" s="3"/>
      <c r="CVQ34" s="3"/>
      <c r="CVR34" s="3"/>
      <c r="CVS34" s="3"/>
      <c r="CVT34" s="3"/>
      <c r="CVU34" s="3"/>
      <c r="CVV34" s="3"/>
      <c r="CVW34" s="3"/>
      <c r="CVX34" s="3"/>
      <c r="CVY34" s="3"/>
      <c r="CVZ34" s="3"/>
      <c r="CWA34" s="3"/>
      <c r="CWB34" s="3"/>
      <c r="CWC34" s="3"/>
      <c r="CWD34" s="3"/>
      <c r="CWE34" s="3"/>
      <c r="CWF34" s="3"/>
      <c r="CWG34" s="3"/>
      <c r="CWH34" s="3"/>
      <c r="CWI34" s="3"/>
      <c r="CWJ34" s="3"/>
      <c r="CWK34" s="3"/>
      <c r="CWL34" s="3"/>
      <c r="CWM34" s="3"/>
      <c r="CWN34" s="3"/>
      <c r="CWO34" s="3"/>
      <c r="CWP34" s="3"/>
      <c r="CWQ34" s="3"/>
      <c r="CWR34" s="3"/>
      <c r="CWS34" s="3"/>
      <c r="CWT34" s="3"/>
      <c r="CWU34" s="3"/>
      <c r="CWV34" s="3"/>
      <c r="CWW34" s="3"/>
      <c r="CWX34" s="3"/>
      <c r="CWY34" s="3"/>
      <c r="CWZ34" s="3"/>
      <c r="CXA34" s="3"/>
      <c r="CXB34" s="3"/>
      <c r="CXC34" s="3"/>
      <c r="CXD34" s="3"/>
      <c r="CXE34" s="3"/>
      <c r="CXF34" s="3"/>
      <c r="CXG34" s="3"/>
      <c r="CXH34" s="3"/>
      <c r="CXI34" s="3"/>
      <c r="CXJ34" s="3"/>
      <c r="CXK34" s="3"/>
      <c r="CXL34" s="3"/>
      <c r="CXM34" s="3"/>
      <c r="CXN34" s="3"/>
      <c r="CXO34" s="3"/>
      <c r="CXP34" s="3"/>
      <c r="CXQ34" s="3"/>
      <c r="CXR34" s="3"/>
      <c r="CXS34" s="3"/>
      <c r="CXT34" s="3"/>
      <c r="CXU34" s="3"/>
      <c r="CXV34" s="3"/>
      <c r="CXW34" s="3"/>
      <c r="CXX34" s="3"/>
      <c r="CXY34" s="3"/>
      <c r="CXZ34" s="3"/>
      <c r="CYA34" s="3"/>
      <c r="CYB34" s="3"/>
      <c r="CYC34" s="3"/>
      <c r="CYD34" s="3"/>
      <c r="CYE34" s="3"/>
      <c r="CYF34" s="3"/>
      <c r="CYG34" s="3"/>
      <c r="CYH34" s="3"/>
      <c r="CYI34" s="3"/>
      <c r="CYJ34" s="3"/>
      <c r="CYK34" s="3"/>
      <c r="CYL34" s="3"/>
      <c r="CYM34" s="3"/>
      <c r="CYN34" s="3"/>
      <c r="CYO34" s="3"/>
      <c r="CYP34" s="3"/>
      <c r="CYQ34" s="3"/>
      <c r="CYR34" s="3"/>
      <c r="CYS34" s="3"/>
      <c r="CYT34" s="3"/>
      <c r="CYU34" s="3"/>
      <c r="CYV34" s="3"/>
      <c r="CYW34" s="3"/>
      <c r="CYX34" s="3"/>
      <c r="CYY34" s="3"/>
      <c r="CYZ34" s="3"/>
      <c r="CZA34" s="3"/>
      <c r="CZB34" s="3"/>
      <c r="CZC34" s="3"/>
      <c r="CZD34" s="3"/>
      <c r="CZE34" s="3"/>
      <c r="CZF34" s="3"/>
      <c r="CZG34" s="3"/>
      <c r="CZH34" s="3"/>
      <c r="CZI34" s="3"/>
      <c r="CZJ34" s="3"/>
      <c r="CZK34" s="3"/>
      <c r="CZL34" s="3"/>
      <c r="CZM34" s="3"/>
      <c r="CZN34" s="3"/>
      <c r="CZO34" s="3"/>
      <c r="CZP34" s="3"/>
      <c r="CZQ34" s="3"/>
      <c r="CZR34" s="3"/>
      <c r="CZS34" s="3"/>
      <c r="CZT34" s="3"/>
      <c r="CZU34" s="3"/>
      <c r="CZV34" s="3"/>
      <c r="CZW34" s="3"/>
      <c r="CZX34" s="3"/>
      <c r="CZY34" s="3"/>
      <c r="CZZ34" s="3"/>
      <c r="DAA34" s="3"/>
      <c r="DAB34" s="3"/>
      <c r="DAC34" s="3"/>
      <c r="DAD34" s="3"/>
      <c r="DAE34" s="3"/>
      <c r="DAF34" s="3"/>
      <c r="DAG34" s="3"/>
      <c r="DAH34" s="3"/>
      <c r="DAI34" s="3"/>
      <c r="DAJ34" s="3"/>
      <c r="DAK34" s="3"/>
      <c r="DAL34" s="3"/>
      <c r="DAM34" s="3"/>
      <c r="DAN34" s="3"/>
      <c r="DAO34" s="3"/>
      <c r="DAP34" s="3"/>
      <c r="DAQ34" s="3"/>
      <c r="DAR34" s="3"/>
      <c r="DAS34" s="3"/>
      <c r="DAT34" s="3"/>
      <c r="DAU34" s="3"/>
      <c r="DAV34" s="3"/>
      <c r="DAW34" s="3"/>
      <c r="DAX34" s="3"/>
      <c r="DAY34" s="3"/>
      <c r="DAZ34" s="3"/>
      <c r="DBA34" s="3"/>
      <c r="DBB34" s="3"/>
      <c r="DBC34" s="3"/>
      <c r="DBD34" s="3"/>
      <c r="DBE34" s="3"/>
      <c r="DBF34" s="3"/>
      <c r="DBG34" s="3"/>
      <c r="DBH34" s="3"/>
      <c r="DBI34" s="3"/>
      <c r="DBJ34" s="3"/>
      <c r="DBK34" s="3"/>
      <c r="DBL34" s="3"/>
      <c r="DBM34" s="3"/>
      <c r="DBN34" s="3"/>
      <c r="DBO34" s="3"/>
      <c r="DBP34" s="3"/>
      <c r="DBQ34" s="3"/>
      <c r="DBR34" s="3"/>
      <c r="DBS34" s="3"/>
      <c r="DBT34" s="3"/>
      <c r="DBU34" s="3"/>
      <c r="DBV34" s="3"/>
      <c r="DBW34" s="3"/>
      <c r="DBX34" s="3"/>
      <c r="DBY34" s="3"/>
      <c r="DBZ34" s="3"/>
      <c r="DCA34" s="3"/>
      <c r="DCB34" s="3"/>
      <c r="DCC34" s="3"/>
      <c r="DCD34" s="3"/>
      <c r="DCE34" s="3"/>
      <c r="DCF34" s="3"/>
      <c r="DCG34" s="3"/>
      <c r="DCH34" s="3"/>
      <c r="DCI34" s="3"/>
      <c r="DCJ34" s="3"/>
      <c r="DCK34" s="3"/>
      <c r="DCL34" s="3"/>
      <c r="DCM34" s="3"/>
      <c r="DCN34" s="3"/>
      <c r="DCO34" s="3"/>
      <c r="DCP34" s="3"/>
      <c r="DCQ34" s="3"/>
      <c r="DCR34" s="3"/>
      <c r="DCS34" s="3"/>
      <c r="DCT34" s="3"/>
      <c r="DCU34" s="3"/>
      <c r="DCV34" s="3"/>
      <c r="DCW34" s="3"/>
      <c r="DCX34" s="3"/>
      <c r="DCY34" s="3"/>
      <c r="DCZ34" s="3"/>
      <c r="DDA34" s="3"/>
      <c r="DDB34" s="3"/>
      <c r="DDC34" s="3"/>
      <c r="DDD34" s="3"/>
      <c r="DDE34" s="3"/>
      <c r="DDF34" s="3"/>
      <c r="DDG34" s="3"/>
      <c r="DDH34" s="3"/>
      <c r="DDI34" s="3"/>
      <c r="DDJ34" s="3"/>
      <c r="DDK34" s="3"/>
      <c r="DDL34" s="3"/>
      <c r="DDM34" s="3"/>
      <c r="DDN34" s="3"/>
      <c r="DDO34" s="3"/>
      <c r="DDP34" s="3"/>
      <c r="DDQ34" s="3"/>
      <c r="DDR34" s="3"/>
      <c r="DDS34" s="3"/>
      <c r="DDT34" s="3"/>
      <c r="DDU34" s="3"/>
      <c r="DDV34" s="3"/>
      <c r="DDW34" s="3"/>
      <c r="DDX34" s="3"/>
      <c r="DDY34" s="3"/>
      <c r="DDZ34" s="3"/>
      <c r="DEA34" s="3"/>
      <c r="DEB34" s="3"/>
      <c r="DEC34" s="3"/>
      <c r="DED34" s="3"/>
      <c r="DEE34" s="3"/>
      <c r="DEF34" s="3"/>
      <c r="DEG34" s="3"/>
      <c r="DEH34" s="3"/>
      <c r="DEI34" s="3"/>
      <c r="DEJ34" s="3"/>
      <c r="DEK34" s="3"/>
      <c r="DEL34" s="3"/>
      <c r="DEM34" s="3"/>
      <c r="DEN34" s="3"/>
      <c r="DEO34" s="3"/>
      <c r="DEP34" s="3"/>
      <c r="DEQ34" s="3"/>
      <c r="DER34" s="3"/>
      <c r="DES34" s="3"/>
      <c r="DET34" s="3"/>
      <c r="DEU34" s="3"/>
      <c r="DEV34" s="3"/>
      <c r="DEW34" s="3"/>
      <c r="DEX34" s="3"/>
      <c r="DEY34" s="3"/>
      <c r="DEZ34" s="3"/>
      <c r="DFA34" s="3"/>
      <c r="DFB34" s="3"/>
      <c r="DFC34" s="3"/>
      <c r="DFD34" s="3"/>
      <c r="DFE34" s="3"/>
      <c r="DFF34" s="3"/>
      <c r="DFG34" s="3"/>
      <c r="DFH34" s="3"/>
      <c r="DFI34" s="3"/>
      <c r="DFJ34" s="3"/>
      <c r="DFK34" s="3"/>
      <c r="DFL34" s="3"/>
      <c r="DFM34" s="3"/>
      <c r="DFN34" s="3"/>
      <c r="DFO34" s="3"/>
      <c r="DFP34" s="3"/>
      <c r="DFQ34" s="3"/>
      <c r="DFR34" s="3"/>
      <c r="DFS34" s="3"/>
      <c r="DFT34" s="3"/>
      <c r="DFU34" s="3"/>
      <c r="DFV34" s="3"/>
      <c r="DFW34" s="3"/>
      <c r="DFX34" s="3"/>
      <c r="DFY34" s="3"/>
      <c r="DFZ34" s="3"/>
      <c r="DGA34" s="3"/>
      <c r="DGB34" s="3"/>
      <c r="DGC34" s="3"/>
      <c r="DGD34" s="3"/>
      <c r="DGE34" s="3"/>
      <c r="DGF34" s="3"/>
      <c r="DGG34" s="3"/>
      <c r="DGH34" s="3"/>
      <c r="DGI34" s="3"/>
      <c r="DGJ34" s="3"/>
      <c r="DGK34" s="3"/>
      <c r="DGL34" s="3"/>
      <c r="DGM34" s="3"/>
      <c r="DGN34" s="3"/>
      <c r="DGO34" s="3"/>
      <c r="DGP34" s="3"/>
      <c r="DGQ34" s="3"/>
      <c r="DGR34" s="3"/>
      <c r="DGS34" s="3"/>
      <c r="DGT34" s="3"/>
      <c r="DGU34" s="3"/>
      <c r="DGV34" s="3"/>
      <c r="DGW34" s="3"/>
      <c r="DGX34" s="3"/>
      <c r="DGY34" s="3"/>
      <c r="DGZ34" s="3"/>
      <c r="DHA34" s="3"/>
      <c r="DHB34" s="3"/>
      <c r="DHC34" s="3"/>
      <c r="DHD34" s="3"/>
      <c r="DHE34" s="3"/>
      <c r="DHF34" s="3"/>
      <c r="DHG34" s="3"/>
      <c r="DHH34" s="3"/>
      <c r="DHI34" s="3"/>
      <c r="DHJ34" s="3"/>
      <c r="DHK34" s="3"/>
      <c r="DHL34" s="3"/>
      <c r="DHM34" s="3"/>
      <c r="DHN34" s="3"/>
      <c r="DHO34" s="3"/>
      <c r="DHP34" s="3"/>
      <c r="DHQ34" s="3"/>
      <c r="DHR34" s="3"/>
      <c r="DHS34" s="3"/>
      <c r="DHT34" s="3"/>
      <c r="DHU34" s="3"/>
      <c r="DHV34" s="3"/>
      <c r="DHW34" s="3"/>
      <c r="DHX34" s="3"/>
      <c r="DHY34" s="3"/>
      <c r="DHZ34" s="3"/>
      <c r="DIA34" s="3"/>
      <c r="DIB34" s="3"/>
      <c r="DIC34" s="3"/>
      <c r="DID34" s="3"/>
      <c r="DIE34" s="3"/>
      <c r="DIF34" s="3"/>
      <c r="DIG34" s="3"/>
      <c r="DIH34" s="3"/>
      <c r="DII34" s="3"/>
      <c r="DIJ34" s="3"/>
      <c r="DIK34" s="3"/>
      <c r="DIL34" s="3"/>
      <c r="DIM34" s="3"/>
      <c r="DIN34" s="3"/>
      <c r="DIO34" s="3"/>
      <c r="DIP34" s="3"/>
      <c r="DIQ34" s="3"/>
      <c r="DIR34" s="3"/>
      <c r="DIS34" s="3"/>
      <c r="DIT34" s="3"/>
      <c r="DIU34" s="3"/>
      <c r="DIV34" s="3"/>
      <c r="DIW34" s="3"/>
      <c r="DIX34" s="3"/>
      <c r="DIY34" s="3"/>
      <c r="DIZ34" s="3"/>
      <c r="DJA34" s="3"/>
      <c r="DJB34" s="3"/>
      <c r="DJC34" s="3"/>
      <c r="DJD34" s="3"/>
      <c r="DJE34" s="3"/>
      <c r="DJF34" s="3"/>
      <c r="DJG34" s="3"/>
      <c r="DJH34" s="3"/>
      <c r="DJI34" s="3"/>
      <c r="DJJ34" s="3"/>
      <c r="DJK34" s="3"/>
      <c r="DJL34" s="3"/>
      <c r="DJM34" s="3"/>
      <c r="DJN34" s="3"/>
      <c r="DJO34" s="3"/>
      <c r="DJP34" s="3"/>
      <c r="DJQ34" s="3"/>
      <c r="DJR34" s="3"/>
      <c r="DJS34" s="3"/>
      <c r="DJT34" s="3"/>
      <c r="DJU34" s="3"/>
      <c r="DJV34" s="3"/>
      <c r="DJW34" s="3"/>
      <c r="DJX34" s="3"/>
      <c r="DJY34" s="3"/>
      <c r="DJZ34" s="3"/>
      <c r="DKA34" s="3"/>
      <c r="DKB34" s="3"/>
      <c r="DKC34" s="3"/>
      <c r="DKD34" s="3"/>
      <c r="DKE34" s="3"/>
      <c r="DKF34" s="3"/>
      <c r="DKG34" s="3"/>
      <c r="DKH34" s="3"/>
      <c r="DKI34" s="3"/>
      <c r="DKJ34" s="3"/>
      <c r="DKK34" s="3"/>
      <c r="DKL34" s="3"/>
      <c r="DKM34" s="3"/>
      <c r="DKN34" s="3"/>
      <c r="DKO34" s="3"/>
      <c r="DKP34" s="3"/>
      <c r="DKQ34" s="3"/>
      <c r="DKR34" s="3"/>
      <c r="DKS34" s="3"/>
      <c r="DKT34" s="3"/>
      <c r="DKU34" s="3"/>
      <c r="DKV34" s="3"/>
      <c r="DKW34" s="3"/>
      <c r="DKX34" s="3"/>
      <c r="DKY34" s="3"/>
      <c r="DKZ34" s="3"/>
      <c r="DLA34" s="3"/>
      <c r="DLB34" s="3"/>
      <c r="DLC34" s="3"/>
      <c r="DLD34" s="3"/>
      <c r="DLE34" s="3"/>
      <c r="DLF34" s="3"/>
      <c r="DLG34" s="3"/>
      <c r="DLH34" s="3"/>
      <c r="DLI34" s="3"/>
      <c r="DLJ34" s="3"/>
      <c r="DLK34" s="3"/>
      <c r="DLL34" s="3"/>
      <c r="DLM34" s="3"/>
      <c r="DLN34" s="3"/>
      <c r="DLO34" s="3"/>
      <c r="DLP34" s="3"/>
      <c r="DLQ34" s="3"/>
      <c r="DLR34" s="3"/>
      <c r="DLS34" s="3"/>
      <c r="DLT34" s="3"/>
      <c r="DLU34" s="3"/>
      <c r="DLV34" s="3"/>
      <c r="DLW34" s="3"/>
      <c r="DLX34" s="3"/>
      <c r="DLY34" s="3"/>
      <c r="DLZ34" s="3"/>
      <c r="DMA34" s="3"/>
      <c r="DMB34" s="3"/>
      <c r="DMC34" s="3"/>
      <c r="DMD34" s="3"/>
      <c r="DME34" s="3"/>
      <c r="DMF34" s="3"/>
      <c r="DMG34" s="3"/>
      <c r="DMH34" s="3"/>
      <c r="DMI34" s="3"/>
      <c r="DMJ34" s="3"/>
      <c r="DMK34" s="3"/>
      <c r="DML34" s="3"/>
      <c r="DMM34" s="3"/>
      <c r="DMN34" s="3"/>
      <c r="DMO34" s="3"/>
      <c r="DMP34" s="3"/>
      <c r="DMQ34" s="3"/>
      <c r="DMR34" s="3"/>
      <c r="DMS34" s="3"/>
      <c r="DMT34" s="3"/>
      <c r="DMU34" s="3"/>
      <c r="DMV34" s="3"/>
      <c r="DMW34" s="3"/>
      <c r="DMX34" s="3"/>
      <c r="DMY34" s="3"/>
      <c r="DMZ34" s="3"/>
      <c r="DNA34" s="3"/>
      <c r="DNB34" s="3"/>
      <c r="DNC34" s="3"/>
      <c r="DND34" s="3"/>
      <c r="DNE34" s="3"/>
      <c r="DNF34" s="3"/>
      <c r="DNG34" s="3"/>
      <c r="DNH34" s="3"/>
      <c r="DNI34" s="3"/>
      <c r="DNJ34" s="3"/>
      <c r="DNK34" s="3"/>
      <c r="DNL34" s="3"/>
      <c r="DNM34" s="3"/>
      <c r="DNN34" s="3"/>
      <c r="DNO34" s="3"/>
      <c r="DNP34" s="3"/>
      <c r="DNQ34" s="3"/>
      <c r="DNR34" s="3"/>
      <c r="DNS34" s="3"/>
      <c r="DNT34" s="3"/>
      <c r="DNU34" s="3"/>
      <c r="DNV34" s="3"/>
      <c r="DNW34" s="3"/>
      <c r="DNX34" s="3"/>
      <c r="DNY34" s="3"/>
      <c r="DNZ34" s="3"/>
      <c r="DOA34" s="3"/>
      <c r="DOB34" s="3"/>
      <c r="DOC34" s="3"/>
      <c r="DOD34" s="3"/>
      <c r="DOE34" s="3"/>
      <c r="DOF34" s="3"/>
      <c r="DOG34" s="3"/>
      <c r="DOH34" s="3"/>
      <c r="DOI34" s="3"/>
      <c r="DOJ34" s="3"/>
      <c r="DOK34" s="3"/>
      <c r="DOL34" s="3"/>
      <c r="DOM34" s="3"/>
      <c r="DON34" s="3"/>
      <c r="DOO34" s="3"/>
      <c r="DOP34" s="3"/>
      <c r="DOQ34" s="3"/>
      <c r="DOR34" s="3"/>
      <c r="DOS34" s="3"/>
      <c r="DOT34" s="3"/>
      <c r="DOU34" s="3"/>
      <c r="DOV34" s="3"/>
      <c r="DOW34" s="3"/>
      <c r="DOX34" s="3"/>
      <c r="DOY34" s="3"/>
      <c r="DOZ34" s="3"/>
      <c r="DPA34" s="3"/>
      <c r="DPB34" s="3"/>
      <c r="DPC34" s="3"/>
      <c r="DPD34" s="3"/>
      <c r="DPE34" s="3"/>
      <c r="DPF34" s="3"/>
      <c r="DPG34" s="3"/>
      <c r="DPH34" s="3"/>
      <c r="DPI34" s="3"/>
      <c r="DPJ34" s="3"/>
      <c r="DPK34" s="3"/>
      <c r="DPL34" s="3"/>
      <c r="DPM34" s="3"/>
      <c r="DPN34" s="3"/>
      <c r="DPO34" s="3"/>
      <c r="DPP34" s="3"/>
      <c r="DPQ34" s="3"/>
      <c r="DPR34" s="3"/>
      <c r="DPS34" s="3"/>
      <c r="DPT34" s="3"/>
      <c r="DPU34" s="3"/>
      <c r="DPV34" s="3"/>
      <c r="DPW34" s="3"/>
      <c r="DPX34" s="3"/>
      <c r="DPY34" s="3"/>
      <c r="DPZ34" s="3"/>
      <c r="DQA34" s="3"/>
      <c r="DQB34" s="3"/>
      <c r="DQC34" s="3"/>
      <c r="DQD34" s="3"/>
      <c r="DQE34" s="3"/>
      <c r="DQF34" s="3"/>
      <c r="DQG34" s="3"/>
      <c r="DQH34" s="3"/>
      <c r="DQI34" s="3"/>
      <c r="DQJ34" s="3"/>
      <c r="DQK34" s="3"/>
      <c r="DQL34" s="3"/>
      <c r="DQM34" s="3"/>
      <c r="DQN34" s="3"/>
      <c r="DQO34" s="3"/>
      <c r="DQP34" s="3"/>
      <c r="DQQ34" s="3"/>
      <c r="DQR34" s="3"/>
      <c r="DQS34" s="3"/>
      <c r="DQT34" s="3"/>
      <c r="DQU34" s="3"/>
      <c r="DQV34" s="3"/>
      <c r="DQW34" s="3"/>
      <c r="DQX34" s="3"/>
      <c r="DQY34" s="3"/>
      <c r="DQZ34" s="3"/>
      <c r="DRA34" s="3"/>
      <c r="DRB34" s="3"/>
      <c r="DRC34" s="3"/>
      <c r="DRD34" s="3"/>
      <c r="DRE34" s="3"/>
      <c r="DRF34" s="3"/>
      <c r="DRG34" s="3"/>
      <c r="DRH34" s="3"/>
      <c r="DRI34" s="3"/>
      <c r="DRJ34" s="3"/>
      <c r="DRK34" s="3"/>
      <c r="DRL34" s="3"/>
      <c r="DRM34" s="3"/>
      <c r="DRN34" s="3"/>
      <c r="DRO34" s="3"/>
      <c r="DRP34" s="3"/>
      <c r="DRQ34" s="3"/>
      <c r="DRR34" s="3"/>
      <c r="DRS34" s="3"/>
      <c r="DRT34" s="3"/>
      <c r="DRU34" s="3"/>
      <c r="DRV34" s="3"/>
      <c r="DRW34" s="3"/>
      <c r="DRX34" s="3"/>
      <c r="DRY34" s="3"/>
      <c r="DRZ34" s="3"/>
      <c r="DSA34" s="3"/>
      <c r="DSB34" s="3"/>
      <c r="DSC34" s="3"/>
      <c r="DSD34" s="3"/>
      <c r="DSE34" s="3"/>
      <c r="DSF34" s="3"/>
      <c r="DSG34" s="3"/>
      <c r="DSH34" s="3"/>
      <c r="DSI34" s="3"/>
      <c r="DSJ34" s="3"/>
      <c r="DSK34" s="3"/>
      <c r="DSL34" s="3"/>
      <c r="DSM34" s="3"/>
      <c r="DSN34" s="3"/>
      <c r="DSO34" s="3"/>
      <c r="DSP34" s="3"/>
      <c r="DSQ34" s="3"/>
      <c r="DSR34" s="3"/>
      <c r="DSS34" s="3"/>
      <c r="DST34" s="3"/>
      <c r="DSU34" s="3"/>
      <c r="DSV34" s="3"/>
      <c r="DSW34" s="3"/>
      <c r="DSX34" s="3"/>
      <c r="DSY34" s="3"/>
      <c r="DSZ34" s="3"/>
      <c r="DTA34" s="3"/>
      <c r="DTB34" s="3"/>
      <c r="DTC34" s="3"/>
      <c r="DTD34" s="3"/>
      <c r="DTE34" s="3"/>
      <c r="DTF34" s="3"/>
      <c r="DTG34" s="3"/>
      <c r="DTH34" s="3"/>
      <c r="DTI34" s="3"/>
      <c r="DTJ34" s="3"/>
      <c r="DTK34" s="3"/>
      <c r="DTL34" s="3"/>
      <c r="DTM34" s="3"/>
      <c r="DTN34" s="3"/>
      <c r="DTO34" s="3"/>
      <c r="DTP34" s="3"/>
      <c r="DTQ34" s="3"/>
      <c r="DTR34" s="3"/>
      <c r="DTS34" s="3"/>
      <c r="DTT34" s="3"/>
      <c r="DTU34" s="3"/>
      <c r="DTV34" s="3"/>
      <c r="DTW34" s="3"/>
      <c r="DTX34" s="3"/>
      <c r="DTY34" s="3"/>
      <c r="DTZ34" s="3"/>
      <c r="DUA34" s="3"/>
      <c r="DUB34" s="3"/>
      <c r="DUC34" s="3"/>
      <c r="DUD34" s="3"/>
      <c r="DUE34" s="3"/>
      <c r="DUF34" s="3"/>
      <c r="DUG34" s="3"/>
      <c r="DUH34" s="3"/>
      <c r="DUI34" s="3"/>
      <c r="DUJ34" s="3"/>
      <c r="DUK34" s="3"/>
      <c r="DUL34" s="3"/>
      <c r="DUM34" s="3"/>
      <c r="DUN34" s="3"/>
      <c r="DUO34" s="3"/>
      <c r="DUP34" s="3"/>
      <c r="DUQ34" s="3"/>
      <c r="DUR34" s="3"/>
      <c r="DUS34" s="3"/>
      <c r="DUT34" s="3"/>
      <c r="DUU34" s="3"/>
      <c r="DUV34" s="3"/>
      <c r="DUW34" s="3"/>
      <c r="DUX34" s="3"/>
      <c r="DUY34" s="3"/>
      <c r="DUZ34" s="3"/>
      <c r="DVA34" s="3"/>
      <c r="DVB34" s="3"/>
      <c r="DVC34" s="3"/>
      <c r="DVD34" s="3"/>
      <c r="DVE34" s="3"/>
      <c r="DVF34" s="3"/>
      <c r="DVG34" s="3"/>
      <c r="DVH34" s="3"/>
      <c r="DVI34" s="3"/>
      <c r="DVJ34" s="3"/>
      <c r="DVK34" s="3"/>
      <c r="DVL34" s="3"/>
      <c r="DVM34" s="3"/>
      <c r="DVN34" s="3"/>
      <c r="DVO34" s="3"/>
      <c r="DVP34" s="3"/>
      <c r="DVQ34" s="3"/>
      <c r="DVR34" s="3"/>
      <c r="DVS34" s="3"/>
      <c r="DVT34" s="3"/>
      <c r="DVU34" s="3"/>
      <c r="DVV34" s="3"/>
      <c r="DVW34" s="3"/>
      <c r="DVX34" s="3"/>
      <c r="DVY34" s="3"/>
      <c r="DVZ34" s="3"/>
      <c r="DWA34" s="3"/>
      <c r="DWB34" s="3"/>
      <c r="DWC34" s="3"/>
      <c r="DWD34" s="3"/>
      <c r="DWE34" s="3"/>
      <c r="DWF34" s="3"/>
      <c r="DWG34" s="3"/>
      <c r="DWH34" s="3"/>
      <c r="DWI34" s="3"/>
      <c r="DWJ34" s="3"/>
      <c r="DWK34" s="3"/>
      <c r="DWL34" s="3"/>
      <c r="DWM34" s="3"/>
      <c r="DWN34" s="3"/>
      <c r="DWO34" s="3"/>
      <c r="DWP34" s="3"/>
      <c r="DWQ34" s="3"/>
      <c r="DWR34" s="3"/>
      <c r="DWS34" s="3"/>
      <c r="DWT34" s="3"/>
      <c r="DWU34" s="3"/>
      <c r="DWV34" s="3"/>
      <c r="DWW34" s="3"/>
      <c r="DWX34" s="3"/>
      <c r="DWY34" s="3"/>
      <c r="DWZ34" s="3"/>
      <c r="DXA34" s="3"/>
      <c r="DXB34" s="3"/>
      <c r="DXC34" s="3"/>
      <c r="DXD34" s="3"/>
      <c r="DXE34" s="3"/>
      <c r="DXF34" s="3"/>
      <c r="DXG34" s="3"/>
      <c r="DXH34" s="3"/>
      <c r="DXI34" s="3"/>
      <c r="DXJ34" s="3"/>
      <c r="DXK34" s="3"/>
      <c r="DXL34" s="3"/>
      <c r="DXM34" s="3"/>
      <c r="DXN34" s="3"/>
      <c r="DXO34" s="3"/>
      <c r="DXP34" s="3"/>
      <c r="DXQ34" s="3"/>
      <c r="DXR34" s="3"/>
      <c r="DXS34" s="3"/>
      <c r="DXT34" s="3"/>
      <c r="DXU34" s="3"/>
      <c r="DXV34" s="3"/>
      <c r="DXW34" s="3"/>
      <c r="DXX34" s="3"/>
      <c r="DXY34" s="3"/>
      <c r="DXZ34" s="3"/>
      <c r="DYA34" s="3"/>
      <c r="DYB34" s="3"/>
      <c r="DYC34" s="3"/>
      <c r="DYD34" s="3"/>
      <c r="DYE34" s="3"/>
      <c r="DYF34" s="3"/>
      <c r="DYG34" s="3"/>
      <c r="DYH34" s="3"/>
      <c r="DYI34" s="3"/>
      <c r="DYJ34" s="3"/>
      <c r="DYK34" s="3"/>
      <c r="DYL34" s="3"/>
      <c r="DYM34" s="3"/>
      <c r="DYN34" s="3"/>
      <c r="DYO34" s="3"/>
      <c r="DYP34" s="3"/>
      <c r="DYQ34" s="3"/>
      <c r="DYR34" s="3"/>
      <c r="DYS34" s="3"/>
      <c r="DYT34" s="3"/>
      <c r="DYU34" s="3"/>
      <c r="DYV34" s="3"/>
      <c r="DYW34" s="3"/>
      <c r="DYX34" s="3"/>
      <c r="DYY34" s="3"/>
      <c r="DYZ34" s="3"/>
      <c r="DZA34" s="3"/>
      <c r="DZB34" s="3"/>
      <c r="DZC34" s="3"/>
      <c r="DZD34" s="3"/>
      <c r="DZE34" s="3"/>
      <c r="DZF34" s="3"/>
      <c r="DZG34" s="3"/>
      <c r="DZH34" s="3"/>
      <c r="DZI34" s="3"/>
      <c r="DZJ34" s="3"/>
      <c r="DZK34" s="3"/>
      <c r="DZL34" s="3"/>
      <c r="DZM34" s="3"/>
      <c r="DZN34" s="3"/>
      <c r="DZO34" s="3"/>
      <c r="DZP34" s="3"/>
      <c r="DZQ34" s="3"/>
      <c r="DZR34" s="3"/>
      <c r="DZS34" s="3"/>
      <c r="DZT34" s="3"/>
      <c r="DZU34" s="3"/>
      <c r="DZV34" s="3"/>
      <c r="DZW34" s="3"/>
      <c r="DZX34" s="3"/>
      <c r="DZY34" s="3"/>
      <c r="DZZ34" s="3"/>
      <c r="EAA34" s="3"/>
      <c r="EAB34" s="3"/>
      <c r="EAC34" s="3"/>
      <c r="EAD34" s="3"/>
      <c r="EAE34" s="3"/>
      <c r="EAF34" s="3"/>
      <c r="EAG34" s="3"/>
      <c r="EAH34" s="3"/>
      <c r="EAI34" s="3"/>
      <c r="EAJ34" s="3"/>
      <c r="EAK34" s="3"/>
      <c r="EAL34" s="3"/>
      <c r="EAM34" s="3"/>
      <c r="EAN34" s="3"/>
      <c r="EAO34" s="3"/>
      <c r="EAP34" s="3"/>
      <c r="EAQ34" s="3"/>
      <c r="EAR34" s="3"/>
      <c r="EAS34" s="3"/>
      <c r="EAT34" s="3"/>
      <c r="EAU34" s="3"/>
      <c r="EAV34" s="3"/>
      <c r="EAW34" s="3"/>
      <c r="EAX34" s="3"/>
      <c r="EAY34" s="3"/>
      <c r="EAZ34" s="3"/>
      <c r="EBA34" s="3"/>
      <c r="EBB34" s="3"/>
      <c r="EBC34" s="3"/>
      <c r="EBD34" s="3"/>
      <c r="EBE34" s="3"/>
      <c r="EBF34" s="3"/>
      <c r="EBG34" s="3"/>
      <c r="EBH34" s="3"/>
      <c r="EBI34" s="3"/>
      <c r="EBJ34" s="3"/>
      <c r="EBK34" s="3"/>
      <c r="EBL34" s="3"/>
      <c r="EBM34" s="3"/>
      <c r="EBN34" s="3"/>
      <c r="EBO34" s="3"/>
      <c r="EBP34" s="3"/>
      <c r="EBQ34" s="3"/>
      <c r="EBR34" s="3"/>
      <c r="EBS34" s="3"/>
      <c r="EBT34" s="3"/>
      <c r="EBU34" s="3"/>
      <c r="EBV34" s="3"/>
      <c r="EBW34" s="3"/>
      <c r="EBX34" s="3"/>
      <c r="EBY34" s="3"/>
      <c r="EBZ34" s="3"/>
      <c r="ECA34" s="3"/>
      <c r="ECB34" s="3"/>
      <c r="ECC34" s="3"/>
      <c r="ECD34" s="3"/>
      <c r="ECE34" s="3"/>
      <c r="ECF34" s="3"/>
      <c r="ECG34" s="3"/>
      <c r="ECH34" s="3"/>
      <c r="ECI34" s="3"/>
      <c r="ECJ34" s="3"/>
      <c r="ECK34" s="3"/>
      <c r="ECL34" s="3"/>
      <c r="ECM34" s="3"/>
      <c r="ECN34" s="3"/>
      <c r="ECO34" s="3"/>
      <c r="ECP34" s="3"/>
      <c r="ECQ34" s="3"/>
      <c r="ECR34" s="3"/>
      <c r="ECS34" s="3"/>
      <c r="ECT34" s="3"/>
      <c r="ECU34" s="3"/>
      <c r="ECV34" s="3"/>
      <c r="ECW34" s="3"/>
      <c r="ECX34" s="3"/>
      <c r="ECY34" s="3"/>
      <c r="ECZ34" s="3"/>
      <c r="EDA34" s="3"/>
      <c r="EDB34" s="3"/>
      <c r="EDC34" s="3"/>
      <c r="EDD34" s="3"/>
      <c r="EDE34" s="3"/>
      <c r="EDF34" s="3"/>
      <c r="EDG34" s="3"/>
      <c r="EDH34" s="3"/>
      <c r="EDI34" s="3"/>
      <c r="EDJ34" s="3"/>
      <c r="EDK34" s="3"/>
      <c r="EDL34" s="3"/>
      <c r="EDM34" s="3"/>
      <c r="EDN34" s="3"/>
      <c r="EDO34" s="3"/>
      <c r="EDP34" s="3"/>
      <c r="EDQ34" s="3"/>
      <c r="EDR34" s="3"/>
      <c r="EDS34" s="3"/>
      <c r="EDT34" s="3"/>
      <c r="EDU34" s="3"/>
      <c r="EDV34" s="3"/>
      <c r="EDW34" s="3"/>
      <c r="EDX34" s="3"/>
      <c r="EDY34" s="3"/>
      <c r="EDZ34" s="3"/>
      <c r="EEA34" s="3"/>
      <c r="EEB34" s="3"/>
      <c r="EEC34" s="3"/>
      <c r="EED34" s="3"/>
      <c r="EEE34" s="3"/>
      <c r="EEF34" s="3"/>
      <c r="EEG34" s="3"/>
      <c r="EEH34" s="3"/>
      <c r="EEI34" s="3"/>
      <c r="EEJ34" s="3"/>
      <c r="EEK34" s="3"/>
      <c r="EEL34" s="3"/>
      <c r="EEM34" s="3"/>
      <c r="EEN34" s="3"/>
      <c r="EEO34" s="3"/>
      <c r="EEP34" s="3"/>
      <c r="EEQ34" s="3"/>
      <c r="EER34" s="3"/>
      <c r="EES34" s="3"/>
      <c r="EET34" s="3"/>
      <c r="EEU34" s="3"/>
      <c r="EEV34" s="3"/>
      <c r="EEW34" s="3"/>
      <c r="EEX34" s="3"/>
      <c r="EEY34" s="3"/>
      <c r="EEZ34" s="3"/>
      <c r="EFA34" s="3"/>
      <c r="EFB34" s="3"/>
      <c r="EFC34" s="3"/>
      <c r="EFD34" s="3"/>
      <c r="EFE34" s="3"/>
      <c r="EFF34" s="3"/>
      <c r="EFG34" s="3"/>
      <c r="EFH34" s="3"/>
      <c r="EFI34" s="3"/>
      <c r="EFJ34" s="3"/>
      <c r="EFK34" s="3"/>
      <c r="EFL34" s="3"/>
      <c r="EFM34" s="3"/>
      <c r="EFN34" s="3"/>
      <c r="EFO34" s="3"/>
      <c r="EFP34" s="3"/>
      <c r="EFQ34" s="3"/>
      <c r="EFR34" s="3"/>
      <c r="EFS34" s="3"/>
      <c r="EFT34" s="3"/>
      <c r="EFU34" s="3"/>
      <c r="EFV34" s="3"/>
      <c r="EFW34" s="3"/>
      <c r="EFX34" s="3"/>
      <c r="EFY34" s="3"/>
      <c r="EFZ34" s="3"/>
      <c r="EGA34" s="3"/>
      <c r="EGB34" s="3"/>
      <c r="EGC34" s="3"/>
      <c r="EGD34" s="3"/>
      <c r="EGE34" s="3"/>
      <c r="EGF34" s="3"/>
      <c r="EGG34" s="3"/>
      <c r="EGH34" s="3"/>
      <c r="EGI34" s="3"/>
      <c r="EGJ34" s="3"/>
      <c r="EGK34" s="3"/>
      <c r="EGL34" s="3"/>
      <c r="EGM34" s="3"/>
      <c r="EGN34" s="3"/>
      <c r="EGO34" s="3"/>
      <c r="EGP34" s="3"/>
      <c r="EGQ34" s="3"/>
      <c r="EGR34" s="3"/>
      <c r="EGS34" s="3"/>
      <c r="EGT34" s="3"/>
      <c r="EGU34" s="3"/>
      <c r="EGV34" s="3"/>
      <c r="EGW34" s="3"/>
      <c r="EGX34" s="3"/>
      <c r="EGY34" s="3"/>
      <c r="EGZ34" s="3"/>
      <c r="EHA34" s="3"/>
      <c r="EHB34" s="3"/>
      <c r="EHC34" s="3"/>
      <c r="EHD34" s="3"/>
      <c r="EHE34" s="3"/>
      <c r="EHF34" s="3"/>
      <c r="EHG34" s="3"/>
      <c r="EHH34" s="3"/>
      <c r="EHI34" s="3"/>
      <c r="EHJ34" s="3"/>
      <c r="EHK34" s="3"/>
      <c r="EHL34" s="3"/>
      <c r="EHM34" s="3"/>
      <c r="EHN34" s="3"/>
      <c r="EHO34" s="3"/>
      <c r="EHP34" s="3"/>
      <c r="EHQ34" s="3"/>
      <c r="EHR34" s="3"/>
      <c r="EHS34" s="3"/>
      <c r="EHT34" s="3"/>
      <c r="EHU34" s="3"/>
      <c r="EHV34" s="3"/>
      <c r="EHW34" s="3"/>
      <c r="EHX34" s="3"/>
      <c r="EHY34" s="3"/>
      <c r="EHZ34" s="3"/>
      <c r="EIA34" s="3"/>
      <c r="EIB34" s="3"/>
      <c r="EIC34" s="3"/>
      <c r="EID34" s="3"/>
      <c r="EIE34" s="3"/>
      <c r="EIF34" s="3"/>
      <c r="EIG34" s="3"/>
      <c r="EIH34" s="3"/>
      <c r="EII34" s="3"/>
      <c r="EIJ34" s="3"/>
      <c r="EIK34" s="3"/>
      <c r="EIL34" s="3"/>
      <c r="EIM34" s="3"/>
      <c r="EIN34" s="3"/>
      <c r="EIO34" s="3"/>
      <c r="EIP34" s="3"/>
      <c r="EIQ34" s="3"/>
      <c r="EIR34" s="3"/>
      <c r="EIS34" s="3"/>
      <c r="EIT34" s="3"/>
      <c r="EIU34" s="3"/>
      <c r="EIV34" s="3"/>
      <c r="EIW34" s="3"/>
      <c r="EIX34" s="3"/>
      <c r="EIY34" s="3"/>
      <c r="EIZ34" s="3"/>
      <c r="EJA34" s="3"/>
      <c r="EJB34" s="3"/>
      <c r="EJC34" s="3"/>
      <c r="EJD34" s="3"/>
      <c r="EJE34" s="3"/>
      <c r="EJF34" s="3"/>
      <c r="EJG34" s="3"/>
      <c r="EJH34" s="3"/>
      <c r="EJI34" s="3"/>
      <c r="EJJ34" s="3"/>
      <c r="EJK34" s="3"/>
      <c r="EJL34" s="3"/>
      <c r="EJM34" s="3"/>
      <c r="EJN34" s="3"/>
      <c r="EJO34" s="3"/>
      <c r="EJP34" s="3"/>
      <c r="EJQ34" s="3"/>
      <c r="EJR34" s="3"/>
      <c r="EJS34" s="3"/>
      <c r="EJT34" s="3"/>
      <c r="EJU34" s="3"/>
      <c r="EJV34" s="3"/>
      <c r="EJW34" s="3"/>
      <c r="EJX34" s="3"/>
      <c r="EJY34" s="3"/>
      <c r="EJZ34" s="3"/>
      <c r="EKA34" s="3"/>
      <c r="EKB34" s="3"/>
      <c r="EKC34" s="3"/>
      <c r="EKD34" s="3"/>
      <c r="EKE34" s="3"/>
      <c r="EKF34" s="3"/>
      <c r="EKG34" s="3"/>
      <c r="EKH34" s="3"/>
      <c r="EKI34" s="3"/>
      <c r="EKJ34" s="3"/>
      <c r="EKK34" s="3"/>
      <c r="EKL34" s="3"/>
      <c r="EKM34" s="3"/>
      <c r="EKN34" s="3"/>
      <c r="EKO34" s="3"/>
      <c r="EKP34" s="3"/>
      <c r="EKQ34" s="3"/>
      <c r="EKR34" s="3"/>
      <c r="EKS34" s="3"/>
      <c r="EKT34" s="3"/>
      <c r="EKU34" s="3"/>
      <c r="EKV34" s="3"/>
      <c r="EKW34" s="3"/>
      <c r="EKX34" s="3"/>
      <c r="EKY34" s="3"/>
      <c r="EKZ34" s="3"/>
      <c r="ELA34" s="3"/>
      <c r="ELB34" s="3"/>
      <c r="ELC34" s="3"/>
      <c r="ELD34" s="3"/>
      <c r="ELE34" s="3"/>
      <c r="ELF34" s="3"/>
      <c r="ELG34" s="3"/>
      <c r="ELH34" s="3"/>
      <c r="ELI34" s="3"/>
      <c r="ELJ34" s="3"/>
      <c r="ELK34" s="3"/>
      <c r="ELL34" s="3"/>
      <c r="ELM34" s="3"/>
      <c r="ELN34" s="3"/>
      <c r="ELO34" s="3"/>
      <c r="ELP34" s="3"/>
      <c r="ELQ34" s="3"/>
      <c r="ELR34" s="3"/>
      <c r="ELS34" s="3"/>
      <c r="ELT34" s="3"/>
      <c r="ELU34" s="3"/>
      <c r="ELV34" s="3"/>
      <c r="ELW34" s="3"/>
      <c r="ELX34" s="3"/>
      <c r="ELY34" s="3"/>
      <c r="ELZ34" s="3"/>
      <c r="EMA34" s="3"/>
      <c r="EMB34" s="3"/>
      <c r="EMC34" s="3"/>
      <c r="EMD34" s="3"/>
      <c r="EME34" s="3"/>
      <c r="EMF34" s="3"/>
      <c r="EMG34" s="3"/>
      <c r="EMH34" s="3"/>
      <c r="EMI34" s="3"/>
      <c r="EMJ34" s="3"/>
      <c r="EMK34" s="3"/>
      <c r="EML34" s="3"/>
      <c r="EMM34" s="3"/>
      <c r="EMN34" s="3"/>
      <c r="EMO34" s="3"/>
      <c r="EMP34" s="3"/>
      <c r="EMQ34" s="3"/>
      <c r="EMR34" s="3"/>
      <c r="EMS34" s="3"/>
      <c r="EMT34" s="3"/>
      <c r="EMU34" s="3"/>
      <c r="EMV34" s="3"/>
      <c r="EMW34" s="3"/>
      <c r="EMX34" s="3"/>
      <c r="EMY34" s="3"/>
      <c r="EMZ34" s="3"/>
      <c r="ENA34" s="3"/>
      <c r="ENB34" s="3"/>
      <c r="ENC34" s="3"/>
      <c r="END34" s="3"/>
      <c r="ENE34" s="3"/>
      <c r="ENF34" s="3"/>
      <c r="ENG34" s="3"/>
      <c r="ENH34" s="3"/>
      <c r="ENI34" s="3"/>
      <c r="ENJ34" s="3"/>
      <c r="ENK34" s="3"/>
      <c r="ENL34" s="3"/>
      <c r="ENM34" s="3"/>
      <c r="ENN34" s="3"/>
      <c r="ENO34" s="3"/>
      <c r="ENP34" s="3"/>
      <c r="ENQ34" s="3"/>
      <c r="ENR34" s="3"/>
      <c r="ENS34" s="3"/>
      <c r="ENT34" s="3"/>
      <c r="ENU34" s="3"/>
      <c r="ENV34" s="3"/>
      <c r="ENW34" s="3"/>
      <c r="ENX34" s="3"/>
      <c r="ENY34" s="3"/>
      <c r="ENZ34" s="3"/>
      <c r="EOA34" s="3"/>
      <c r="EOB34" s="3"/>
      <c r="EOC34" s="3"/>
      <c r="EOD34" s="3"/>
      <c r="EOE34" s="3"/>
      <c r="EOF34" s="3"/>
      <c r="EOG34" s="3"/>
      <c r="EOH34" s="3"/>
      <c r="EOI34" s="3"/>
      <c r="EOJ34" s="3"/>
      <c r="EOK34" s="3"/>
      <c r="EOL34" s="3"/>
      <c r="EOM34" s="3"/>
      <c r="EON34" s="3"/>
      <c r="EOO34" s="3"/>
      <c r="EOP34" s="3"/>
      <c r="EOQ34" s="3"/>
      <c r="EOR34" s="3"/>
      <c r="EOS34" s="3"/>
      <c r="EOT34" s="3"/>
      <c r="EOU34" s="3"/>
      <c r="EOV34" s="3"/>
      <c r="EOW34" s="3"/>
      <c r="EOX34" s="3"/>
      <c r="EOY34" s="3"/>
      <c r="EOZ34" s="3"/>
      <c r="EPA34" s="3"/>
      <c r="EPB34" s="3"/>
      <c r="EPC34" s="3"/>
      <c r="EPD34" s="3"/>
      <c r="EPE34" s="3"/>
      <c r="EPF34" s="3"/>
      <c r="EPG34" s="3"/>
      <c r="EPH34" s="3"/>
      <c r="EPI34" s="3"/>
      <c r="EPJ34" s="3"/>
      <c r="EPK34" s="3"/>
      <c r="EPL34" s="3"/>
      <c r="EPM34" s="3"/>
      <c r="EPN34" s="3"/>
      <c r="EPO34" s="3"/>
      <c r="EPP34" s="3"/>
      <c r="EPQ34" s="3"/>
      <c r="EPR34" s="3"/>
      <c r="EPS34" s="3"/>
      <c r="EPT34" s="3"/>
      <c r="EPU34" s="3"/>
      <c r="EPV34" s="3"/>
      <c r="EPW34" s="3"/>
      <c r="EPX34" s="3"/>
      <c r="EPY34" s="3"/>
      <c r="EPZ34" s="3"/>
      <c r="EQA34" s="3"/>
      <c r="EQB34" s="3"/>
      <c r="EQC34" s="3"/>
      <c r="EQD34" s="3"/>
      <c r="EQE34" s="3"/>
      <c r="EQF34" s="3"/>
      <c r="EQG34" s="3"/>
      <c r="EQH34" s="3"/>
      <c r="EQI34" s="3"/>
      <c r="EQJ34" s="3"/>
      <c r="EQK34" s="3"/>
      <c r="EQL34" s="3"/>
      <c r="EQM34" s="3"/>
      <c r="EQN34" s="3"/>
      <c r="EQO34" s="3"/>
      <c r="EQP34" s="3"/>
      <c r="EQQ34" s="3"/>
      <c r="EQR34" s="3"/>
      <c r="EQS34" s="3"/>
      <c r="EQT34" s="3"/>
      <c r="EQU34" s="3"/>
      <c r="EQV34" s="3"/>
      <c r="EQW34" s="3"/>
      <c r="EQX34" s="3"/>
      <c r="EQY34" s="3"/>
      <c r="EQZ34" s="3"/>
      <c r="ERA34" s="3"/>
      <c r="ERB34" s="3"/>
      <c r="ERC34" s="3"/>
      <c r="ERD34" s="3"/>
      <c r="ERE34" s="3"/>
      <c r="ERF34" s="3"/>
      <c r="ERG34" s="3"/>
      <c r="ERH34" s="3"/>
      <c r="ERI34" s="3"/>
      <c r="ERJ34" s="3"/>
      <c r="ERK34" s="3"/>
      <c r="ERL34" s="3"/>
      <c r="ERM34" s="3"/>
      <c r="ERN34" s="3"/>
      <c r="ERO34" s="3"/>
      <c r="ERP34" s="3"/>
      <c r="ERQ34" s="3"/>
      <c r="ERR34" s="3"/>
      <c r="ERS34" s="3"/>
      <c r="ERT34" s="3"/>
      <c r="ERU34" s="3"/>
      <c r="ERV34" s="3"/>
      <c r="ERW34" s="3"/>
      <c r="ERX34" s="3"/>
      <c r="ERY34" s="3"/>
      <c r="ERZ34" s="3"/>
      <c r="ESA34" s="3"/>
      <c r="ESB34" s="3"/>
      <c r="ESC34" s="3"/>
      <c r="ESD34" s="3"/>
      <c r="ESE34" s="3"/>
      <c r="ESF34" s="3"/>
      <c r="ESG34" s="3"/>
      <c r="ESH34" s="3"/>
      <c r="ESI34" s="3"/>
      <c r="ESJ34" s="3"/>
      <c r="ESK34" s="3"/>
      <c r="ESL34" s="3"/>
      <c r="ESM34" s="3"/>
      <c r="ESN34" s="3"/>
      <c r="ESO34" s="3"/>
      <c r="ESP34" s="3"/>
      <c r="ESQ34" s="3"/>
      <c r="ESR34" s="3"/>
      <c r="ESS34" s="3"/>
      <c r="EST34" s="3"/>
      <c r="ESU34" s="3"/>
      <c r="ESV34" s="3"/>
      <c r="ESW34" s="3"/>
      <c r="ESX34" s="3"/>
      <c r="ESY34" s="3"/>
      <c r="ESZ34" s="3"/>
      <c r="ETA34" s="3"/>
      <c r="ETB34" s="3"/>
      <c r="ETC34" s="3"/>
      <c r="ETD34" s="3"/>
      <c r="ETE34" s="3"/>
      <c r="ETF34" s="3"/>
      <c r="ETG34" s="3"/>
      <c r="ETH34" s="3"/>
      <c r="ETI34" s="3"/>
      <c r="ETJ34" s="3"/>
      <c r="ETK34" s="3"/>
      <c r="ETL34" s="3"/>
      <c r="ETM34" s="3"/>
      <c r="ETN34" s="3"/>
      <c r="ETO34" s="3"/>
      <c r="ETP34" s="3"/>
      <c r="ETQ34" s="3"/>
      <c r="ETR34" s="3"/>
      <c r="ETS34" s="3"/>
      <c r="ETT34" s="3"/>
      <c r="ETU34" s="3"/>
      <c r="ETV34" s="3"/>
      <c r="ETW34" s="3"/>
      <c r="ETX34" s="3"/>
      <c r="ETY34" s="3"/>
      <c r="ETZ34" s="3"/>
      <c r="EUA34" s="3"/>
      <c r="EUB34" s="3"/>
      <c r="EUC34" s="3"/>
      <c r="EUD34" s="3"/>
      <c r="EUE34" s="3"/>
      <c r="EUF34" s="3"/>
      <c r="EUG34" s="3"/>
      <c r="EUH34" s="3"/>
      <c r="EUI34" s="3"/>
      <c r="EUJ34" s="3"/>
      <c r="EUK34" s="3"/>
      <c r="EUL34" s="3"/>
      <c r="EUM34" s="3"/>
      <c r="EUN34" s="3"/>
      <c r="EUO34" s="3"/>
      <c r="EUP34" s="3"/>
      <c r="EUQ34" s="3"/>
      <c r="EUR34" s="3"/>
      <c r="EUS34" s="3"/>
      <c r="EUT34" s="3"/>
      <c r="EUU34" s="3"/>
      <c r="EUV34" s="3"/>
      <c r="EUW34" s="3"/>
      <c r="EUX34" s="3"/>
      <c r="EUY34" s="3"/>
      <c r="EUZ34" s="3"/>
      <c r="EVA34" s="3"/>
      <c r="EVB34" s="3"/>
      <c r="EVC34" s="3"/>
      <c r="EVD34" s="3"/>
      <c r="EVE34" s="3"/>
      <c r="EVF34" s="3"/>
      <c r="EVG34" s="3"/>
      <c r="EVH34" s="3"/>
      <c r="EVI34" s="3"/>
      <c r="EVJ34" s="3"/>
      <c r="EVK34" s="3"/>
      <c r="EVL34" s="3"/>
      <c r="EVM34" s="3"/>
      <c r="EVN34" s="3"/>
      <c r="EVO34" s="3"/>
      <c r="EVP34" s="3"/>
      <c r="EVQ34" s="3"/>
      <c r="EVR34" s="3"/>
      <c r="EVS34" s="3"/>
      <c r="EVT34" s="3"/>
      <c r="EVU34" s="3"/>
      <c r="EVV34" s="3"/>
      <c r="EVW34" s="3"/>
      <c r="EVX34" s="3"/>
      <c r="EVY34" s="3"/>
      <c r="EVZ34" s="3"/>
      <c r="EWA34" s="3"/>
      <c r="EWB34" s="3"/>
      <c r="EWC34" s="3"/>
      <c r="EWD34" s="3"/>
      <c r="EWE34" s="3"/>
      <c r="EWF34" s="3"/>
      <c r="EWG34" s="3"/>
      <c r="EWH34" s="3"/>
      <c r="EWI34" s="3"/>
      <c r="EWJ34" s="3"/>
      <c r="EWK34" s="3"/>
      <c r="EWL34" s="3"/>
      <c r="EWM34" s="3"/>
      <c r="EWN34" s="3"/>
      <c r="EWO34" s="3"/>
      <c r="EWP34" s="3"/>
      <c r="EWQ34" s="3"/>
      <c r="EWR34" s="3"/>
      <c r="EWS34" s="3"/>
      <c r="EWT34" s="3"/>
      <c r="EWU34" s="3"/>
      <c r="EWV34" s="3"/>
      <c r="EWW34" s="3"/>
      <c r="EWX34" s="3"/>
      <c r="EWY34" s="3"/>
      <c r="EWZ34" s="3"/>
      <c r="EXA34" s="3"/>
      <c r="EXB34" s="3"/>
      <c r="EXC34" s="3"/>
      <c r="EXD34" s="3"/>
      <c r="EXE34" s="3"/>
      <c r="EXF34" s="3"/>
      <c r="EXG34" s="3"/>
      <c r="EXH34" s="3"/>
      <c r="EXI34" s="3"/>
      <c r="EXJ34" s="3"/>
      <c r="EXK34" s="3"/>
      <c r="EXL34" s="3"/>
      <c r="EXM34" s="3"/>
      <c r="EXN34" s="3"/>
      <c r="EXO34" s="3"/>
      <c r="EXP34" s="3"/>
      <c r="EXQ34" s="3"/>
      <c r="EXR34" s="3"/>
      <c r="EXS34" s="3"/>
      <c r="EXT34" s="3"/>
      <c r="EXU34" s="3"/>
      <c r="EXV34" s="3"/>
      <c r="EXW34" s="3"/>
      <c r="EXX34" s="3"/>
      <c r="EXY34" s="3"/>
      <c r="EXZ34" s="3"/>
      <c r="EYA34" s="3"/>
      <c r="EYB34" s="3"/>
      <c r="EYC34" s="3"/>
      <c r="EYD34" s="3"/>
      <c r="EYE34" s="3"/>
      <c r="EYF34" s="3"/>
      <c r="EYG34" s="3"/>
      <c r="EYH34" s="3"/>
      <c r="EYI34" s="3"/>
      <c r="EYJ34" s="3"/>
      <c r="EYK34" s="3"/>
      <c r="EYL34" s="3"/>
      <c r="EYM34" s="3"/>
      <c r="EYN34" s="3"/>
      <c r="EYO34" s="3"/>
      <c r="EYP34" s="3"/>
      <c r="EYQ34" s="3"/>
      <c r="EYR34" s="3"/>
      <c r="EYS34" s="3"/>
      <c r="EYT34" s="3"/>
      <c r="EYU34" s="3"/>
      <c r="EYV34" s="3"/>
      <c r="EYW34" s="3"/>
      <c r="EYX34" s="3"/>
      <c r="EYY34" s="3"/>
      <c r="EYZ34" s="3"/>
      <c r="EZA34" s="3"/>
      <c r="EZB34" s="3"/>
      <c r="EZC34" s="3"/>
      <c r="EZD34" s="3"/>
      <c r="EZE34" s="3"/>
      <c r="EZF34" s="3"/>
      <c r="EZG34" s="3"/>
      <c r="EZH34" s="3"/>
      <c r="EZI34" s="3"/>
      <c r="EZJ34" s="3"/>
      <c r="EZK34" s="3"/>
      <c r="EZL34" s="3"/>
      <c r="EZM34" s="3"/>
      <c r="EZN34" s="3"/>
      <c r="EZO34" s="3"/>
      <c r="EZP34" s="3"/>
      <c r="EZQ34" s="3"/>
      <c r="EZR34" s="3"/>
      <c r="EZS34" s="3"/>
      <c r="EZT34" s="3"/>
      <c r="EZU34" s="3"/>
      <c r="EZV34" s="3"/>
      <c r="EZW34" s="3"/>
      <c r="EZX34" s="3"/>
      <c r="EZY34" s="3"/>
      <c r="EZZ34" s="3"/>
      <c r="FAA34" s="3"/>
      <c r="FAB34" s="3"/>
      <c r="FAC34" s="3"/>
      <c r="FAD34" s="3"/>
      <c r="FAE34" s="3"/>
      <c r="FAF34" s="3"/>
      <c r="FAG34" s="3"/>
      <c r="FAH34" s="3"/>
      <c r="FAI34" s="3"/>
      <c r="FAJ34" s="3"/>
      <c r="FAK34" s="3"/>
      <c r="FAL34" s="3"/>
      <c r="FAM34" s="3"/>
      <c r="FAN34" s="3"/>
      <c r="FAO34" s="3"/>
      <c r="FAP34" s="3"/>
      <c r="FAQ34" s="3"/>
      <c r="FAR34" s="3"/>
      <c r="FAS34" s="3"/>
      <c r="FAT34" s="3"/>
      <c r="FAU34" s="3"/>
      <c r="FAV34" s="3"/>
      <c r="FAW34" s="3"/>
      <c r="FAX34" s="3"/>
      <c r="FAY34" s="3"/>
      <c r="FAZ34" s="3"/>
      <c r="FBA34" s="3"/>
      <c r="FBB34" s="3"/>
      <c r="FBC34" s="3"/>
      <c r="FBD34" s="3"/>
      <c r="FBE34" s="3"/>
      <c r="FBF34" s="3"/>
      <c r="FBG34" s="3"/>
      <c r="FBH34" s="3"/>
      <c r="FBI34" s="3"/>
      <c r="FBJ34" s="3"/>
      <c r="FBK34" s="3"/>
      <c r="FBL34" s="3"/>
      <c r="FBM34" s="3"/>
      <c r="FBN34" s="3"/>
      <c r="FBO34" s="3"/>
      <c r="FBP34" s="3"/>
      <c r="FBQ34" s="3"/>
      <c r="FBR34" s="3"/>
      <c r="FBS34" s="3"/>
      <c r="FBT34" s="3"/>
      <c r="FBU34" s="3"/>
      <c r="FBV34" s="3"/>
      <c r="FBW34" s="3"/>
      <c r="FBX34" s="3"/>
      <c r="FBY34" s="3"/>
      <c r="FBZ34" s="3"/>
      <c r="FCA34" s="3"/>
      <c r="FCB34" s="3"/>
      <c r="FCC34" s="3"/>
      <c r="FCD34" s="3"/>
      <c r="FCE34" s="3"/>
      <c r="FCF34" s="3"/>
      <c r="FCG34" s="3"/>
      <c r="FCH34" s="3"/>
      <c r="FCI34" s="3"/>
      <c r="FCJ34" s="3"/>
      <c r="FCK34" s="3"/>
      <c r="FCL34" s="3"/>
      <c r="FCM34" s="3"/>
      <c r="FCN34" s="3"/>
      <c r="FCO34" s="3"/>
      <c r="FCP34" s="3"/>
      <c r="FCQ34" s="3"/>
      <c r="FCR34" s="3"/>
      <c r="FCS34" s="3"/>
      <c r="FCT34" s="3"/>
      <c r="FCU34" s="3"/>
      <c r="FCV34" s="3"/>
      <c r="FCW34" s="3"/>
      <c r="FCX34" s="3"/>
      <c r="FCY34" s="3"/>
      <c r="FCZ34" s="3"/>
      <c r="FDA34" s="3"/>
      <c r="FDB34" s="3"/>
      <c r="FDC34" s="3"/>
      <c r="FDD34" s="3"/>
      <c r="FDE34" s="3"/>
      <c r="FDF34" s="3"/>
      <c r="FDG34" s="3"/>
      <c r="FDH34" s="3"/>
      <c r="FDI34" s="3"/>
      <c r="FDJ34" s="3"/>
      <c r="FDK34" s="3"/>
      <c r="FDL34" s="3"/>
      <c r="FDM34" s="3"/>
      <c r="FDN34" s="3"/>
      <c r="FDO34" s="3"/>
      <c r="FDP34" s="3"/>
      <c r="FDQ34" s="3"/>
      <c r="FDR34" s="3"/>
      <c r="FDS34" s="3"/>
      <c r="FDT34" s="3"/>
      <c r="FDU34" s="3"/>
      <c r="FDV34" s="3"/>
      <c r="FDW34" s="3"/>
      <c r="FDX34" s="3"/>
      <c r="FDY34" s="3"/>
      <c r="FDZ34" s="3"/>
      <c r="FEA34" s="3"/>
      <c r="FEB34" s="3"/>
      <c r="FEC34" s="3"/>
      <c r="FED34" s="3"/>
      <c r="FEE34" s="3"/>
      <c r="FEF34" s="3"/>
      <c r="FEG34" s="3"/>
      <c r="FEH34" s="3"/>
      <c r="FEI34" s="3"/>
      <c r="FEJ34" s="3"/>
      <c r="FEK34" s="3"/>
      <c r="FEL34" s="3"/>
      <c r="FEM34" s="3"/>
      <c r="FEN34" s="3"/>
      <c r="FEO34" s="3"/>
      <c r="FEP34" s="3"/>
      <c r="FEQ34" s="3"/>
      <c r="FER34" s="3"/>
      <c r="FES34" s="3"/>
      <c r="FET34" s="3"/>
      <c r="FEU34" s="3"/>
      <c r="FEV34" s="3"/>
      <c r="FEW34" s="3"/>
      <c r="FEX34" s="3"/>
      <c r="FEY34" s="3"/>
      <c r="FEZ34" s="3"/>
      <c r="FFA34" s="3"/>
      <c r="FFB34" s="3"/>
      <c r="FFC34" s="3"/>
      <c r="FFD34" s="3"/>
      <c r="FFE34" s="3"/>
      <c r="FFF34" s="3"/>
      <c r="FFG34" s="3"/>
      <c r="FFH34" s="3"/>
      <c r="FFI34" s="3"/>
      <c r="FFJ34" s="3"/>
      <c r="FFK34" s="3"/>
      <c r="FFL34" s="3"/>
      <c r="FFM34" s="3"/>
      <c r="FFN34" s="3"/>
      <c r="FFO34" s="3"/>
      <c r="FFP34" s="3"/>
      <c r="FFQ34" s="3"/>
      <c r="FFR34" s="3"/>
      <c r="FFS34" s="3"/>
      <c r="FFT34" s="3"/>
      <c r="FFU34" s="3"/>
      <c r="FFV34" s="3"/>
      <c r="FFW34" s="3"/>
      <c r="FFX34" s="3"/>
      <c r="FFY34" s="3"/>
      <c r="FFZ34" s="3"/>
      <c r="FGA34" s="3"/>
      <c r="FGB34" s="3"/>
      <c r="FGC34" s="3"/>
      <c r="FGD34" s="3"/>
      <c r="FGE34" s="3"/>
      <c r="FGF34" s="3"/>
      <c r="FGG34" s="3"/>
      <c r="FGH34" s="3"/>
      <c r="FGI34" s="3"/>
      <c r="FGJ34" s="3"/>
      <c r="FGK34" s="3"/>
      <c r="FGL34" s="3"/>
      <c r="FGM34" s="3"/>
      <c r="FGN34" s="3"/>
      <c r="FGO34" s="3"/>
      <c r="FGP34" s="3"/>
      <c r="FGQ34" s="3"/>
      <c r="FGR34" s="3"/>
      <c r="FGS34" s="3"/>
      <c r="FGT34" s="3"/>
      <c r="FGU34" s="3"/>
      <c r="FGV34" s="3"/>
      <c r="FGW34" s="3"/>
      <c r="FGX34" s="3"/>
      <c r="FGY34" s="3"/>
      <c r="FGZ34" s="3"/>
      <c r="FHA34" s="3"/>
      <c r="FHB34" s="3"/>
      <c r="FHC34" s="3"/>
      <c r="FHD34" s="3"/>
      <c r="FHE34" s="3"/>
      <c r="FHF34" s="3"/>
      <c r="FHG34" s="3"/>
      <c r="FHH34" s="3"/>
      <c r="FHI34" s="3"/>
      <c r="FHJ34" s="3"/>
      <c r="FHK34" s="3"/>
      <c r="FHL34" s="3"/>
      <c r="FHM34" s="3"/>
      <c r="FHN34" s="3"/>
      <c r="FHO34" s="3"/>
      <c r="FHP34" s="3"/>
      <c r="FHQ34" s="3"/>
      <c r="FHR34" s="3"/>
      <c r="FHS34" s="3"/>
      <c r="FHT34" s="3"/>
      <c r="FHU34" s="3"/>
      <c r="FHV34" s="3"/>
      <c r="FHW34" s="3"/>
      <c r="FHX34" s="3"/>
      <c r="FHY34" s="3"/>
      <c r="FHZ34" s="3"/>
      <c r="FIA34" s="3"/>
      <c r="FIB34" s="3"/>
      <c r="FIC34" s="3"/>
      <c r="FID34" s="3"/>
      <c r="FIE34" s="3"/>
      <c r="FIF34" s="3"/>
      <c r="FIG34" s="3"/>
      <c r="FIH34" s="3"/>
      <c r="FII34" s="3"/>
      <c r="FIJ34" s="3"/>
      <c r="FIK34" s="3"/>
      <c r="FIL34" s="3"/>
      <c r="FIM34" s="3"/>
      <c r="FIN34" s="3"/>
      <c r="FIO34" s="3"/>
      <c r="FIP34" s="3"/>
      <c r="FIQ34" s="3"/>
      <c r="FIR34" s="3"/>
      <c r="FIS34" s="3"/>
      <c r="FIT34" s="3"/>
      <c r="FIU34" s="3"/>
      <c r="FIV34" s="3"/>
      <c r="FIW34" s="3"/>
      <c r="FIX34" s="3"/>
      <c r="FIY34" s="3"/>
      <c r="FIZ34" s="3"/>
      <c r="FJA34" s="3"/>
      <c r="FJB34" s="3"/>
      <c r="FJC34" s="3"/>
      <c r="FJD34" s="3"/>
      <c r="FJE34" s="3"/>
      <c r="FJF34" s="3"/>
      <c r="FJG34" s="3"/>
      <c r="FJH34" s="3"/>
      <c r="FJI34" s="3"/>
      <c r="FJJ34" s="3"/>
      <c r="FJK34" s="3"/>
      <c r="FJL34" s="3"/>
      <c r="FJM34" s="3"/>
      <c r="FJN34" s="3"/>
      <c r="FJO34" s="3"/>
      <c r="FJP34" s="3"/>
      <c r="FJQ34" s="3"/>
      <c r="FJR34" s="3"/>
      <c r="FJS34" s="3"/>
      <c r="FJT34" s="3"/>
      <c r="FJU34" s="3"/>
      <c r="FJV34" s="3"/>
      <c r="FJW34" s="3"/>
      <c r="FJX34" s="3"/>
      <c r="FJY34" s="3"/>
      <c r="FJZ34" s="3"/>
      <c r="FKA34" s="3"/>
      <c r="FKB34" s="3"/>
      <c r="FKC34" s="3"/>
      <c r="FKD34" s="3"/>
      <c r="FKE34" s="3"/>
      <c r="FKF34" s="3"/>
      <c r="FKG34" s="3"/>
      <c r="FKH34" s="3"/>
      <c r="FKI34" s="3"/>
      <c r="FKJ34" s="3"/>
      <c r="FKK34" s="3"/>
      <c r="FKL34" s="3"/>
      <c r="FKM34" s="3"/>
      <c r="FKN34" s="3"/>
      <c r="FKO34" s="3"/>
      <c r="FKP34" s="3"/>
      <c r="FKQ34" s="3"/>
      <c r="FKR34" s="3"/>
      <c r="FKS34" s="3"/>
      <c r="FKT34" s="3"/>
      <c r="FKU34" s="3"/>
      <c r="FKV34" s="3"/>
      <c r="FKW34" s="3"/>
      <c r="FKX34" s="3"/>
      <c r="FKY34" s="3"/>
      <c r="FKZ34" s="3"/>
      <c r="FLA34" s="3"/>
      <c r="FLB34" s="3"/>
      <c r="FLC34" s="3"/>
      <c r="FLD34" s="3"/>
      <c r="FLE34" s="3"/>
      <c r="FLF34" s="3"/>
      <c r="FLG34" s="3"/>
      <c r="FLH34" s="3"/>
      <c r="FLI34" s="3"/>
      <c r="FLJ34" s="3"/>
      <c r="FLK34" s="3"/>
      <c r="FLL34" s="3"/>
      <c r="FLM34" s="3"/>
      <c r="FLN34" s="3"/>
      <c r="FLO34" s="3"/>
      <c r="FLP34" s="3"/>
      <c r="FLQ34" s="3"/>
      <c r="FLR34" s="3"/>
      <c r="FLS34" s="3"/>
      <c r="FLT34" s="3"/>
      <c r="FLU34" s="3"/>
      <c r="FLV34" s="3"/>
      <c r="FLW34" s="3"/>
      <c r="FLX34" s="3"/>
      <c r="FLY34" s="3"/>
      <c r="FLZ34" s="3"/>
      <c r="FMA34" s="3"/>
      <c r="FMB34" s="3"/>
      <c r="FMC34" s="3"/>
      <c r="FMD34" s="3"/>
      <c r="FME34" s="3"/>
      <c r="FMF34" s="3"/>
      <c r="FMG34" s="3"/>
      <c r="FMH34" s="3"/>
      <c r="FMI34" s="3"/>
      <c r="FMJ34" s="3"/>
      <c r="FMK34" s="3"/>
      <c r="FML34" s="3"/>
      <c r="FMM34" s="3"/>
      <c r="FMN34" s="3"/>
      <c r="FMO34" s="3"/>
      <c r="FMP34" s="3"/>
      <c r="FMQ34" s="3"/>
      <c r="FMR34" s="3"/>
      <c r="FMS34" s="3"/>
      <c r="FMT34" s="3"/>
      <c r="FMU34" s="3"/>
      <c r="FMV34" s="3"/>
      <c r="FMW34" s="3"/>
      <c r="FMX34" s="3"/>
      <c r="FMY34" s="3"/>
      <c r="FMZ34" s="3"/>
      <c r="FNA34" s="3"/>
      <c r="FNB34" s="3"/>
      <c r="FNC34" s="3"/>
      <c r="FND34" s="3"/>
      <c r="FNE34" s="3"/>
      <c r="FNF34" s="3"/>
      <c r="FNG34" s="3"/>
      <c r="FNH34" s="3"/>
      <c r="FNI34" s="3"/>
      <c r="FNJ34" s="3"/>
      <c r="FNK34" s="3"/>
      <c r="FNL34" s="3"/>
      <c r="FNM34" s="3"/>
      <c r="FNN34" s="3"/>
      <c r="FNO34" s="3"/>
      <c r="FNP34" s="3"/>
      <c r="FNQ34" s="3"/>
      <c r="FNR34" s="3"/>
      <c r="FNS34" s="3"/>
      <c r="FNT34" s="3"/>
      <c r="FNU34" s="3"/>
      <c r="FNV34" s="3"/>
      <c r="FNW34" s="3"/>
      <c r="FNX34" s="3"/>
      <c r="FNY34" s="3"/>
      <c r="FNZ34" s="3"/>
      <c r="FOA34" s="3"/>
      <c r="FOB34" s="3"/>
      <c r="FOC34" s="3"/>
      <c r="FOD34" s="3"/>
      <c r="FOE34" s="3"/>
      <c r="FOF34" s="3"/>
      <c r="FOG34" s="3"/>
      <c r="FOH34" s="3"/>
      <c r="FOI34" s="3"/>
      <c r="FOJ34" s="3"/>
      <c r="FOK34" s="3"/>
      <c r="FOL34" s="3"/>
      <c r="FOM34" s="3"/>
      <c r="FON34" s="3"/>
      <c r="FOO34" s="3"/>
      <c r="FOP34" s="3"/>
      <c r="FOQ34" s="3"/>
      <c r="FOR34" s="3"/>
      <c r="FOS34" s="3"/>
      <c r="FOT34" s="3"/>
      <c r="FOU34" s="3"/>
      <c r="FOV34" s="3"/>
      <c r="FOW34" s="3"/>
      <c r="FOX34" s="3"/>
      <c r="FOY34" s="3"/>
      <c r="FOZ34" s="3"/>
      <c r="FPA34" s="3"/>
      <c r="FPB34" s="3"/>
      <c r="FPC34" s="3"/>
      <c r="FPD34" s="3"/>
      <c r="FPE34" s="3"/>
      <c r="FPF34" s="3"/>
      <c r="FPG34" s="3"/>
      <c r="FPH34" s="3"/>
      <c r="FPI34" s="3"/>
      <c r="FPJ34" s="3"/>
      <c r="FPK34" s="3"/>
      <c r="FPL34" s="3"/>
      <c r="FPM34" s="3"/>
      <c r="FPN34" s="3"/>
      <c r="FPO34" s="3"/>
      <c r="FPP34" s="3"/>
      <c r="FPQ34" s="3"/>
      <c r="FPR34" s="3"/>
      <c r="FPS34" s="3"/>
      <c r="FPT34" s="3"/>
      <c r="FPU34" s="3"/>
      <c r="FPV34" s="3"/>
      <c r="FPW34" s="3"/>
      <c r="FPX34" s="3"/>
      <c r="FPY34" s="3"/>
      <c r="FPZ34" s="3"/>
      <c r="FQA34" s="3"/>
      <c r="FQB34" s="3"/>
      <c r="FQC34" s="3"/>
      <c r="FQD34" s="3"/>
      <c r="FQE34" s="3"/>
      <c r="FQF34" s="3"/>
      <c r="FQG34" s="3"/>
      <c r="FQH34" s="3"/>
      <c r="FQI34" s="3"/>
      <c r="FQJ34" s="3"/>
      <c r="FQK34" s="3"/>
      <c r="FQL34" s="3"/>
      <c r="FQM34" s="3"/>
      <c r="FQN34" s="3"/>
      <c r="FQO34" s="3"/>
      <c r="FQP34" s="3"/>
      <c r="FQQ34" s="3"/>
      <c r="FQR34" s="3"/>
      <c r="FQS34" s="3"/>
      <c r="FQT34" s="3"/>
      <c r="FQU34" s="3"/>
      <c r="FQV34" s="3"/>
      <c r="FQW34" s="3"/>
      <c r="FQX34" s="3"/>
      <c r="FQY34" s="3"/>
      <c r="FQZ34" s="3"/>
      <c r="FRA34" s="3"/>
      <c r="FRB34" s="3"/>
      <c r="FRC34" s="3"/>
      <c r="FRD34" s="3"/>
      <c r="FRE34" s="3"/>
      <c r="FRF34" s="3"/>
      <c r="FRG34" s="3"/>
      <c r="FRH34" s="3"/>
      <c r="FRI34" s="3"/>
      <c r="FRJ34" s="3"/>
      <c r="FRK34" s="3"/>
      <c r="FRL34" s="3"/>
      <c r="FRM34" s="3"/>
      <c r="FRN34" s="3"/>
      <c r="FRO34" s="3"/>
      <c r="FRP34" s="3"/>
      <c r="FRQ34" s="3"/>
      <c r="FRR34" s="3"/>
      <c r="FRS34" s="3"/>
      <c r="FRT34" s="3"/>
      <c r="FRU34" s="3"/>
      <c r="FRV34" s="3"/>
      <c r="FRW34" s="3"/>
      <c r="FRX34" s="3"/>
      <c r="FRY34" s="3"/>
      <c r="FRZ34" s="3"/>
      <c r="FSA34" s="3"/>
      <c r="FSB34" s="3"/>
      <c r="FSC34" s="3"/>
      <c r="FSD34" s="3"/>
      <c r="FSE34" s="3"/>
      <c r="FSF34" s="3"/>
      <c r="FSG34" s="3"/>
      <c r="FSH34" s="3"/>
      <c r="FSI34" s="3"/>
      <c r="FSJ34" s="3"/>
      <c r="FSK34" s="3"/>
      <c r="FSL34" s="3"/>
      <c r="FSM34" s="3"/>
      <c r="FSN34" s="3"/>
      <c r="FSO34" s="3"/>
      <c r="FSP34" s="3"/>
      <c r="FSQ34" s="3"/>
      <c r="FSR34" s="3"/>
      <c r="FSS34" s="3"/>
      <c r="FST34" s="3"/>
      <c r="FSU34" s="3"/>
      <c r="FSV34" s="3"/>
      <c r="FSW34" s="3"/>
      <c r="FSX34" s="3"/>
      <c r="FSY34" s="3"/>
      <c r="FSZ34" s="3"/>
      <c r="FTA34" s="3"/>
      <c r="FTB34" s="3"/>
      <c r="FTC34" s="3"/>
      <c r="FTD34" s="3"/>
      <c r="FTE34" s="3"/>
      <c r="FTF34" s="3"/>
      <c r="FTG34" s="3"/>
      <c r="FTH34" s="3"/>
      <c r="FTI34" s="3"/>
      <c r="FTJ34" s="3"/>
      <c r="FTK34" s="3"/>
      <c r="FTL34" s="3"/>
      <c r="FTM34" s="3"/>
      <c r="FTN34" s="3"/>
      <c r="FTO34" s="3"/>
      <c r="FTP34" s="3"/>
      <c r="FTQ34" s="3"/>
      <c r="FTR34" s="3"/>
      <c r="FTS34" s="3"/>
      <c r="FTT34" s="3"/>
      <c r="FTU34" s="3"/>
      <c r="FTV34" s="3"/>
      <c r="FTW34" s="3"/>
      <c r="FTX34" s="3"/>
      <c r="FTY34" s="3"/>
      <c r="FTZ34" s="3"/>
      <c r="FUA34" s="3"/>
      <c r="FUB34" s="3"/>
      <c r="FUC34" s="3"/>
      <c r="FUD34" s="3"/>
      <c r="FUE34" s="3"/>
      <c r="FUF34" s="3"/>
      <c r="FUG34" s="3"/>
      <c r="FUH34" s="3"/>
      <c r="FUI34" s="3"/>
      <c r="FUJ34" s="3"/>
      <c r="FUK34" s="3"/>
      <c r="FUL34" s="3"/>
      <c r="FUM34" s="3"/>
      <c r="FUN34" s="3"/>
      <c r="FUO34" s="3"/>
      <c r="FUP34" s="3"/>
      <c r="FUQ34" s="3"/>
      <c r="FUR34" s="3"/>
      <c r="FUS34" s="3"/>
      <c r="FUT34" s="3"/>
      <c r="FUU34" s="3"/>
      <c r="FUV34" s="3"/>
      <c r="FUW34" s="3"/>
      <c r="FUX34" s="3"/>
      <c r="FUY34" s="3"/>
      <c r="FUZ34" s="3"/>
      <c r="FVA34" s="3"/>
      <c r="FVB34" s="3"/>
      <c r="FVC34" s="3"/>
      <c r="FVD34" s="3"/>
      <c r="FVE34" s="3"/>
      <c r="FVF34" s="3"/>
      <c r="FVG34" s="3"/>
      <c r="FVH34" s="3"/>
      <c r="FVI34" s="3"/>
      <c r="FVJ34" s="3"/>
      <c r="FVK34" s="3"/>
      <c r="FVL34" s="3"/>
      <c r="FVM34" s="3"/>
      <c r="FVN34" s="3"/>
      <c r="FVO34" s="3"/>
      <c r="FVP34" s="3"/>
      <c r="FVQ34" s="3"/>
      <c r="FVR34" s="3"/>
      <c r="FVS34" s="3"/>
      <c r="FVT34" s="3"/>
      <c r="FVU34" s="3"/>
      <c r="FVV34" s="3"/>
      <c r="FVW34" s="3"/>
      <c r="FVX34" s="3"/>
      <c r="FVY34" s="3"/>
      <c r="FVZ34" s="3"/>
      <c r="FWA34" s="3"/>
      <c r="FWB34" s="3"/>
      <c r="FWC34" s="3"/>
      <c r="FWD34" s="3"/>
      <c r="FWE34" s="3"/>
      <c r="FWF34" s="3"/>
      <c r="FWG34" s="3"/>
      <c r="FWH34" s="3"/>
      <c r="FWI34" s="3"/>
      <c r="FWJ34" s="3"/>
      <c r="FWK34" s="3"/>
      <c r="FWL34" s="3"/>
      <c r="FWM34" s="3"/>
      <c r="FWN34" s="3"/>
      <c r="FWO34" s="3"/>
      <c r="FWP34" s="3"/>
      <c r="FWQ34" s="3"/>
      <c r="FWR34" s="3"/>
      <c r="FWS34" s="3"/>
      <c r="FWT34" s="3"/>
      <c r="FWU34" s="3"/>
      <c r="FWV34" s="3"/>
      <c r="FWW34" s="3"/>
      <c r="FWX34" s="3"/>
      <c r="FWY34" s="3"/>
      <c r="FWZ34" s="3"/>
      <c r="FXA34" s="3"/>
      <c r="FXB34" s="3"/>
      <c r="FXC34" s="3"/>
      <c r="FXD34" s="3"/>
      <c r="FXE34" s="3"/>
      <c r="FXF34" s="3"/>
      <c r="FXG34" s="3"/>
      <c r="FXH34" s="3"/>
      <c r="FXI34" s="3"/>
      <c r="FXJ34" s="3"/>
      <c r="FXK34" s="3"/>
      <c r="FXL34" s="3"/>
      <c r="FXM34" s="3"/>
      <c r="FXN34" s="3"/>
      <c r="FXO34" s="3"/>
      <c r="FXP34" s="3"/>
      <c r="FXQ34" s="3"/>
      <c r="FXR34" s="3"/>
      <c r="FXS34" s="3"/>
      <c r="FXT34" s="3"/>
      <c r="FXU34" s="3"/>
      <c r="FXV34" s="3"/>
      <c r="FXW34" s="3"/>
      <c r="FXX34" s="3"/>
      <c r="FXY34" s="3"/>
      <c r="FXZ34" s="3"/>
      <c r="FYA34" s="3"/>
      <c r="FYB34" s="3"/>
      <c r="FYC34" s="3"/>
      <c r="FYD34" s="3"/>
      <c r="FYE34" s="3"/>
      <c r="FYF34" s="3"/>
      <c r="FYG34" s="3"/>
      <c r="FYH34" s="3"/>
      <c r="FYI34" s="3"/>
      <c r="FYJ34" s="3"/>
      <c r="FYK34" s="3"/>
      <c r="FYL34" s="3"/>
      <c r="FYM34" s="3"/>
      <c r="FYN34" s="3"/>
      <c r="FYO34" s="3"/>
      <c r="FYP34" s="3"/>
      <c r="FYQ34" s="3"/>
      <c r="FYR34" s="3"/>
      <c r="FYS34" s="3"/>
      <c r="FYT34" s="3"/>
      <c r="FYU34" s="3"/>
      <c r="FYV34" s="3"/>
      <c r="FYW34" s="3"/>
      <c r="FYX34" s="3"/>
      <c r="FYY34" s="3"/>
      <c r="FYZ34" s="3"/>
      <c r="FZA34" s="3"/>
      <c r="FZB34" s="3"/>
      <c r="FZC34" s="3"/>
      <c r="FZD34" s="3"/>
      <c r="FZE34" s="3"/>
      <c r="FZF34" s="3"/>
      <c r="FZG34" s="3"/>
      <c r="FZH34" s="3"/>
      <c r="FZI34" s="3"/>
      <c r="FZJ34" s="3"/>
      <c r="FZK34" s="3"/>
      <c r="FZL34" s="3"/>
      <c r="FZM34" s="3"/>
      <c r="FZN34" s="3"/>
      <c r="FZO34" s="3"/>
      <c r="FZP34" s="3"/>
      <c r="FZQ34" s="3"/>
      <c r="FZR34" s="3"/>
      <c r="FZS34" s="3"/>
      <c r="FZT34" s="3"/>
      <c r="FZU34" s="3"/>
      <c r="FZV34" s="3"/>
      <c r="FZW34" s="3"/>
      <c r="FZX34" s="3"/>
      <c r="FZY34" s="3"/>
      <c r="FZZ34" s="3"/>
      <c r="GAA34" s="3"/>
      <c r="GAB34" s="3"/>
      <c r="GAC34" s="3"/>
      <c r="GAD34" s="3"/>
      <c r="GAE34" s="3"/>
      <c r="GAF34" s="3"/>
      <c r="GAG34" s="3"/>
      <c r="GAH34" s="3"/>
      <c r="GAI34" s="3"/>
      <c r="GAJ34" s="3"/>
      <c r="GAK34" s="3"/>
      <c r="GAL34" s="3"/>
      <c r="GAM34" s="3"/>
      <c r="GAN34" s="3"/>
      <c r="GAO34" s="3"/>
      <c r="GAP34" s="3"/>
      <c r="GAQ34" s="3"/>
      <c r="GAR34" s="3"/>
      <c r="GAS34" s="3"/>
      <c r="GAT34" s="3"/>
      <c r="GAU34" s="3"/>
      <c r="GAV34" s="3"/>
      <c r="GAW34" s="3"/>
      <c r="GAX34" s="3"/>
      <c r="GAY34" s="3"/>
      <c r="GAZ34" s="3"/>
      <c r="GBA34" s="3"/>
      <c r="GBB34" s="3"/>
      <c r="GBC34" s="3"/>
      <c r="GBD34" s="3"/>
      <c r="GBE34" s="3"/>
      <c r="GBF34" s="3"/>
      <c r="GBG34" s="3"/>
      <c r="GBH34" s="3"/>
      <c r="GBI34" s="3"/>
      <c r="GBJ34" s="3"/>
      <c r="GBK34" s="3"/>
      <c r="GBL34" s="3"/>
      <c r="GBM34" s="3"/>
      <c r="GBN34" s="3"/>
      <c r="GBO34" s="3"/>
      <c r="GBP34" s="3"/>
      <c r="GBQ34" s="3"/>
      <c r="GBR34" s="3"/>
      <c r="GBS34" s="3"/>
      <c r="GBT34" s="3"/>
      <c r="GBU34" s="3"/>
      <c r="GBV34" s="3"/>
      <c r="GBW34" s="3"/>
      <c r="GBX34" s="3"/>
      <c r="GBY34" s="3"/>
      <c r="GBZ34" s="3"/>
      <c r="GCA34" s="3"/>
      <c r="GCB34" s="3"/>
      <c r="GCC34" s="3"/>
      <c r="GCD34" s="3"/>
      <c r="GCE34" s="3"/>
      <c r="GCF34" s="3"/>
      <c r="GCG34" s="3"/>
      <c r="GCH34" s="3"/>
      <c r="GCI34" s="3"/>
      <c r="GCJ34" s="3"/>
      <c r="GCK34" s="3"/>
      <c r="GCL34" s="3"/>
      <c r="GCM34" s="3"/>
      <c r="GCN34" s="3"/>
      <c r="GCO34" s="3"/>
      <c r="GCP34" s="3"/>
      <c r="GCQ34" s="3"/>
      <c r="GCR34" s="3"/>
      <c r="GCS34" s="3"/>
      <c r="GCT34" s="3"/>
      <c r="GCU34" s="3"/>
      <c r="GCV34" s="3"/>
      <c r="GCW34" s="3"/>
      <c r="GCX34" s="3"/>
      <c r="GCY34" s="3"/>
      <c r="GCZ34" s="3"/>
      <c r="GDA34" s="3"/>
      <c r="GDB34" s="3"/>
      <c r="GDC34" s="3"/>
      <c r="GDD34" s="3"/>
      <c r="GDE34" s="3"/>
      <c r="GDF34" s="3"/>
      <c r="GDG34" s="3"/>
      <c r="GDH34" s="3"/>
      <c r="GDI34" s="3"/>
      <c r="GDJ34" s="3"/>
      <c r="GDK34" s="3"/>
      <c r="GDL34" s="3"/>
      <c r="GDM34" s="3"/>
      <c r="GDN34" s="3"/>
      <c r="GDO34" s="3"/>
      <c r="GDP34" s="3"/>
      <c r="GDQ34" s="3"/>
      <c r="GDR34" s="3"/>
      <c r="GDS34" s="3"/>
      <c r="GDT34" s="3"/>
      <c r="GDU34" s="3"/>
      <c r="GDV34" s="3"/>
      <c r="GDW34" s="3"/>
      <c r="GDX34" s="3"/>
      <c r="GDY34" s="3"/>
      <c r="GDZ34" s="3"/>
      <c r="GEA34" s="3"/>
      <c r="GEB34" s="3"/>
      <c r="GEC34" s="3"/>
      <c r="GED34" s="3"/>
      <c r="GEE34" s="3"/>
      <c r="GEF34" s="3"/>
      <c r="GEG34" s="3"/>
      <c r="GEH34" s="3"/>
      <c r="GEI34" s="3"/>
      <c r="GEJ34" s="3"/>
      <c r="GEK34" s="3"/>
      <c r="GEL34" s="3"/>
      <c r="GEM34" s="3"/>
      <c r="GEN34" s="3"/>
      <c r="GEO34" s="3"/>
      <c r="GEP34" s="3"/>
      <c r="GEQ34" s="3"/>
      <c r="GER34" s="3"/>
      <c r="GES34" s="3"/>
      <c r="GET34" s="3"/>
      <c r="GEU34" s="3"/>
      <c r="GEV34" s="3"/>
      <c r="GEW34" s="3"/>
      <c r="GEX34" s="3"/>
      <c r="GEY34" s="3"/>
      <c r="GEZ34" s="3"/>
      <c r="GFA34" s="3"/>
      <c r="GFB34" s="3"/>
      <c r="GFC34" s="3"/>
      <c r="GFD34" s="3"/>
      <c r="GFE34" s="3"/>
      <c r="GFF34" s="3"/>
      <c r="GFG34" s="3"/>
      <c r="GFH34" s="3"/>
      <c r="GFI34" s="3"/>
      <c r="GFJ34" s="3"/>
      <c r="GFK34" s="3"/>
      <c r="GFL34" s="3"/>
      <c r="GFM34" s="3"/>
      <c r="GFN34" s="3"/>
      <c r="GFO34" s="3"/>
      <c r="GFP34" s="3"/>
      <c r="GFQ34" s="3"/>
      <c r="GFR34" s="3"/>
      <c r="GFS34" s="3"/>
      <c r="GFT34" s="3"/>
      <c r="GFU34" s="3"/>
      <c r="GFV34" s="3"/>
      <c r="GFW34" s="3"/>
      <c r="GFX34" s="3"/>
      <c r="GFY34" s="3"/>
      <c r="GFZ34" s="3"/>
      <c r="GGA34" s="3"/>
      <c r="GGB34" s="3"/>
      <c r="GGC34" s="3"/>
      <c r="GGD34" s="3"/>
      <c r="GGE34" s="3"/>
      <c r="GGF34" s="3"/>
      <c r="GGG34" s="3"/>
      <c r="GGH34" s="3"/>
      <c r="GGI34" s="3"/>
      <c r="GGJ34" s="3"/>
      <c r="GGK34" s="3"/>
      <c r="GGL34" s="3"/>
      <c r="GGM34" s="3"/>
      <c r="GGN34" s="3"/>
      <c r="GGO34" s="3"/>
      <c r="GGP34" s="3"/>
      <c r="GGQ34" s="3"/>
      <c r="GGR34" s="3"/>
      <c r="GGS34" s="3"/>
      <c r="GGT34" s="3"/>
      <c r="GGU34" s="3"/>
      <c r="GGV34" s="3"/>
      <c r="GGW34" s="3"/>
      <c r="GGX34" s="3"/>
      <c r="GGY34" s="3"/>
      <c r="GGZ34" s="3"/>
      <c r="GHA34" s="3"/>
      <c r="GHB34" s="3"/>
      <c r="GHC34" s="3"/>
      <c r="GHD34" s="3"/>
      <c r="GHE34" s="3"/>
      <c r="GHF34" s="3"/>
      <c r="GHG34" s="3"/>
      <c r="GHH34" s="3"/>
      <c r="GHI34" s="3"/>
      <c r="GHJ34" s="3"/>
      <c r="GHK34" s="3"/>
      <c r="GHL34" s="3"/>
      <c r="GHM34" s="3"/>
      <c r="GHN34" s="3"/>
      <c r="GHO34" s="3"/>
      <c r="GHP34" s="3"/>
      <c r="GHQ34" s="3"/>
      <c r="GHR34" s="3"/>
      <c r="GHS34" s="3"/>
      <c r="GHT34" s="3"/>
      <c r="GHU34" s="3"/>
      <c r="GHV34" s="3"/>
      <c r="GHW34" s="3"/>
      <c r="GHX34" s="3"/>
      <c r="GHY34" s="3"/>
      <c r="GHZ34" s="3"/>
      <c r="GIA34" s="3"/>
      <c r="GIB34" s="3"/>
      <c r="GIC34" s="3"/>
      <c r="GID34" s="3"/>
      <c r="GIE34" s="3"/>
      <c r="GIF34" s="3"/>
      <c r="GIG34" s="3"/>
      <c r="GIH34" s="3"/>
      <c r="GII34" s="3"/>
      <c r="GIJ34" s="3"/>
      <c r="GIK34" s="3"/>
      <c r="GIL34" s="3"/>
      <c r="GIM34" s="3"/>
      <c r="GIN34" s="3"/>
      <c r="GIO34" s="3"/>
      <c r="GIP34" s="3"/>
      <c r="GIQ34" s="3"/>
      <c r="GIR34" s="3"/>
      <c r="GIS34" s="3"/>
      <c r="GIT34" s="3"/>
      <c r="GIU34" s="3"/>
      <c r="GIV34" s="3"/>
      <c r="GIW34" s="3"/>
      <c r="GIX34" s="3"/>
      <c r="GIY34" s="3"/>
      <c r="GIZ34" s="3"/>
      <c r="GJA34" s="3"/>
      <c r="GJB34" s="3"/>
      <c r="GJC34" s="3"/>
      <c r="GJD34" s="3"/>
      <c r="GJE34" s="3"/>
      <c r="GJF34" s="3"/>
      <c r="GJG34" s="3"/>
      <c r="GJH34" s="3"/>
      <c r="GJI34" s="3"/>
      <c r="GJJ34" s="3"/>
      <c r="GJK34" s="3"/>
      <c r="GJL34" s="3"/>
      <c r="GJM34" s="3"/>
      <c r="GJN34" s="3"/>
      <c r="GJO34" s="3"/>
      <c r="GJP34" s="3"/>
      <c r="GJQ34" s="3"/>
      <c r="GJR34" s="3"/>
      <c r="GJS34" s="3"/>
      <c r="GJT34" s="3"/>
      <c r="GJU34" s="3"/>
      <c r="GJV34" s="3"/>
      <c r="GJW34" s="3"/>
      <c r="GJX34" s="3"/>
      <c r="GJY34" s="3"/>
      <c r="GJZ34" s="3"/>
      <c r="GKA34" s="3"/>
      <c r="GKB34" s="3"/>
      <c r="GKC34" s="3"/>
      <c r="GKD34" s="3"/>
      <c r="GKE34" s="3"/>
      <c r="GKF34" s="3"/>
      <c r="GKG34" s="3"/>
      <c r="GKH34" s="3"/>
      <c r="GKI34" s="3"/>
      <c r="GKJ34" s="3"/>
      <c r="GKK34" s="3"/>
      <c r="GKL34" s="3"/>
      <c r="GKM34" s="3"/>
      <c r="GKN34" s="3"/>
      <c r="GKO34" s="3"/>
      <c r="GKP34" s="3"/>
      <c r="GKQ34" s="3"/>
      <c r="GKR34" s="3"/>
      <c r="GKS34" s="3"/>
      <c r="GKT34" s="3"/>
      <c r="GKU34" s="3"/>
      <c r="GKV34" s="3"/>
      <c r="GKW34" s="3"/>
      <c r="GKX34" s="3"/>
      <c r="GKY34" s="3"/>
      <c r="GKZ34" s="3"/>
      <c r="GLA34" s="3"/>
      <c r="GLB34" s="3"/>
      <c r="GLC34" s="3"/>
      <c r="GLD34" s="3"/>
      <c r="GLE34" s="3"/>
      <c r="GLF34" s="3"/>
      <c r="GLG34" s="3"/>
      <c r="GLH34" s="3"/>
      <c r="GLI34" s="3"/>
      <c r="GLJ34" s="3"/>
      <c r="GLK34" s="3"/>
      <c r="GLL34" s="3"/>
      <c r="GLM34" s="3"/>
      <c r="GLN34" s="3"/>
      <c r="GLO34" s="3"/>
      <c r="GLP34" s="3"/>
      <c r="GLQ34" s="3"/>
      <c r="GLR34" s="3"/>
      <c r="GLS34" s="3"/>
      <c r="GLT34" s="3"/>
      <c r="GLU34" s="3"/>
      <c r="GLV34" s="3"/>
      <c r="GLW34" s="3"/>
      <c r="GLX34" s="3"/>
      <c r="GLY34" s="3"/>
      <c r="GLZ34" s="3"/>
      <c r="GMA34" s="3"/>
      <c r="GMB34" s="3"/>
      <c r="GMC34" s="3"/>
      <c r="GMD34" s="3"/>
      <c r="GME34" s="3"/>
      <c r="GMF34" s="3"/>
      <c r="GMG34" s="3"/>
      <c r="GMH34" s="3"/>
      <c r="GMI34" s="3"/>
      <c r="GMJ34" s="3"/>
      <c r="GMK34" s="3"/>
      <c r="GML34" s="3"/>
      <c r="GMM34" s="3"/>
      <c r="GMN34" s="3"/>
      <c r="GMO34" s="3"/>
      <c r="GMP34" s="3"/>
      <c r="GMQ34" s="3"/>
      <c r="GMR34" s="3"/>
      <c r="GMS34" s="3"/>
      <c r="GMT34" s="3"/>
      <c r="GMU34" s="3"/>
      <c r="GMV34" s="3"/>
      <c r="GMW34" s="3"/>
      <c r="GMX34" s="3"/>
      <c r="GMY34" s="3"/>
      <c r="GMZ34" s="3"/>
      <c r="GNA34" s="3"/>
      <c r="GNB34" s="3"/>
      <c r="GNC34" s="3"/>
      <c r="GND34" s="3"/>
      <c r="GNE34" s="3"/>
      <c r="GNF34" s="3"/>
      <c r="GNG34" s="3"/>
      <c r="GNH34" s="3"/>
      <c r="GNI34" s="3"/>
      <c r="GNJ34" s="3"/>
      <c r="GNK34" s="3"/>
      <c r="GNL34" s="3"/>
      <c r="GNM34" s="3"/>
      <c r="GNN34" s="3"/>
      <c r="GNO34" s="3"/>
      <c r="GNP34" s="3"/>
      <c r="GNQ34" s="3"/>
      <c r="GNR34" s="3"/>
      <c r="GNS34" s="3"/>
      <c r="GNT34" s="3"/>
      <c r="GNU34" s="3"/>
      <c r="GNV34" s="3"/>
      <c r="GNW34" s="3"/>
      <c r="GNX34" s="3"/>
      <c r="GNY34" s="3"/>
      <c r="GNZ34" s="3"/>
      <c r="GOA34" s="3"/>
      <c r="GOB34" s="3"/>
      <c r="GOC34" s="3"/>
      <c r="GOD34" s="3"/>
      <c r="GOE34" s="3"/>
      <c r="GOF34" s="3"/>
      <c r="GOG34" s="3"/>
      <c r="GOH34" s="3"/>
      <c r="GOI34" s="3"/>
      <c r="GOJ34" s="3"/>
      <c r="GOK34" s="3"/>
      <c r="GOL34" s="3"/>
      <c r="GOM34" s="3"/>
      <c r="GON34" s="3"/>
      <c r="GOO34" s="3"/>
      <c r="GOP34" s="3"/>
      <c r="GOQ34" s="3"/>
      <c r="GOR34" s="3"/>
      <c r="GOS34" s="3"/>
      <c r="GOT34" s="3"/>
      <c r="GOU34" s="3"/>
      <c r="GOV34" s="3"/>
      <c r="GOW34" s="3"/>
      <c r="GOX34" s="3"/>
      <c r="GOY34" s="3"/>
      <c r="GOZ34" s="3"/>
      <c r="GPA34" s="3"/>
      <c r="GPB34" s="3"/>
      <c r="GPC34" s="3"/>
      <c r="GPD34" s="3"/>
      <c r="GPE34" s="3"/>
      <c r="GPF34" s="3"/>
      <c r="GPG34" s="3"/>
      <c r="GPH34" s="3"/>
      <c r="GPI34" s="3"/>
      <c r="GPJ34" s="3"/>
      <c r="GPK34" s="3"/>
      <c r="GPL34" s="3"/>
      <c r="GPM34" s="3"/>
      <c r="GPN34" s="3"/>
      <c r="GPO34" s="3"/>
      <c r="GPP34" s="3"/>
      <c r="GPQ34" s="3"/>
      <c r="GPR34" s="3"/>
      <c r="GPS34" s="3"/>
      <c r="GPT34" s="3"/>
      <c r="GPU34" s="3"/>
      <c r="GPV34" s="3"/>
      <c r="GPW34" s="3"/>
      <c r="GPX34" s="3"/>
      <c r="GPY34" s="3"/>
      <c r="GPZ34" s="3"/>
      <c r="GQA34" s="3"/>
      <c r="GQB34" s="3"/>
      <c r="GQC34" s="3"/>
      <c r="GQD34" s="3"/>
      <c r="GQE34" s="3"/>
      <c r="GQF34" s="3"/>
      <c r="GQG34" s="3"/>
      <c r="GQH34" s="3"/>
      <c r="GQI34" s="3"/>
      <c r="GQJ34" s="3"/>
      <c r="GQK34" s="3"/>
      <c r="GQL34" s="3"/>
      <c r="GQM34" s="3"/>
      <c r="GQN34" s="3"/>
      <c r="GQO34" s="3"/>
      <c r="GQP34" s="3"/>
      <c r="GQQ34" s="3"/>
      <c r="GQR34" s="3"/>
      <c r="GQS34" s="3"/>
      <c r="GQT34" s="3"/>
      <c r="GQU34" s="3"/>
      <c r="GQV34" s="3"/>
      <c r="GQW34" s="3"/>
      <c r="GQX34" s="3"/>
      <c r="GQY34" s="3"/>
      <c r="GQZ34" s="3"/>
      <c r="GRA34" s="3"/>
      <c r="GRB34" s="3"/>
      <c r="GRC34" s="3"/>
      <c r="GRD34" s="3"/>
      <c r="GRE34" s="3"/>
      <c r="GRF34" s="3"/>
      <c r="GRG34" s="3"/>
      <c r="GRH34" s="3"/>
      <c r="GRI34" s="3"/>
      <c r="GRJ34" s="3"/>
      <c r="GRK34" s="3"/>
      <c r="GRL34" s="3"/>
      <c r="GRM34" s="3"/>
      <c r="GRN34" s="3"/>
      <c r="GRO34" s="3"/>
      <c r="GRP34" s="3"/>
      <c r="GRQ34" s="3"/>
      <c r="GRR34" s="3"/>
      <c r="GRS34" s="3"/>
      <c r="GRT34" s="3"/>
      <c r="GRU34" s="3"/>
      <c r="GRV34" s="3"/>
      <c r="GRW34" s="3"/>
      <c r="GRX34" s="3"/>
      <c r="GRY34" s="3"/>
      <c r="GRZ34" s="3"/>
      <c r="GSA34" s="3"/>
      <c r="GSB34" s="3"/>
      <c r="GSC34" s="3"/>
      <c r="GSD34" s="3"/>
      <c r="GSE34" s="3"/>
      <c r="GSF34" s="3"/>
      <c r="GSG34" s="3"/>
      <c r="GSH34" s="3"/>
      <c r="GSI34" s="3"/>
      <c r="GSJ34" s="3"/>
      <c r="GSK34" s="3"/>
      <c r="GSL34" s="3"/>
      <c r="GSM34" s="3"/>
      <c r="GSN34" s="3"/>
      <c r="GSO34" s="3"/>
      <c r="GSP34" s="3"/>
      <c r="GSQ34" s="3"/>
      <c r="GSR34" s="3"/>
      <c r="GSS34" s="3"/>
      <c r="GST34" s="3"/>
      <c r="GSU34" s="3"/>
      <c r="GSV34" s="3"/>
      <c r="GSW34" s="3"/>
      <c r="GSX34" s="3"/>
      <c r="GSY34" s="3"/>
      <c r="GSZ34" s="3"/>
      <c r="GTA34" s="3"/>
      <c r="GTB34" s="3"/>
      <c r="GTC34" s="3"/>
      <c r="GTD34" s="3"/>
      <c r="GTE34" s="3"/>
      <c r="GTF34" s="3"/>
      <c r="GTG34" s="3"/>
      <c r="GTH34" s="3"/>
      <c r="GTI34" s="3"/>
      <c r="GTJ34" s="3"/>
      <c r="GTK34" s="3"/>
      <c r="GTL34" s="3"/>
      <c r="GTM34" s="3"/>
      <c r="GTN34" s="3"/>
      <c r="GTO34" s="3"/>
      <c r="GTP34" s="3"/>
      <c r="GTQ34" s="3"/>
      <c r="GTR34" s="3"/>
      <c r="GTS34" s="3"/>
      <c r="GTT34" s="3"/>
      <c r="GTU34" s="3"/>
      <c r="GTV34" s="3"/>
      <c r="GTW34" s="3"/>
      <c r="GTX34" s="3"/>
      <c r="GTY34" s="3"/>
      <c r="GTZ34" s="3"/>
      <c r="GUA34" s="3"/>
      <c r="GUB34" s="3"/>
      <c r="GUC34" s="3"/>
      <c r="GUD34" s="3"/>
      <c r="GUE34" s="3"/>
      <c r="GUF34" s="3"/>
      <c r="GUG34" s="3"/>
      <c r="GUH34" s="3"/>
      <c r="GUI34" s="3"/>
      <c r="GUJ34" s="3"/>
      <c r="GUK34" s="3"/>
      <c r="GUL34" s="3"/>
      <c r="GUM34" s="3"/>
      <c r="GUN34" s="3"/>
      <c r="GUO34" s="3"/>
      <c r="GUP34" s="3"/>
      <c r="GUQ34" s="3"/>
      <c r="GUR34" s="3"/>
      <c r="GUS34" s="3"/>
      <c r="GUT34" s="3"/>
      <c r="GUU34" s="3"/>
      <c r="GUV34" s="3"/>
      <c r="GUW34" s="3"/>
      <c r="GUX34" s="3"/>
      <c r="GUY34" s="3"/>
      <c r="GUZ34" s="3"/>
      <c r="GVA34" s="3"/>
      <c r="GVB34" s="3"/>
      <c r="GVC34" s="3"/>
      <c r="GVD34" s="3"/>
      <c r="GVE34" s="3"/>
      <c r="GVF34" s="3"/>
      <c r="GVG34" s="3"/>
      <c r="GVH34" s="3"/>
      <c r="GVI34" s="3"/>
      <c r="GVJ34" s="3"/>
      <c r="GVK34" s="3"/>
      <c r="GVL34" s="3"/>
      <c r="GVM34" s="3"/>
      <c r="GVN34" s="3"/>
      <c r="GVO34" s="3"/>
      <c r="GVP34" s="3"/>
      <c r="GVQ34" s="3"/>
      <c r="GVR34" s="3"/>
      <c r="GVS34" s="3"/>
      <c r="GVT34" s="3"/>
      <c r="GVU34" s="3"/>
      <c r="GVV34" s="3"/>
      <c r="GVW34" s="3"/>
      <c r="GVX34" s="3"/>
      <c r="GVY34" s="3"/>
      <c r="GVZ34" s="3"/>
      <c r="GWA34" s="3"/>
      <c r="GWB34" s="3"/>
      <c r="GWC34" s="3"/>
      <c r="GWD34" s="3"/>
      <c r="GWE34" s="3"/>
      <c r="GWF34" s="3"/>
      <c r="GWG34" s="3"/>
      <c r="GWH34" s="3"/>
      <c r="GWI34" s="3"/>
      <c r="GWJ34" s="3"/>
      <c r="GWK34" s="3"/>
      <c r="GWL34" s="3"/>
      <c r="GWM34" s="3"/>
      <c r="GWN34" s="3"/>
      <c r="GWO34" s="3"/>
      <c r="GWP34" s="3"/>
      <c r="GWQ34" s="3"/>
      <c r="GWR34" s="3"/>
      <c r="GWS34" s="3"/>
      <c r="GWT34" s="3"/>
      <c r="GWU34" s="3"/>
      <c r="GWV34" s="3"/>
      <c r="GWW34" s="3"/>
      <c r="GWX34" s="3"/>
      <c r="GWY34" s="3"/>
      <c r="GWZ34" s="3"/>
      <c r="GXA34" s="3"/>
      <c r="GXB34" s="3"/>
      <c r="GXC34" s="3"/>
      <c r="GXD34" s="3"/>
      <c r="GXE34" s="3"/>
      <c r="GXF34" s="3"/>
      <c r="GXG34" s="3"/>
      <c r="GXH34" s="3"/>
      <c r="GXI34" s="3"/>
      <c r="GXJ34" s="3"/>
      <c r="GXK34" s="3"/>
      <c r="GXL34" s="3"/>
      <c r="GXM34" s="3"/>
      <c r="GXN34" s="3"/>
      <c r="GXO34" s="3"/>
      <c r="GXP34" s="3"/>
      <c r="GXQ34" s="3"/>
      <c r="GXR34" s="3"/>
      <c r="GXS34" s="3"/>
      <c r="GXT34" s="3"/>
      <c r="GXU34" s="3"/>
      <c r="GXV34" s="3"/>
      <c r="GXW34" s="3"/>
      <c r="GXX34" s="3"/>
      <c r="GXY34" s="3"/>
      <c r="GXZ34" s="3"/>
      <c r="GYA34" s="3"/>
      <c r="GYB34" s="3"/>
      <c r="GYC34" s="3"/>
      <c r="GYD34" s="3"/>
      <c r="GYE34" s="3"/>
      <c r="GYF34" s="3"/>
      <c r="GYG34" s="3"/>
      <c r="GYH34" s="3"/>
      <c r="GYI34" s="3"/>
      <c r="GYJ34" s="3"/>
      <c r="GYK34" s="3"/>
      <c r="GYL34" s="3"/>
      <c r="GYM34" s="3"/>
      <c r="GYN34" s="3"/>
      <c r="GYO34" s="3"/>
      <c r="GYP34" s="3"/>
      <c r="GYQ34" s="3"/>
      <c r="GYR34" s="3"/>
      <c r="GYS34" s="3"/>
      <c r="GYT34" s="3"/>
      <c r="GYU34" s="3"/>
      <c r="GYV34" s="3"/>
      <c r="GYW34" s="3"/>
      <c r="GYX34" s="3"/>
      <c r="GYY34" s="3"/>
      <c r="GYZ34" s="3"/>
      <c r="GZA34" s="3"/>
      <c r="GZB34" s="3"/>
      <c r="GZC34" s="3"/>
      <c r="GZD34" s="3"/>
      <c r="GZE34" s="3"/>
      <c r="GZF34" s="3"/>
      <c r="GZG34" s="3"/>
      <c r="GZH34" s="3"/>
      <c r="GZI34" s="3"/>
      <c r="GZJ34" s="3"/>
      <c r="GZK34" s="3"/>
      <c r="GZL34" s="3"/>
      <c r="GZM34" s="3"/>
      <c r="GZN34" s="3"/>
      <c r="GZO34" s="3"/>
      <c r="GZP34" s="3"/>
      <c r="GZQ34" s="3"/>
      <c r="GZR34" s="3"/>
      <c r="GZS34" s="3"/>
      <c r="GZT34" s="3"/>
      <c r="GZU34" s="3"/>
      <c r="GZV34" s="3"/>
      <c r="GZW34" s="3"/>
      <c r="GZX34" s="3"/>
      <c r="GZY34" s="3"/>
      <c r="GZZ34" s="3"/>
      <c r="HAA34" s="3"/>
      <c r="HAB34" s="3"/>
      <c r="HAC34" s="3"/>
      <c r="HAD34" s="3"/>
      <c r="HAE34" s="3"/>
      <c r="HAF34" s="3"/>
      <c r="HAG34" s="3"/>
      <c r="HAH34" s="3"/>
      <c r="HAI34" s="3"/>
      <c r="HAJ34" s="3"/>
      <c r="HAK34" s="3"/>
      <c r="HAL34" s="3"/>
      <c r="HAM34" s="3"/>
      <c r="HAN34" s="3"/>
      <c r="HAO34" s="3"/>
      <c r="HAP34" s="3"/>
      <c r="HAQ34" s="3"/>
      <c r="HAR34" s="3"/>
      <c r="HAS34" s="3"/>
      <c r="HAT34" s="3"/>
      <c r="HAU34" s="3"/>
      <c r="HAV34" s="3"/>
      <c r="HAW34" s="3"/>
      <c r="HAX34" s="3"/>
      <c r="HAY34" s="3"/>
      <c r="HAZ34" s="3"/>
      <c r="HBA34" s="3"/>
      <c r="HBB34" s="3"/>
      <c r="HBC34" s="3"/>
      <c r="HBD34" s="3"/>
      <c r="HBE34" s="3"/>
      <c r="HBF34" s="3"/>
      <c r="HBG34" s="3"/>
      <c r="HBH34" s="3"/>
      <c r="HBI34" s="3"/>
      <c r="HBJ34" s="3"/>
      <c r="HBK34" s="3"/>
      <c r="HBL34" s="3"/>
      <c r="HBM34" s="3"/>
      <c r="HBN34" s="3"/>
      <c r="HBO34" s="3"/>
      <c r="HBP34" s="3"/>
      <c r="HBQ34" s="3"/>
      <c r="HBR34" s="3"/>
      <c r="HBS34" s="3"/>
      <c r="HBT34" s="3"/>
      <c r="HBU34" s="3"/>
      <c r="HBV34" s="3"/>
      <c r="HBW34" s="3"/>
      <c r="HBX34" s="3"/>
      <c r="HBY34" s="3"/>
      <c r="HBZ34" s="3"/>
      <c r="HCA34" s="3"/>
      <c r="HCB34" s="3"/>
      <c r="HCC34" s="3"/>
      <c r="HCD34" s="3"/>
      <c r="HCE34" s="3"/>
      <c r="HCF34" s="3"/>
      <c r="HCG34" s="3"/>
      <c r="HCH34" s="3"/>
      <c r="HCI34" s="3"/>
      <c r="HCJ34" s="3"/>
      <c r="HCK34" s="3"/>
      <c r="HCL34" s="3"/>
      <c r="HCM34" s="3"/>
      <c r="HCN34" s="3"/>
      <c r="HCO34" s="3"/>
      <c r="HCP34" s="3"/>
      <c r="HCQ34" s="3"/>
      <c r="HCR34" s="3"/>
      <c r="HCS34" s="3"/>
      <c r="HCT34" s="3"/>
      <c r="HCU34" s="3"/>
      <c r="HCV34" s="3"/>
      <c r="HCW34" s="3"/>
      <c r="HCX34" s="3"/>
      <c r="HCY34" s="3"/>
      <c r="HCZ34" s="3"/>
      <c r="HDA34" s="3"/>
      <c r="HDB34" s="3"/>
      <c r="HDC34" s="3"/>
      <c r="HDD34" s="3"/>
      <c r="HDE34" s="3"/>
      <c r="HDF34" s="3"/>
      <c r="HDG34" s="3"/>
      <c r="HDH34" s="3"/>
      <c r="HDI34" s="3"/>
      <c r="HDJ34" s="3"/>
      <c r="HDK34" s="3"/>
      <c r="HDL34" s="3"/>
      <c r="HDM34" s="3"/>
      <c r="HDN34" s="3"/>
      <c r="HDO34" s="3"/>
      <c r="HDP34" s="3"/>
      <c r="HDQ34" s="3"/>
      <c r="HDR34" s="3"/>
      <c r="HDS34" s="3"/>
      <c r="HDT34" s="3"/>
      <c r="HDU34" s="3"/>
      <c r="HDV34" s="3"/>
      <c r="HDW34" s="3"/>
      <c r="HDX34" s="3"/>
      <c r="HDY34" s="3"/>
      <c r="HDZ34" s="3"/>
      <c r="HEA34" s="3"/>
      <c r="HEB34" s="3"/>
      <c r="HEC34" s="3"/>
      <c r="HED34" s="3"/>
      <c r="HEE34" s="3"/>
      <c r="HEF34" s="3"/>
      <c r="HEG34" s="3"/>
      <c r="HEH34" s="3"/>
      <c r="HEI34" s="3"/>
      <c r="HEJ34" s="3"/>
      <c r="HEK34" s="3"/>
      <c r="HEL34" s="3"/>
      <c r="HEM34" s="3"/>
      <c r="HEN34" s="3"/>
      <c r="HEO34" s="3"/>
      <c r="HEP34" s="3"/>
      <c r="HEQ34" s="3"/>
      <c r="HER34" s="3"/>
      <c r="HES34" s="3"/>
      <c r="HET34" s="3"/>
      <c r="HEU34" s="3"/>
      <c r="HEV34" s="3"/>
      <c r="HEW34" s="3"/>
      <c r="HEX34" s="3"/>
      <c r="HEY34" s="3"/>
      <c r="HEZ34" s="3"/>
      <c r="HFA34" s="3"/>
      <c r="HFB34" s="3"/>
      <c r="HFC34" s="3"/>
      <c r="HFD34" s="3"/>
      <c r="HFE34" s="3"/>
      <c r="HFF34" s="3"/>
      <c r="HFG34" s="3"/>
      <c r="HFH34" s="3"/>
      <c r="HFI34" s="3"/>
      <c r="HFJ34" s="3"/>
      <c r="HFK34" s="3"/>
      <c r="HFL34" s="3"/>
      <c r="HFM34" s="3"/>
      <c r="HFN34" s="3"/>
      <c r="HFO34" s="3"/>
      <c r="HFP34" s="3"/>
      <c r="HFQ34" s="3"/>
      <c r="HFR34" s="3"/>
      <c r="HFS34" s="3"/>
      <c r="HFT34" s="3"/>
      <c r="HFU34" s="3"/>
      <c r="HFV34" s="3"/>
      <c r="HFW34" s="3"/>
      <c r="HFX34" s="3"/>
      <c r="HFY34" s="3"/>
      <c r="HFZ34" s="3"/>
      <c r="HGA34" s="3"/>
      <c r="HGB34" s="3"/>
      <c r="HGC34" s="3"/>
      <c r="HGD34" s="3"/>
      <c r="HGE34" s="3"/>
      <c r="HGF34" s="3"/>
      <c r="HGG34" s="3"/>
      <c r="HGH34" s="3"/>
      <c r="HGI34" s="3"/>
      <c r="HGJ34" s="3"/>
      <c r="HGK34" s="3"/>
      <c r="HGL34" s="3"/>
      <c r="HGM34" s="3"/>
      <c r="HGN34" s="3"/>
      <c r="HGO34" s="3"/>
      <c r="HGP34" s="3"/>
      <c r="HGQ34" s="3"/>
      <c r="HGR34" s="3"/>
      <c r="HGS34" s="3"/>
      <c r="HGT34" s="3"/>
      <c r="HGU34" s="3"/>
      <c r="HGV34" s="3"/>
      <c r="HGW34" s="3"/>
      <c r="HGX34" s="3"/>
      <c r="HGY34" s="3"/>
      <c r="HGZ34" s="3"/>
      <c r="HHA34" s="3"/>
      <c r="HHB34" s="3"/>
      <c r="HHC34" s="3"/>
      <c r="HHD34" s="3"/>
      <c r="HHE34" s="3"/>
      <c r="HHF34" s="3"/>
      <c r="HHG34" s="3"/>
      <c r="HHH34" s="3"/>
      <c r="HHI34" s="3"/>
      <c r="HHJ34" s="3"/>
      <c r="HHK34" s="3"/>
      <c r="HHL34" s="3"/>
      <c r="HHM34" s="3"/>
      <c r="HHN34" s="3"/>
      <c r="HHO34" s="3"/>
      <c r="HHP34" s="3"/>
      <c r="HHQ34" s="3"/>
      <c r="HHR34" s="3"/>
      <c r="HHS34" s="3"/>
      <c r="HHT34" s="3"/>
      <c r="HHU34" s="3"/>
      <c r="HHV34" s="3"/>
      <c r="HHW34" s="3"/>
      <c r="HHX34" s="3"/>
      <c r="HHY34" s="3"/>
      <c r="HHZ34" s="3"/>
      <c r="HIA34" s="3"/>
      <c r="HIB34" s="3"/>
      <c r="HIC34" s="3"/>
      <c r="HID34" s="3"/>
      <c r="HIE34" s="3"/>
      <c r="HIF34" s="3"/>
      <c r="HIG34" s="3"/>
      <c r="HIH34" s="3"/>
      <c r="HII34" s="3"/>
      <c r="HIJ34" s="3"/>
      <c r="HIK34" s="3"/>
      <c r="HIL34" s="3"/>
      <c r="HIM34" s="3"/>
      <c r="HIN34" s="3"/>
      <c r="HIO34" s="3"/>
      <c r="HIP34" s="3"/>
      <c r="HIQ34" s="3"/>
      <c r="HIR34" s="3"/>
      <c r="HIS34" s="3"/>
      <c r="HIT34" s="3"/>
      <c r="HIU34" s="3"/>
      <c r="HIV34" s="3"/>
      <c r="HIW34" s="3"/>
      <c r="HIX34" s="3"/>
      <c r="HIY34" s="3"/>
      <c r="HIZ34" s="3"/>
      <c r="HJA34" s="3"/>
      <c r="HJB34" s="3"/>
      <c r="HJC34" s="3"/>
      <c r="HJD34" s="3"/>
      <c r="HJE34" s="3"/>
      <c r="HJF34" s="3"/>
      <c r="HJG34" s="3"/>
      <c r="HJH34" s="3"/>
      <c r="HJI34" s="3"/>
      <c r="HJJ34" s="3"/>
      <c r="HJK34" s="3"/>
      <c r="HJL34" s="3"/>
      <c r="HJM34" s="3"/>
      <c r="HJN34" s="3"/>
      <c r="HJO34" s="3"/>
      <c r="HJP34" s="3"/>
      <c r="HJQ34" s="3"/>
      <c r="HJR34" s="3"/>
      <c r="HJS34" s="3"/>
      <c r="HJT34" s="3"/>
      <c r="HJU34" s="3"/>
      <c r="HJV34" s="3"/>
      <c r="HJW34" s="3"/>
      <c r="HJX34" s="3"/>
      <c r="HJY34" s="3"/>
      <c r="HJZ34" s="3"/>
      <c r="HKA34" s="3"/>
      <c r="HKB34" s="3"/>
      <c r="HKC34" s="3"/>
      <c r="HKD34" s="3"/>
      <c r="HKE34" s="3"/>
      <c r="HKF34" s="3"/>
      <c r="HKG34" s="3"/>
      <c r="HKH34" s="3"/>
      <c r="HKI34" s="3"/>
      <c r="HKJ34" s="3"/>
      <c r="HKK34" s="3"/>
      <c r="HKL34" s="3"/>
      <c r="HKM34" s="3"/>
      <c r="HKN34" s="3"/>
      <c r="HKO34" s="3"/>
      <c r="HKP34" s="3"/>
      <c r="HKQ34" s="3"/>
      <c r="HKR34" s="3"/>
      <c r="HKS34" s="3"/>
      <c r="HKT34" s="3"/>
      <c r="HKU34" s="3"/>
      <c r="HKV34" s="3"/>
      <c r="HKW34" s="3"/>
      <c r="HKX34" s="3"/>
      <c r="HKY34" s="3"/>
      <c r="HKZ34" s="3"/>
      <c r="HLA34" s="3"/>
      <c r="HLB34" s="3"/>
      <c r="HLC34" s="3"/>
      <c r="HLD34" s="3"/>
      <c r="HLE34" s="3"/>
      <c r="HLF34" s="3"/>
      <c r="HLG34" s="3"/>
      <c r="HLH34" s="3"/>
      <c r="HLI34" s="3"/>
      <c r="HLJ34" s="3"/>
      <c r="HLK34" s="3"/>
      <c r="HLL34" s="3"/>
      <c r="HLM34" s="3"/>
      <c r="HLN34" s="3"/>
      <c r="HLO34" s="3"/>
      <c r="HLP34" s="3"/>
      <c r="HLQ34" s="3"/>
      <c r="HLR34" s="3"/>
      <c r="HLS34" s="3"/>
      <c r="HLT34" s="3"/>
      <c r="HLU34" s="3"/>
      <c r="HLV34" s="3"/>
      <c r="HLW34" s="3"/>
      <c r="HLX34" s="3"/>
      <c r="HLY34" s="3"/>
      <c r="HLZ34" s="3"/>
      <c r="HMA34" s="3"/>
      <c r="HMB34" s="3"/>
      <c r="HMC34" s="3"/>
      <c r="HMD34" s="3"/>
      <c r="HME34" s="3"/>
      <c r="HMF34" s="3"/>
      <c r="HMG34" s="3"/>
      <c r="HMH34" s="3"/>
      <c r="HMI34" s="3"/>
      <c r="HMJ34" s="3"/>
      <c r="HMK34" s="3"/>
      <c r="HML34" s="3"/>
      <c r="HMM34" s="3"/>
      <c r="HMN34" s="3"/>
      <c r="HMO34" s="3"/>
      <c r="HMP34" s="3"/>
      <c r="HMQ34" s="3"/>
      <c r="HMR34" s="3"/>
      <c r="HMS34" s="3"/>
      <c r="HMT34" s="3"/>
      <c r="HMU34" s="3"/>
      <c r="HMV34" s="3"/>
      <c r="HMW34" s="3"/>
      <c r="HMX34" s="3"/>
      <c r="HMY34" s="3"/>
      <c r="HMZ34" s="3"/>
      <c r="HNA34" s="3"/>
      <c r="HNB34" s="3"/>
      <c r="HNC34" s="3"/>
      <c r="HND34" s="3"/>
      <c r="HNE34" s="3"/>
      <c r="HNF34" s="3"/>
      <c r="HNG34" s="3"/>
      <c r="HNH34" s="3"/>
      <c r="HNI34" s="3"/>
      <c r="HNJ34" s="3"/>
      <c r="HNK34" s="3"/>
      <c r="HNL34" s="3"/>
      <c r="HNM34" s="3"/>
      <c r="HNN34" s="3"/>
      <c r="HNO34" s="3"/>
      <c r="HNP34" s="3"/>
      <c r="HNQ34" s="3"/>
      <c r="HNR34" s="3"/>
      <c r="HNS34" s="3"/>
      <c r="HNT34" s="3"/>
      <c r="HNU34" s="3"/>
      <c r="HNV34" s="3"/>
      <c r="HNW34" s="3"/>
      <c r="HNX34" s="3"/>
      <c r="HNY34" s="3"/>
      <c r="HNZ34" s="3"/>
      <c r="HOA34" s="3"/>
      <c r="HOB34" s="3"/>
      <c r="HOC34" s="3"/>
      <c r="HOD34" s="3"/>
      <c r="HOE34" s="3"/>
      <c r="HOF34" s="3"/>
      <c r="HOG34" s="3"/>
      <c r="HOH34" s="3"/>
      <c r="HOI34" s="3"/>
      <c r="HOJ34" s="3"/>
      <c r="HOK34" s="3"/>
      <c r="HOL34" s="3"/>
      <c r="HOM34" s="3"/>
      <c r="HON34" s="3"/>
      <c r="HOO34" s="3"/>
      <c r="HOP34" s="3"/>
      <c r="HOQ34" s="3"/>
      <c r="HOR34" s="3"/>
      <c r="HOS34" s="3"/>
      <c r="HOT34" s="3"/>
      <c r="HOU34" s="3"/>
      <c r="HOV34" s="3"/>
      <c r="HOW34" s="3"/>
      <c r="HOX34" s="3"/>
      <c r="HOY34" s="3"/>
      <c r="HOZ34" s="3"/>
      <c r="HPA34" s="3"/>
      <c r="HPB34" s="3"/>
      <c r="HPC34" s="3"/>
      <c r="HPD34" s="3"/>
      <c r="HPE34" s="3"/>
      <c r="HPF34" s="3"/>
      <c r="HPG34" s="3"/>
      <c r="HPH34" s="3"/>
      <c r="HPI34" s="3"/>
      <c r="HPJ34" s="3"/>
      <c r="HPK34" s="3"/>
      <c r="HPL34" s="3"/>
      <c r="HPM34" s="3"/>
      <c r="HPN34" s="3"/>
      <c r="HPO34" s="3"/>
      <c r="HPP34" s="3"/>
      <c r="HPQ34" s="3"/>
      <c r="HPR34" s="3"/>
      <c r="HPS34" s="3"/>
      <c r="HPT34" s="3"/>
      <c r="HPU34" s="3"/>
      <c r="HPV34" s="3"/>
      <c r="HPW34" s="3"/>
      <c r="HPX34" s="3"/>
      <c r="HPY34" s="3"/>
      <c r="HPZ34" s="3"/>
      <c r="HQA34" s="3"/>
      <c r="HQB34" s="3"/>
      <c r="HQC34" s="3"/>
      <c r="HQD34" s="3"/>
      <c r="HQE34" s="3"/>
      <c r="HQF34" s="3"/>
      <c r="HQG34" s="3"/>
      <c r="HQH34" s="3"/>
      <c r="HQI34" s="3"/>
      <c r="HQJ34" s="3"/>
      <c r="HQK34" s="3"/>
      <c r="HQL34" s="3"/>
      <c r="HQM34" s="3"/>
      <c r="HQN34" s="3"/>
      <c r="HQO34" s="3"/>
      <c r="HQP34" s="3"/>
      <c r="HQQ34" s="3"/>
      <c r="HQR34" s="3"/>
      <c r="HQS34" s="3"/>
      <c r="HQT34" s="3"/>
      <c r="HQU34" s="3"/>
      <c r="HQV34" s="3"/>
      <c r="HQW34" s="3"/>
      <c r="HQX34" s="3"/>
      <c r="HQY34" s="3"/>
      <c r="HQZ34" s="3"/>
      <c r="HRA34" s="3"/>
      <c r="HRB34" s="3"/>
      <c r="HRC34" s="3"/>
      <c r="HRD34" s="3"/>
      <c r="HRE34" s="3"/>
      <c r="HRF34" s="3"/>
      <c r="HRG34" s="3"/>
      <c r="HRH34" s="3"/>
      <c r="HRI34" s="3"/>
      <c r="HRJ34" s="3"/>
      <c r="HRK34" s="3"/>
      <c r="HRL34" s="3"/>
      <c r="HRM34" s="3"/>
      <c r="HRN34" s="3"/>
      <c r="HRO34" s="3"/>
      <c r="HRP34" s="3"/>
      <c r="HRQ34" s="3"/>
      <c r="HRR34" s="3"/>
      <c r="HRS34" s="3"/>
      <c r="HRT34" s="3"/>
      <c r="HRU34" s="3"/>
      <c r="HRV34" s="3"/>
      <c r="HRW34" s="3"/>
      <c r="HRX34" s="3"/>
      <c r="HRY34" s="3"/>
      <c r="HRZ34" s="3"/>
      <c r="HSA34" s="3"/>
      <c r="HSB34" s="3"/>
      <c r="HSC34" s="3"/>
      <c r="HSD34" s="3"/>
      <c r="HSE34" s="3"/>
      <c r="HSF34" s="3"/>
      <c r="HSG34" s="3"/>
      <c r="HSH34" s="3"/>
      <c r="HSI34" s="3"/>
      <c r="HSJ34" s="3"/>
      <c r="HSK34" s="3"/>
      <c r="HSL34" s="3"/>
      <c r="HSM34" s="3"/>
      <c r="HSN34" s="3"/>
      <c r="HSO34" s="3"/>
      <c r="HSP34" s="3"/>
      <c r="HSQ34" s="3"/>
      <c r="HSR34" s="3"/>
      <c r="HSS34" s="3"/>
      <c r="HST34" s="3"/>
      <c r="HSU34" s="3"/>
      <c r="HSV34" s="3"/>
      <c r="HSW34" s="3"/>
      <c r="HSX34" s="3"/>
      <c r="HSY34" s="3"/>
      <c r="HSZ34" s="3"/>
      <c r="HTA34" s="3"/>
      <c r="HTB34" s="3"/>
      <c r="HTC34" s="3"/>
      <c r="HTD34" s="3"/>
      <c r="HTE34" s="3"/>
      <c r="HTF34" s="3"/>
      <c r="HTG34" s="3"/>
      <c r="HTH34" s="3"/>
      <c r="HTI34" s="3"/>
      <c r="HTJ34" s="3"/>
      <c r="HTK34" s="3"/>
      <c r="HTL34" s="3"/>
      <c r="HTM34" s="3"/>
      <c r="HTN34" s="3"/>
      <c r="HTO34" s="3"/>
      <c r="HTP34" s="3"/>
      <c r="HTQ34" s="3"/>
      <c r="HTR34" s="3"/>
      <c r="HTS34" s="3"/>
      <c r="HTT34" s="3"/>
      <c r="HTU34" s="3"/>
      <c r="HTV34" s="3"/>
      <c r="HTW34" s="3"/>
      <c r="HTX34" s="3"/>
      <c r="HTY34" s="3"/>
      <c r="HTZ34" s="3"/>
      <c r="HUA34" s="3"/>
      <c r="HUB34" s="3"/>
      <c r="HUC34" s="3"/>
      <c r="HUD34" s="3"/>
      <c r="HUE34" s="3"/>
      <c r="HUF34" s="3"/>
      <c r="HUG34" s="3"/>
      <c r="HUH34" s="3"/>
      <c r="HUI34" s="3"/>
      <c r="HUJ34" s="3"/>
      <c r="HUK34" s="3"/>
      <c r="HUL34" s="3"/>
      <c r="HUM34" s="3"/>
      <c r="HUN34" s="3"/>
      <c r="HUO34" s="3"/>
      <c r="HUP34" s="3"/>
      <c r="HUQ34" s="3"/>
      <c r="HUR34" s="3"/>
      <c r="HUS34" s="3"/>
      <c r="HUT34" s="3"/>
      <c r="HUU34" s="3"/>
      <c r="HUV34" s="3"/>
      <c r="HUW34" s="3"/>
      <c r="HUX34" s="3"/>
      <c r="HUY34" s="3"/>
      <c r="HUZ34" s="3"/>
      <c r="HVA34" s="3"/>
      <c r="HVB34" s="3"/>
      <c r="HVC34" s="3"/>
      <c r="HVD34" s="3"/>
      <c r="HVE34" s="3"/>
      <c r="HVF34" s="3"/>
      <c r="HVG34" s="3"/>
      <c r="HVH34" s="3"/>
      <c r="HVI34" s="3"/>
      <c r="HVJ34" s="3"/>
      <c r="HVK34" s="3"/>
      <c r="HVL34" s="3"/>
      <c r="HVM34" s="3"/>
      <c r="HVN34" s="3"/>
      <c r="HVO34" s="3"/>
      <c r="HVP34" s="3"/>
      <c r="HVQ34" s="3"/>
      <c r="HVR34" s="3"/>
      <c r="HVS34" s="3"/>
      <c r="HVT34" s="3"/>
      <c r="HVU34" s="3"/>
      <c r="HVV34" s="3"/>
      <c r="HVW34" s="3"/>
      <c r="HVX34" s="3"/>
      <c r="HVY34" s="3"/>
      <c r="HVZ34" s="3"/>
      <c r="HWA34" s="3"/>
      <c r="HWB34" s="3"/>
      <c r="HWC34" s="3"/>
      <c r="HWD34" s="3"/>
      <c r="HWE34" s="3"/>
      <c r="HWF34" s="3"/>
      <c r="HWG34" s="3"/>
      <c r="HWH34" s="3"/>
      <c r="HWI34" s="3"/>
      <c r="HWJ34" s="3"/>
      <c r="HWK34" s="3"/>
      <c r="HWL34" s="3"/>
      <c r="HWM34" s="3"/>
      <c r="HWN34" s="3"/>
      <c r="HWO34" s="3"/>
      <c r="HWP34" s="3"/>
      <c r="HWQ34" s="3"/>
      <c r="HWR34" s="3"/>
      <c r="HWS34" s="3"/>
      <c r="HWT34" s="3"/>
      <c r="HWU34" s="3"/>
      <c r="HWV34" s="3"/>
      <c r="HWW34" s="3"/>
      <c r="HWX34" s="3"/>
      <c r="HWY34" s="3"/>
      <c r="HWZ34" s="3"/>
      <c r="HXA34" s="3"/>
      <c r="HXB34" s="3"/>
      <c r="HXC34" s="3"/>
      <c r="HXD34" s="3"/>
      <c r="HXE34" s="3"/>
      <c r="HXF34" s="3"/>
      <c r="HXG34" s="3"/>
      <c r="HXH34" s="3"/>
      <c r="HXI34" s="3"/>
      <c r="HXJ34" s="3"/>
      <c r="HXK34" s="3"/>
      <c r="HXL34" s="3"/>
      <c r="HXM34" s="3"/>
      <c r="HXN34" s="3"/>
      <c r="HXO34" s="3"/>
      <c r="HXP34" s="3"/>
      <c r="HXQ34" s="3"/>
      <c r="HXR34" s="3"/>
      <c r="HXS34" s="3"/>
      <c r="HXT34" s="3"/>
      <c r="HXU34" s="3"/>
      <c r="HXV34" s="3"/>
      <c r="HXW34" s="3"/>
      <c r="HXX34" s="3"/>
      <c r="HXY34" s="3"/>
      <c r="HXZ34" s="3"/>
      <c r="HYA34" s="3"/>
      <c r="HYB34" s="3"/>
      <c r="HYC34" s="3"/>
      <c r="HYD34" s="3"/>
      <c r="HYE34" s="3"/>
      <c r="HYF34" s="3"/>
      <c r="HYG34" s="3"/>
      <c r="HYH34" s="3"/>
      <c r="HYI34" s="3"/>
      <c r="HYJ34" s="3"/>
      <c r="HYK34" s="3"/>
      <c r="HYL34" s="3"/>
      <c r="HYM34" s="3"/>
      <c r="HYN34" s="3"/>
      <c r="HYO34" s="3"/>
      <c r="HYP34" s="3"/>
      <c r="HYQ34" s="3"/>
      <c r="HYR34" s="3"/>
      <c r="HYS34" s="3"/>
      <c r="HYT34" s="3"/>
      <c r="HYU34" s="3"/>
      <c r="HYV34" s="3"/>
      <c r="HYW34" s="3"/>
      <c r="HYX34" s="3"/>
      <c r="HYY34" s="3"/>
      <c r="HYZ34" s="3"/>
      <c r="HZA34" s="3"/>
      <c r="HZB34" s="3"/>
      <c r="HZC34" s="3"/>
      <c r="HZD34" s="3"/>
      <c r="HZE34" s="3"/>
      <c r="HZF34" s="3"/>
      <c r="HZG34" s="3"/>
      <c r="HZH34" s="3"/>
      <c r="HZI34" s="3"/>
      <c r="HZJ34" s="3"/>
      <c r="HZK34" s="3"/>
      <c r="HZL34" s="3"/>
      <c r="HZM34" s="3"/>
      <c r="HZN34" s="3"/>
      <c r="HZO34" s="3"/>
      <c r="HZP34" s="3"/>
      <c r="HZQ34" s="3"/>
      <c r="HZR34" s="3"/>
      <c r="HZS34" s="3"/>
      <c r="HZT34" s="3"/>
      <c r="HZU34" s="3"/>
      <c r="HZV34" s="3"/>
      <c r="HZW34" s="3"/>
      <c r="HZX34" s="3"/>
      <c r="HZY34" s="3"/>
      <c r="HZZ34" s="3"/>
      <c r="IAA34" s="3"/>
      <c r="IAB34" s="3"/>
      <c r="IAC34" s="3"/>
      <c r="IAD34" s="3"/>
      <c r="IAE34" s="3"/>
      <c r="IAF34" s="3"/>
      <c r="IAG34" s="3"/>
      <c r="IAH34" s="3"/>
      <c r="IAI34" s="3"/>
      <c r="IAJ34" s="3"/>
      <c r="IAK34" s="3"/>
      <c r="IAL34" s="3"/>
      <c r="IAM34" s="3"/>
      <c r="IAN34" s="3"/>
      <c r="IAO34" s="3"/>
      <c r="IAP34" s="3"/>
      <c r="IAQ34" s="3"/>
      <c r="IAR34" s="3"/>
      <c r="IAS34" s="3"/>
      <c r="IAT34" s="3"/>
      <c r="IAU34" s="3"/>
      <c r="IAV34" s="3"/>
      <c r="IAW34" s="3"/>
      <c r="IAX34" s="3"/>
      <c r="IAY34" s="3"/>
      <c r="IAZ34" s="3"/>
      <c r="IBA34" s="3"/>
      <c r="IBB34" s="3"/>
      <c r="IBC34" s="3"/>
      <c r="IBD34" s="3"/>
      <c r="IBE34" s="3"/>
      <c r="IBF34" s="3"/>
      <c r="IBG34" s="3"/>
      <c r="IBH34" s="3"/>
      <c r="IBI34" s="3"/>
      <c r="IBJ34" s="3"/>
      <c r="IBK34" s="3"/>
      <c r="IBL34" s="3"/>
      <c r="IBM34" s="3"/>
      <c r="IBN34" s="3"/>
      <c r="IBO34" s="3"/>
      <c r="IBP34" s="3"/>
      <c r="IBQ34" s="3"/>
      <c r="IBR34" s="3"/>
      <c r="IBS34" s="3"/>
      <c r="IBT34" s="3"/>
      <c r="IBU34" s="3"/>
      <c r="IBV34" s="3"/>
      <c r="IBW34" s="3"/>
      <c r="IBX34" s="3"/>
      <c r="IBY34" s="3"/>
      <c r="IBZ34" s="3"/>
      <c r="ICA34" s="3"/>
      <c r="ICB34" s="3"/>
      <c r="ICC34" s="3"/>
      <c r="ICD34" s="3"/>
      <c r="ICE34" s="3"/>
      <c r="ICF34" s="3"/>
      <c r="ICG34" s="3"/>
      <c r="ICH34" s="3"/>
      <c r="ICI34" s="3"/>
      <c r="ICJ34" s="3"/>
      <c r="ICK34" s="3"/>
      <c r="ICL34" s="3"/>
      <c r="ICM34" s="3"/>
      <c r="ICN34" s="3"/>
      <c r="ICO34" s="3"/>
      <c r="ICP34" s="3"/>
      <c r="ICQ34" s="3"/>
      <c r="ICR34" s="3"/>
      <c r="ICS34" s="3"/>
      <c r="ICT34" s="3"/>
      <c r="ICU34" s="3"/>
      <c r="ICV34" s="3"/>
      <c r="ICW34" s="3"/>
      <c r="ICX34" s="3"/>
      <c r="ICY34" s="3"/>
      <c r="ICZ34" s="3"/>
      <c r="IDA34" s="3"/>
      <c r="IDB34" s="3"/>
      <c r="IDC34" s="3"/>
      <c r="IDD34" s="3"/>
      <c r="IDE34" s="3"/>
      <c r="IDF34" s="3"/>
      <c r="IDG34" s="3"/>
      <c r="IDH34" s="3"/>
      <c r="IDI34" s="3"/>
      <c r="IDJ34" s="3"/>
      <c r="IDK34" s="3"/>
      <c r="IDL34" s="3"/>
      <c r="IDM34" s="3"/>
      <c r="IDN34" s="3"/>
      <c r="IDO34" s="3"/>
      <c r="IDP34" s="3"/>
      <c r="IDQ34" s="3"/>
      <c r="IDR34" s="3"/>
      <c r="IDS34" s="3"/>
      <c r="IDT34" s="3"/>
      <c r="IDU34" s="3"/>
      <c r="IDV34" s="3"/>
      <c r="IDW34" s="3"/>
      <c r="IDX34" s="3"/>
      <c r="IDY34" s="3"/>
      <c r="IDZ34" s="3"/>
      <c r="IEA34" s="3"/>
      <c r="IEB34" s="3"/>
      <c r="IEC34" s="3"/>
      <c r="IED34" s="3"/>
      <c r="IEE34" s="3"/>
      <c r="IEF34" s="3"/>
      <c r="IEG34" s="3"/>
      <c r="IEH34" s="3"/>
      <c r="IEI34" s="3"/>
      <c r="IEJ34" s="3"/>
      <c r="IEK34" s="3"/>
      <c r="IEL34" s="3"/>
      <c r="IEM34" s="3"/>
      <c r="IEN34" s="3"/>
      <c r="IEO34" s="3"/>
      <c r="IEP34" s="3"/>
      <c r="IEQ34" s="3"/>
      <c r="IER34" s="3"/>
      <c r="IES34" s="3"/>
      <c r="IET34" s="3"/>
      <c r="IEU34" s="3"/>
      <c r="IEV34" s="3"/>
      <c r="IEW34" s="3"/>
      <c r="IEX34" s="3"/>
      <c r="IEY34" s="3"/>
      <c r="IEZ34" s="3"/>
      <c r="IFA34" s="3"/>
      <c r="IFB34" s="3"/>
      <c r="IFC34" s="3"/>
      <c r="IFD34" s="3"/>
      <c r="IFE34" s="3"/>
      <c r="IFF34" s="3"/>
      <c r="IFG34" s="3"/>
      <c r="IFH34" s="3"/>
      <c r="IFI34" s="3"/>
      <c r="IFJ34" s="3"/>
      <c r="IFK34" s="3"/>
      <c r="IFL34" s="3"/>
      <c r="IFM34" s="3"/>
      <c r="IFN34" s="3"/>
      <c r="IFO34" s="3"/>
      <c r="IFP34" s="3"/>
      <c r="IFQ34" s="3"/>
      <c r="IFR34" s="3"/>
      <c r="IFS34" s="3"/>
      <c r="IFT34" s="3"/>
      <c r="IFU34" s="3"/>
      <c r="IFV34" s="3"/>
      <c r="IFW34" s="3"/>
      <c r="IFX34" s="3"/>
      <c r="IFY34" s="3"/>
      <c r="IFZ34" s="3"/>
      <c r="IGA34" s="3"/>
      <c r="IGB34" s="3"/>
      <c r="IGC34" s="3"/>
      <c r="IGD34" s="3"/>
      <c r="IGE34" s="3"/>
      <c r="IGF34" s="3"/>
      <c r="IGG34" s="3"/>
      <c r="IGH34" s="3"/>
      <c r="IGI34" s="3"/>
      <c r="IGJ34" s="3"/>
      <c r="IGK34" s="3"/>
      <c r="IGL34" s="3"/>
      <c r="IGM34" s="3"/>
      <c r="IGN34" s="3"/>
      <c r="IGO34" s="3"/>
      <c r="IGP34" s="3"/>
      <c r="IGQ34" s="3"/>
      <c r="IGR34" s="3"/>
      <c r="IGS34" s="3"/>
      <c r="IGT34" s="3"/>
      <c r="IGU34" s="3"/>
      <c r="IGV34" s="3"/>
      <c r="IGW34" s="3"/>
      <c r="IGX34" s="3"/>
      <c r="IGY34" s="3"/>
      <c r="IGZ34" s="3"/>
      <c r="IHA34" s="3"/>
      <c r="IHB34" s="3"/>
      <c r="IHC34" s="3"/>
      <c r="IHD34" s="3"/>
      <c r="IHE34" s="3"/>
      <c r="IHF34" s="3"/>
      <c r="IHG34" s="3"/>
      <c r="IHH34" s="3"/>
      <c r="IHI34" s="3"/>
      <c r="IHJ34" s="3"/>
      <c r="IHK34" s="3"/>
      <c r="IHL34" s="3"/>
      <c r="IHM34" s="3"/>
      <c r="IHN34" s="3"/>
      <c r="IHO34" s="3"/>
      <c r="IHP34" s="3"/>
      <c r="IHQ34" s="3"/>
      <c r="IHR34" s="3"/>
      <c r="IHS34" s="3"/>
      <c r="IHT34" s="3"/>
      <c r="IHU34" s="3"/>
      <c r="IHV34" s="3"/>
      <c r="IHW34" s="3"/>
      <c r="IHX34" s="3"/>
      <c r="IHY34" s="3"/>
      <c r="IHZ34" s="3"/>
      <c r="IIA34" s="3"/>
      <c r="IIB34" s="3"/>
      <c r="IIC34" s="3"/>
      <c r="IID34" s="3"/>
      <c r="IIE34" s="3"/>
      <c r="IIF34" s="3"/>
      <c r="IIG34" s="3"/>
      <c r="IIH34" s="3"/>
      <c r="III34" s="3"/>
      <c r="IIJ34" s="3"/>
      <c r="IIK34" s="3"/>
      <c r="IIL34" s="3"/>
      <c r="IIM34" s="3"/>
      <c r="IIN34" s="3"/>
      <c r="IIO34" s="3"/>
      <c r="IIP34" s="3"/>
      <c r="IIQ34" s="3"/>
      <c r="IIR34" s="3"/>
      <c r="IIS34" s="3"/>
      <c r="IIT34" s="3"/>
      <c r="IIU34" s="3"/>
      <c r="IIV34" s="3"/>
      <c r="IIW34" s="3"/>
      <c r="IIX34" s="3"/>
      <c r="IIY34" s="3"/>
      <c r="IIZ34" s="3"/>
      <c r="IJA34" s="3"/>
      <c r="IJB34" s="3"/>
      <c r="IJC34" s="3"/>
      <c r="IJD34" s="3"/>
      <c r="IJE34" s="3"/>
      <c r="IJF34" s="3"/>
      <c r="IJG34" s="3"/>
      <c r="IJH34" s="3"/>
      <c r="IJI34" s="3"/>
      <c r="IJJ34" s="3"/>
      <c r="IJK34" s="3"/>
      <c r="IJL34" s="3"/>
      <c r="IJM34" s="3"/>
      <c r="IJN34" s="3"/>
      <c r="IJO34" s="3"/>
      <c r="IJP34" s="3"/>
      <c r="IJQ34" s="3"/>
      <c r="IJR34" s="3"/>
      <c r="IJS34" s="3"/>
      <c r="IJT34" s="3"/>
      <c r="IJU34" s="3"/>
      <c r="IJV34" s="3"/>
      <c r="IJW34" s="3"/>
      <c r="IJX34" s="3"/>
      <c r="IJY34" s="3"/>
      <c r="IJZ34" s="3"/>
      <c r="IKA34" s="3"/>
      <c r="IKB34" s="3"/>
      <c r="IKC34" s="3"/>
      <c r="IKD34" s="3"/>
      <c r="IKE34" s="3"/>
      <c r="IKF34" s="3"/>
      <c r="IKG34" s="3"/>
      <c r="IKH34" s="3"/>
      <c r="IKI34" s="3"/>
      <c r="IKJ34" s="3"/>
      <c r="IKK34" s="3"/>
      <c r="IKL34" s="3"/>
      <c r="IKM34" s="3"/>
      <c r="IKN34" s="3"/>
      <c r="IKO34" s="3"/>
      <c r="IKP34" s="3"/>
      <c r="IKQ34" s="3"/>
      <c r="IKR34" s="3"/>
      <c r="IKS34" s="3"/>
      <c r="IKT34" s="3"/>
      <c r="IKU34" s="3"/>
      <c r="IKV34" s="3"/>
      <c r="IKW34" s="3"/>
      <c r="IKX34" s="3"/>
      <c r="IKY34" s="3"/>
      <c r="IKZ34" s="3"/>
      <c r="ILA34" s="3"/>
      <c r="ILB34" s="3"/>
      <c r="ILC34" s="3"/>
      <c r="ILD34" s="3"/>
      <c r="ILE34" s="3"/>
      <c r="ILF34" s="3"/>
      <c r="ILG34" s="3"/>
      <c r="ILH34" s="3"/>
      <c r="ILI34" s="3"/>
      <c r="ILJ34" s="3"/>
      <c r="ILK34" s="3"/>
      <c r="ILL34" s="3"/>
      <c r="ILM34" s="3"/>
      <c r="ILN34" s="3"/>
      <c r="ILO34" s="3"/>
      <c r="ILP34" s="3"/>
      <c r="ILQ34" s="3"/>
      <c r="ILR34" s="3"/>
      <c r="ILS34" s="3"/>
      <c r="ILT34" s="3"/>
      <c r="ILU34" s="3"/>
      <c r="ILV34" s="3"/>
      <c r="ILW34" s="3"/>
      <c r="ILX34" s="3"/>
      <c r="ILY34" s="3"/>
      <c r="ILZ34" s="3"/>
      <c r="IMA34" s="3"/>
      <c r="IMB34" s="3"/>
      <c r="IMC34" s="3"/>
      <c r="IMD34" s="3"/>
      <c r="IME34" s="3"/>
      <c r="IMF34" s="3"/>
      <c r="IMG34" s="3"/>
      <c r="IMH34" s="3"/>
      <c r="IMI34" s="3"/>
      <c r="IMJ34" s="3"/>
      <c r="IMK34" s="3"/>
      <c r="IML34" s="3"/>
      <c r="IMM34" s="3"/>
      <c r="IMN34" s="3"/>
      <c r="IMO34" s="3"/>
      <c r="IMP34" s="3"/>
      <c r="IMQ34" s="3"/>
      <c r="IMR34" s="3"/>
      <c r="IMS34" s="3"/>
      <c r="IMT34" s="3"/>
      <c r="IMU34" s="3"/>
      <c r="IMV34" s="3"/>
      <c r="IMW34" s="3"/>
      <c r="IMX34" s="3"/>
      <c r="IMY34" s="3"/>
      <c r="IMZ34" s="3"/>
      <c r="INA34" s="3"/>
      <c r="INB34" s="3"/>
      <c r="INC34" s="3"/>
      <c r="IND34" s="3"/>
      <c r="INE34" s="3"/>
      <c r="INF34" s="3"/>
      <c r="ING34" s="3"/>
      <c r="INH34" s="3"/>
      <c r="INI34" s="3"/>
      <c r="INJ34" s="3"/>
      <c r="INK34" s="3"/>
      <c r="INL34" s="3"/>
      <c r="INM34" s="3"/>
      <c r="INN34" s="3"/>
      <c r="INO34" s="3"/>
      <c r="INP34" s="3"/>
      <c r="INQ34" s="3"/>
      <c r="INR34" s="3"/>
      <c r="INS34" s="3"/>
      <c r="INT34" s="3"/>
      <c r="INU34" s="3"/>
      <c r="INV34" s="3"/>
      <c r="INW34" s="3"/>
      <c r="INX34" s="3"/>
      <c r="INY34" s="3"/>
      <c r="INZ34" s="3"/>
      <c r="IOA34" s="3"/>
      <c r="IOB34" s="3"/>
      <c r="IOC34" s="3"/>
      <c r="IOD34" s="3"/>
      <c r="IOE34" s="3"/>
      <c r="IOF34" s="3"/>
      <c r="IOG34" s="3"/>
      <c r="IOH34" s="3"/>
      <c r="IOI34" s="3"/>
      <c r="IOJ34" s="3"/>
      <c r="IOK34" s="3"/>
      <c r="IOL34" s="3"/>
      <c r="IOM34" s="3"/>
      <c r="ION34" s="3"/>
      <c r="IOO34" s="3"/>
      <c r="IOP34" s="3"/>
      <c r="IOQ34" s="3"/>
      <c r="IOR34" s="3"/>
      <c r="IOS34" s="3"/>
      <c r="IOT34" s="3"/>
      <c r="IOU34" s="3"/>
      <c r="IOV34" s="3"/>
      <c r="IOW34" s="3"/>
      <c r="IOX34" s="3"/>
      <c r="IOY34" s="3"/>
      <c r="IOZ34" s="3"/>
      <c r="IPA34" s="3"/>
      <c r="IPB34" s="3"/>
      <c r="IPC34" s="3"/>
      <c r="IPD34" s="3"/>
      <c r="IPE34" s="3"/>
      <c r="IPF34" s="3"/>
      <c r="IPG34" s="3"/>
      <c r="IPH34" s="3"/>
      <c r="IPI34" s="3"/>
      <c r="IPJ34" s="3"/>
      <c r="IPK34" s="3"/>
      <c r="IPL34" s="3"/>
      <c r="IPM34" s="3"/>
      <c r="IPN34" s="3"/>
      <c r="IPO34" s="3"/>
      <c r="IPP34" s="3"/>
      <c r="IPQ34" s="3"/>
      <c r="IPR34" s="3"/>
      <c r="IPS34" s="3"/>
      <c r="IPT34" s="3"/>
      <c r="IPU34" s="3"/>
      <c r="IPV34" s="3"/>
      <c r="IPW34" s="3"/>
      <c r="IPX34" s="3"/>
      <c r="IPY34" s="3"/>
      <c r="IPZ34" s="3"/>
      <c r="IQA34" s="3"/>
      <c r="IQB34" s="3"/>
      <c r="IQC34" s="3"/>
      <c r="IQD34" s="3"/>
      <c r="IQE34" s="3"/>
      <c r="IQF34" s="3"/>
      <c r="IQG34" s="3"/>
      <c r="IQH34" s="3"/>
      <c r="IQI34" s="3"/>
      <c r="IQJ34" s="3"/>
      <c r="IQK34" s="3"/>
      <c r="IQL34" s="3"/>
      <c r="IQM34" s="3"/>
      <c r="IQN34" s="3"/>
      <c r="IQO34" s="3"/>
      <c r="IQP34" s="3"/>
      <c r="IQQ34" s="3"/>
      <c r="IQR34" s="3"/>
      <c r="IQS34" s="3"/>
      <c r="IQT34" s="3"/>
      <c r="IQU34" s="3"/>
      <c r="IQV34" s="3"/>
      <c r="IQW34" s="3"/>
      <c r="IQX34" s="3"/>
      <c r="IQY34" s="3"/>
      <c r="IQZ34" s="3"/>
      <c r="IRA34" s="3"/>
      <c r="IRB34" s="3"/>
      <c r="IRC34" s="3"/>
      <c r="IRD34" s="3"/>
      <c r="IRE34" s="3"/>
      <c r="IRF34" s="3"/>
      <c r="IRG34" s="3"/>
      <c r="IRH34" s="3"/>
      <c r="IRI34" s="3"/>
      <c r="IRJ34" s="3"/>
      <c r="IRK34" s="3"/>
      <c r="IRL34" s="3"/>
      <c r="IRM34" s="3"/>
      <c r="IRN34" s="3"/>
      <c r="IRO34" s="3"/>
      <c r="IRP34" s="3"/>
      <c r="IRQ34" s="3"/>
      <c r="IRR34" s="3"/>
      <c r="IRS34" s="3"/>
      <c r="IRT34" s="3"/>
      <c r="IRU34" s="3"/>
      <c r="IRV34" s="3"/>
      <c r="IRW34" s="3"/>
      <c r="IRX34" s="3"/>
      <c r="IRY34" s="3"/>
      <c r="IRZ34" s="3"/>
      <c r="ISA34" s="3"/>
      <c r="ISB34" s="3"/>
      <c r="ISC34" s="3"/>
      <c r="ISD34" s="3"/>
      <c r="ISE34" s="3"/>
      <c r="ISF34" s="3"/>
      <c r="ISG34" s="3"/>
      <c r="ISH34" s="3"/>
      <c r="ISI34" s="3"/>
      <c r="ISJ34" s="3"/>
      <c r="ISK34" s="3"/>
      <c r="ISL34" s="3"/>
      <c r="ISM34" s="3"/>
      <c r="ISN34" s="3"/>
      <c r="ISO34" s="3"/>
      <c r="ISP34" s="3"/>
      <c r="ISQ34" s="3"/>
      <c r="ISR34" s="3"/>
      <c r="ISS34" s="3"/>
      <c r="IST34" s="3"/>
      <c r="ISU34" s="3"/>
      <c r="ISV34" s="3"/>
      <c r="ISW34" s="3"/>
      <c r="ISX34" s="3"/>
      <c r="ISY34" s="3"/>
      <c r="ISZ34" s="3"/>
      <c r="ITA34" s="3"/>
      <c r="ITB34" s="3"/>
      <c r="ITC34" s="3"/>
      <c r="ITD34" s="3"/>
      <c r="ITE34" s="3"/>
      <c r="ITF34" s="3"/>
      <c r="ITG34" s="3"/>
      <c r="ITH34" s="3"/>
      <c r="ITI34" s="3"/>
      <c r="ITJ34" s="3"/>
      <c r="ITK34" s="3"/>
      <c r="ITL34" s="3"/>
      <c r="ITM34" s="3"/>
      <c r="ITN34" s="3"/>
      <c r="ITO34" s="3"/>
      <c r="ITP34" s="3"/>
      <c r="ITQ34" s="3"/>
      <c r="ITR34" s="3"/>
      <c r="ITS34" s="3"/>
      <c r="ITT34" s="3"/>
      <c r="ITU34" s="3"/>
      <c r="ITV34" s="3"/>
      <c r="ITW34" s="3"/>
      <c r="ITX34" s="3"/>
      <c r="ITY34" s="3"/>
      <c r="ITZ34" s="3"/>
      <c r="IUA34" s="3"/>
      <c r="IUB34" s="3"/>
      <c r="IUC34" s="3"/>
      <c r="IUD34" s="3"/>
      <c r="IUE34" s="3"/>
      <c r="IUF34" s="3"/>
      <c r="IUG34" s="3"/>
      <c r="IUH34" s="3"/>
      <c r="IUI34" s="3"/>
      <c r="IUJ34" s="3"/>
      <c r="IUK34" s="3"/>
      <c r="IUL34" s="3"/>
      <c r="IUM34" s="3"/>
      <c r="IUN34" s="3"/>
      <c r="IUO34" s="3"/>
      <c r="IUP34" s="3"/>
      <c r="IUQ34" s="3"/>
      <c r="IUR34" s="3"/>
      <c r="IUS34" s="3"/>
      <c r="IUT34" s="3"/>
      <c r="IUU34" s="3"/>
      <c r="IUV34" s="3"/>
      <c r="IUW34" s="3"/>
      <c r="IUX34" s="3"/>
      <c r="IUY34" s="3"/>
      <c r="IUZ34" s="3"/>
      <c r="IVA34" s="3"/>
      <c r="IVB34" s="3"/>
      <c r="IVC34" s="3"/>
      <c r="IVD34" s="3"/>
      <c r="IVE34" s="3"/>
      <c r="IVF34" s="3"/>
      <c r="IVG34" s="3"/>
      <c r="IVH34" s="3"/>
      <c r="IVI34" s="3"/>
      <c r="IVJ34" s="3"/>
      <c r="IVK34" s="3"/>
      <c r="IVL34" s="3"/>
      <c r="IVM34" s="3"/>
      <c r="IVN34" s="3"/>
      <c r="IVO34" s="3"/>
      <c r="IVP34" s="3"/>
      <c r="IVQ34" s="3"/>
      <c r="IVR34" s="3"/>
      <c r="IVS34" s="3"/>
      <c r="IVT34" s="3"/>
      <c r="IVU34" s="3"/>
      <c r="IVV34" s="3"/>
      <c r="IVW34" s="3"/>
      <c r="IVX34" s="3"/>
      <c r="IVY34" s="3"/>
      <c r="IVZ34" s="3"/>
      <c r="IWA34" s="3"/>
      <c r="IWB34" s="3"/>
      <c r="IWC34" s="3"/>
      <c r="IWD34" s="3"/>
      <c r="IWE34" s="3"/>
      <c r="IWF34" s="3"/>
      <c r="IWG34" s="3"/>
      <c r="IWH34" s="3"/>
      <c r="IWI34" s="3"/>
      <c r="IWJ34" s="3"/>
      <c r="IWK34" s="3"/>
      <c r="IWL34" s="3"/>
      <c r="IWM34" s="3"/>
      <c r="IWN34" s="3"/>
      <c r="IWO34" s="3"/>
      <c r="IWP34" s="3"/>
      <c r="IWQ34" s="3"/>
      <c r="IWR34" s="3"/>
      <c r="IWS34" s="3"/>
      <c r="IWT34" s="3"/>
      <c r="IWU34" s="3"/>
      <c r="IWV34" s="3"/>
      <c r="IWW34" s="3"/>
      <c r="IWX34" s="3"/>
      <c r="IWY34" s="3"/>
      <c r="IWZ34" s="3"/>
      <c r="IXA34" s="3"/>
      <c r="IXB34" s="3"/>
      <c r="IXC34" s="3"/>
      <c r="IXD34" s="3"/>
      <c r="IXE34" s="3"/>
      <c r="IXF34" s="3"/>
      <c r="IXG34" s="3"/>
      <c r="IXH34" s="3"/>
      <c r="IXI34" s="3"/>
      <c r="IXJ34" s="3"/>
      <c r="IXK34" s="3"/>
      <c r="IXL34" s="3"/>
      <c r="IXM34" s="3"/>
      <c r="IXN34" s="3"/>
      <c r="IXO34" s="3"/>
      <c r="IXP34" s="3"/>
      <c r="IXQ34" s="3"/>
      <c r="IXR34" s="3"/>
      <c r="IXS34" s="3"/>
      <c r="IXT34" s="3"/>
      <c r="IXU34" s="3"/>
      <c r="IXV34" s="3"/>
      <c r="IXW34" s="3"/>
      <c r="IXX34" s="3"/>
      <c r="IXY34" s="3"/>
      <c r="IXZ34" s="3"/>
      <c r="IYA34" s="3"/>
      <c r="IYB34" s="3"/>
      <c r="IYC34" s="3"/>
      <c r="IYD34" s="3"/>
      <c r="IYE34" s="3"/>
      <c r="IYF34" s="3"/>
      <c r="IYG34" s="3"/>
      <c r="IYH34" s="3"/>
      <c r="IYI34" s="3"/>
      <c r="IYJ34" s="3"/>
      <c r="IYK34" s="3"/>
      <c r="IYL34" s="3"/>
      <c r="IYM34" s="3"/>
      <c r="IYN34" s="3"/>
      <c r="IYO34" s="3"/>
      <c r="IYP34" s="3"/>
      <c r="IYQ34" s="3"/>
      <c r="IYR34" s="3"/>
      <c r="IYS34" s="3"/>
      <c r="IYT34" s="3"/>
      <c r="IYU34" s="3"/>
      <c r="IYV34" s="3"/>
      <c r="IYW34" s="3"/>
      <c r="IYX34" s="3"/>
      <c r="IYY34" s="3"/>
      <c r="IYZ34" s="3"/>
      <c r="IZA34" s="3"/>
      <c r="IZB34" s="3"/>
      <c r="IZC34" s="3"/>
      <c r="IZD34" s="3"/>
      <c r="IZE34" s="3"/>
      <c r="IZF34" s="3"/>
      <c r="IZG34" s="3"/>
      <c r="IZH34" s="3"/>
      <c r="IZI34" s="3"/>
      <c r="IZJ34" s="3"/>
      <c r="IZK34" s="3"/>
      <c r="IZL34" s="3"/>
      <c r="IZM34" s="3"/>
      <c r="IZN34" s="3"/>
      <c r="IZO34" s="3"/>
      <c r="IZP34" s="3"/>
      <c r="IZQ34" s="3"/>
      <c r="IZR34" s="3"/>
      <c r="IZS34" s="3"/>
      <c r="IZT34" s="3"/>
      <c r="IZU34" s="3"/>
      <c r="IZV34" s="3"/>
      <c r="IZW34" s="3"/>
      <c r="IZX34" s="3"/>
      <c r="IZY34" s="3"/>
      <c r="IZZ34" s="3"/>
      <c r="JAA34" s="3"/>
      <c r="JAB34" s="3"/>
      <c r="JAC34" s="3"/>
      <c r="JAD34" s="3"/>
      <c r="JAE34" s="3"/>
      <c r="JAF34" s="3"/>
      <c r="JAG34" s="3"/>
      <c r="JAH34" s="3"/>
      <c r="JAI34" s="3"/>
      <c r="JAJ34" s="3"/>
      <c r="JAK34" s="3"/>
      <c r="JAL34" s="3"/>
      <c r="JAM34" s="3"/>
      <c r="JAN34" s="3"/>
      <c r="JAO34" s="3"/>
      <c r="JAP34" s="3"/>
      <c r="JAQ34" s="3"/>
      <c r="JAR34" s="3"/>
      <c r="JAS34" s="3"/>
      <c r="JAT34" s="3"/>
      <c r="JAU34" s="3"/>
      <c r="JAV34" s="3"/>
      <c r="JAW34" s="3"/>
      <c r="JAX34" s="3"/>
      <c r="JAY34" s="3"/>
      <c r="JAZ34" s="3"/>
      <c r="JBA34" s="3"/>
      <c r="JBB34" s="3"/>
      <c r="JBC34" s="3"/>
      <c r="JBD34" s="3"/>
      <c r="JBE34" s="3"/>
      <c r="JBF34" s="3"/>
      <c r="JBG34" s="3"/>
      <c r="JBH34" s="3"/>
      <c r="JBI34" s="3"/>
      <c r="JBJ34" s="3"/>
      <c r="JBK34" s="3"/>
      <c r="JBL34" s="3"/>
      <c r="JBM34" s="3"/>
      <c r="JBN34" s="3"/>
      <c r="JBO34" s="3"/>
      <c r="JBP34" s="3"/>
      <c r="JBQ34" s="3"/>
      <c r="JBR34" s="3"/>
      <c r="JBS34" s="3"/>
      <c r="JBT34" s="3"/>
      <c r="JBU34" s="3"/>
      <c r="JBV34" s="3"/>
      <c r="JBW34" s="3"/>
      <c r="JBX34" s="3"/>
      <c r="JBY34" s="3"/>
      <c r="JBZ34" s="3"/>
      <c r="JCA34" s="3"/>
      <c r="JCB34" s="3"/>
      <c r="JCC34" s="3"/>
      <c r="JCD34" s="3"/>
      <c r="JCE34" s="3"/>
      <c r="JCF34" s="3"/>
      <c r="JCG34" s="3"/>
      <c r="JCH34" s="3"/>
      <c r="JCI34" s="3"/>
      <c r="JCJ34" s="3"/>
      <c r="JCK34" s="3"/>
      <c r="JCL34" s="3"/>
      <c r="JCM34" s="3"/>
      <c r="JCN34" s="3"/>
      <c r="JCO34" s="3"/>
      <c r="JCP34" s="3"/>
      <c r="JCQ34" s="3"/>
      <c r="JCR34" s="3"/>
      <c r="JCS34" s="3"/>
      <c r="JCT34" s="3"/>
      <c r="JCU34" s="3"/>
      <c r="JCV34" s="3"/>
      <c r="JCW34" s="3"/>
      <c r="JCX34" s="3"/>
      <c r="JCY34" s="3"/>
      <c r="JCZ34" s="3"/>
      <c r="JDA34" s="3"/>
      <c r="JDB34" s="3"/>
      <c r="JDC34" s="3"/>
      <c r="JDD34" s="3"/>
      <c r="JDE34" s="3"/>
      <c r="JDF34" s="3"/>
      <c r="JDG34" s="3"/>
      <c r="JDH34" s="3"/>
      <c r="JDI34" s="3"/>
      <c r="JDJ34" s="3"/>
      <c r="JDK34" s="3"/>
      <c r="JDL34" s="3"/>
      <c r="JDM34" s="3"/>
      <c r="JDN34" s="3"/>
      <c r="JDO34" s="3"/>
      <c r="JDP34" s="3"/>
      <c r="JDQ34" s="3"/>
      <c r="JDR34" s="3"/>
      <c r="JDS34" s="3"/>
      <c r="JDT34" s="3"/>
      <c r="JDU34" s="3"/>
      <c r="JDV34" s="3"/>
      <c r="JDW34" s="3"/>
      <c r="JDX34" s="3"/>
      <c r="JDY34" s="3"/>
      <c r="JDZ34" s="3"/>
      <c r="JEA34" s="3"/>
      <c r="JEB34" s="3"/>
      <c r="JEC34" s="3"/>
      <c r="JED34" s="3"/>
      <c r="JEE34" s="3"/>
      <c r="JEF34" s="3"/>
      <c r="JEG34" s="3"/>
      <c r="JEH34" s="3"/>
      <c r="JEI34" s="3"/>
      <c r="JEJ34" s="3"/>
      <c r="JEK34" s="3"/>
      <c r="JEL34" s="3"/>
      <c r="JEM34" s="3"/>
      <c r="JEN34" s="3"/>
      <c r="JEO34" s="3"/>
      <c r="JEP34" s="3"/>
      <c r="JEQ34" s="3"/>
      <c r="JER34" s="3"/>
      <c r="JES34" s="3"/>
      <c r="JET34" s="3"/>
      <c r="JEU34" s="3"/>
      <c r="JEV34" s="3"/>
      <c r="JEW34" s="3"/>
      <c r="JEX34" s="3"/>
      <c r="JEY34" s="3"/>
      <c r="JEZ34" s="3"/>
      <c r="JFA34" s="3"/>
      <c r="JFB34" s="3"/>
      <c r="JFC34" s="3"/>
      <c r="JFD34" s="3"/>
      <c r="JFE34" s="3"/>
      <c r="JFF34" s="3"/>
      <c r="JFG34" s="3"/>
      <c r="JFH34" s="3"/>
      <c r="JFI34" s="3"/>
      <c r="JFJ34" s="3"/>
      <c r="JFK34" s="3"/>
      <c r="JFL34" s="3"/>
      <c r="JFM34" s="3"/>
      <c r="JFN34" s="3"/>
      <c r="JFO34" s="3"/>
      <c r="JFP34" s="3"/>
      <c r="JFQ34" s="3"/>
      <c r="JFR34" s="3"/>
      <c r="JFS34" s="3"/>
      <c r="JFT34" s="3"/>
      <c r="JFU34" s="3"/>
      <c r="JFV34" s="3"/>
      <c r="JFW34" s="3"/>
      <c r="JFX34" s="3"/>
      <c r="JFY34" s="3"/>
      <c r="JFZ34" s="3"/>
      <c r="JGA34" s="3"/>
      <c r="JGB34" s="3"/>
      <c r="JGC34" s="3"/>
      <c r="JGD34" s="3"/>
      <c r="JGE34" s="3"/>
      <c r="JGF34" s="3"/>
      <c r="JGG34" s="3"/>
      <c r="JGH34" s="3"/>
      <c r="JGI34" s="3"/>
      <c r="JGJ34" s="3"/>
      <c r="JGK34" s="3"/>
      <c r="JGL34" s="3"/>
      <c r="JGM34" s="3"/>
      <c r="JGN34" s="3"/>
      <c r="JGO34" s="3"/>
      <c r="JGP34" s="3"/>
      <c r="JGQ34" s="3"/>
      <c r="JGR34" s="3"/>
      <c r="JGS34" s="3"/>
      <c r="JGT34" s="3"/>
      <c r="JGU34" s="3"/>
      <c r="JGV34" s="3"/>
      <c r="JGW34" s="3"/>
      <c r="JGX34" s="3"/>
      <c r="JGY34" s="3"/>
      <c r="JGZ34" s="3"/>
      <c r="JHA34" s="3"/>
      <c r="JHB34" s="3"/>
      <c r="JHC34" s="3"/>
      <c r="JHD34" s="3"/>
      <c r="JHE34" s="3"/>
      <c r="JHF34" s="3"/>
      <c r="JHG34" s="3"/>
      <c r="JHH34" s="3"/>
      <c r="JHI34" s="3"/>
      <c r="JHJ34" s="3"/>
      <c r="JHK34" s="3"/>
      <c r="JHL34" s="3"/>
      <c r="JHM34" s="3"/>
      <c r="JHN34" s="3"/>
      <c r="JHO34" s="3"/>
      <c r="JHP34" s="3"/>
      <c r="JHQ34" s="3"/>
      <c r="JHR34" s="3"/>
      <c r="JHS34" s="3"/>
      <c r="JHT34" s="3"/>
      <c r="JHU34" s="3"/>
      <c r="JHV34" s="3"/>
      <c r="JHW34" s="3"/>
      <c r="JHX34" s="3"/>
      <c r="JHY34" s="3"/>
      <c r="JHZ34" s="3"/>
      <c r="JIA34" s="3"/>
      <c r="JIB34" s="3"/>
      <c r="JIC34" s="3"/>
      <c r="JID34" s="3"/>
      <c r="JIE34" s="3"/>
      <c r="JIF34" s="3"/>
      <c r="JIG34" s="3"/>
      <c r="JIH34" s="3"/>
      <c r="JII34" s="3"/>
      <c r="JIJ34" s="3"/>
      <c r="JIK34" s="3"/>
      <c r="JIL34" s="3"/>
      <c r="JIM34" s="3"/>
      <c r="JIN34" s="3"/>
      <c r="JIO34" s="3"/>
      <c r="JIP34" s="3"/>
      <c r="JIQ34" s="3"/>
      <c r="JIR34" s="3"/>
      <c r="JIS34" s="3"/>
      <c r="JIT34" s="3"/>
      <c r="JIU34" s="3"/>
      <c r="JIV34" s="3"/>
      <c r="JIW34" s="3"/>
      <c r="JIX34" s="3"/>
      <c r="JIY34" s="3"/>
      <c r="JIZ34" s="3"/>
      <c r="JJA34" s="3"/>
      <c r="JJB34" s="3"/>
      <c r="JJC34" s="3"/>
      <c r="JJD34" s="3"/>
      <c r="JJE34" s="3"/>
      <c r="JJF34" s="3"/>
      <c r="JJG34" s="3"/>
      <c r="JJH34" s="3"/>
      <c r="JJI34" s="3"/>
      <c r="JJJ34" s="3"/>
      <c r="JJK34" s="3"/>
      <c r="JJL34" s="3"/>
      <c r="JJM34" s="3"/>
      <c r="JJN34" s="3"/>
      <c r="JJO34" s="3"/>
      <c r="JJP34" s="3"/>
      <c r="JJQ34" s="3"/>
      <c r="JJR34" s="3"/>
      <c r="JJS34" s="3"/>
      <c r="JJT34" s="3"/>
      <c r="JJU34" s="3"/>
      <c r="JJV34" s="3"/>
      <c r="JJW34" s="3"/>
      <c r="JJX34" s="3"/>
      <c r="JJY34" s="3"/>
      <c r="JJZ34" s="3"/>
      <c r="JKA34" s="3"/>
      <c r="JKB34" s="3"/>
      <c r="JKC34" s="3"/>
      <c r="JKD34" s="3"/>
      <c r="JKE34" s="3"/>
      <c r="JKF34" s="3"/>
      <c r="JKG34" s="3"/>
      <c r="JKH34" s="3"/>
      <c r="JKI34" s="3"/>
      <c r="JKJ34" s="3"/>
      <c r="JKK34" s="3"/>
      <c r="JKL34" s="3"/>
      <c r="JKM34" s="3"/>
      <c r="JKN34" s="3"/>
      <c r="JKO34" s="3"/>
      <c r="JKP34" s="3"/>
      <c r="JKQ34" s="3"/>
      <c r="JKR34" s="3"/>
      <c r="JKS34" s="3"/>
      <c r="JKT34" s="3"/>
      <c r="JKU34" s="3"/>
      <c r="JKV34" s="3"/>
      <c r="JKW34" s="3"/>
      <c r="JKX34" s="3"/>
      <c r="JKY34" s="3"/>
      <c r="JKZ34" s="3"/>
      <c r="JLA34" s="3"/>
      <c r="JLB34" s="3"/>
      <c r="JLC34" s="3"/>
      <c r="JLD34" s="3"/>
      <c r="JLE34" s="3"/>
      <c r="JLF34" s="3"/>
      <c r="JLG34" s="3"/>
      <c r="JLH34" s="3"/>
      <c r="JLI34" s="3"/>
      <c r="JLJ34" s="3"/>
      <c r="JLK34" s="3"/>
      <c r="JLL34" s="3"/>
      <c r="JLM34" s="3"/>
      <c r="JLN34" s="3"/>
      <c r="JLO34" s="3"/>
      <c r="JLP34" s="3"/>
      <c r="JLQ34" s="3"/>
      <c r="JLR34" s="3"/>
      <c r="JLS34" s="3"/>
      <c r="JLT34" s="3"/>
      <c r="JLU34" s="3"/>
      <c r="JLV34" s="3"/>
      <c r="JLW34" s="3"/>
      <c r="JLX34" s="3"/>
      <c r="JLY34" s="3"/>
      <c r="JLZ34" s="3"/>
      <c r="JMA34" s="3"/>
      <c r="JMB34" s="3"/>
      <c r="JMC34" s="3"/>
      <c r="JMD34" s="3"/>
      <c r="JME34" s="3"/>
      <c r="JMF34" s="3"/>
      <c r="JMG34" s="3"/>
      <c r="JMH34" s="3"/>
      <c r="JMI34" s="3"/>
      <c r="JMJ34" s="3"/>
      <c r="JMK34" s="3"/>
      <c r="JML34" s="3"/>
      <c r="JMM34" s="3"/>
      <c r="JMN34" s="3"/>
      <c r="JMO34" s="3"/>
      <c r="JMP34" s="3"/>
      <c r="JMQ34" s="3"/>
      <c r="JMR34" s="3"/>
      <c r="JMS34" s="3"/>
      <c r="JMT34" s="3"/>
      <c r="JMU34" s="3"/>
      <c r="JMV34" s="3"/>
      <c r="JMW34" s="3"/>
      <c r="JMX34" s="3"/>
      <c r="JMY34" s="3"/>
      <c r="JMZ34" s="3"/>
      <c r="JNA34" s="3"/>
      <c r="JNB34" s="3"/>
      <c r="JNC34" s="3"/>
      <c r="JND34" s="3"/>
      <c r="JNE34" s="3"/>
      <c r="JNF34" s="3"/>
      <c r="JNG34" s="3"/>
      <c r="JNH34" s="3"/>
      <c r="JNI34" s="3"/>
      <c r="JNJ34" s="3"/>
      <c r="JNK34" s="3"/>
      <c r="JNL34" s="3"/>
      <c r="JNM34" s="3"/>
      <c r="JNN34" s="3"/>
      <c r="JNO34" s="3"/>
      <c r="JNP34" s="3"/>
      <c r="JNQ34" s="3"/>
      <c r="JNR34" s="3"/>
      <c r="JNS34" s="3"/>
      <c r="JNT34" s="3"/>
      <c r="JNU34" s="3"/>
      <c r="JNV34" s="3"/>
      <c r="JNW34" s="3"/>
      <c r="JNX34" s="3"/>
      <c r="JNY34" s="3"/>
      <c r="JNZ34" s="3"/>
      <c r="JOA34" s="3"/>
      <c r="JOB34" s="3"/>
      <c r="JOC34" s="3"/>
      <c r="JOD34" s="3"/>
      <c r="JOE34" s="3"/>
      <c r="JOF34" s="3"/>
      <c r="JOG34" s="3"/>
      <c r="JOH34" s="3"/>
      <c r="JOI34" s="3"/>
      <c r="JOJ34" s="3"/>
      <c r="JOK34" s="3"/>
      <c r="JOL34" s="3"/>
      <c r="JOM34" s="3"/>
      <c r="JON34" s="3"/>
      <c r="JOO34" s="3"/>
      <c r="JOP34" s="3"/>
      <c r="JOQ34" s="3"/>
      <c r="JOR34" s="3"/>
      <c r="JOS34" s="3"/>
      <c r="JOT34" s="3"/>
      <c r="JOU34" s="3"/>
      <c r="JOV34" s="3"/>
      <c r="JOW34" s="3"/>
      <c r="JOX34" s="3"/>
      <c r="JOY34" s="3"/>
      <c r="JOZ34" s="3"/>
      <c r="JPA34" s="3"/>
      <c r="JPB34" s="3"/>
      <c r="JPC34" s="3"/>
      <c r="JPD34" s="3"/>
      <c r="JPE34" s="3"/>
      <c r="JPF34" s="3"/>
      <c r="JPG34" s="3"/>
      <c r="JPH34" s="3"/>
      <c r="JPI34" s="3"/>
      <c r="JPJ34" s="3"/>
      <c r="JPK34" s="3"/>
      <c r="JPL34" s="3"/>
      <c r="JPM34" s="3"/>
      <c r="JPN34" s="3"/>
      <c r="JPO34" s="3"/>
      <c r="JPP34" s="3"/>
      <c r="JPQ34" s="3"/>
      <c r="JPR34" s="3"/>
      <c r="JPS34" s="3"/>
      <c r="JPT34" s="3"/>
      <c r="JPU34" s="3"/>
      <c r="JPV34" s="3"/>
      <c r="JPW34" s="3"/>
      <c r="JPX34" s="3"/>
      <c r="JPY34" s="3"/>
      <c r="JPZ34" s="3"/>
      <c r="JQA34" s="3"/>
      <c r="JQB34" s="3"/>
      <c r="JQC34" s="3"/>
      <c r="JQD34" s="3"/>
      <c r="JQE34" s="3"/>
      <c r="JQF34" s="3"/>
      <c r="JQG34" s="3"/>
      <c r="JQH34" s="3"/>
      <c r="JQI34" s="3"/>
      <c r="JQJ34" s="3"/>
      <c r="JQK34" s="3"/>
      <c r="JQL34" s="3"/>
      <c r="JQM34" s="3"/>
      <c r="JQN34" s="3"/>
      <c r="JQO34" s="3"/>
      <c r="JQP34" s="3"/>
      <c r="JQQ34" s="3"/>
      <c r="JQR34" s="3"/>
      <c r="JQS34" s="3"/>
      <c r="JQT34" s="3"/>
      <c r="JQU34" s="3"/>
      <c r="JQV34" s="3"/>
      <c r="JQW34" s="3"/>
      <c r="JQX34" s="3"/>
      <c r="JQY34" s="3"/>
      <c r="JQZ34" s="3"/>
      <c r="JRA34" s="3"/>
      <c r="JRB34" s="3"/>
      <c r="JRC34" s="3"/>
      <c r="JRD34" s="3"/>
      <c r="JRE34" s="3"/>
      <c r="JRF34" s="3"/>
      <c r="JRG34" s="3"/>
      <c r="JRH34" s="3"/>
      <c r="JRI34" s="3"/>
      <c r="JRJ34" s="3"/>
      <c r="JRK34" s="3"/>
      <c r="JRL34" s="3"/>
      <c r="JRM34" s="3"/>
      <c r="JRN34" s="3"/>
      <c r="JRO34" s="3"/>
      <c r="JRP34" s="3"/>
      <c r="JRQ34" s="3"/>
      <c r="JRR34" s="3"/>
      <c r="JRS34" s="3"/>
      <c r="JRT34" s="3"/>
      <c r="JRU34" s="3"/>
      <c r="JRV34" s="3"/>
      <c r="JRW34" s="3"/>
      <c r="JRX34" s="3"/>
      <c r="JRY34" s="3"/>
      <c r="JRZ34" s="3"/>
      <c r="JSA34" s="3"/>
      <c r="JSB34" s="3"/>
      <c r="JSC34" s="3"/>
      <c r="JSD34" s="3"/>
      <c r="JSE34" s="3"/>
      <c r="JSF34" s="3"/>
      <c r="JSG34" s="3"/>
      <c r="JSH34" s="3"/>
      <c r="JSI34" s="3"/>
      <c r="JSJ34" s="3"/>
      <c r="JSK34" s="3"/>
      <c r="JSL34" s="3"/>
      <c r="JSM34" s="3"/>
      <c r="JSN34" s="3"/>
      <c r="JSO34" s="3"/>
      <c r="JSP34" s="3"/>
      <c r="JSQ34" s="3"/>
      <c r="JSR34" s="3"/>
      <c r="JSS34" s="3"/>
      <c r="JST34" s="3"/>
      <c r="JSU34" s="3"/>
      <c r="JSV34" s="3"/>
      <c r="JSW34" s="3"/>
      <c r="JSX34" s="3"/>
      <c r="JSY34" s="3"/>
      <c r="JSZ34" s="3"/>
      <c r="JTA34" s="3"/>
      <c r="JTB34" s="3"/>
      <c r="JTC34" s="3"/>
      <c r="JTD34" s="3"/>
      <c r="JTE34" s="3"/>
      <c r="JTF34" s="3"/>
      <c r="JTG34" s="3"/>
      <c r="JTH34" s="3"/>
      <c r="JTI34" s="3"/>
      <c r="JTJ34" s="3"/>
      <c r="JTK34" s="3"/>
      <c r="JTL34" s="3"/>
      <c r="JTM34" s="3"/>
      <c r="JTN34" s="3"/>
      <c r="JTO34" s="3"/>
      <c r="JTP34" s="3"/>
      <c r="JTQ34" s="3"/>
      <c r="JTR34" s="3"/>
      <c r="JTS34" s="3"/>
      <c r="JTT34" s="3"/>
      <c r="JTU34" s="3"/>
      <c r="JTV34" s="3"/>
      <c r="JTW34" s="3"/>
      <c r="JTX34" s="3"/>
      <c r="JTY34" s="3"/>
      <c r="JTZ34" s="3"/>
      <c r="JUA34" s="3"/>
      <c r="JUB34" s="3"/>
      <c r="JUC34" s="3"/>
      <c r="JUD34" s="3"/>
      <c r="JUE34" s="3"/>
      <c r="JUF34" s="3"/>
      <c r="JUG34" s="3"/>
      <c r="JUH34" s="3"/>
      <c r="JUI34" s="3"/>
      <c r="JUJ34" s="3"/>
      <c r="JUK34" s="3"/>
      <c r="JUL34" s="3"/>
      <c r="JUM34" s="3"/>
      <c r="JUN34" s="3"/>
      <c r="JUO34" s="3"/>
      <c r="JUP34" s="3"/>
      <c r="JUQ34" s="3"/>
      <c r="JUR34" s="3"/>
      <c r="JUS34" s="3"/>
      <c r="JUT34" s="3"/>
      <c r="JUU34" s="3"/>
      <c r="JUV34" s="3"/>
      <c r="JUW34" s="3"/>
      <c r="JUX34" s="3"/>
      <c r="JUY34" s="3"/>
      <c r="JUZ34" s="3"/>
      <c r="JVA34" s="3"/>
      <c r="JVB34" s="3"/>
      <c r="JVC34" s="3"/>
      <c r="JVD34" s="3"/>
      <c r="JVE34" s="3"/>
      <c r="JVF34" s="3"/>
      <c r="JVG34" s="3"/>
      <c r="JVH34" s="3"/>
      <c r="JVI34" s="3"/>
      <c r="JVJ34" s="3"/>
      <c r="JVK34" s="3"/>
      <c r="JVL34" s="3"/>
      <c r="JVM34" s="3"/>
      <c r="JVN34" s="3"/>
      <c r="JVO34" s="3"/>
      <c r="JVP34" s="3"/>
      <c r="JVQ34" s="3"/>
      <c r="JVR34" s="3"/>
      <c r="JVS34" s="3"/>
      <c r="JVT34" s="3"/>
      <c r="JVU34" s="3"/>
      <c r="JVV34" s="3"/>
      <c r="JVW34" s="3"/>
      <c r="JVX34" s="3"/>
      <c r="JVY34" s="3"/>
      <c r="JVZ34" s="3"/>
      <c r="JWA34" s="3"/>
      <c r="JWB34" s="3"/>
      <c r="JWC34" s="3"/>
      <c r="JWD34" s="3"/>
      <c r="JWE34" s="3"/>
      <c r="JWF34" s="3"/>
      <c r="JWG34" s="3"/>
      <c r="JWH34" s="3"/>
      <c r="JWI34" s="3"/>
      <c r="JWJ34" s="3"/>
      <c r="JWK34" s="3"/>
      <c r="JWL34" s="3"/>
      <c r="JWM34" s="3"/>
      <c r="JWN34" s="3"/>
      <c r="JWO34" s="3"/>
      <c r="JWP34" s="3"/>
      <c r="JWQ34" s="3"/>
      <c r="JWR34" s="3"/>
      <c r="JWS34" s="3"/>
      <c r="JWT34" s="3"/>
      <c r="JWU34" s="3"/>
      <c r="JWV34" s="3"/>
      <c r="JWW34" s="3"/>
      <c r="JWX34" s="3"/>
      <c r="JWY34" s="3"/>
      <c r="JWZ34" s="3"/>
      <c r="JXA34" s="3"/>
      <c r="JXB34" s="3"/>
      <c r="JXC34" s="3"/>
      <c r="JXD34" s="3"/>
      <c r="JXE34" s="3"/>
      <c r="JXF34" s="3"/>
      <c r="JXG34" s="3"/>
      <c r="JXH34" s="3"/>
      <c r="JXI34" s="3"/>
      <c r="JXJ34" s="3"/>
      <c r="JXK34" s="3"/>
      <c r="JXL34" s="3"/>
      <c r="JXM34" s="3"/>
      <c r="JXN34" s="3"/>
      <c r="JXO34" s="3"/>
      <c r="JXP34" s="3"/>
      <c r="JXQ34" s="3"/>
      <c r="JXR34" s="3"/>
      <c r="JXS34" s="3"/>
      <c r="JXT34" s="3"/>
      <c r="JXU34" s="3"/>
      <c r="JXV34" s="3"/>
      <c r="JXW34" s="3"/>
      <c r="JXX34" s="3"/>
      <c r="JXY34" s="3"/>
      <c r="JXZ34" s="3"/>
      <c r="JYA34" s="3"/>
      <c r="JYB34" s="3"/>
      <c r="JYC34" s="3"/>
      <c r="JYD34" s="3"/>
      <c r="JYE34" s="3"/>
      <c r="JYF34" s="3"/>
      <c r="JYG34" s="3"/>
      <c r="JYH34" s="3"/>
      <c r="JYI34" s="3"/>
      <c r="JYJ34" s="3"/>
      <c r="JYK34" s="3"/>
      <c r="JYL34" s="3"/>
      <c r="JYM34" s="3"/>
      <c r="JYN34" s="3"/>
      <c r="JYO34" s="3"/>
      <c r="JYP34" s="3"/>
      <c r="JYQ34" s="3"/>
      <c r="JYR34" s="3"/>
      <c r="JYS34" s="3"/>
      <c r="JYT34" s="3"/>
      <c r="JYU34" s="3"/>
      <c r="JYV34" s="3"/>
      <c r="JYW34" s="3"/>
      <c r="JYX34" s="3"/>
      <c r="JYY34" s="3"/>
      <c r="JYZ34" s="3"/>
      <c r="JZA34" s="3"/>
      <c r="JZB34" s="3"/>
      <c r="JZC34" s="3"/>
      <c r="JZD34" s="3"/>
      <c r="JZE34" s="3"/>
      <c r="JZF34" s="3"/>
      <c r="JZG34" s="3"/>
      <c r="JZH34" s="3"/>
      <c r="JZI34" s="3"/>
      <c r="JZJ34" s="3"/>
      <c r="JZK34" s="3"/>
      <c r="JZL34" s="3"/>
      <c r="JZM34" s="3"/>
      <c r="JZN34" s="3"/>
      <c r="JZO34" s="3"/>
      <c r="JZP34" s="3"/>
      <c r="JZQ34" s="3"/>
      <c r="JZR34" s="3"/>
      <c r="JZS34" s="3"/>
      <c r="JZT34" s="3"/>
      <c r="JZU34" s="3"/>
      <c r="JZV34" s="3"/>
      <c r="JZW34" s="3"/>
      <c r="JZX34" s="3"/>
      <c r="JZY34" s="3"/>
      <c r="JZZ34" s="3"/>
      <c r="KAA34" s="3"/>
      <c r="KAB34" s="3"/>
      <c r="KAC34" s="3"/>
      <c r="KAD34" s="3"/>
      <c r="KAE34" s="3"/>
      <c r="KAF34" s="3"/>
      <c r="KAG34" s="3"/>
      <c r="KAH34" s="3"/>
      <c r="KAI34" s="3"/>
      <c r="KAJ34" s="3"/>
      <c r="KAK34" s="3"/>
      <c r="KAL34" s="3"/>
      <c r="KAM34" s="3"/>
      <c r="KAN34" s="3"/>
      <c r="KAO34" s="3"/>
      <c r="KAP34" s="3"/>
      <c r="KAQ34" s="3"/>
      <c r="KAR34" s="3"/>
      <c r="KAS34" s="3"/>
      <c r="KAT34" s="3"/>
      <c r="KAU34" s="3"/>
      <c r="KAV34" s="3"/>
      <c r="KAW34" s="3"/>
      <c r="KAX34" s="3"/>
      <c r="KAY34" s="3"/>
      <c r="KAZ34" s="3"/>
      <c r="KBA34" s="3"/>
      <c r="KBB34" s="3"/>
      <c r="KBC34" s="3"/>
      <c r="KBD34" s="3"/>
      <c r="KBE34" s="3"/>
      <c r="KBF34" s="3"/>
      <c r="KBG34" s="3"/>
      <c r="KBH34" s="3"/>
      <c r="KBI34" s="3"/>
      <c r="KBJ34" s="3"/>
      <c r="KBK34" s="3"/>
      <c r="KBL34" s="3"/>
      <c r="KBM34" s="3"/>
      <c r="KBN34" s="3"/>
      <c r="KBO34" s="3"/>
      <c r="KBP34" s="3"/>
      <c r="KBQ34" s="3"/>
      <c r="KBR34" s="3"/>
      <c r="KBS34" s="3"/>
      <c r="KBT34" s="3"/>
      <c r="KBU34" s="3"/>
      <c r="KBV34" s="3"/>
      <c r="KBW34" s="3"/>
      <c r="KBX34" s="3"/>
      <c r="KBY34" s="3"/>
      <c r="KBZ34" s="3"/>
      <c r="KCA34" s="3"/>
      <c r="KCB34" s="3"/>
      <c r="KCC34" s="3"/>
      <c r="KCD34" s="3"/>
      <c r="KCE34" s="3"/>
      <c r="KCF34" s="3"/>
      <c r="KCG34" s="3"/>
      <c r="KCH34" s="3"/>
      <c r="KCI34" s="3"/>
      <c r="KCJ34" s="3"/>
      <c r="KCK34" s="3"/>
      <c r="KCL34" s="3"/>
      <c r="KCM34" s="3"/>
      <c r="KCN34" s="3"/>
      <c r="KCO34" s="3"/>
      <c r="KCP34" s="3"/>
      <c r="KCQ34" s="3"/>
      <c r="KCR34" s="3"/>
      <c r="KCS34" s="3"/>
      <c r="KCT34" s="3"/>
      <c r="KCU34" s="3"/>
      <c r="KCV34" s="3"/>
      <c r="KCW34" s="3"/>
      <c r="KCX34" s="3"/>
      <c r="KCY34" s="3"/>
      <c r="KCZ34" s="3"/>
      <c r="KDA34" s="3"/>
      <c r="KDB34" s="3"/>
      <c r="KDC34" s="3"/>
      <c r="KDD34" s="3"/>
      <c r="KDE34" s="3"/>
      <c r="KDF34" s="3"/>
      <c r="KDG34" s="3"/>
      <c r="KDH34" s="3"/>
      <c r="KDI34" s="3"/>
      <c r="KDJ34" s="3"/>
      <c r="KDK34" s="3"/>
      <c r="KDL34" s="3"/>
      <c r="KDM34" s="3"/>
      <c r="KDN34" s="3"/>
      <c r="KDO34" s="3"/>
      <c r="KDP34" s="3"/>
      <c r="KDQ34" s="3"/>
      <c r="KDR34" s="3"/>
      <c r="KDS34" s="3"/>
      <c r="KDT34" s="3"/>
      <c r="KDU34" s="3"/>
      <c r="KDV34" s="3"/>
      <c r="KDW34" s="3"/>
      <c r="KDX34" s="3"/>
      <c r="KDY34" s="3"/>
      <c r="KDZ34" s="3"/>
      <c r="KEA34" s="3"/>
      <c r="KEB34" s="3"/>
      <c r="KEC34" s="3"/>
      <c r="KED34" s="3"/>
      <c r="KEE34" s="3"/>
      <c r="KEF34" s="3"/>
      <c r="KEG34" s="3"/>
      <c r="KEH34" s="3"/>
      <c r="KEI34" s="3"/>
      <c r="KEJ34" s="3"/>
      <c r="KEK34" s="3"/>
      <c r="KEL34" s="3"/>
      <c r="KEM34" s="3"/>
      <c r="KEN34" s="3"/>
      <c r="KEO34" s="3"/>
      <c r="KEP34" s="3"/>
      <c r="KEQ34" s="3"/>
      <c r="KER34" s="3"/>
      <c r="KES34" s="3"/>
      <c r="KET34" s="3"/>
      <c r="KEU34" s="3"/>
      <c r="KEV34" s="3"/>
      <c r="KEW34" s="3"/>
      <c r="KEX34" s="3"/>
      <c r="KEY34" s="3"/>
      <c r="KEZ34" s="3"/>
      <c r="KFA34" s="3"/>
      <c r="KFB34" s="3"/>
      <c r="KFC34" s="3"/>
      <c r="KFD34" s="3"/>
      <c r="KFE34" s="3"/>
      <c r="KFF34" s="3"/>
      <c r="KFG34" s="3"/>
      <c r="KFH34" s="3"/>
      <c r="KFI34" s="3"/>
      <c r="KFJ34" s="3"/>
      <c r="KFK34" s="3"/>
      <c r="KFL34" s="3"/>
      <c r="KFM34" s="3"/>
      <c r="KFN34" s="3"/>
      <c r="KFO34" s="3"/>
      <c r="KFP34" s="3"/>
      <c r="KFQ34" s="3"/>
      <c r="KFR34" s="3"/>
      <c r="KFS34" s="3"/>
      <c r="KFT34" s="3"/>
      <c r="KFU34" s="3"/>
      <c r="KFV34" s="3"/>
      <c r="KFW34" s="3"/>
      <c r="KFX34" s="3"/>
      <c r="KFY34" s="3"/>
      <c r="KFZ34" s="3"/>
      <c r="KGA34" s="3"/>
      <c r="KGB34" s="3"/>
      <c r="KGC34" s="3"/>
      <c r="KGD34" s="3"/>
      <c r="KGE34" s="3"/>
      <c r="KGF34" s="3"/>
      <c r="KGG34" s="3"/>
      <c r="KGH34" s="3"/>
      <c r="KGI34" s="3"/>
      <c r="KGJ34" s="3"/>
      <c r="KGK34" s="3"/>
      <c r="KGL34" s="3"/>
      <c r="KGM34" s="3"/>
      <c r="KGN34" s="3"/>
      <c r="KGO34" s="3"/>
      <c r="KGP34" s="3"/>
      <c r="KGQ34" s="3"/>
      <c r="KGR34" s="3"/>
      <c r="KGS34" s="3"/>
      <c r="KGT34" s="3"/>
      <c r="KGU34" s="3"/>
      <c r="KGV34" s="3"/>
      <c r="KGW34" s="3"/>
      <c r="KGX34" s="3"/>
      <c r="KGY34" s="3"/>
      <c r="KGZ34" s="3"/>
      <c r="KHA34" s="3"/>
      <c r="KHB34" s="3"/>
      <c r="KHC34" s="3"/>
      <c r="KHD34" s="3"/>
      <c r="KHE34" s="3"/>
      <c r="KHF34" s="3"/>
      <c r="KHG34" s="3"/>
      <c r="KHH34" s="3"/>
      <c r="KHI34" s="3"/>
      <c r="KHJ34" s="3"/>
      <c r="KHK34" s="3"/>
      <c r="KHL34" s="3"/>
      <c r="KHM34" s="3"/>
      <c r="KHN34" s="3"/>
      <c r="KHO34" s="3"/>
      <c r="KHP34" s="3"/>
      <c r="KHQ34" s="3"/>
      <c r="KHR34" s="3"/>
      <c r="KHS34" s="3"/>
      <c r="KHT34" s="3"/>
      <c r="KHU34" s="3"/>
      <c r="KHV34" s="3"/>
      <c r="KHW34" s="3"/>
      <c r="KHX34" s="3"/>
      <c r="KHY34" s="3"/>
      <c r="KHZ34" s="3"/>
      <c r="KIA34" s="3"/>
      <c r="KIB34" s="3"/>
      <c r="KIC34" s="3"/>
      <c r="KID34" s="3"/>
      <c r="KIE34" s="3"/>
      <c r="KIF34" s="3"/>
      <c r="KIG34" s="3"/>
      <c r="KIH34" s="3"/>
      <c r="KII34" s="3"/>
      <c r="KIJ34" s="3"/>
      <c r="KIK34" s="3"/>
      <c r="KIL34" s="3"/>
      <c r="KIM34" s="3"/>
      <c r="KIN34" s="3"/>
      <c r="KIO34" s="3"/>
      <c r="KIP34" s="3"/>
      <c r="KIQ34" s="3"/>
      <c r="KIR34" s="3"/>
      <c r="KIS34" s="3"/>
      <c r="KIT34" s="3"/>
      <c r="KIU34" s="3"/>
      <c r="KIV34" s="3"/>
      <c r="KIW34" s="3"/>
      <c r="KIX34" s="3"/>
      <c r="KIY34" s="3"/>
      <c r="KIZ34" s="3"/>
      <c r="KJA34" s="3"/>
      <c r="KJB34" s="3"/>
      <c r="KJC34" s="3"/>
      <c r="KJD34" s="3"/>
      <c r="KJE34" s="3"/>
      <c r="KJF34" s="3"/>
      <c r="KJG34" s="3"/>
      <c r="KJH34" s="3"/>
      <c r="KJI34" s="3"/>
      <c r="KJJ34" s="3"/>
      <c r="KJK34" s="3"/>
      <c r="KJL34" s="3"/>
      <c r="KJM34" s="3"/>
      <c r="KJN34" s="3"/>
      <c r="KJO34" s="3"/>
      <c r="KJP34" s="3"/>
      <c r="KJQ34" s="3"/>
      <c r="KJR34" s="3"/>
      <c r="KJS34" s="3"/>
      <c r="KJT34" s="3"/>
      <c r="KJU34" s="3"/>
      <c r="KJV34" s="3"/>
      <c r="KJW34" s="3"/>
      <c r="KJX34" s="3"/>
      <c r="KJY34" s="3"/>
      <c r="KJZ34" s="3"/>
      <c r="KKA34" s="3"/>
      <c r="KKB34" s="3"/>
      <c r="KKC34" s="3"/>
      <c r="KKD34" s="3"/>
      <c r="KKE34" s="3"/>
      <c r="KKF34" s="3"/>
      <c r="KKG34" s="3"/>
      <c r="KKH34" s="3"/>
      <c r="KKI34" s="3"/>
      <c r="KKJ34" s="3"/>
      <c r="KKK34" s="3"/>
      <c r="KKL34" s="3"/>
      <c r="KKM34" s="3"/>
      <c r="KKN34" s="3"/>
      <c r="KKO34" s="3"/>
      <c r="KKP34" s="3"/>
      <c r="KKQ34" s="3"/>
      <c r="KKR34" s="3"/>
      <c r="KKS34" s="3"/>
      <c r="KKT34" s="3"/>
      <c r="KKU34" s="3"/>
      <c r="KKV34" s="3"/>
      <c r="KKW34" s="3"/>
      <c r="KKX34" s="3"/>
      <c r="KKY34" s="3"/>
      <c r="KKZ34" s="3"/>
      <c r="KLA34" s="3"/>
      <c r="KLB34" s="3"/>
      <c r="KLC34" s="3"/>
      <c r="KLD34" s="3"/>
      <c r="KLE34" s="3"/>
      <c r="KLF34" s="3"/>
      <c r="KLG34" s="3"/>
      <c r="KLH34" s="3"/>
      <c r="KLI34" s="3"/>
      <c r="KLJ34" s="3"/>
      <c r="KLK34" s="3"/>
      <c r="KLL34" s="3"/>
      <c r="KLM34" s="3"/>
      <c r="KLN34" s="3"/>
      <c r="KLO34" s="3"/>
      <c r="KLP34" s="3"/>
      <c r="KLQ34" s="3"/>
      <c r="KLR34" s="3"/>
      <c r="KLS34" s="3"/>
      <c r="KLT34" s="3"/>
      <c r="KLU34" s="3"/>
      <c r="KLV34" s="3"/>
      <c r="KLW34" s="3"/>
      <c r="KLX34" s="3"/>
      <c r="KLY34" s="3"/>
      <c r="KLZ34" s="3"/>
      <c r="KMA34" s="3"/>
      <c r="KMB34" s="3"/>
      <c r="KMC34" s="3"/>
      <c r="KMD34" s="3"/>
      <c r="KME34" s="3"/>
      <c r="KMF34" s="3"/>
      <c r="KMG34" s="3"/>
      <c r="KMH34" s="3"/>
      <c r="KMI34" s="3"/>
      <c r="KMJ34" s="3"/>
      <c r="KMK34" s="3"/>
      <c r="KML34" s="3"/>
      <c r="KMM34" s="3"/>
      <c r="KMN34" s="3"/>
      <c r="KMO34" s="3"/>
      <c r="KMP34" s="3"/>
      <c r="KMQ34" s="3"/>
      <c r="KMR34" s="3"/>
      <c r="KMS34" s="3"/>
      <c r="KMT34" s="3"/>
      <c r="KMU34" s="3"/>
      <c r="KMV34" s="3"/>
      <c r="KMW34" s="3"/>
      <c r="KMX34" s="3"/>
      <c r="KMY34" s="3"/>
      <c r="KMZ34" s="3"/>
      <c r="KNA34" s="3"/>
      <c r="KNB34" s="3"/>
      <c r="KNC34" s="3"/>
      <c r="KND34" s="3"/>
      <c r="KNE34" s="3"/>
      <c r="KNF34" s="3"/>
      <c r="KNG34" s="3"/>
      <c r="KNH34" s="3"/>
      <c r="KNI34" s="3"/>
      <c r="KNJ34" s="3"/>
      <c r="KNK34" s="3"/>
      <c r="KNL34" s="3"/>
      <c r="KNM34" s="3"/>
      <c r="KNN34" s="3"/>
      <c r="KNO34" s="3"/>
      <c r="KNP34" s="3"/>
      <c r="KNQ34" s="3"/>
      <c r="KNR34" s="3"/>
      <c r="KNS34" s="3"/>
      <c r="KNT34" s="3"/>
      <c r="KNU34" s="3"/>
      <c r="KNV34" s="3"/>
      <c r="KNW34" s="3"/>
      <c r="KNX34" s="3"/>
      <c r="KNY34" s="3"/>
      <c r="KNZ34" s="3"/>
      <c r="KOA34" s="3"/>
      <c r="KOB34" s="3"/>
      <c r="KOC34" s="3"/>
      <c r="KOD34" s="3"/>
      <c r="KOE34" s="3"/>
      <c r="KOF34" s="3"/>
      <c r="KOG34" s="3"/>
      <c r="KOH34" s="3"/>
      <c r="KOI34" s="3"/>
      <c r="KOJ34" s="3"/>
      <c r="KOK34" s="3"/>
      <c r="KOL34" s="3"/>
      <c r="KOM34" s="3"/>
      <c r="KON34" s="3"/>
      <c r="KOO34" s="3"/>
      <c r="KOP34" s="3"/>
      <c r="KOQ34" s="3"/>
      <c r="KOR34" s="3"/>
      <c r="KOS34" s="3"/>
      <c r="KOT34" s="3"/>
      <c r="KOU34" s="3"/>
      <c r="KOV34" s="3"/>
      <c r="KOW34" s="3"/>
      <c r="KOX34" s="3"/>
      <c r="KOY34" s="3"/>
      <c r="KOZ34" s="3"/>
      <c r="KPA34" s="3"/>
      <c r="KPB34" s="3"/>
      <c r="KPC34" s="3"/>
      <c r="KPD34" s="3"/>
      <c r="KPE34" s="3"/>
      <c r="KPF34" s="3"/>
      <c r="KPG34" s="3"/>
      <c r="KPH34" s="3"/>
      <c r="KPI34" s="3"/>
      <c r="KPJ34" s="3"/>
      <c r="KPK34" s="3"/>
      <c r="KPL34" s="3"/>
      <c r="KPM34" s="3"/>
      <c r="KPN34" s="3"/>
      <c r="KPO34" s="3"/>
      <c r="KPP34" s="3"/>
      <c r="KPQ34" s="3"/>
      <c r="KPR34" s="3"/>
      <c r="KPS34" s="3"/>
      <c r="KPT34" s="3"/>
      <c r="KPU34" s="3"/>
      <c r="KPV34" s="3"/>
      <c r="KPW34" s="3"/>
      <c r="KPX34" s="3"/>
      <c r="KPY34" s="3"/>
      <c r="KPZ34" s="3"/>
      <c r="KQA34" s="3"/>
      <c r="KQB34" s="3"/>
      <c r="KQC34" s="3"/>
      <c r="KQD34" s="3"/>
      <c r="KQE34" s="3"/>
      <c r="KQF34" s="3"/>
      <c r="KQG34" s="3"/>
      <c r="KQH34" s="3"/>
      <c r="KQI34" s="3"/>
      <c r="KQJ34" s="3"/>
      <c r="KQK34" s="3"/>
      <c r="KQL34" s="3"/>
      <c r="KQM34" s="3"/>
      <c r="KQN34" s="3"/>
      <c r="KQO34" s="3"/>
      <c r="KQP34" s="3"/>
      <c r="KQQ34" s="3"/>
      <c r="KQR34" s="3"/>
      <c r="KQS34" s="3"/>
      <c r="KQT34" s="3"/>
      <c r="KQU34" s="3"/>
      <c r="KQV34" s="3"/>
      <c r="KQW34" s="3"/>
      <c r="KQX34" s="3"/>
      <c r="KQY34" s="3"/>
      <c r="KQZ34" s="3"/>
      <c r="KRA34" s="3"/>
      <c r="KRB34" s="3"/>
      <c r="KRC34" s="3"/>
      <c r="KRD34" s="3"/>
      <c r="KRE34" s="3"/>
      <c r="KRF34" s="3"/>
      <c r="KRG34" s="3"/>
      <c r="KRH34" s="3"/>
      <c r="KRI34" s="3"/>
      <c r="KRJ34" s="3"/>
      <c r="KRK34" s="3"/>
      <c r="KRL34" s="3"/>
      <c r="KRM34" s="3"/>
      <c r="KRN34" s="3"/>
      <c r="KRO34" s="3"/>
      <c r="KRP34" s="3"/>
      <c r="KRQ34" s="3"/>
      <c r="KRR34" s="3"/>
      <c r="KRS34" s="3"/>
      <c r="KRT34" s="3"/>
      <c r="KRU34" s="3"/>
      <c r="KRV34" s="3"/>
      <c r="KRW34" s="3"/>
      <c r="KRX34" s="3"/>
      <c r="KRY34" s="3"/>
      <c r="KRZ34" s="3"/>
      <c r="KSA34" s="3"/>
      <c r="KSB34" s="3"/>
      <c r="KSC34" s="3"/>
      <c r="KSD34" s="3"/>
      <c r="KSE34" s="3"/>
      <c r="KSF34" s="3"/>
      <c r="KSG34" s="3"/>
      <c r="KSH34" s="3"/>
      <c r="KSI34" s="3"/>
      <c r="KSJ34" s="3"/>
      <c r="KSK34" s="3"/>
      <c r="KSL34" s="3"/>
      <c r="KSM34" s="3"/>
      <c r="KSN34" s="3"/>
      <c r="KSO34" s="3"/>
      <c r="KSP34" s="3"/>
      <c r="KSQ34" s="3"/>
      <c r="KSR34" s="3"/>
      <c r="KSS34" s="3"/>
      <c r="KST34" s="3"/>
      <c r="KSU34" s="3"/>
      <c r="KSV34" s="3"/>
      <c r="KSW34" s="3"/>
      <c r="KSX34" s="3"/>
      <c r="KSY34" s="3"/>
      <c r="KSZ34" s="3"/>
      <c r="KTA34" s="3"/>
      <c r="KTB34" s="3"/>
      <c r="KTC34" s="3"/>
      <c r="KTD34" s="3"/>
      <c r="KTE34" s="3"/>
      <c r="KTF34" s="3"/>
      <c r="KTG34" s="3"/>
      <c r="KTH34" s="3"/>
      <c r="KTI34" s="3"/>
      <c r="KTJ34" s="3"/>
      <c r="KTK34" s="3"/>
      <c r="KTL34" s="3"/>
      <c r="KTM34" s="3"/>
      <c r="KTN34" s="3"/>
      <c r="KTO34" s="3"/>
      <c r="KTP34" s="3"/>
      <c r="KTQ34" s="3"/>
      <c r="KTR34" s="3"/>
      <c r="KTS34" s="3"/>
      <c r="KTT34" s="3"/>
      <c r="KTU34" s="3"/>
      <c r="KTV34" s="3"/>
      <c r="KTW34" s="3"/>
      <c r="KTX34" s="3"/>
      <c r="KTY34" s="3"/>
      <c r="KTZ34" s="3"/>
      <c r="KUA34" s="3"/>
      <c r="KUB34" s="3"/>
      <c r="KUC34" s="3"/>
      <c r="KUD34" s="3"/>
      <c r="KUE34" s="3"/>
      <c r="KUF34" s="3"/>
      <c r="KUG34" s="3"/>
      <c r="KUH34" s="3"/>
      <c r="KUI34" s="3"/>
      <c r="KUJ34" s="3"/>
      <c r="KUK34" s="3"/>
      <c r="KUL34" s="3"/>
      <c r="KUM34" s="3"/>
      <c r="KUN34" s="3"/>
      <c r="KUO34" s="3"/>
      <c r="KUP34" s="3"/>
      <c r="KUQ34" s="3"/>
      <c r="KUR34" s="3"/>
      <c r="KUS34" s="3"/>
      <c r="KUT34" s="3"/>
      <c r="KUU34" s="3"/>
      <c r="KUV34" s="3"/>
      <c r="KUW34" s="3"/>
      <c r="KUX34" s="3"/>
      <c r="KUY34" s="3"/>
      <c r="KUZ34" s="3"/>
      <c r="KVA34" s="3"/>
      <c r="KVB34" s="3"/>
      <c r="KVC34" s="3"/>
      <c r="KVD34" s="3"/>
      <c r="KVE34" s="3"/>
      <c r="KVF34" s="3"/>
      <c r="KVG34" s="3"/>
      <c r="KVH34" s="3"/>
      <c r="KVI34" s="3"/>
      <c r="KVJ34" s="3"/>
      <c r="KVK34" s="3"/>
      <c r="KVL34" s="3"/>
      <c r="KVM34" s="3"/>
      <c r="KVN34" s="3"/>
      <c r="KVO34" s="3"/>
      <c r="KVP34" s="3"/>
      <c r="KVQ34" s="3"/>
      <c r="KVR34" s="3"/>
      <c r="KVS34" s="3"/>
      <c r="KVT34" s="3"/>
      <c r="KVU34" s="3"/>
      <c r="KVV34" s="3"/>
      <c r="KVW34" s="3"/>
      <c r="KVX34" s="3"/>
      <c r="KVY34" s="3"/>
      <c r="KVZ34" s="3"/>
      <c r="KWA34" s="3"/>
      <c r="KWB34" s="3"/>
      <c r="KWC34" s="3"/>
      <c r="KWD34" s="3"/>
      <c r="KWE34" s="3"/>
      <c r="KWF34" s="3"/>
      <c r="KWG34" s="3"/>
      <c r="KWH34" s="3"/>
      <c r="KWI34" s="3"/>
      <c r="KWJ34" s="3"/>
      <c r="KWK34" s="3"/>
      <c r="KWL34" s="3"/>
      <c r="KWM34" s="3"/>
      <c r="KWN34" s="3"/>
      <c r="KWO34" s="3"/>
      <c r="KWP34" s="3"/>
      <c r="KWQ34" s="3"/>
      <c r="KWR34" s="3"/>
      <c r="KWS34" s="3"/>
      <c r="KWT34" s="3"/>
      <c r="KWU34" s="3"/>
      <c r="KWV34" s="3"/>
      <c r="KWW34" s="3"/>
      <c r="KWX34" s="3"/>
      <c r="KWY34" s="3"/>
      <c r="KWZ34" s="3"/>
      <c r="KXA34" s="3"/>
      <c r="KXB34" s="3"/>
      <c r="KXC34" s="3"/>
      <c r="KXD34" s="3"/>
      <c r="KXE34" s="3"/>
      <c r="KXF34" s="3"/>
      <c r="KXG34" s="3"/>
      <c r="KXH34" s="3"/>
      <c r="KXI34" s="3"/>
      <c r="KXJ34" s="3"/>
      <c r="KXK34" s="3"/>
      <c r="KXL34" s="3"/>
      <c r="KXM34" s="3"/>
      <c r="KXN34" s="3"/>
      <c r="KXO34" s="3"/>
      <c r="KXP34" s="3"/>
      <c r="KXQ34" s="3"/>
      <c r="KXR34" s="3"/>
      <c r="KXS34" s="3"/>
      <c r="KXT34" s="3"/>
      <c r="KXU34" s="3"/>
      <c r="KXV34" s="3"/>
      <c r="KXW34" s="3"/>
      <c r="KXX34" s="3"/>
      <c r="KXY34" s="3"/>
      <c r="KXZ34" s="3"/>
      <c r="KYA34" s="3"/>
      <c r="KYB34" s="3"/>
      <c r="KYC34" s="3"/>
      <c r="KYD34" s="3"/>
      <c r="KYE34" s="3"/>
      <c r="KYF34" s="3"/>
      <c r="KYG34" s="3"/>
      <c r="KYH34" s="3"/>
      <c r="KYI34" s="3"/>
      <c r="KYJ34" s="3"/>
      <c r="KYK34" s="3"/>
      <c r="KYL34" s="3"/>
      <c r="KYM34" s="3"/>
      <c r="KYN34" s="3"/>
      <c r="KYO34" s="3"/>
      <c r="KYP34" s="3"/>
      <c r="KYQ34" s="3"/>
      <c r="KYR34" s="3"/>
      <c r="KYS34" s="3"/>
      <c r="KYT34" s="3"/>
      <c r="KYU34" s="3"/>
      <c r="KYV34" s="3"/>
      <c r="KYW34" s="3"/>
      <c r="KYX34" s="3"/>
      <c r="KYY34" s="3"/>
      <c r="KYZ34" s="3"/>
      <c r="KZA34" s="3"/>
      <c r="KZB34" s="3"/>
      <c r="KZC34" s="3"/>
      <c r="KZD34" s="3"/>
      <c r="KZE34" s="3"/>
      <c r="KZF34" s="3"/>
      <c r="KZG34" s="3"/>
      <c r="KZH34" s="3"/>
      <c r="KZI34" s="3"/>
      <c r="KZJ34" s="3"/>
      <c r="KZK34" s="3"/>
      <c r="KZL34" s="3"/>
      <c r="KZM34" s="3"/>
      <c r="KZN34" s="3"/>
      <c r="KZO34" s="3"/>
      <c r="KZP34" s="3"/>
      <c r="KZQ34" s="3"/>
      <c r="KZR34" s="3"/>
      <c r="KZS34" s="3"/>
      <c r="KZT34" s="3"/>
      <c r="KZU34" s="3"/>
      <c r="KZV34" s="3"/>
      <c r="KZW34" s="3"/>
      <c r="KZX34" s="3"/>
      <c r="KZY34" s="3"/>
      <c r="KZZ34" s="3"/>
      <c r="LAA34" s="3"/>
      <c r="LAB34" s="3"/>
      <c r="LAC34" s="3"/>
      <c r="LAD34" s="3"/>
      <c r="LAE34" s="3"/>
      <c r="LAF34" s="3"/>
      <c r="LAG34" s="3"/>
      <c r="LAH34" s="3"/>
      <c r="LAI34" s="3"/>
      <c r="LAJ34" s="3"/>
      <c r="LAK34" s="3"/>
      <c r="LAL34" s="3"/>
      <c r="LAM34" s="3"/>
      <c r="LAN34" s="3"/>
      <c r="LAO34" s="3"/>
      <c r="LAP34" s="3"/>
      <c r="LAQ34" s="3"/>
      <c r="LAR34" s="3"/>
      <c r="LAS34" s="3"/>
      <c r="LAT34" s="3"/>
      <c r="LAU34" s="3"/>
      <c r="LAV34" s="3"/>
      <c r="LAW34" s="3"/>
      <c r="LAX34" s="3"/>
      <c r="LAY34" s="3"/>
      <c r="LAZ34" s="3"/>
      <c r="LBA34" s="3"/>
      <c r="LBB34" s="3"/>
      <c r="LBC34" s="3"/>
      <c r="LBD34" s="3"/>
      <c r="LBE34" s="3"/>
      <c r="LBF34" s="3"/>
      <c r="LBG34" s="3"/>
      <c r="LBH34" s="3"/>
      <c r="LBI34" s="3"/>
      <c r="LBJ34" s="3"/>
      <c r="LBK34" s="3"/>
      <c r="LBL34" s="3"/>
      <c r="LBM34" s="3"/>
      <c r="LBN34" s="3"/>
      <c r="LBO34" s="3"/>
      <c r="LBP34" s="3"/>
      <c r="LBQ34" s="3"/>
      <c r="LBR34" s="3"/>
      <c r="LBS34" s="3"/>
      <c r="LBT34" s="3"/>
      <c r="LBU34" s="3"/>
      <c r="LBV34" s="3"/>
      <c r="LBW34" s="3"/>
      <c r="LBX34" s="3"/>
      <c r="LBY34" s="3"/>
      <c r="LBZ34" s="3"/>
      <c r="LCA34" s="3"/>
      <c r="LCB34" s="3"/>
      <c r="LCC34" s="3"/>
      <c r="LCD34" s="3"/>
      <c r="LCE34" s="3"/>
      <c r="LCF34" s="3"/>
      <c r="LCG34" s="3"/>
      <c r="LCH34" s="3"/>
      <c r="LCI34" s="3"/>
      <c r="LCJ34" s="3"/>
      <c r="LCK34" s="3"/>
      <c r="LCL34" s="3"/>
      <c r="LCM34" s="3"/>
      <c r="LCN34" s="3"/>
      <c r="LCO34" s="3"/>
      <c r="LCP34" s="3"/>
      <c r="LCQ34" s="3"/>
      <c r="LCR34" s="3"/>
      <c r="LCS34" s="3"/>
      <c r="LCT34" s="3"/>
      <c r="LCU34" s="3"/>
      <c r="LCV34" s="3"/>
      <c r="LCW34" s="3"/>
      <c r="LCX34" s="3"/>
      <c r="LCY34" s="3"/>
      <c r="LCZ34" s="3"/>
      <c r="LDA34" s="3"/>
      <c r="LDB34" s="3"/>
      <c r="LDC34" s="3"/>
      <c r="LDD34" s="3"/>
      <c r="LDE34" s="3"/>
      <c r="LDF34" s="3"/>
      <c r="LDG34" s="3"/>
      <c r="LDH34" s="3"/>
      <c r="LDI34" s="3"/>
      <c r="LDJ34" s="3"/>
      <c r="LDK34" s="3"/>
      <c r="LDL34" s="3"/>
      <c r="LDM34" s="3"/>
      <c r="LDN34" s="3"/>
      <c r="LDO34" s="3"/>
      <c r="LDP34" s="3"/>
      <c r="LDQ34" s="3"/>
      <c r="LDR34" s="3"/>
      <c r="LDS34" s="3"/>
      <c r="LDT34" s="3"/>
      <c r="LDU34" s="3"/>
      <c r="LDV34" s="3"/>
      <c r="LDW34" s="3"/>
      <c r="LDX34" s="3"/>
      <c r="LDY34" s="3"/>
      <c r="LDZ34" s="3"/>
      <c r="LEA34" s="3"/>
      <c r="LEB34" s="3"/>
      <c r="LEC34" s="3"/>
      <c r="LED34" s="3"/>
      <c r="LEE34" s="3"/>
      <c r="LEF34" s="3"/>
      <c r="LEG34" s="3"/>
      <c r="LEH34" s="3"/>
      <c r="LEI34" s="3"/>
      <c r="LEJ34" s="3"/>
      <c r="LEK34" s="3"/>
      <c r="LEL34" s="3"/>
      <c r="LEM34" s="3"/>
      <c r="LEN34" s="3"/>
      <c r="LEO34" s="3"/>
      <c r="LEP34" s="3"/>
      <c r="LEQ34" s="3"/>
      <c r="LER34" s="3"/>
      <c r="LES34" s="3"/>
      <c r="LET34" s="3"/>
      <c r="LEU34" s="3"/>
      <c r="LEV34" s="3"/>
      <c r="LEW34" s="3"/>
      <c r="LEX34" s="3"/>
      <c r="LEY34" s="3"/>
      <c r="LEZ34" s="3"/>
      <c r="LFA34" s="3"/>
      <c r="LFB34" s="3"/>
      <c r="LFC34" s="3"/>
      <c r="LFD34" s="3"/>
      <c r="LFE34" s="3"/>
      <c r="LFF34" s="3"/>
      <c r="LFG34" s="3"/>
      <c r="LFH34" s="3"/>
      <c r="LFI34" s="3"/>
      <c r="LFJ34" s="3"/>
      <c r="LFK34" s="3"/>
      <c r="LFL34" s="3"/>
      <c r="LFM34" s="3"/>
      <c r="LFN34" s="3"/>
      <c r="LFO34" s="3"/>
      <c r="LFP34" s="3"/>
      <c r="LFQ34" s="3"/>
      <c r="LFR34" s="3"/>
      <c r="LFS34" s="3"/>
      <c r="LFT34" s="3"/>
      <c r="LFU34" s="3"/>
      <c r="LFV34" s="3"/>
      <c r="LFW34" s="3"/>
      <c r="LFX34" s="3"/>
      <c r="LFY34" s="3"/>
      <c r="LFZ34" s="3"/>
      <c r="LGA34" s="3"/>
      <c r="LGB34" s="3"/>
      <c r="LGC34" s="3"/>
      <c r="LGD34" s="3"/>
      <c r="LGE34" s="3"/>
      <c r="LGF34" s="3"/>
      <c r="LGG34" s="3"/>
      <c r="LGH34" s="3"/>
      <c r="LGI34" s="3"/>
      <c r="LGJ34" s="3"/>
      <c r="LGK34" s="3"/>
      <c r="LGL34" s="3"/>
      <c r="LGM34" s="3"/>
      <c r="LGN34" s="3"/>
      <c r="LGO34" s="3"/>
      <c r="LGP34" s="3"/>
      <c r="LGQ34" s="3"/>
      <c r="LGR34" s="3"/>
      <c r="LGS34" s="3"/>
      <c r="LGT34" s="3"/>
      <c r="LGU34" s="3"/>
      <c r="LGV34" s="3"/>
      <c r="LGW34" s="3"/>
      <c r="LGX34" s="3"/>
      <c r="LGY34" s="3"/>
      <c r="LGZ34" s="3"/>
      <c r="LHA34" s="3"/>
      <c r="LHB34" s="3"/>
      <c r="LHC34" s="3"/>
      <c r="LHD34" s="3"/>
      <c r="LHE34" s="3"/>
      <c r="LHF34" s="3"/>
      <c r="LHG34" s="3"/>
      <c r="LHH34" s="3"/>
      <c r="LHI34" s="3"/>
      <c r="LHJ34" s="3"/>
      <c r="LHK34" s="3"/>
      <c r="LHL34" s="3"/>
      <c r="LHM34" s="3"/>
      <c r="LHN34" s="3"/>
      <c r="LHO34" s="3"/>
      <c r="LHP34" s="3"/>
      <c r="LHQ34" s="3"/>
      <c r="LHR34" s="3"/>
      <c r="LHS34" s="3"/>
      <c r="LHT34" s="3"/>
      <c r="LHU34" s="3"/>
      <c r="LHV34" s="3"/>
      <c r="LHW34" s="3"/>
      <c r="LHX34" s="3"/>
      <c r="LHY34" s="3"/>
      <c r="LHZ34" s="3"/>
      <c r="LIA34" s="3"/>
      <c r="LIB34" s="3"/>
      <c r="LIC34" s="3"/>
      <c r="LID34" s="3"/>
      <c r="LIE34" s="3"/>
      <c r="LIF34" s="3"/>
      <c r="LIG34" s="3"/>
      <c r="LIH34" s="3"/>
      <c r="LII34" s="3"/>
      <c r="LIJ34" s="3"/>
      <c r="LIK34" s="3"/>
      <c r="LIL34" s="3"/>
      <c r="LIM34" s="3"/>
      <c r="LIN34" s="3"/>
      <c r="LIO34" s="3"/>
      <c r="LIP34" s="3"/>
      <c r="LIQ34" s="3"/>
      <c r="LIR34" s="3"/>
      <c r="LIS34" s="3"/>
      <c r="LIT34" s="3"/>
      <c r="LIU34" s="3"/>
      <c r="LIV34" s="3"/>
      <c r="LIW34" s="3"/>
      <c r="LIX34" s="3"/>
      <c r="LIY34" s="3"/>
      <c r="LIZ34" s="3"/>
      <c r="LJA34" s="3"/>
      <c r="LJB34" s="3"/>
      <c r="LJC34" s="3"/>
      <c r="LJD34" s="3"/>
      <c r="LJE34" s="3"/>
      <c r="LJF34" s="3"/>
      <c r="LJG34" s="3"/>
      <c r="LJH34" s="3"/>
      <c r="LJI34" s="3"/>
      <c r="LJJ34" s="3"/>
      <c r="LJK34" s="3"/>
      <c r="LJL34" s="3"/>
      <c r="LJM34" s="3"/>
      <c r="LJN34" s="3"/>
      <c r="LJO34" s="3"/>
      <c r="LJP34" s="3"/>
      <c r="LJQ34" s="3"/>
      <c r="LJR34" s="3"/>
      <c r="LJS34" s="3"/>
      <c r="LJT34" s="3"/>
      <c r="LJU34" s="3"/>
      <c r="LJV34" s="3"/>
      <c r="LJW34" s="3"/>
      <c r="LJX34" s="3"/>
      <c r="LJY34" s="3"/>
      <c r="LJZ34" s="3"/>
      <c r="LKA34" s="3"/>
      <c r="LKB34" s="3"/>
      <c r="LKC34" s="3"/>
      <c r="LKD34" s="3"/>
      <c r="LKE34" s="3"/>
      <c r="LKF34" s="3"/>
      <c r="LKG34" s="3"/>
      <c r="LKH34" s="3"/>
      <c r="LKI34" s="3"/>
      <c r="LKJ34" s="3"/>
      <c r="LKK34" s="3"/>
      <c r="LKL34" s="3"/>
      <c r="LKM34" s="3"/>
      <c r="LKN34" s="3"/>
      <c r="LKO34" s="3"/>
      <c r="LKP34" s="3"/>
      <c r="LKQ34" s="3"/>
      <c r="LKR34" s="3"/>
      <c r="LKS34" s="3"/>
      <c r="LKT34" s="3"/>
      <c r="LKU34" s="3"/>
      <c r="LKV34" s="3"/>
      <c r="LKW34" s="3"/>
      <c r="LKX34" s="3"/>
      <c r="LKY34" s="3"/>
      <c r="LKZ34" s="3"/>
      <c r="LLA34" s="3"/>
      <c r="LLB34" s="3"/>
      <c r="LLC34" s="3"/>
      <c r="LLD34" s="3"/>
      <c r="LLE34" s="3"/>
      <c r="LLF34" s="3"/>
      <c r="LLG34" s="3"/>
      <c r="LLH34" s="3"/>
      <c r="LLI34" s="3"/>
      <c r="LLJ34" s="3"/>
      <c r="LLK34" s="3"/>
      <c r="LLL34" s="3"/>
      <c r="LLM34" s="3"/>
      <c r="LLN34" s="3"/>
      <c r="LLO34" s="3"/>
      <c r="LLP34" s="3"/>
      <c r="LLQ34" s="3"/>
      <c r="LLR34" s="3"/>
      <c r="LLS34" s="3"/>
      <c r="LLT34" s="3"/>
      <c r="LLU34" s="3"/>
      <c r="LLV34" s="3"/>
      <c r="LLW34" s="3"/>
      <c r="LLX34" s="3"/>
      <c r="LLY34" s="3"/>
      <c r="LLZ34" s="3"/>
      <c r="LMA34" s="3"/>
      <c r="LMB34" s="3"/>
      <c r="LMC34" s="3"/>
      <c r="LMD34" s="3"/>
      <c r="LME34" s="3"/>
      <c r="LMF34" s="3"/>
      <c r="LMG34" s="3"/>
      <c r="LMH34" s="3"/>
      <c r="LMI34" s="3"/>
      <c r="LMJ34" s="3"/>
      <c r="LMK34" s="3"/>
      <c r="LML34" s="3"/>
      <c r="LMM34" s="3"/>
      <c r="LMN34" s="3"/>
      <c r="LMO34" s="3"/>
      <c r="LMP34" s="3"/>
      <c r="LMQ34" s="3"/>
      <c r="LMR34" s="3"/>
      <c r="LMS34" s="3"/>
      <c r="LMT34" s="3"/>
      <c r="LMU34" s="3"/>
      <c r="LMV34" s="3"/>
      <c r="LMW34" s="3"/>
      <c r="LMX34" s="3"/>
      <c r="LMY34" s="3"/>
      <c r="LMZ34" s="3"/>
      <c r="LNA34" s="3"/>
      <c r="LNB34" s="3"/>
      <c r="LNC34" s="3"/>
      <c r="LND34" s="3"/>
      <c r="LNE34" s="3"/>
      <c r="LNF34" s="3"/>
      <c r="LNG34" s="3"/>
      <c r="LNH34" s="3"/>
      <c r="LNI34" s="3"/>
      <c r="LNJ34" s="3"/>
      <c r="LNK34" s="3"/>
      <c r="LNL34" s="3"/>
      <c r="LNM34" s="3"/>
      <c r="LNN34" s="3"/>
      <c r="LNO34" s="3"/>
      <c r="LNP34" s="3"/>
      <c r="LNQ34" s="3"/>
      <c r="LNR34" s="3"/>
      <c r="LNS34" s="3"/>
      <c r="LNT34" s="3"/>
      <c r="LNU34" s="3"/>
      <c r="LNV34" s="3"/>
      <c r="LNW34" s="3"/>
      <c r="LNX34" s="3"/>
      <c r="LNY34" s="3"/>
      <c r="LNZ34" s="3"/>
      <c r="LOA34" s="3"/>
      <c r="LOB34" s="3"/>
      <c r="LOC34" s="3"/>
      <c r="LOD34" s="3"/>
      <c r="LOE34" s="3"/>
      <c r="LOF34" s="3"/>
      <c r="LOG34" s="3"/>
      <c r="LOH34" s="3"/>
      <c r="LOI34" s="3"/>
      <c r="LOJ34" s="3"/>
      <c r="LOK34" s="3"/>
      <c r="LOL34" s="3"/>
      <c r="LOM34" s="3"/>
      <c r="LON34" s="3"/>
      <c r="LOO34" s="3"/>
      <c r="LOP34" s="3"/>
      <c r="LOQ34" s="3"/>
      <c r="LOR34" s="3"/>
      <c r="LOS34" s="3"/>
      <c r="LOT34" s="3"/>
      <c r="LOU34" s="3"/>
      <c r="LOV34" s="3"/>
      <c r="LOW34" s="3"/>
      <c r="LOX34" s="3"/>
      <c r="LOY34" s="3"/>
      <c r="LOZ34" s="3"/>
      <c r="LPA34" s="3"/>
      <c r="LPB34" s="3"/>
      <c r="LPC34" s="3"/>
      <c r="LPD34" s="3"/>
      <c r="LPE34" s="3"/>
      <c r="LPF34" s="3"/>
      <c r="LPG34" s="3"/>
      <c r="LPH34" s="3"/>
      <c r="LPI34" s="3"/>
      <c r="LPJ34" s="3"/>
      <c r="LPK34" s="3"/>
      <c r="LPL34" s="3"/>
      <c r="LPM34" s="3"/>
      <c r="LPN34" s="3"/>
      <c r="LPO34" s="3"/>
      <c r="LPP34" s="3"/>
      <c r="LPQ34" s="3"/>
      <c r="LPR34" s="3"/>
      <c r="LPS34" s="3"/>
      <c r="LPT34" s="3"/>
      <c r="LPU34" s="3"/>
      <c r="LPV34" s="3"/>
      <c r="LPW34" s="3"/>
      <c r="LPX34" s="3"/>
      <c r="LPY34" s="3"/>
      <c r="LPZ34" s="3"/>
      <c r="LQA34" s="3"/>
      <c r="LQB34" s="3"/>
      <c r="LQC34" s="3"/>
      <c r="LQD34" s="3"/>
      <c r="LQE34" s="3"/>
      <c r="LQF34" s="3"/>
      <c r="LQG34" s="3"/>
      <c r="LQH34" s="3"/>
      <c r="LQI34" s="3"/>
      <c r="LQJ34" s="3"/>
      <c r="LQK34" s="3"/>
      <c r="LQL34" s="3"/>
      <c r="LQM34" s="3"/>
      <c r="LQN34" s="3"/>
      <c r="LQO34" s="3"/>
      <c r="LQP34" s="3"/>
      <c r="LQQ34" s="3"/>
      <c r="LQR34" s="3"/>
      <c r="LQS34" s="3"/>
      <c r="LQT34" s="3"/>
      <c r="LQU34" s="3"/>
      <c r="LQV34" s="3"/>
      <c r="LQW34" s="3"/>
      <c r="LQX34" s="3"/>
      <c r="LQY34" s="3"/>
      <c r="LQZ34" s="3"/>
      <c r="LRA34" s="3"/>
      <c r="LRB34" s="3"/>
      <c r="LRC34" s="3"/>
      <c r="LRD34" s="3"/>
      <c r="LRE34" s="3"/>
      <c r="LRF34" s="3"/>
      <c r="LRG34" s="3"/>
      <c r="LRH34" s="3"/>
      <c r="LRI34" s="3"/>
      <c r="LRJ34" s="3"/>
      <c r="LRK34" s="3"/>
      <c r="LRL34" s="3"/>
      <c r="LRM34" s="3"/>
      <c r="LRN34" s="3"/>
      <c r="LRO34" s="3"/>
      <c r="LRP34" s="3"/>
      <c r="LRQ34" s="3"/>
      <c r="LRR34" s="3"/>
      <c r="LRS34" s="3"/>
      <c r="LRT34" s="3"/>
      <c r="LRU34" s="3"/>
      <c r="LRV34" s="3"/>
      <c r="LRW34" s="3"/>
      <c r="LRX34" s="3"/>
      <c r="LRY34" s="3"/>
      <c r="LRZ34" s="3"/>
      <c r="LSA34" s="3"/>
      <c r="LSB34" s="3"/>
      <c r="LSC34" s="3"/>
      <c r="LSD34" s="3"/>
      <c r="LSE34" s="3"/>
      <c r="LSF34" s="3"/>
      <c r="LSG34" s="3"/>
      <c r="LSH34" s="3"/>
      <c r="LSI34" s="3"/>
      <c r="LSJ34" s="3"/>
      <c r="LSK34" s="3"/>
      <c r="LSL34" s="3"/>
      <c r="LSM34" s="3"/>
      <c r="LSN34" s="3"/>
      <c r="LSO34" s="3"/>
      <c r="LSP34" s="3"/>
      <c r="LSQ34" s="3"/>
      <c r="LSR34" s="3"/>
      <c r="LSS34" s="3"/>
      <c r="LST34" s="3"/>
      <c r="LSU34" s="3"/>
      <c r="LSV34" s="3"/>
      <c r="LSW34" s="3"/>
      <c r="LSX34" s="3"/>
      <c r="LSY34" s="3"/>
      <c r="LSZ34" s="3"/>
      <c r="LTA34" s="3"/>
      <c r="LTB34" s="3"/>
      <c r="LTC34" s="3"/>
      <c r="LTD34" s="3"/>
      <c r="LTE34" s="3"/>
      <c r="LTF34" s="3"/>
      <c r="LTG34" s="3"/>
      <c r="LTH34" s="3"/>
      <c r="LTI34" s="3"/>
      <c r="LTJ34" s="3"/>
      <c r="LTK34" s="3"/>
      <c r="LTL34" s="3"/>
      <c r="LTM34" s="3"/>
      <c r="LTN34" s="3"/>
      <c r="LTO34" s="3"/>
      <c r="LTP34" s="3"/>
      <c r="LTQ34" s="3"/>
      <c r="LTR34" s="3"/>
      <c r="LTS34" s="3"/>
      <c r="LTT34" s="3"/>
      <c r="LTU34" s="3"/>
      <c r="LTV34" s="3"/>
      <c r="LTW34" s="3"/>
      <c r="LTX34" s="3"/>
      <c r="LTY34" s="3"/>
      <c r="LTZ34" s="3"/>
      <c r="LUA34" s="3"/>
      <c r="LUB34" s="3"/>
      <c r="LUC34" s="3"/>
      <c r="LUD34" s="3"/>
      <c r="LUE34" s="3"/>
      <c r="LUF34" s="3"/>
      <c r="LUG34" s="3"/>
      <c r="LUH34" s="3"/>
      <c r="LUI34" s="3"/>
      <c r="LUJ34" s="3"/>
      <c r="LUK34" s="3"/>
      <c r="LUL34" s="3"/>
      <c r="LUM34" s="3"/>
      <c r="LUN34" s="3"/>
      <c r="LUO34" s="3"/>
      <c r="LUP34" s="3"/>
      <c r="LUQ34" s="3"/>
      <c r="LUR34" s="3"/>
      <c r="LUS34" s="3"/>
      <c r="LUT34" s="3"/>
      <c r="LUU34" s="3"/>
      <c r="LUV34" s="3"/>
      <c r="LUW34" s="3"/>
      <c r="LUX34" s="3"/>
      <c r="LUY34" s="3"/>
      <c r="LUZ34" s="3"/>
      <c r="LVA34" s="3"/>
      <c r="LVB34" s="3"/>
      <c r="LVC34" s="3"/>
      <c r="LVD34" s="3"/>
      <c r="LVE34" s="3"/>
      <c r="LVF34" s="3"/>
      <c r="LVG34" s="3"/>
      <c r="LVH34" s="3"/>
      <c r="LVI34" s="3"/>
      <c r="LVJ34" s="3"/>
      <c r="LVK34" s="3"/>
      <c r="LVL34" s="3"/>
      <c r="LVM34" s="3"/>
      <c r="LVN34" s="3"/>
      <c r="LVO34" s="3"/>
      <c r="LVP34" s="3"/>
      <c r="LVQ34" s="3"/>
      <c r="LVR34" s="3"/>
      <c r="LVS34" s="3"/>
      <c r="LVT34" s="3"/>
      <c r="LVU34" s="3"/>
      <c r="LVV34" s="3"/>
      <c r="LVW34" s="3"/>
      <c r="LVX34" s="3"/>
      <c r="LVY34" s="3"/>
      <c r="LVZ34" s="3"/>
      <c r="LWA34" s="3"/>
      <c r="LWB34" s="3"/>
      <c r="LWC34" s="3"/>
      <c r="LWD34" s="3"/>
      <c r="LWE34" s="3"/>
      <c r="LWF34" s="3"/>
      <c r="LWG34" s="3"/>
      <c r="LWH34" s="3"/>
      <c r="LWI34" s="3"/>
      <c r="LWJ34" s="3"/>
      <c r="LWK34" s="3"/>
      <c r="LWL34" s="3"/>
      <c r="LWM34" s="3"/>
      <c r="LWN34" s="3"/>
      <c r="LWO34" s="3"/>
      <c r="LWP34" s="3"/>
      <c r="LWQ34" s="3"/>
      <c r="LWR34" s="3"/>
      <c r="LWS34" s="3"/>
      <c r="LWT34" s="3"/>
      <c r="LWU34" s="3"/>
      <c r="LWV34" s="3"/>
      <c r="LWW34" s="3"/>
      <c r="LWX34" s="3"/>
      <c r="LWY34" s="3"/>
      <c r="LWZ34" s="3"/>
      <c r="LXA34" s="3"/>
      <c r="LXB34" s="3"/>
      <c r="LXC34" s="3"/>
      <c r="LXD34" s="3"/>
      <c r="LXE34" s="3"/>
      <c r="LXF34" s="3"/>
      <c r="LXG34" s="3"/>
      <c r="LXH34" s="3"/>
      <c r="LXI34" s="3"/>
      <c r="LXJ34" s="3"/>
      <c r="LXK34" s="3"/>
      <c r="LXL34" s="3"/>
      <c r="LXM34" s="3"/>
      <c r="LXN34" s="3"/>
      <c r="LXO34" s="3"/>
      <c r="LXP34" s="3"/>
      <c r="LXQ34" s="3"/>
      <c r="LXR34" s="3"/>
      <c r="LXS34" s="3"/>
      <c r="LXT34" s="3"/>
      <c r="LXU34" s="3"/>
      <c r="LXV34" s="3"/>
      <c r="LXW34" s="3"/>
      <c r="LXX34" s="3"/>
      <c r="LXY34" s="3"/>
      <c r="LXZ34" s="3"/>
      <c r="LYA34" s="3"/>
      <c r="LYB34" s="3"/>
      <c r="LYC34" s="3"/>
      <c r="LYD34" s="3"/>
      <c r="LYE34" s="3"/>
      <c r="LYF34" s="3"/>
      <c r="LYG34" s="3"/>
      <c r="LYH34" s="3"/>
      <c r="LYI34" s="3"/>
      <c r="LYJ34" s="3"/>
      <c r="LYK34" s="3"/>
      <c r="LYL34" s="3"/>
      <c r="LYM34" s="3"/>
      <c r="LYN34" s="3"/>
      <c r="LYO34" s="3"/>
      <c r="LYP34" s="3"/>
      <c r="LYQ34" s="3"/>
      <c r="LYR34" s="3"/>
      <c r="LYS34" s="3"/>
      <c r="LYT34" s="3"/>
      <c r="LYU34" s="3"/>
      <c r="LYV34" s="3"/>
      <c r="LYW34" s="3"/>
      <c r="LYX34" s="3"/>
      <c r="LYY34" s="3"/>
      <c r="LYZ34" s="3"/>
      <c r="LZA34" s="3"/>
      <c r="LZB34" s="3"/>
      <c r="LZC34" s="3"/>
      <c r="LZD34" s="3"/>
      <c r="LZE34" s="3"/>
      <c r="LZF34" s="3"/>
      <c r="LZG34" s="3"/>
      <c r="LZH34" s="3"/>
      <c r="LZI34" s="3"/>
      <c r="LZJ34" s="3"/>
      <c r="LZK34" s="3"/>
      <c r="LZL34" s="3"/>
      <c r="LZM34" s="3"/>
      <c r="LZN34" s="3"/>
      <c r="LZO34" s="3"/>
      <c r="LZP34" s="3"/>
      <c r="LZQ34" s="3"/>
      <c r="LZR34" s="3"/>
      <c r="LZS34" s="3"/>
      <c r="LZT34" s="3"/>
      <c r="LZU34" s="3"/>
      <c r="LZV34" s="3"/>
      <c r="LZW34" s="3"/>
      <c r="LZX34" s="3"/>
      <c r="LZY34" s="3"/>
      <c r="LZZ34" s="3"/>
      <c r="MAA34" s="3"/>
      <c r="MAB34" s="3"/>
      <c r="MAC34" s="3"/>
      <c r="MAD34" s="3"/>
      <c r="MAE34" s="3"/>
      <c r="MAF34" s="3"/>
      <c r="MAG34" s="3"/>
      <c r="MAH34" s="3"/>
      <c r="MAI34" s="3"/>
      <c r="MAJ34" s="3"/>
      <c r="MAK34" s="3"/>
      <c r="MAL34" s="3"/>
      <c r="MAM34" s="3"/>
      <c r="MAN34" s="3"/>
      <c r="MAO34" s="3"/>
      <c r="MAP34" s="3"/>
      <c r="MAQ34" s="3"/>
      <c r="MAR34" s="3"/>
      <c r="MAS34" s="3"/>
      <c r="MAT34" s="3"/>
      <c r="MAU34" s="3"/>
      <c r="MAV34" s="3"/>
      <c r="MAW34" s="3"/>
      <c r="MAX34" s="3"/>
      <c r="MAY34" s="3"/>
      <c r="MAZ34" s="3"/>
      <c r="MBA34" s="3"/>
      <c r="MBB34" s="3"/>
      <c r="MBC34" s="3"/>
      <c r="MBD34" s="3"/>
      <c r="MBE34" s="3"/>
      <c r="MBF34" s="3"/>
      <c r="MBG34" s="3"/>
      <c r="MBH34" s="3"/>
      <c r="MBI34" s="3"/>
      <c r="MBJ34" s="3"/>
      <c r="MBK34" s="3"/>
      <c r="MBL34" s="3"/>
      <c r="MBM34" s="3"/>
      <c r="MBN34" s="3"/>
      <c r="MBO34" s="3"/>
      <c r="MBP34" s="3"/>
      <c r="MBQ34" s="3"/>
      <c r="MBR34" s="3"/>
      <c r="MBS34" s="3"/>
      <c r="MBT34" s="3"/>
      <c r="MBU34" s="3"/>
      <c r="MBV34" s="3"/>
      <c r="MBW34" s="3"/>
      <c r="MBX34" s="3"/>
      <c r="MBY34" s="3"/>
      <c r="MBZ34" s="3"/>
      <c r="MCA34" s="3"/>
      <c r="MCB34" s="3"/>
      <c r="MCC34" s="3"/>
      <c r="MCD34" s="3"/>
      <c r="MCE34" s="3"/>
      <c r="MCF34" s="3"/>
      <c r="MCG34" s="3"/>
      <c r="MCH34" s="3"/>
      <c r="MCI34" s="3"/>
      <c r="MCJ34" s="3"/>
      <c r="MCK34" s="3"/>
      <c r="MCL34" s="3"/>
      <c r="MCM34" s="3"/>
      <c r="MCN34" s="3"/>
      <c r="MCO34" s="3"/>
      <c r="MCP34" s="3"/>
      <c r="MCQ34" s="3"/>
      <c r="MCR34" s="3"/>
      <c r="MCS34" s="3"/>
      <c r="MCT34" s="3"/>
      <c r="MCU34" s="3"/>
      <c r="MCV34" s="3"/>
      <c r="MCW34" s="3"/>
      <c r="MCX34" s="3"/>
      <c r="MCY34" s="3"/>
      <c r="MCZ34" s="3"/>
      <c r="MDA34" s="3"/>
      <c r="MDB34" s="3"/>
      <c r="MDC34" s="3"/>
      <c r="MDD34" s="3"/>
      <c r="MDE34" s="3"/>
      <c r="MDF34" s="3"/>
      <c r="MDG34" s="3"/>
      <c r="MDH34" s="3"/>
      <c r="MDI34" s="3"/>
      <c r="MDJ34" s="3"/>
      <c r="MDK34" s="3"/>
      <c r="MDL34" s="3"/>
      <c r="MDM34" s="3"/>
      <c r="MDN34" s="3"/>
      <c r="MDO34" s="3"/>
      <c r="MDP34" s="3"/>
      <c r="MDQ34" s="3"/>
      <c r="MDR34" s="3"/>
      <c r="MDS34" s="3"/>
      <c r="MDT34" s="3"/>
      <c r="MDU34" s="3"/>
      <c r="MDV34" s="3"/>
      <c r="MDW34" s="3"/>
      <c r="MDX34" s="3"/>
      <c r="MDY34" s="3"/>
      <c r="MDZ34" s="3"/>
      <c r="MEA34" s="3"/>
      <c r="MEB34" s="3"/>
      <c r="MEC34" s="3"/>
      <c r="MED34" s="3"/>
      <c r="MEE34" s="3"/>
      <c r="MEF34" s="3"/>
      <c r="MEG34" s="3"/>
      <c r="MEH34" s="3"/>
      <c r="MEI34" s="3"/>
      <c r="MEJ34" s="3"/>
      <c r="MEK34" s="3"/>
      <c r="MEL34" s="3"/>
      <c r="MEM34" s="3"/>
      <c r="MEN34" s="3"/>
      <c r="MEO34" s="3"/>
      <c r="MEP34" s="3"/>
      <c r="MEQ34" s="3"/>
      <c r="MER34" s="3"/>
      <c r="MES34" s="3"/>
      <c r="MET34" s="3"/>
      <c r="MEU34" s="3"/>
      <c r="MEV34" s="3"/>
      <c r="MEW34" s="3"/>
      <c r="MEX34" s="3"/>
      <c r="MEY34" s="3"/>
      <c r="MEZ34" s="3"/>
      <c r="MFA34" s="3"/>
      <c r="MFB34" s="3"/>
      <c r="MFC34" s="3"/>
      <c r="MFD34" s="3"/>
      <c r="MFE34" s="3"/>
      <c r="MFF34" s="3"/>
      <c r="MFG34" s="3"/>
      <c r="MFH34" s="3"/>
      <c r="MFI34" s="3"/>
      <c r="MFJ34" s="3"/>
      <c r="MFK34" s="3"/>
      <c r="MFL34" s="3"/>
      <c r="MFM34" s="3"/>
      <c r="MFN34" s="3"/>
      <c r="MFO34" s="3"/>
      <c r="MFP34" s="3"/>
      <c r="MFQ34" s="3"/>
      <c r="MFR34" s="3"/>
      <c r="MFS34" s="3"/>
      <c r="MFT34" s="3"/>
      <c r="MFU34" s="3"/>
      <c r="MFV34" s="3"/>
      <c r="MFW34" s="3"/>
      <c r="MFX34" s="3"/>
      <c r="MFY34" s="3"/>
      <c r="MFZ34" s="3"/>
      <c r="MGA34" s="3"/>
      <c r="MGB34" s="3"/>
      <c r="MGC34" s="3"/>
      <c r="MGD34" s="3"/>
      <c r="MGE34" s="3"/>
      <c r="MGF34" s="3"/>
      <c r="MGG34" s="3"/>
      <c r="MGH34" s="3"/>
      <c r="MGI34" s="3"/>
      <c r="MGJ34" s="3"/>
      <c r="MGK34" s="3"/>
      <c r="MGL34" s="3"/>
      <c r="MGM34" s="3"/>
      <c r="MGN34" s="3"/>
      <c r="MGO34" s="3"/>
      <c r="MGP34" s="3"/>
      <c r="MGQ34" s="3"/>
      <c r="MGR34" s="3"/>
      <c r="MGS34" s="3"/>
      <c r="MGT34" s="3"/>
      <c r="MGU34" s="3"/>
      <c r="MGV34" s="3"/>
      <c r="MGW34" s="3"/>
      <c r="MGX34" s="3"/>
      <c r="MGY34" s="3"/>
      <c r="MGZ34" s="3"/>
      <c r="MHA34" s="3"/>
      <c r="MHB34" s="3"/>
      <c r="MHC34" s="3"/>
      <c r="MHD34" s="3"/>
      <c r="MHE34" s="3"/>
      <c r="MHF34" s="3"/>
      <c r="MHG34" s="3"/>
      <c r="MHH34" s="3"/>
      <c r="MHI34" s="3"/>
      <c r="MHJ34" s="3"/>
      <c r="MHK34" s="3"/>
      <c r="MHL34" s="3"/>
      <c r="MHM34" s="3"/>
      <c r="MHN34" s="3"/>
      <c r="MHO34" s="3"/>
      <c r="MHP34" s="3"/>
      <c r="MHQ34" s="3"/>
      <c r="MHR34" s="3"/>
      <c r="MHS34" s="3"/>
      <c r="MHT34" s="3"/>
      <c r="MHU34" s="3"/>
      <c r="MHV34" s="3"/>
      <c r="MHW34" s="3"/>
      <c r="MHX34" s="3"/>
      <c r="MHY34" s="3"/>
      <c r="MHZ34" s="3"/>
      <c r="MIA34" s="3"/>
      <c r="MIB34" s="3"/>
      <c r="MIC34" s="3"/>
      <c r="MID34" s="3"/>
      <c r="MIE34" s="3"/>
      <c r="MIF34" s="3"/>
      <c r="MIG34" s="3"/>
      <c r="MIH34" s="3"/>
      <c r="MII34" s="3"/>
      <c r="MIJ34" s="3"/>
      <c r="MIK34" s="3"/>
      <c r="MIL34" s="3"/>
      <c r="MIM34" s="3"/>
      <c r="MIN34" s="3"/>
      <c r="MIO34" s="3"/>
      <c r="MIP34" s="3"/>
      <c r="MIQ34" s="3"/>
      <c r="MIR34" s="3"/>
      <c r="MIS34" s="3"/>
      <c r="MIT34" s="3"/>
      <c r="MIU34" s="3"/>
      <c r="MIV34" s="3"/>
      <c r="MIW34" s="3"/>
      <c r="MIX34" s="3"/>
      <c r="MIY34" s="3"/>
      <c r="MIZ34" s="3"/>
      <c r="MJA34" s="3"/>
      <c r="MJB34" s="3"/>
      <c r="MJC34" s="3"/>
      <c r="MJD34" s="3"/>
      <c r="MJE34" s="3"/>
      <c r="MJF34" s="3"/>
      <c r="MJG34" s="3"/>
      <c r="MJH34" s="3"/>
      <c r="MJI34" s="3"/>
      <c r="MJJ34" s="3"/>
      <c r="MJK34" s="3"/>
      <c r="MJL34" s="3"/>
      <c r="MJM34" s="3"/>
      <c r="MJN34" s="3"/>
      <c r="MJO34" s="3"/>
      <c r="MJP34" s="3"/>
      <c r="MJQ34" s="3"/>
      <c r="MJR34" s="3"/>
      <c r="MJS34" s="3"/>
      <c r="MJT34" s="3"/>
      <c r="MJU34" s="3"/>
      <c r="MJV34" s="3"/>
      <c r="MJW34" s="3"/>
      <c r="MJX34" s="3"/>
      <c r="MJY34" s="3"/>
      <c r="MJZ34" s="3"/>
      <c r="MKA34" s="3"/>
      <c r="MKB34" s="3"/>
      <c r="MKC34" s="3"/>
      <c r="MKD34" s="3"/>
      <c r="MKE34" s="3"/>
      <c r="MKF34" s="3"/>
      <c r="MKG34" s="3"/>
      <c r="MKH34" s="3"/>
      <c r="MKI34" s="3"/>
      <c r="MKJ34" s="3"/>
      <c r="MKK34" s="3"/>
      <c r="MKL34" s="3"/>
      <c r="MKM34" s="3"/>
      <c r="MKN34" s="3"/>
      <c r="MKO34" s="3"/>
      <c r="MKP34" s="3"/>
      <c r="MKQ34" s="3"/>
      <c r="MKR34" s="3"/>
      <c r="MKS34" s="3"/>
      <c r="MKT34" s="3"/>
      <c r="MKU34" s="3"/>
      <c r="MKV34" s="3"/>
      <c r="MKW34" s="3"/>
      <c r="MKX34" s="3"/>
      <c r="MKY34" s="3"/>
      <c r="MKZ34" s="3"/>
      <c r="MLA34" s="3"/>
      <c r="MLB34" s="3"/>
      <c r="MLC34" s="3"/>
      <c r="MLD34" s="3"/>
      <c r="MLE34" s="3"/>
      <c r="MLF34" s="3"/>
      <c r="MLG34" s="3"/>
      <c r="MLH34" s="3"/>
      <c r="MLI34" s="3"/>
      <c r="MLJ34" s="3"/>
      <c r="MLK34" s="3"/>
      <c r="MLL34" s="3"/>
      <c r="MLM34" s="3"/>
      <c r="MLN34" s="3"/>
      <c r="MLO34" s="3"/>
      <c r="MLP34" s="3"/>
      <c r="MLQ34" s="3"/>
      <c r="MLR34" s="3"/>
      <c r="MLS34" s="3"/>
      <c r="MLT34" s="3"/>
      <c r="MLU34" s="3"/>
      <c r="MLV34" s="3"/>
      <c r="MLW34" s="3"/>
      <c r="MLX34" s="3"/>
      <c r="MLY34" s="3"/>
      <c r="MLZ34" s="3"/>
      <c r="MMA34" s="3"/>
      <c r="MMB34" s="3"/>
      <c r="MMC34" s="3"/>
      <c r="MMD34" s="3"/>
      <c r="MME34" s="3"/>
      <c r="MMF34" s="3"/>
      <c r="MMG34" s="3"/>
      <c r="MMH34" s="3"/>
      <c r="MMI34" s="3"/>
      <c r="MMJ34" s="3"/>
      <c r="MMK34" s="3"/>
      <c r="MML34" s="3"/>
      <c r="MMM34" s="3"/>
      <c r="MMN34" s="3"/>
      <c r="MMO34" s="3"/>
      <c r="MMP34" s="3"/>
      <c r="MMQ34" s="3"/>
      <c r="MMR34" s="3"/>
      <c r="MMS34" s="3"/>
      <c r="MMT34" s="3"/>
      <c r="MMU34" s="3"/>
      <c r="MMV34" s="3"/>
      <c r="MMW34" s="3"/>
      <c r="MMX34" s="3"/>
      <c r="MMY34" s="3"/>
      <c r="MMZ34" s="3"/>
      <c r="MNA34" s="3"/>
      <c r="MNB34" s="3"/>
      <c r="MNC34" s="3"/>
      <c r="MND34" s="3"/>
      <c r="MNE34" s="3"/>
      <c r="MNF34" s="3"/>
      <c r="MNG34" s="3"/>
      <c r="MNH34" s="3"/>
      <c r="MNI34" s="3"/>
      <c r="MNJ34" s="3"/>
      <c r="MNK34" s="3"/>
      <c r="MNL34" s="3"/>
      <c r="MNM34" s="3"/>
      <c r="MNN34" s="3"/>
      <c r="MNO34" s="3"/>
      <c r="MNP34" s="3"/>
      <c r="MNQ34" s="3"/>
      <c r="MNR34" s="3"/>
      <c r="MNS34" s="3"/>
      <c r="MNT34" s="3"/>
      <c r="MNU34" s="3"/>
      <c r="MNV34" s="3"/>
      <c r="MNW34" s="3"/>
      <c r="MNX34" s="3"/>
      <c r="MNY34" s="3"/>
      <c r="MNZ34" s="3"/>
      <c r="MOA34" s="3"/>
      <c r="MOB34" s="3"/>
      <c r="MOC34" s="3"/>
      <c r="MOD34" s="3"/>
      <c r="MOE34" s="3"/>
      <c r="MOF34" s="3"/>
      <c r="MOG34" s="3"/>
      <c r="MOH34" s="3"/>
      <c r="MOI34" s="3"/>
      <c r="MOJ34" s="3"/>
      <c r="MOK34" s="3"/>
      <c r="MOL34" s="3"/>
      <c r="MOM34" s="3"/>
      <c r="MON34" s="3"/>
      <c r="MOO34" s="3"/>
      <c r="MOP34" s="3"/>
      <c r="MOQ34" s="3"/>
      <c r="MOR34" s="3"/>
      <c r="MOS34" s="3"/>
      <c r="MOT34" s="3"/>
      <c r="MOU34" s="3"/>
      <c r="MOV34" s="3"/>
      <c r="MOW34" s="3"/>
      <c r="MOX34" s="3"/>
      <c r="MOY34" s="3"/>
      <c r="MOZ34" s="3"/>
      <c r="MPA34" s="3"/>
      <c r="MPB34" s="3"/>
      <c r="MPC34" s="3"/>
      <c r="MPD34" s="3"/>
      <c r="MPE34" s="3"/>
      <c r="MPF34" s="3"/>
      <c r="MPG34" s="3"/>
      <c r="MPH34" s="3"/>
      <c r="MPI34" s="3"/>
      <c r="MPJ34" s="3"/>
      <c r="MPK34" s="3"/>
      <c r="MPL34" s="3"/>
      <c r="MPM34" s="3"/>
      <c r="MPN34" s="3"/>
      <c r="MPO34" s="3"/>
      <c r="MPP34" s="3"/>
      <c r="MPQ34" s="3"/>
      <c r="MPR34" s="3"/>
      <c r="MPS34" s="3"/>
      <c r="MPT34" s="3"/>
      <c r="MPU34" s="3"/>
      <c r="MPV34" s="3"/>
      <c r="MPW34" s="3"/>
      <c r="MPX34" s="3"/>
      <c r="MPY34" s="3"/>
      <c r="MPZ34" s="3"/>
      <c r="MQA34" s="3"/>
      <c r="MQB34" s="3"/>
      <c r="MQC34" s="3"/>
      <c r="MQD34" s="3"/>
      <c r="MQE34" s="3"/>
      <c r="MQF34" s="3"/>
      <c r="MQG34" s="3"/>
      <c r="MQH34" s="3"/>
      <c r="MQI34" s="3"/>
      <c r="MQJ34" s="3"/>
      <c r="MQK34" s="3"/>
      <c r="MQL34" s="3"/>
      <c r="MQM34" s="3"/>
      <c r="MQN34" s="3"/>
      <c r="MQO34" s="3"/>
      <c r="MQP34" s="3"/>
      <c r="MQQ34" s="3"/>
      <c r="MQR34" s="3"/>
      <c r="MQS34" s="3"/>
      <c r="MQT34" s="3"/>
      <c r="MQU34" s="3"/>
      <c r="MQV34" s="3"/>
      <c r="MQW34" s="3"/>
      <c r="MQX34" s="3"/>
      <c r="MQY34" s="3"/>
      <c r="MQZ34" s="3"/>
      <c r="MRA34" s="3"/>
      <c r="MRB34" s="3"/>
      <c r="MRC34" s="3"/>
      <c r="MRD34" s="3"/>
      <c r="MRE34" s="3"/>
      <c r="MRF34" s="3"/>
      <c r="MRG34" s="3"/>
      <c r="MRH34" s="3"/>
      <c r="MRI34" s="3"/>
      <c r="MRJ34" s="3"/>
      <c r="MRK34" s="3"/>
      <c r="MRL34" s="3"/>
      <c r="MRM34" s="3"/>
      <c r="MRN34" s="3"/>
      <c r="MRO34" s="3"/>
      <c r="MRP34" s="3"/>
      <c r="MRQ34" s="3"/>
      <c r="MRR34" s="3"/>
      <c r="MRS34" s="3"/>
      <c r="MRT34" s="3"/>
      <c r="MRU34" s="3"/>
      <c r="MRV34" s="3"/>
      <c r="MRW34" s="3"/>
      <c r="MRX34" s="3"/>
      <c r="MRY34" s="3"/>
      <c r="MRZ34" s="3"/>
      <c r="MSA34" s="3"/>
      <c r="MSB34" s="3"/>
      <c r="MSC34" s="3"/>
      <c r="MSD34" s="3"/>
      <c r="MSE34" s="3"/>
      <c r="MSF34" s="3"/>
      <c r="MSG34" s="3"/>
      <c r="MSH34" s="3"/>
      <c r="MSI34" s="3"/>
      <c r="MSJ34" s="3"/>
      <c r="MSK34" s="3"/>
      <c r="MSL34" s="3"/>
      <c r="MSM34" s="3"/>
      <c r="MSN34" s="3"/>
      <c r="MSO34" s="3"/>
      <c r="MSP34" s="3"/>
      <c r="MSQ34" s="3"/>
      <c r="MSR34" s="3"/>
      <c r="MSS34" s="3"/>
      <c r="MST34" s="3"/>
      <c r="MSU34" s="3"/>
      <c r="MSV34" s="3"/>
      <c r="MSW34" s="3"/>
      <c r="MSX34" s="3"/>
      <c r="MSY34" s="3"/>
      <c r="MSZ34" s="3"/>
      <c r="MTA34" s="3"/>
      <c r="MTB34" s="3"/>
      <c r="MTC34" s="3"/>
      <c r="MTD34" s="3"/>
      <c r="MTE34" s="3"/>
      <c r="MTF34" s="3"/>
      <c r="MTG34" s="3"/>
      <c r="MTH34" s="3"/>
      <c r="MTI34" s="3"/>
      <c r="MTJ34" s="3"/>
      <c r="MTK34" s="3"/>
      <c r="MTL34" s="3"/>
      <c r="MTM34" s="3"/>
      <c r="MTN34" s="3"/>
      <c r="MTO34" s="3"/>
      <c r="MTP34" s="3"/>
      <c r="MTQ34" s="3"/>
      <c r="MTR34" s="3"/>
      <c r="MTS34" s="3"/>
      <c r="MTT34" s="3"/>
      <c r="MTU34" s="3"/>
      <c r="MTV34" s="3"/>
      <c r="MTW34" s="3"/>
      <c r="MTX34" s="3"/>
      <c r="MTY34" s="3"/>
      <c r="MTZ34" s="3"/>
      <c r="MUA34" s="3"/>
      <c r="MUB34" s="3"/>
      <c r="MUC34" s="3"/>
      <c r="MUD34" s="3"/>
      <c r="MUE34" s="3"/>
      <c r="MUF34" s="3"/>
      <c r="MUG34" s="3"/>
      <c r="MUH34" s="3"/>
      <c r="MUI34" s="3"/>
      <c r="MUJ34" s="3"/>
      <c r="MUK34" s="3"/>
      <c r="MUL34" s="3"/>
      <c r="MUM34" s="3"/>
      <c r="MUN34" s="3"/>
      <c r="MUO34" s="3"/>
      <c r="MUP34" s="3"/>
      <c r="MUQ34" s="3"/>
      <c r="MUR34" s="3"/>
      <c r="MUS34" s="3"/>
      <c r="MUT34" s="3"/>
      <c r="MUU34" s="3"/>
      <c r="MUV34" s="3"/>
      <c r="MUW34" s="3"/>
      <c r="MUX34" s="3"/>
      <c r="MUY34" s="3"/>
      <c r="MUZ34" s="3"/>
      <c r="MVA34" s="3"/>
      <c r="MVB34" s="3"/>
      <c r="MVC34" s="3"/>
      <c r="MVD34" s="3"/>
      <c r="MVE34" s="3"/>
      <c r="MVF34" s="3"/>
      <c r="MVG34" s="3"/>
      <c r="MVH34" s="3"/>
      <c r="MVI34" s="3"/>
      <c r="MVJ34" s="3"/>
      <c r="MVK34" s="3"/>
      <c r="MVL34" s="3"/>
      <c r="MVM34" s="3"/>
      <c r="MVN34" s="3"/>
      <c r="MVO34" s="3"/>
      <c r="MVP34" s="3"/>
      <c r="MVQ34" s="3"/>
      <c r="MVR34" s="3"/>
      <c r="MVS34" s="3"/>
      <c r="MVT34" s="3"/>
      <c r="MVU34" s="3"/>
      <c r="MVV34" s="3"/>
      <c r="MVW34" s="3"/>
      <c r="MVX34" s="3"/>
      <c r="MVY34" s="3"/>
      <c r="MVZ34" s="3"/>
      <c r="MWA34" s="3"/>
      <c r="MWB34" s="3"/>
      <c r="MWC34" s="3"/>
      <c r="MWD34" s="3"/>
      <c r="MWE34" s="3"/>
      <c r="MWF34" s="3"/>
      <c r="MWG34" s="3"/>
      <c r="MWH34" s="3"/>
      <c r="MWI34" s="3"/>
      <c r="MWJ34" s="3"/>
      <c r="MWK34" s="3"/>
      <c r="MWL34" s="3"/>
      <c r="MWM34" s="3"/>
      <c r="MWN34" s="3"/>
      <c r="MWO34" s="3"/>
      <c r="MWP34" s="3"/>
      <c r="MWQ34" s="3"/>
      <c r="MWR34" s="3"/>
      <c r="MWS34" s="3"/>
      <c r="MWT34" s="3"/>
      <c r="MWU34" s="3"/>
      <c r="MWV34" s="3"/>
      <c r="MWW34" s="3"/>
      <c r="MWX34" s="3"/>
      <c r="MWY34" s="3"/>
      <c r="MWZ34" s="3"/>
      <c r="MXA34" s="3"/>
      <c r="MXB34" s="3"/>
      <c r="MXC34" s="3"/>
      <c r="MXD34" s="3"/>
      <c r="MXE34" s="3"/>
      <c r="MXF34" s="3"/>
      <c r="MXG34" s="3"/>
      <c r="MXH34" s="3"/>
      <c r="MXI34" s="3"/>
      <c r="MXJ34" s="3"/>
      <c r="MXK34" s="3"/>
      <c r="MXL34" s="3"/>
      <c r="MXM34" s="3"/>
      <c r="MXN34" s="3"/>
      <c r="MXO34" s="3"/>
      <c r="MXP34" s="3"/>
      <c r="MXQ34" s="3"/>
      <c r="MXR34" s="3"/>
      <c r="MXS34" s="3"/>
      <c r="MXT34" s="3"/>
      <c r="MXU34" s="3"/>
      <c r="MXV34" s="3"/>
      <c r="MXW34" s="3"/>
      <c r="MXX34" s="3"/>
      <c r="MXY34" s="3"/>
      <c r="MXZ34" s="3"/>
      <c r="MYA34" s="3"/>
      <c r="MYB34" s="3"/>
      <c r="MYC34" s="3"/>
      <c r="MYD34" s="3"/>
      <c r="MYE34" s="3"/>
      <c r="MYF34" s="3"/>
      <c r="MYG34" s="3"/>
      <c r="MYH34" s="3"/>
      <c r="MYI34" s="3"/>
      <c r="MYJ34" s="3"/>
      <c r="MYK34" s="3"/>
      <c r="MYL34" s="3"/>
      <c r="MYM34" s="3"/>
      <c r="MYN34" s="3"/>
      <c r="MYO34" s="3"/>
      <c r="MYP34" s="3"/>
      <c r="MYQ34" s="3"/>
      <c r="MYR34" s="3"/>
      <c r="MYS34" s="3"/>
      <c r="MYT34" s="3"/>
      <c r="MYU34" s="3"/>
      <c r="MYV34" s="3"/>
      <c r="MYW34" s="3"/>
      <c r="MYX34" s="3"/>
      <c r="MYY34" s="3"/>
      <c r="MYZ34" s="3"/>
      <c r="MZA34" s="3"/>
      <c r="MZB34" s="3"/>
      <c r="MZC34" s="3"/>
      <c r="MZD34" s="3"/>
      <c r="MZE34" s="3"/>
      <c r="MZF34" s="3"/>
      <c r="MZG34" s="3"/>
      <c r="MZH34" s="3"/>
      <c r="MZI34" s="3"/>
      <c r="MZJ34" s="3"/>
      <c r="MZK34" s="3"/>
      <c r="MZL34" s="3"/>
      <c r="MZM34" s="3"/>
      <c r="MZN34" s="3"/>
      <c r="MZO34" s="3"/>
      <c r="MZP34" s="3"/>
      <c r="MZQ34" s="3"/>
      <c r="MZR34" s="3"/>
      <c r="MZS34" s="3"/>
      <c r="MZT34" s="3"/>
      <c r="MZU34" s="3"/>
      <c r="MZV34" s="3"/>
      <c r="MZW34" s="3"/>
      <c r="MZX34" s="3"/>
      <c r="MZY34" s="3"/>
      <c r="MZZ34" s="3"/>
      <c r="NAA34" s="3"/>
      <c r="NAB34" s="3"/>
      <c r="NAC34" s="3"/>
      <c r="NAD34" s="3"/>
      <c r="NAE34" s="3"/>
      <c r="NAF34" s="3"/>
      <c r="NAG34" s="3"/>
      <c r="NAH34" s="3"/>
      <c r="NAI34" s="3"/>
      <c r="NAJ34" s="3"/>
      <c r="NAK34" s="3"/>
      <c r="NAL34" s="3"/>
      <c r="NAM34" s="3"/>
      <c r="NAN34" s="3"/>
      <c r="NAO34" s="3"/>
      <c r="NAP34" s="3"/>
      <c r="NAQ34" s="3"/>
      <c r="NAR34" s="3"/>
      <c r="NAS34" s="3"/>
      <c r="NAT34" s="3"/>
      <c r="NAU34" s="3"/>
      <c r="NAV34" s="3"/>
      <c r="NAW34" s="3"/>
      <c r="NAX34" s="3"/>
      <c r="NAY34" s="3"/>
      <c r="NAZ34" s="3"/>
      <c r="NBA34" s="3"/>
      <c r="NBB34" s="3"/>
      <c r="NBC34" s="3"/>
      <c r="NBD34" s="3"/>
      <c r="NBE34" s="3"/>
      <c r="NBF34" s="3"/>
      <c r="NBG34" s="3"/>
      <c r="NBH34" s="3"/>
      <c r="NBI34" s="3"/>
      <c r="NBJ34" s="3"/>
      <c r="NBK34" s="3"/>
      <c r="NBL34" s="3"/>
      <c r="NBM34" s="3"/>
      <c r="NBN34" s="3"/>
      <c r="NBO34" s="3"/>
      <c r="NBP34" s="3"/>
      <c r="NBQ34" s="3"/>
      <c r="NBR34" s="3"/>
      <c r="NBS34" s="3"/>
      <c r="NBT34" s="3"/>
      <c r="NBU34" s="3"/>
      <c r="NBV34" s="3"/>
      <c r="NBW34" s="3"/>
      <c r="NBX34" s="3"/>
      <c r="NBY34" s="3"/>
      <c r="NBZ34" s="3"/>
      <c r="NCA34" s="3"/>
      <c r="NCB34" s="3"/>
      <c r="NCC34" s="3"/>
      <c r="NCD34" s="3"/>
      <c r="NCE34" s="3"/>
      <c r="NCF34" s="3"/>
      <c r="NCG34" s="3"/>
      <c r="NCH34" s="3"/>
      <c r="NCI34" s="3"/>
      <c r="NCJ34" s="3"/>
      <c r="NCK34" s="3"/>
      <c r="NCL34" s="3"/>
      <c r="NCM34" s="3"/>
      <c r="NCN34" s="3"/>
      <c r="NCO34" s="3"/>
      <c r="NCP34" s="3"/>
      <c r="NCQ34" s="3"/>
      <c r="NCR34" s="3"/>
      <c r="NCS34" s="3"/>
      <c r="NCT34" s="3"/>
      <c r="NCU34" s="3"/>
      <c r="NCV34" s="3"/>
      <c r="NCW34" s="3"/>
      <c r="NCX34" s="3"/>
      <c r="NCY34" s="3"/>
      <c r="NCZ34" s="3"/>
      <c r="NDA34" s="3"/>
      <c r="NDB34" s="3"/>
      <c r="NDC34" s="3"/>
      <c r="NDD34" s="3"/>
      <c r="NDE34" s="3"/>
      <c r="NDF34" s="3"/>
      <c r="NDG34" s="3"/>
      <c r="NDH34" s="3"/>
      <c r="NDI34" s="3"/>
      <c r="NDJ34" s="3"/>
      <c r="NDK34" s="3"/>
      <c r="NDL34" s="3"/>
      <c r="NDM34" s="3"/>
      <c r="NDN34" s="3"/>
      <c r="NDO34" s="3"/>
      <c r="NDP34" s="3"/>
      <c r="NDQ34" s="3"/>
      <c r="NDR34" s="3"/>
      <c r="NDS34" s="3"/>
      <c r="NDT34" s="3"/>
      <c r="NDU34" s="3"/>
      <c r="NDV34" s="3"/>
      <c r="NDW34" s="3"/>
      <c r="NDX34" s="3"/>
      <c r="NDY34" s="3"/>
      <c r="NDZ34" s="3"/>
      <c r="NEA34" s="3"/>
      <c r="NEB34" s="3"/>
      <c r="NEC34" s="3"/>
      <c r="NED34" s="3"/>
      <c r="NEE34" s="3"/>
      <c r="NEF34" s="3"/>
      <c r="NEG34" s="3"/>
      <c r="NEH34" s="3"/>
      <c r="NEI34" s="3"/>
      <c r="NEJ34" s="3"/>
      <c r="NEK34" s="3"/>
      <c r="NEL34" s="3"/>
      <c r="NEM34" s="3"/>
      <c r="NEN34" s="3"/>
      <c r="NEO34" s="3"/>
      <c r="NEP34" s="3"/>
      <c r="NEQ34" s="3"/>
      <c r="NER34" s="3"/>
      <c r="NES34" s="3"/>
      <c r="NET34" s="3"/>
      <c r="NEU34" s="3"/>
      <c r="NEV34" s="3"/>
      <c r="NEW34" s="3"/>
      <c r="NEX34" s="3"/>
      <c r="NEY34" s="3"/>
      <c r="NEZ34" s="3"/>
      <c r="NFA34" s="3"/>
      <c r="NFB34" s="3"/>
      <c r="NFC34" s="3"/>
      <c r="NFD34" s="3"/>
      <c r="NFE34" s="3"/>
      <c r="NFF34" s="3"/>
      <c r="NFG34" s="3"/>
      <c r="NFH34" s="3"/>
      <c r="NFI34" s="3"/>
      <c r="NFJ34" s="3"/>
      <c r="NFK34" s="3"/>
      <c r="NFL34" s="3"/>
      <c r="NFM34" s="3"/>
      <c r="NFN34" s="3"/>
      <c r="NFO34" s="3"/>
      <c r="NFP34" s="3"/>
      <c r="NFQ34" s="3"/>
      <c r="NFR34" s="3"/>
      <c r="NFS34" s="3"/>
      <c r="NFT34" s="3"/>
      <c r="NFU34" s="3"/>
      <c r="NFV34" s="3"/>
      <c r="NFW34" s="3"/>
      <c r="NFX34" s="3"/>
      <c r="NFY34" s="3"/>
      <c r="NFZ34" s="3"/>
      <c r="NGA34" s="3"/>
      <c r="NGB34" s="3"/>
      <c r="NGC34" s="3"/>
      <c r="NGD34" s="3"/>
      <c r="NGE34" s="3"/>
      <c r="NGF34" s="3"/>
      <c r="NGG34" s="3"/>
      <c r="NGH34" s="3"/>
      <c r="NGI34" s="3"/>
      <c r="NGJ34" s="3"/>
      <c r="NGK34" s="3"/>
      <c r="NGL34" s="3"/>
      <c r="NGM34" s="3"/>
      <c r="NGN34" s="3"/>
      <c r="NGO34" s="3"/>
      <c r="NGP34" s="3"/>
      <c r="NGQ34" s="3"/>
      <c r="NGR34" s="3"/>
      <c r="NGS34" s="3"/>
      <c r="NGT34" s="3"/>
      <c r="NGU34" s="3"/>
      <c r="NGV34" s="3"/>
      <c r="NGW34" s="3"/>
      <c r="NGX34" s="3"/>
      <c r="NGY34" s="3"/>
      <c r="NGZ34" s="3"/>
      <c r="NHA34" s="3"/>
      <c r="NHB34" s="3"/>
      <c r="NHC34" s="3"/>
      <c r="NHD34" s="3"/>
      <c r="NHE34" s="3"/>
      <c r="NHF34" s="3"/>
      <c r="NHG34" s="3"/>
      <c r="NHH34" s="3"/>
      <c r="NHI34" s="3"/>
      <c r="NHJ34" s="3"/>
      <c r="NHK34" s="3"/>
      <c r="NHL34" s="3"/>
      <c r="NHM34" s="3"/>
      <c r="NHN34" s="3"/>
      <c r="NHO34" s="3"/>
      <c r="NHP34" s="3"/>
      <c r="NHQ34" s="3"/>
      <c r="NHR34" s="3"/>
      <c r="NHS34" s="3"/>
      <c r="NHT34" s="3"/>
      <c r="NHU34" s="3"/>
      <c r="NHV34" s="3"/>
      <c r="NHW34" s="3"/>
      <c r="NHX34" s="3"/>
      <c r="NHY34" s="3"/>
      <c r="NHZ34" s="3"/>
      <c r="NIA34" s="3"/>
      <c r="NIB34" s="3"/>
      <c r="NIC34" s="3"/>
      <c r="NID34" s="3"/>
      <c r="NIE34" s="3"/>
      <c r="NIF34" s="3"/>
      <c r="NIG34" s="3"/>
      <c r="NIH34" s="3"/>
      <c r="NII34" s="3"/>
      <c r="NIJ34" s="3"/>
      <c r="NIK34" s="3"/>
      <c r="NIL34" s="3"/>
      <c r="NIM34" s="3"/>
      <c r="NIN34" s="3"/>
      <c r="NIO34" s="3"/>
      <c r="NIP34" s="3"/>
      <c r="NIQ34" s="3"/>
      <c r="NIR34" s="3"/>
      <c r="NIS34" s="3"/>
      <c r="NIT34" s="3"/>
      <c r="NIU34" s="3"/>
      <c r="NIV34" s="3"/>
      <c r="NIW34" s="3"/>
      <c r="NIX34" s="3"/>
      <c r="NIY34" s="3"/>
      <c r="NIZ34" s="3"/>
      <c r="NJA34" s="3"/>
      <c r="NJB34" s="3"/>
      <c r="NJC34" s="3"/>
      <c r="NJD34" s="3"/>
      <c r="NJE34" s="3"/>
      <c r="NJF34" s="3"/>
      <c r="NJG34" s="3"/>
      <c r="NJH34" s="3"/>
      <c r="NJI34" s="3"/>
      <c r="NJJ34" s="3"/>
      <c r="NJK34" s="3"/>
      <c r="NJL34" s="3"/>
      <c r="NJM34" s="3"/>
      <c r="NJN34" s="3"/>
      <c r="NJO34" s="3"/>
      <c r="NJP34" s="3"/>
      <c r="NJQ34" s="3"/>
      <c r="NJR34" s="3"/>
      <c r="NJS34" s="3"/>
      <c r="NJT34" s="3"/>
      <c r="NJU34" s="3"/>
      <c r="NJV34" s="3"/>
      <c r="NJW34" s="3"/>
      <c r="NJX34" s="3"/>
      <c r="NJY34" s="3"/>
      <c r="NJZ34" s="3"/>
      <c r="NKA34" s="3"/>
      <c r="NKB34" s="3"/>
      <c r="NKC34" s="3"/>
      <c r="NKD34" s="3"/>
      <c r="NKE34" s="3"/>
      <c r="NKF34" s="3"/>
      <c r="NKG34" s="3"/>
      <c r="NKH34" s="3"/>
      <c r="NKI34" s="3"/>
      <c r="NKJ34" s="3"/>
      <c r="NKK34" s="3"/>
      <c r="NKL34" s="3"/>
      <c r="NKM34" s="3"/>
      <c r="NKN34" s="3"/>
      <c r="NKO34" s="3"/>
      <c r="NKP34" s="3"/>
      <c r="NKQ34" s="3"/>
      <c r="NKR34" s="3"/>
      <c r="NKS34" s="3"/>
      <c r="NKT34" s="3"/>
      <c r="NKU34" s="3"/>
      <c r="NKV34" s="3"/>
      <c r="NKW34" s="3"/>
      <c r="NKX34" s="3"/>
      <c r="NKY34" s="3"/>
      <c r="NKZ34" s="3"/>
      <c r="NLA34" s="3"/>
      <c r="NLB34" s="3"/>
      <c r="NLC34" s="3"/>
      <c r="NLD34" s="3"/>
      <c r="NLE34" s="3"/>
      <c r="NLF34" s="3"/>
      <c r="NLG34" s="3"/>
      <c r="NLH34" s="3"/>
      <c r="NLI34" s="3"/>
      <c r="NLJ34" s="3"/>
      <c r="NLK34" s="3"/>
      <c r="NLL34" s="3"/>
      <c r="NLM34" s="3"/>
      <c r="NLN34" s="3"/>
      <c r="NLO34" s="3"/>
      <c r="NLP34" s="3"/>
      <c r="NLQ34" s="3"/>
      <c r="NLR34" s="3"/>
      <c r="NLS34" s="3"/>
      <c r="NLT34" s="3"/>
      <c r="NLU34" s="3"/>
      <c r="NLV34" s="3"/>
      <c r="NLW34" s="3"/>
      <c r="NLX34" s="3"/>
      <c r="NLY34" s="3"/>
      <c r="NLZ34" s="3"/>
      <c r="NMA34" s="3"/>
      <c r="NMB34" s="3"/>
      <c r="NMC34" s="3"/>
      <c r="NMD34" s="3"/>
      <c r="NME34" s="3"/>
      <c r="NMF34" s="3"/>
      <c r="NMG34" s="3"/>
      <c r="NMH34" s="3"/>
      <c r="NMI34" s="3"/>
      <c r="NMJ34" s="3"/>
      <c r="NMK34" s="3"/>
      <c r="NML34" s="3"/>
      <c r="NMM34" s="3"/>
      <c r="NMN34" s="3"/>
      <c r="NMO34" s="3"/>
      <c r="NMP34" s="3"/>
      <c r="NMQ34" s="3"/>
      <c r="NMR34" s="3"/>
      <c r="NMS34" s="3"/>
      <c r="NMT34" s="3"/>
      <c r="NMU34" s="3"/>
      <c r="NMV34" s="3"/>
      <c r="NMW34" s="3"/>
      <c r="NMX34" s="3"/>
      <c r="NMY34" s="3"/>
      <c r="NMZ34" s="3"/>
      <c r="NNA34" s="3"/>
      <c r="NNB34" s="3"/>
      <c r="NNC34" s="3"/>
      <c r="NND34" s="3"/>
      <c r="NNE34" s="3"/>
      <c r="NNF34" s="3"/>
      <c r="NNG34" s="3"/>
      <c r="NNH34" s="3"/>
      <c r="NNI34" s="3"/>
      <c r="NNJ34" s="3"/>
      <c r="NNK34" s="3"/>
      <c r="NNL34" s="3"/>
      <c r="NNM34" s="3"/>
      <c r="NNN34" s="3"/>
      <c r="NNO34" s="3"/>
      <c r="NNP34" s="3"/>
      <c r="NNQ34" s="3"/>
      <c r="NNR34" s="3"/>
      <c r="NNS34" s="3"/>
      <c r="NNT34" s="3"/>
      <c r="NNU34" s="3"/>
      <c r="NNV34" s="3"/>
      <c r="NNW34" s="3"/>
      <c r="NNX34" s="3"/>
      <c r="NNY34" s="3"/>
      <c r="NNZ34" s="3"/>
      <c r="NOA34" s="3"/>
      <c r="NOB34" s="3"/>
      <c r="NOC34" s="3"/>
      <c r="NOD34" s="3"/>
      <c r="NOE34" s="3"/>
      <c r="NOF34" s="3"/>
      <c r="NOG34" s="3"/>
      <c r="NOH34" s="3"/>
      <c r="NOI34" s="3"/>
      <c r="NOJ34" s="3"/>
      <c r="NOK34" s="3"/>
      <c r="NOL34" s="3"/>
      <c r="NOM34" s="3"/>
      <c r="NON34" s="3"/>
      <c r="NOO34" s="3"/>
      <c r="NOP34" s="3"/>
      <c r="NOQ34" s="3"/>
      <c r="NOR34" s="3"/>
      <c r="NOS34" s="3"/>
      <c r="NOT34" s="3"/>
      <c r="NOU34" s="3"/>
      <c r="NOV34" s="3"/>
      <c r="NOW34" s="3"/>
      <c r="NOX34" s="3"/>
      <c r="NOY34" s="3"/>
      <c r="NOZ34" s="3"/>
      <c r="NPA34" s="3"/>
      <c r="NPB34" s="3"/>
      <c r="NPC34" s="3"/>
      <c r="NPD34" s="3"/>
      <c r="NPE34" s="3"/>
      <c r="NPF34" s="3"/>
      <c r="NPG34" s="3"/>
      <c r="NPH34" s="3"/>
      <c r="NPI34" s="3"/>
      <c r="NPJ34" s="3"/>
      <c r="NPK34" s="3"/>
      <c r="NPL34" s="3"/>
      <c r="NPM34" s="3"/>
      <c r="NPN34" s="3"/>
      <c r="NPO34" s="3"/>
      <c r="NPP34" s="3"/>
      <c r="NPQ34" s="3"/>
      <c r="NPR34" s="3"/>
      <c r="NPS34" s="3"/>
      <c r="NPT34" s="3"/>
      <c r="NPU34" s="3"/>
      <c r="NPV34" s="3"/>
      <c r="NPW34" s="3"/>
      <c r="NPX34" s="3"/>
      <c r="NPY34" s="3"/>
      <c r="NPZ34" s="3"/>
      <c r="NQA34" s="3"/>
      <c r="NQB34" s="3"/>
      <c r="NQC34" s="3"/>
      <c r="NQD34" s="3"/>
      <c r="NQE34" s="3"/>
      <c r="NQF34" s="3"/>
      <c r="NQG34" s="3"/>
      <c r="NQH34" s="3"/>
      <c r="NQI34" s="3"/>
      <c r="NQJ34" s="3"/>
      <c r="NQK34" s="3"/>
      <c r="NQL34" s="3"/>
      <c r="NQM34" s="3"/>
      <c r="NQN34" s="3"/>
      <c r="NQO34" s="3"/>
      <c r="NQP34" s="3"/>
      <c r="NQQ34" s="3"/>
      <c r="NQR34" s="3"/>
      <c r="NQS34" s="3"/>
      <c r="NQT34" s="3"/>
      <c r="NQU34" s="3"/>
      <c r="NQV34" s="3"/>
      <c r="NQW34" s="3"/>
      <c r="NQX34" s="3"/>
      <c r="NQY34" s="3"/>
      <c r="NQZ34" s="3"/>
      <c r="NRA34" s="3"/>
      <c r="NRB34" s="3"/>
      <c r="NRC34" s="3"/>
      <c r="NRD34" s="3"/>
      <c r="NRE34" s="3"/>
      <c r="NRF34" s="3"/>
      <c r="NRG34" s="3"/>
      <c r="NRH34" s="3"/>
      <c r="NRI34" s="3"/>
      <c r="NRJ34" s="3"/>
      <c r="NRK34" s="3"/>
      <c r="NRL34" s="3"/>
      <c r="NRM34" s="3"/>
      <c r="NRN34" s="3"/>
      <c r="NRO34" s="3"/>
      <c r="NRP34" s="3"/>
      <c r="NRQ34" s="3"/>
      <c r="NRR34" s="3"/>
      <c r="NRS34" s="3"/>
      <c r="NRT34" s="3"/>
      <c r="NRU34" s="3"/>
      <c r="NRV34" s="3"/>
      <c r="NRW34" s="3"/>
      <c r="NRX34" s="3"/>
      <c r="NRY34" s="3"/>
      <c r="NRZ34" s="3"/>
      <c r="NSA34" s="3"/>
      <c r="NSB34" s="3"/>
      <c r="NSC34" s="3"/>
      <c r="NSD34" s="3"/>
      <c r="NSE34" s="3"/>
      <c r="NSF34" s="3"/>
      <c r="NSG34" s="3"/>
      <c r="NSH34" s="3"/>
      <c r="NSI34" s="3"/>
      <c r="NSJ34" s="3"/>
      <c r="NSK34" s="3"/>
      <c r="NSL34" s="3"/>
      <c r="NSM34" s="3"/>
      <c r="NSN34" s="3"/>
      <c r="NSO34" s="3"/>
      <c r="NSP34" s="3"/>
      <c r="NSQ34" s="3"/>
      <c r="NSR34" s="3"/>
      <c r="NSS34" s="3"/>
      <c r="NST34" s="3"/>
      <c r="NSU34" s="3"/>
      <c r="NSV34" s="3"/>
      <c r="NSW34" s="3"/>
      <c r="NSX34" s="3"/>
      <c r="NSY34" s="3"/>
      <c r="NSZ34" s="3"/>
      <c r="NTA34" s="3"/>
      <c r="NTB34" s="3"/>
      <c r="NTC34" s="3"/>
      <c r="NTD34" s="3"/>
      <c r="NTE34" s="3"/>
      <c r="NTF34" s="3"/>
      <c r="NTG34" s="3"/>
      <c r="NTH34" s="3"/>
      <c r="NTI34" s="3"/>
      <c r="NTJ34" s="3"/>
      <c r="NTK34" s="3"/>
      <c r="NTL34" s="3"/>
      <c r="NTM34" s="3"/>
      <c r="NTN34" s="3"/>
      <c r="NTO34" s="3"/>
      <c r="NTP34" s="3"/>
      <c r="NTQ34" s="3"/>
      <c r="NTR34" s="3"/>
      <c r="NTS34" s="3"/>
      <c r="NTT34" s="3"/>
      <c r="NTU34" s="3"/>
      <c r="NTV34" s="3"/>
      <c r="NTW34" s="3"/>
      <c r="NTX34" s="3"/>
      <c r="NTY34" s="3"/>
      <c r="NTZ34" s="3"/>
      <c r="NUA34" s="3"/>
      <c r="NUB34" s="3"/>
      <c r="NUC34" s="3"/>
      <c r="NUD34" s="3"/>
      <c r="NUE34" s="3"/>
      <c r="NUF34" s="3"/>
      <c r="NUG34" s="3"/>
      <c r="NUH34" s="3"/>
      <c r="NUI34" s="3"/>
      <c r="NUJ34" s="3"/>
      <c r="NUK34" s="3"/>
      <c r="NUL34" s="3"/>
      <c r="NUM34" s="3"/>
      <c r="NUN34" s="3"/>
      <c r="NUO34" s="3"/>
      <c r="NUP34" s="3"/>
      <c r="NUQ34" s="3"/>
      <c r="NUR34" s="3"/>
      <c r="NUS34" s="3"/>
      <c r="NUT34" s="3"/>
      <c r="NUU34" s="3"/>
      <c r="NUV34" s="3"/>
      <c r="NUW34" s="3"/>
      <c r="NUX34" s="3"/>
      <c r="NUY34" s="3"/>
      <c r="NUZ34" s="3"/>
      <c r="NVA34" s="3"/>
      <c r="NVB34" s="3"/>
      <c r="NVC34" s="3"/>
      <c r="NVD34" s="3"/>
      <c r="NVE34" s="3"/>
      <c r="NVF34" s="3"/>
      <c r="NVG34" s="3"/>
      <c r="NVH34" s="3"/>
      <c r="NVI34" s="3"/>
      <c r="NVJ34" s="3"/>
      <c r="NVK34" s="3"/>
      <c r="NVL34" s="3"/>
      <c r="NVM34" s="3"/>
      <c r="NVN34" s="3"/>
      <c r="NVO34" s="3"/>
      <c r="NVP34" s="3"/>
      <c r="NVQ34" s="3"/>
      <c r="NVR34" s="3"/>
      <c r="NVS34" s="3"/>
      <c r="NVT34" s="3"/>
      <c r="NVU34" s="3"/>
      <c r="NVV34" s="3"/>
      <c r="NVW34" s="3"/>
      <c r="NVX34" s="3"/>
      <c r="NVY34" s="3"/>
      <c r="NVZ34" s="3"/>
      <c r="NWA34" s="3"/>
      <c r="NWB34" s="3"/>
      <c r="NWC34" s="3"/>
      <c r="NWD34" s="3"/>
      <c r="NWE34" s="3"/>
      <c r="NWF34" s="3"/>
      <c r="NWG34" s="3"/>
      <c r="NWH34" s="3"/>
      <c r="NWI34" s="3"/>
      <c r="NWJ34" s="3"/>
      <c r="NWK34" s="3"/>
      <c r="NWL34" s="3"/>
      <c r="NWM34" s="3"/>
      <c r="NWN34" s="3"/>
      <c r="NWO34" s="3"/>
      <c r="NWP34" s="3"/>
      <c r="NWQ34" s="3"/>
      <c r="NWR34" s="3"/>
      <c r="NWS34" s="3"/>
      <c r="NWT34" s="3"/>
      <c r="NWU34" s="3"/>
      <c r="NWV34" s="3"/>
      <c r="NWW34" s="3"/>
      <c r="NWX34" s="3"/>
      <c r="NWY34" s="3"/>
      <c r="NWZ34" s="3"/>
      <c r="NXA34" s="3"/>
      <c r="NXB34" s="3"/>
      <c r="NXC34" s="3"/>
      <c r="NXD34" s="3"/>
      <c r="NXE34" s="3"/>
      <c r="NXF34" s="3"/>
      <c r="NXG34" s="3"/>
      <c r="NXH34" s="3"/>
      <c r="NXI34" s="3"/>
      <c r="NXJ34" s="3"/>
      <c r="NXK34" s="3"/>
      <c r="NXL34" s="3"/>
      <c r="NXM34" s="3"/>
      <c r="NXN34" s="3"/>
      <c r="NXO34" s="3"/>
      <c r="NXP34" s="3"/>
      <c r="NXQ34" s="3"/>
      <c r="NXR34" s="3"/>
      <c r="NXS34" s="3"/>
      <c r="NXT34" s="3"/>
      <c r="NXU34" s="3"/>
      <c r="NXV34" s="3"/>
      <c r="NXW34" s="3"/>
      <c r="NXX34" s="3"/>
      <c r="NXY34" s="3"/>
      <c r="NXZ34" s="3"/>
      <c r="NYA34" s="3"/>
      <c r="NYB34" s="3"/>
      <c r="NYC34" s="3"/>
      <c r="NYD34" s="3"/>
      <c r="NYE34" s="3"/>
      <c r="NYF34" s="3"/>
      <c r="NYG34" s="3"/>
      <c r="NYH34" s="3"/>
      <c r="NYI34" s="3"/>
      <c r="NYJ34" s="3"/>
      <c r="NYK34" s="3"/>
      <c r="NYL34" s="3"/>
      <c r="NYM34" s="3"/>
      <c r="NYN34" s="3"/>
      <c r="NYO34" s="3"/>
      <c r="NYP34" s="3"/>
      <c r="NYQ34" s="3"/>
      <c r="NYR34" s="3"/>
      <c r="NYS34" s="3"/>
      <c r="NYT34" s="3"/>
      <c r="NYU34" s="3"/>
      <c r="NYV34" s="3"/>
      <c r="NYW34" s="3"/>
      <c r="NYX34" s="3"/>
      <c r="NYY34" s="3"/>
      <c r="NYZ34" s="3"/>
      <c r="NZA34" s="3"/>
      <c r="NZB34" s="3"/>
      <c r="NZC34" s="3"/>
      <c r="NZD34" s="3"/>
      <c r="NZE34" s="3"/>
      <c r="NZF34" s="3"/>
      <c r="NZG34" s="3"/>
      <c r="NZH34" s="3"/>
      <c r="NZI34" s="3"/>
      <c r="NZJ34" s="3"/>
      <c r="NZK34" s="3"/>
      <c r="NZL34" s="3"/>
      <c r="NZM34" s="3"/>
      <c r="NZN34" s="3"/>
      <c r="NZO34" s="3"/>
      <c r="NZP34" s="3"/>
      <c r="NZQ34" s="3"/>
      <c r="NZR34" s="3"/>
      <c r="NZS34" s="3"/>
      <c r="NZT34" s="3"/>
      <c r="NZU34" s="3"/>
      <c r="NZV34" s="3"/>
      <c r="NZW34" s="3"/>
      <c r="NZX34" s="3"/>
      <c r="NZY34" s="3"/>
      <c r="NZZ34" s="3"/>
      <c r="OAA34" s="3"/>
      <c r="OAB34" s="3"/>
      <c r="OAC34" s="3"/>
      <c r="OAD34" s="3"/>
      <c r="OAE34" s="3"/>
      <c r="OAF34" s="3"/>
      <c r="OAG34" s="3"/>
      <c r="OAH34" s="3"/>
      <c r="OAI34" s="3"/>
      <c r="OAJ34" s="3"/>
      <c r="OAK34" s="3"/>
      <c r="OAL34" s="3"/>
      <c r="OAM34" s="3"/>
      <c r="OAN34" s="3"/>
      <c r="OAO34" s="3"/>
      <c r="OAP34" s="3"/>
      <c r="OAQ34" s="3"/>
      <c r="OAR34" s="3"/>
      <c r="OAS34" s="3"/>
      <c r="OAT34" s="3"/>
      <c r="OAU34" s="3"/>
      <c r="OAV34" s="3"/>
      <c r="OAW34" s="3"/>
      <c r="OAX34" s="3"/>
      <c r="OAY34" s="3"/>
      <c r="OAZ34" s="3"/>
      <c r="OBA34" s="3"/>
      <c r="OBB34" s="3"/>
      <c r="OBC34" s="3"/>
      <c r="OBD34" s="3"/>
      <c r="OBE34" s="3"/>
      <c r="OBF34" s="3"/>
      <c r="OBG34" s="3"/>
      <c r="OBH34" s="3"/>
      <c r="OBI34" s="3"/>
      <c r="OBJ34" s="3"/>
      <c r="OBK34" s="3"/>
      <c r="OBL34" s="3"/>
      <c r="OBM34" s="3"/>
      <c r="OBN34" s="3"/>
      <c r="OBO34" s="3"/>
      <c r="OBP34" s="3"/>
      <c r="OBQ34" s="3"/>
      <c r="OBR34" s="3"/>
      <c r="OBS34" s="3"/>
      <c r="OBT34" s="3"/>
      <c r="OBU34" s="3"/>
      <c r="OBV34" s="3"/>
      <c r="OBW34" s="3"/>
      <c r="OBX34" s="3"/>
      <c r="OBY34" s="3"/>
      <c r="OBZ34" s="3"/>
      <c r="OCA34" s="3"/>
      <c r="OCB34" s="3"/>
      <c r="OCC34" s="3"/>
      <c r="OCD34" s="3"/>
      <c r="OCE34" s="3"/>
      <c r="OCF34" s="3"/>
      <c r="OCG34" s="3"/>
      <c r="OCH34" s="3"/>
      <c r="OCI34" s="3"/>
      <c r="OCJ34" s="3"/>
      <c r="OCK34" s="3"/>
      <c r="OCL34" s="3"/>
      <c r="OCM34" s="3"/>
      <c r="OCN34" s="3"/>
      <c r="OCO34" s="3"/>
      <c r="OCP34" s="3"/>
      <c r="OCQ34" s="3"/>
      <c r="OCR34" s="3"/>
      <c r="OCS34" s="3"/>
      <c r="OCT34" s="3"/>
      <c r="OCU34" s="3"/>
      <c r="OCV34" s="3"/>
      <c r="OCW34" s="3"/>
      <c r="OCX34" s="3"/>
      <c r="OCY34" s="3"/>
      <c r="OCZ34" s="3"/>
      <c r="ODA34" s="3"/>
      <c r="ODB34" s="3"/>
      <c r="ODC34" s="3"/>
      <c r="ODD34" s="3"/>
      <c r="ODE34" s="3"/>
      <c r="ODF34" s="3"/>
      <c r="ODG34" s="3"/>
      <c r="ODH34" s="3"/>
      <c r="ODI34" s="3"/>
      <c r="ODJ34" s="3"/>
      <c r="ODK34" s="3"/>
      <c r="ODL34" s="3"/>
      <c r="ODM34" s="3"/>
      <c r="ODN34" s="3"/>
      <c r="ODO34" s="3"/>
      <c r="ODP34" s="3"/>
      <c r="ODQ34" s="3"/>
      <c r="ODR34" s="3"/>
      <c r="ODS34" s="3"/>
      <c r="ODT34" s="3"/>
      <c r="ODU34" s="3"/>
      <c r="ODV34" s="3"/>
      <c r="ODW34" s="3"/>
      <c r="ODX34" s="3"/>
      <c r="ODY34" s="3"/>
      <c r="ODZ34" s="3"/>
      <c r="OEA34" s="3"/>
      <c r="OEB34" s="3"/>
      <c r="OEC34" s="3"/>
      <c r="OED34" s="3"/>
      <c r="OEE34" s="3"/>
      <c r="OEF34" s="3"/>
      <c r="OEG34" s="3"/>
      <c r="OEH34" s="3"/>
      <c r="OEI34" s="3"/>
      <c r="OEJ34" s="3"/>
      <c r="OEK34" s="3"/>
      <c r="OEL34" s="3"/>
      <c r="OEM34" s="3"/>
      <c r="OEN34" s="3"/>
      <c r="OEO34" s="3"/>
      <c r="OEP34" s="3"/>
      <c r="OEQ34" s="3"/>
      <c r="OER34" s="3"/>
      <c r="OES34" s="3"/>
      <c r="OET34" s="3"/>
      <c r="OEU34" s="3"/>
      <c r="OEV34" s="3"/>
      <c r="OEW34" s="3"/>
      <c r="OEX34" s="3"/>
      <c r="OEY34" s="3"/>
      <c r="OEZ34" s="3"/>
      <c r="OFA34" s="3"/>
      <c r="OFB34" s="3"/>
      <c r="OFC34" s="3"/>
      <c r="OFD34" s="3"/>
      <c r="OFE34" s="3"/>
      <c r="OFF34" s="3"/>
      <c r="OFG34" s="3"/>
      <c r="OFH34" s="3"/>
      <c r="OFI34" s="3"/>
      <c r="OFJ34" s="3"/>
      <c r="OFK34" s="3"/>
      <c r="OFL34" s="3"/>
      <c r="OFM34" s="3"/>
      <c r="OFN34" s="3"/>
      <c r="OFO34" s="3"/>
      <c r="OFP34" s="3"/>
      <c r="OFQ34" s="3"/>
      <c r="OFR34" s="3"/>
      <c r="OFS34" s="3"/>
      <c r="OFT34" s="3"/>
      <c r="OFU34" s="3"/>
      <c r="OFV34" s="3"/>
      <c r="OFW34" s="3"/>
      <c r="OFX34" s="3"/>
      <c r="OFY34" s="3"/>
      <c r="OFZ34" s="3"/>
      <c r="OGA34" s="3"/>
      <c r="OGB34" s="3"/>
      <c r="OGC34" s="3"/>
      <c r="OGD34" s="3"/>
      <c r="OGE34" s="3"/>
      <c r="OGF34" s="3"/>
      <c r="OGG34" s="3"/>
      <c r="OGH34" s="3"/>
      <c r="OGI34" s="3"/>
      <c r="OGJ34" s="3"/>
      <c r="OGK34" s="3"/>
      <c r="OGL34" s="3"/>
      <c r="OGM34" s="3"/>
      <c r="OGN34" s="3"/>
      <c r="OGO34" s="3"/>
      <c r="OGP34" s="3"/>
      <c r="OGQ34" s="3"/>
      <c r="OGR34" s="3"/>
      <c r="OGS34" s="3"/>
      <c r="OGT34" s="3"/>
      <c r="OGU34" s="3"/>
      <c r="OGV34" s="3"/>
      <c r="OGW34" s="3"/>
      <c r="OGX34" s="3"/>
      <c r="OGY34" s="3"/>
      <c r="OGZ34" s="3"/>
      <c r="OHA34" s="3"/>
      <c r="OHB34" s="3"/>
      <c r="OHC34" s="3"/>
      <c r="OHD34" s="3"/>
      <c r="OHE34" s="3"/>
      <c r="OHF34" s="3"/>
      <c r="OHG34" s="3"/>
      <c r="OHH34" s="3"/>
      <c r="OHI34" s="3"/>
      <c r="OHJ34" s="3"/>
      <c r="OHK34" s="3"/>
      <c r="OHL34" s="3"/>
      <c r="OHM34" s="3"/>
      <c r="OHN34" s="3"/>
      <c r="OHO34" s="3"/>
      <c r="OHP34" s="3"/>
      <c r="OHQ34" s="3"/>
      <c r="OHR34" s="3"/>
      <c r="OHS34" s="3"/>
      <c r="OHT34" s="3"/>
      <c r="OHU34" s="3"/>
      <c r="OHV34" s="3"/>
      <c r="OHW34" s="3"/>
      <c r="OHX34" s="3"/>
      <c r="OHY34" s="3"/>
      <c r="OHZ34" s="3"/>
      <c r="OIA34" s="3"/>
      <c r="OIB34" s="3"/>
      <c r="OIC34" s="3"/>
      <c r="OID34" s="3"/>
      <c r="OIE34" s="3"/>
      <c r="OIF34" s="3"/>
      <c r="OIG34" s="3"/>
      <c r="OIH34" s="3"/>
      <c r="OII34" s="3"/>
      <c r="OIJ34" s="3"/>
      <c r="OIK34" s="3"/>
      <c r="OIL34" s="3"/>
      <c r="OIM34" s="3"/>
      <c r="OIN34" s="3"/>
      <c r="OIO34" s="3"/>
      <c r="OIP34" s="3"/>
      <c r="OIQ34" s="3"/>
      <c r="OIR34" s="3"/>
      <c r="OIS34" s="3"/>
      <c r="OIT34" s="3"/>
      <c r="OIU34" s="3"/>
      <c r="OIV34" s="3"/>
      <c r="OIW34" s="3"/>
      <c r="OIX34" s="3"/>
      <c r="OIY34" s="3"/>
      <c r="OIZ34" s="3"/>
      <c r="OJA34" s="3"/>
      <c r="OJB34" s="3"/>
      <c r="OJC34" s="3"/>
      <c r="OJD34" s="3"/>
      <c r="OJE34" s="3"/>
      <c r="OJF34" s="3"/>
      <c r="OJG34" s="3"/>
      <c r="OJH34" s="3"/>
      <c r="OJI34" s="3"/>
      <c r="OJJ34" s="3"/>
      <c r="OJK34" s="3"/>
      <c r="OJL34" s="3"/>
      <c r="OJM34" s="3"/>
      <c r="OJN34" s="3"/>
      <c r="OJO34" s="3"/>
      <c r="OJP34" s="3"/>
      <c r="OJQ34" s="3"/>
      <c r="OJR34" s="3"/>
      <c r="OJS34" s="3"/>
      <c r="OJT34" s="3"/>
      <c r="OJU34" s="3"/>
      <c r="OJV34" s="3"/>
      <c r="OJW34" s="3"/>
      <c r="OJX34" s="3"/>
      <c r="OJY34" s="3"/>
      <c r="OJZ34" s="3"/>
      <c r="OKA34" s="3"/>
      <c r="OKB34" s="3"/>
      <c r="OKC34" s="3"/>
      <c r="OKD34" s="3"/>
      <c r="OKE34" s="3"/>
      <c r="OKF34" s="3"/>
      <c r="OKG34" s="3"/>
      <c r="OKH34" s="3"/>
      <c r="OKI34" s="3"/>
      <c r="OKJ34" s="3"/>
      <c r="OKK34" s="3"/>
      <c r="OKL34" s="3"/>
      <c r="OKM34" s="3"/>
      <c r="OKN34" s="3"/>
      <c r="OKO34" s="3"/>
      <c r="OKP34" s="3"/>
      <c r="OKQ34" s="3"/>
      <c r="OKR34" s="3"/>
      <c r="OKS34" s="3"/>
      <c r="OKT34" s="3"/>
      <c r="OKU34" s="3"/>
      <c r="OKV34" s="3"/>
      <c r="OKW34" s="3"/>
      <c r="OKX34" s="3"/>
      <c r="OKY34" s="3"/>
      <c r="OKZ34" s="3"/>
      <c r="OLA34" s="3"/>
      <c r="OLB34" s="3"/>
      <c r="OLC34" s="3"/>
      <c r="OLD34" s="3"/>
      <c r="OLE34" s="3"/>
      <c r="OLF34" s="3"/>
      <c r="OLG34" s="3"/>
      <c r="OLH34" s="3"/>
      <c r="OLI34" s="3"/>
      <c r="OLJ34" s="3"/>
      <c r="OLK34" s="3"/>
      <c r="OLL34" s="3"/>
      <c r="OLM34" s="3"/>
      <c r="OLN34" s="3"/>
      <c r="OLO34" s="3"/>
      <c r="OLP34" s="3"/>
      <c r="OLQ34" s="3"/>
      <c r="OLR34" s="3"/>
      <c r="OLS34" s="3"/>
      <c r="OLT34" s="3"/>
      <c r="OLU34" s="3"/>
      <c r="OLV34" s="3"/>
      <c r="OLW34" s="3"/>
      <c r="OLX34" s="3"/>
      <c r="OLY34" s="3"/>
      <c r="OLZ34" s="3"/>
      <c r="OMA34" s="3"/>
      <c r="OMB34" s="3"/>
      <c r="OMC34" s="3"/>
      <c r="OMD34" s="3"/>
      <c r="OME34" s="3"/>
      <c r="OMF34" s="3"/>
      <c r="OMG34" s="3"/>
      <c r="OMH34" s="3"/>
      <c r="OMI34" s="3"/>
      <c r="OMJ34" s="3"/>
      <c r="OMK34" s="3"/>
      <c r="OML34" s="3"/>
      <c r="OMM34" s="3"/>
      <c r="OMN34" s="3"/>
      <c r="OMO34" s="3"/>
      <c r="OMP34" s="3"/>
      <c r="OMQ34" s="3"/>
      <c r="OMR34" s="3"/>
      <c r="OMS34" s="3"/>
      <c r="OMT34" s="3"/>
      <c r="OMU34" s="3"/>
      <c r="OMV34" s="3"/>
      <c r="OMW34" s="3"/>
      <c r="OMX34" s="3"/>
      <c r="OMY34" s="3"/>
      <c r="OMZ34" s="3"/>
      <c r="ONA34" s="3"/>
      <c r="ONB34" s="3"/>
      <c r="ONC34" s="3"/>
      <c r="OND34" s="3"/>
      <c r="ONE34" s="3"/>
      <c r="ONF34" s="3"/>
      <c r="ONG34" s="3"/>
      <c r="ONH34" s="3"/>
      <c r="ONI34" s="3"/>
      <c r="ONJ34" s="3"/>
      <c r="ONK34" s="3"/>
      <c r="ONL34" s="3"/>
      <c r="ONM34" s="3"/>
      <c r="ONN34" s="3"/>
      <c r="ONO34" s="3"/>
      <c r="ONP34" s="3"/>
      <c r="ONQ34" s="3"/>
      <c r="ONR34" s="3"/>
      <c r="ONS34" s="3"/>
      <c r="ONT34" s="3"/>
      <c r="ONU34" s="3"/>
      <c r="ONV34" s="3"/>
      <c r="ONW34" s="3"/>
      <c r="ONX34" s="3"/>
      <c r="ONY34" s="3"/>
      <c r="ONZ34" s="3"/>
      <c r="OOA34" s="3"/>
      <c r="OOB34" s="3"/>
      <c r="OOC34" s="3"/>
      <c r="OOD34" s="3"/>
      <c r="OOE34" s="3"/>
      <c r="OOF34" s="3"/>
      <c r="OOG34" s="3"/>
      <c r="OOH34" s="3"/>
      <c r="OOI34" s="3"/>
      <c r="OOJ34" s="3"/>
      <c r="OOK34" s="3"/>
      <c r="OOL34" s="3"/>
      <c r="OOM34" s="3"/>
      <c r="OON34" s="3"/>
      <c r="OOO34" s="3"/>
      <c r="OOP34" s="3"/>
      <c r="OOQ34" s="3"/>
      <c r="OOR34" s="3"/>
      <c r="OOS34" s="3"/>
      <c r="OOT34" s="3"/>
      <c r="OOU34" s="3"/>
      <c r="OOV34" s="3"/>
      <c r="OOW34" s="3"/>
      <c r="OOX34" s="3"/>
      <c r="OOY34" s="3"/>
      <c r="OOZ34" s="3"/>
      <c r="OPA34" s="3"/>
      <c r="OPB34" s="3"/>
      <c r="OPC34" s="3"/>
      <c r="OPD34" s="3"/>
      <c r="OPE34" s="3"/>
      <c r="OPF34" s="3"/>
      <c r="OPG34" s="3"/>
      <c r="OPH34" s="3"/>
      <c r="OPI34" s="3"/>
      <c r="OPJ34" s="3"/>
      <c r="OPK34" s="3"/>
      <c r="OPL34" s="3"/>
      <c r="OPM34" s="3"/>
      <c r="OPN34" s="3"/>
      <c r="OPO34" s="3"/>
      <c r="OPP34" s="3"/>
      <c r="OPQ34" s="3"/>
      <c r="OPR34" s="3"/>
      <c r="OPS34" s="3"/>
      <c r="OPT34" s="3"/>
      <c r="OPU34" s="3"/>
      <c r="OPV34" s="3"/>
      <c r="OPW34" s="3"/>
      <c r="OPX34" s="3"/>
      <c r="OPY34" s="3"/>
      <c r="OPZ34" s="3"/>
      <c r="OQA34" s="3"/>
      <c r="OQB34" s="3"/>
      <c r="OQC34" s="3"/>
      <c r="OQD34" s="3"/>
      <c r="OQE34" s="3"/>
      <c r="OQF34" s="3"/>
      <c r="OQG34" s="3"/>
      <c r="OQH34" s="3"/>
      <c r="OQI34" s="3"/>
      <c r="OQJ34" s="3"/>
      <c r="OQK34" s="3"/>
      <c r="OQL34" s="3"/>
      <c r="OQM34" s="3"/>
      <c r="OQN34" s="3"/>
      <c r="OQO34" s="3"/>
      <c r="OQP34" s="3"/>
      <c r="OQQ34" s="3"/>
      <c r="OQR34" s="3"/>
      <c r="OQS34" s="3"/>
      <c r="OQT34" s="3"/>
      <c r="OQU34" s="3"/>
      <c r="OQV34" s="3"/>
      <c r="OQW34" s="3"/>
      <c r="OQX34" s="3"/>
      <c r="OQY34" s="3"/>
      <c r="OQZ34" s="3"/>
      <c r="ORA34" s="3"/>
      <c r="ORB34" s="3"/>
      <c r="ORC34" s="3"/>
      <c r="ORD34" s="3"/>
      <c r="ORE34" s="3"/>
      <c r="ORF34" s="3"/>
      <c r="ORG34" s="3"/>
      <c r="ORH34" s="3"/>
      <c r="ORI34" s="3"/>
      <c r="ORJ34" s="3"/>
      <c r="ORK34" s="3"/>
      <c r="ORL34" s="3"/>
      <c r="ORM34" s="3"/>
      <c r="ORN34" s="3"/>
      <c r="ORO34" s="3"/>
      <c r="ORP34" s="3"/>
      <c r="ORQ34" s="3"/>
      <c r="ORR34" s="3"/>
      <c r="ORS34" s="3"/>
      <c r="ORT34" s="3"/>
      <c r="ORU34" s="3"/>
      <c r="ORV34" s="3"/>
      <c r="ORW34" s="3"/>
      <c r="ORX34" s="3"/>
      <c r="ORY34" s="3"/>
      <c r="ORZ34" s="3"/>
      <c r="OSA34" s="3"/>
      <c r="OSB34" s="3"/>
      <c r="OSC34" s="3"/>
      <c r="OSD34" s="3"/>
      <c r="OSE34" s="3"/>
      <c r="OSF34" s="3"/>
      <c r="OSG34" s="3"/>
      <c r="OSH34" s="3"/>
      <c r="OSI34" s="3"/>
      <c r="OSJ34" s="3"/>
      <c r="OSK34" s="3"/>
      <c r="OSL34" s="3"/>
      <c r="OSM34" s="3"/>
      <c r="OSN34" s="3"/>
      <c r="OSO34" s="3"/>
      <c r="OSP34" s="3"/>
      <c r="OSQ34" s="3"/>
      <c r="OSR34" s="3"/>
      <c r="OSS34" s="3"/>
      <c r="OST34" s="3"/>
      <c r="OSU34" s="3"/>
      <c r="OSV34" s="3"/>
      <c r="OSW34" s="3"/>
      <c r="OSX34" s="3"/>
      <c r="OSY34" s="3"/>
      <c r="OSZ34" s="3"/>
      <c r="OTA34" s="3"/>
      <c r="OTB34" s="3"/>
      <c r="OTC34" s="3"/>
      <c r="OTD34" s="3"/>
      <c r="OTE34" s="3"/>
      <c r="OTF34" s="3"/>
      <c r="OTG34" s="3"/>
      <c r="OTH34" s="3"/>
      <c r="OTI34" s="3"/>
      <c r="OTJ34" s="3"/>
      <c r="OTK34" s="3"/>
      <c r="OTL34" s="3"/>
      <c r="OTM34" s="3"/>
      <c r="OTN34" s="3"/>
      <c r="OTO34" s="3"/>
      <c r="OTP34" s="3"/>
      <c r="OTQ34" s="3"/>
      <c r="OTR34" s="3"/>
      <c r="OTS34" s="3"/>
      <c r="OTT34" s="3"/>
      <c r="OTU34" s="3"/>
      <c r="OTV34" s="3"/>
      <c r="OTW34" s="3"/>
      <c r="OTX34" s="3"/>
      <c r="OTY34" s="3"/>
      <c r="OTZ34" s="3"/>
      <c r="OUA34" s="3"/>
      <c r="OUB34" s="3"/>
      <c r="OUC34" s="3"/>
      <c r="OUD34" s="3"/>
      <c r="OUE34" s="3"/>
      <c r="OUF34" s="3"/>
      <c r="OUG34" s="3"/>
      <c r="OUH34" s="3"/>
      <c r="OUI34" s="3"/>
      <c r="OUJ34" s="3"/>
      <c r="OUK34" s="3"/>
      <c r="OUL34" s="3"/>
      <c r="OUM34" s="3"/>
      <c r="OUN34" s="3"/>
      <c r="OUO34" s="3"/>
      <c r="OUP34" s="3"/>
      <c r="OUQ34" s="3"/>
      <c r="OUR34" s="3"/>
      <c r="OUS34" s="3"/>
      <c r="OUT34" s="3"/>
      <c r="OUU34" s="3"/>
      <c r="OUV34" s="3"/>
      <c r="OUW34" s="3"/>
      <c r="OUX34" s="3"/>
      <c r="OUY34" s="3"/>
      <c r="OUZ34" s="3"/>
      <c r="OVA34" s="3"/>
      <c r="OVB34" s="3"/>
      <c r="OVC34" s="3"/>
      <c r="OVD34" s="3"/>
      <c r="OVE34" s="3"/>
      <c r="OVF34" s="3"/>
      <c r="OVG34" s="3"/>
      <c r="OVH34" s="3"/>
      <c r="OVI34" s="3"/>
      <c r="OVJ34" s="3"/>
      <c r="OVK34" s="3"/>
      <c r="OVL34" s="3"/>
      <c r="OVM34" s="3"/>
      <c r="OVN34" s="3"/>
      <c r="OVO34" s="3"/>
      <c r="OVP34" s="3"/>
      <c r="OVQ34" s="3"/>
      <c r="OVR34" s="3"/>
      <c r="OVS34" s="3"/>
      <c r="OVT34" s="3"/>
      <c r="OVU34" s="3"/>
      <c r="OVV34" s="3"/>
      <c r="OVW34" s="3"/>
      <c r="OVX34" s="3"/>
      <c r="OVY34" s="3"/>
      <c r="OVZ34" s="3"/>
      <c r="OWA34" s="3"/>
      <c r="OWB34" s="3"/>
      <c r="OWC34" s="3"/>
      <c r="OWD34" s="3"/>
      <c r="OWE34" s="3"/>
      <c r="OWF34" s="3"/>
      <c r="OWG34" s="3"/>
      <c r="OWH34" s="3"/>
      <c r="OWI34" s="3"/>
      <c r="OWJ34" s="3"/>
      <c r="OWK34" s="3"/>
      <c r="OWL34" s="3"/>
      <c r="OWM34" s="3"/>
      <c r="OWN34" s="3"/>
      <c r="OWO34" s="3"/>
      <c r="OWP34" s="3"/>
      <c r="OWQ34" s="3"/>
      <c r="OWR34" s="3"/>
      <c r="OWS34" s="3"/>
      <c r="OWT34" s="3"/>
      <c r="OWU34" s="3"/>
      <c r="OWV34" s="3"/>
      <c r="OWW34" s="3"/>
      <c r="OWX34" s="3"/>
      <c r="OWY34" s="3"/>
      <c r="OWZ34" s="3"/>
      <c r="OXA34" s="3"/>
      <c r="OXB34" s="3"/>
      <c r="OXC34" s="3"/>
      <c r="OXD34" s="3"/>
      <c r="OXE34" s="3"/>
      <c r="OXF34" s="3"/>
      <c r="OXG34" s="3"/>
      <c r="OXH34" s="3"/>
      <c r="OXI34" s="3"/>
      <c r="OXJ34" s="3"/>
      <c r="OXK34" s="3"/>
      <c r="OXL34" s="3"/>
      <c r="OXM34" s="3"/>
      <c r="OXN34" s="3"/>
      <c r="OXO34" s="3"/>
      <c r="OXP34" s="3"/>
      <c r="OXQ34" s="3"/>
      <c r="OXR34" s="3"/>
      <c r="OXS34" s="3"/>
      <c r="OXT34" s="3"/>
      <c r="OXU34" s="3"/>
      <c r="OXV34" s="3"/>
      <c r="OXW34" s="3"/>
      <c r="OXX34" s="3"/>
      <c r="OXY34" s="3"/>
      <c r="OXZ34" s="3"/>
      <c r="OYA34" s="3"/>
      <c r="OYB34" s="3"/>
      <c r="OYC34" s="3"/>
      <c r="OYD34" s="3"/>
      <c r="OYE34" s="3"/>
      <c r="OYF34" s="3"/>
      <c r="OYG34" s="3"/>
      <c r="OYH34" s="3"/>
      <c r="OYI34" s="3"/>
      <c r="OYJ34" s="3"/>
      <c r="OYK34" s="3"/>
      <c r="OYL34" s="3"/>
      <c r="OYM34" s="3"/>
      <c r="OYN34" s="3"/>
      <c r="OYO34" s="3"/>
      <c r="OYP34" s="3"/>
      <c r="OYQ34" s="3"/>
      <c r="OYR34" s="3"/>
      <c r="OYS34" s="3"/>
      <c r="OYT34" s="3"/>
      <c r="OYU34" s="3"/>
      <c r="OYV34" s="3"/>
      <c r="OYW34" s="3"/>
      <c r="OYX34" s="3"/>
      <c r="OYY34" s="3"/>
      <c r="OYZ34" s="3"/>
      <c r="OZA34" s="3"/>
      <c r="OZB34" s="3"/>
      <c r="OZC34" s="3"/>
      <c r="OZD34" s="3"/>
      <c r="OZE34" s="3"/>
      <c r="OZF34" s="3"/>
      <c r="OZG34" s="3"/>
      <c r="OZH34" s="3"/>
      <c r="OZI34" s="3"/>
      <c r="OZJ34" s="3"/>
      <c r="OZK34" s="3"/>
      <c r="OZL34" s="3"/>
      <c r="OZM34" s="3"/>
      <c r="OZN34" s="3"/>
      <c r="OZO34" s="3"/>
      <c r="OZP34" s="3"/>
      <c r="OZQ34" s="3"/>
      <c r="OZR34" s="3"/>
      <c r="OZS34" s="3"/>
      <c r="OZT34" s="3"/>
      <c r="OZU34" s="3"/>
      <c r="OZV34" s="3"/>
      <c r="OZW34" s="3"/>
      <c r="OZX34" s="3"/>
      <c r="OZY34" s="3"/>
      <c r="OZZ34" s="3"/>
      <c r="PAA34" s="3"/>
      <c r="PAB34" s="3"/>
      <c r="PAC34" s="3"/>
      <c r="PAD34" s="3"/>
      <c r="PAE34" s="3"/>
      <c r="PAF34" s="3"/>
      <c r="PAG34" s="3"/>
      <c r="PAH34" s="3"/>
      <c r="PAI34" s="3"/>
      <c r="PAJ34" s="3"/>
      <c r="PAK34" s="3"/>
      <c r="PAL34" s="3"/>
      <c r="PAM34" s="3"/>
      <c r="PAN34" s="3"/>
      <c r="PAO34" s="3"/>
      <c r="PAP34" s="3"/>
      <c r="PAQ34" s="3"/>
      <c r="PAR34" s="3"/>
      <c r="PAS34" s="3"/>
      <c r="PAT34" s="3"/>
      <c r="PAU34" s="3"/>
      <c r="PAV34" s="3"/>
      <c r="PAW34" s="3"/>
      <c r="PAX34" s="3"/>
      <c r="PAY34" s="3"/>
      <c r="PAZ34" s="3"/>
      <c r="PBA34" s="3"/>
      <c r="PBB34" s="3"/>
      <c r="PBC34" s="3"/>
      <c r="PBD34" s="3"/>
      <c r="PBE34" s="3"/>
      <c r="PBF34" s="3"/>
      <c r="PBG34" s="3"/>
      <c r="PBH34" s="3"/>
      <c r="PBI34" s="3"/>
      <c r="PBJ34" s="3"/>
      <c r="PBK34" s="3"/>
      <c r="PBL34" s="3"/>
      <c r="PBM34" s="3"/>
      <c r="PBN34" s="3"/>
      <c r="PBO34" s="3"/>
      <c r="PBP34" s="3"/>
      <c r="PBQ34" s="3"/>
      <c r="PBR34" s="3"/>
      <c r="PBS34" s="3"/>
      <c r="PBT34" s="3"/>
      <c r="PBU34" s="3"/>
      <c r="PBV34" s="3"/>
      <c r="PBW34" s="3"/>
      <c r="PBX34" s="3"/>
      <c r="PBY34" s="3"/>
      <c r="PBZ34" s="3"/>
      <c r="PCA34" s="3"/>
      <c r="PCB34" s="3"/>
      <c r="PCC34" s="3"/>
      <c r="PCD34" s="3"/>
      <c r="PCE34" s="3"/>
      <c r="PCF34" s="3"/>
      <c r="PCG34" s="3"/>
      <c r="PCH34" s="3"/>
      <c r="PCI34" s="3"/>
      <c r="PCJ34" s="3"/>
      <c r="PCK34" s="3"/>
      <c r="PCL34" s="3"/>
      <c r="PCM34" s="3"/>
      <c r="PCN34" s="3"/>
      <c r="PCO34" s="3"/>
      <c r="PCP34" s="3"/>
      <c r="PCQ34" s="3"/>
      <c r="PCR34" s="3"/>
      <c r="PCS34" s="3"/>
      <c r="PCT34" s="3"/>
      <c r="PCU34" s="3"/>
      <c r="PCV34" s="3"/>
      <c r="PCW34" s="3"/>
      <c r="PCX34" s="3"/>
      <c r="PCY34" s="3"/>
      <c r="PCZ34" s="3"/>
      <c r="PDA34" s="3"/>
      <c r="PDB34" s="3"/>
      <c r="PDC34" s="3"/>
      <c r="PDD34" s="3"/>
      <c r="PDE34" s="3"/>
      <c r="PDF34" s="3"/>
      <c r="PDG34" s="3"/>
      <c r="PDH34" s="3"/>
      <c r="PDI34" s="3"/>
      <c r="PDJ34" s="3"/>
      <c r="PDK34" s="3"/>
      <c r="PDL34" s="3"/>
      <c r="PDM34" s="3"/>
      <c r="PDN34" s="3"/>
      <c r="PDO34" s="3"/>
      <c r="PDP34" s="3"/>
      <c r="PDQ34" s="3"/>
      <c r="PDR34" s="3"/>
      <c r="PDS34" s="3"/>
      <c r="PDT34" s="3"/>
      <c r="PDU34" s="3"/>
      <c r="PDV34" s="3"/>
      <c r="PDW34" s="3"/>
      <c r="PDX34" s="3"/>
      <c r="PDY34" s="3"/>
      <c r="PDZ34" s="3"/>
      <c r="PEA34" s="3"/>
      <c r="PEB34" s="3"/>
      <c r="PEC34" s="3"/>
      <c r="PED34" s="3"/>
      <c r="PEE34" s="3"/>
      <c r="PEF34" s="3"/>
      <c r="PEG34" s="3"/>
      <c r="PEH34" s="3"/>
      <c r="PEI34" s="3"/>
      <c r="PEJ34" s="3"/>
      <c r="PEK34" s="3"/>
      <c r="PEL34" s="3"/>
      <c r="PEM34" s="3"/>
      <c r="PEN34" s="3"/>
      <c r="PEO34" s="3"/>
      <c r="PEP34" s="3"/>
      <c r="PEQ34" s="3"/>
      <c r="PER34" s="3"/>
      <c r="PES34" s="3"/>
      <c r="PET34" s="3"/>
      <c r="PEU34" s="3"/>
      <c r="PEV34" s="3"/>
      <c r="PEW34" s="3"/>
      <c r="PEX34" s="3"/>
      <c r="PEY34" s="3"/>
      <c r="PEZ34" s="3"/>
      <c r="PFA34" s="3"/>
      <c r="PFB34" s="3"/>
      <c r="PFC34" s="3"/>
      <c r="PFD34" s="3"/>
      <c r="PFE34" s="3"/>
      <c r="PFF34" s="3"/>
      <c r="PFG34" s="3"/>
      <c r="PFH34" s="3"/>
      <c r="PFI34" s="3"/>
      <c r="PFJ34" s="3"/>
      <c r="PFK34" s="3"/>
      <c r="PFL34" s="3"/>
      <c r="PFM34" s="3"/>
      <c r="PFN34" s="3"/>
      <c r="PFO34" s="3"/>
      <c r="PFP34" s="3"/>
      <c r="PFQ34" s="3"/>
      <c r="PFR34" s="3"/>
      <c r="PFS34" s="3"/>
      <c r="PFT34" s="3"/>
      <c r="PFU34" s="3"/>
      <c r="PFV34" s="3"/>
      <c r="PFW34" s="3"/>
      <c r="PFX34" s="3"/>
      <c r="PFY34" s="3"/>
      <c r="PFZ34" s="3"/>
      <c r="PGA34" s="3"/>
      <c r="PGB34" s="3"/>
      <c r="PGC34" s="3"/>
      <c r="PGD34" s="3"/>
      <c r="PGE34" s="3"/>
      <c r="PGF34" s="3"/>
      <c r="PGG34" s="3"/>
      <c r="PGH34" s="3"/>
      <c r="PGI34" s="3"/>
      <c r="PGJ34" s="3"/>
      <c r="PGK34" s="3"/>
      <c r="PGL34" s="3"/>
      <c r="PGM34" s="3"/>
      <c r="PGN34" s="3"/>
      <c r="PGO34" s="3"/>
      <c r="PGP34" s="3"/>
      <c r="PGQ34" s="3"/>
      <c r="PGR34" s="3"/>
      <c r="PGS34" s="3"/>
      <c r="PGT34" s="3"/>
      <c r="PGU34" s="3"/>
      <c r="PGV34" s="3"/>
      <c r="PGW34" s="3"/>
      <c r="PGX34" s="3"/>
      <c r="PGY34" s="3"/>
      <c r="PGZ34" s="3"/>
      <c r="PHA34" s="3"/>
      <c r="PHB34" s="3"/>
      <c r="PHC34" s="3"/>
      <c r="PHD34" s="3"/>
      <c r="PHE34" s="3"/>
      <c r="PHF34" s="3"/>
      <c r="PHG34" s="3"/>
      <c r="PHH34" s="3"/>
      <c r="PHI34" s="3"/>
      <c r="PHJ34" s="3"/>
      <c r="PHK34" s="3"/>
      <c r="PHL34" s="3"/>
      <c r="PHM34" s="3"/>
      <c r="PHN34" s="3"/>
      <c r="PHO34" s="3"/>
      <c r="PHP34" s="3"/>
      <c r="PHQ34" s="3"/>
      <c r="PHR34" s="3"/>
      <c r="PHS34" s="3"/>
      <c r="PHT34" s="3"/>
      <c r="PHU34" s="3"/>
      <c r="PHV34" s="3"/>
      <c r="PHW34" s="3"/>
      <c r="PHX34" s="3"/>
      <c r="PHY34" s="3"/>
      <c r="PHZ34" s="3"/>
      <c r="PIA34" s="3"/>
      <c r="PIB34" s="3"/>
      <c r="PIC34" s="3"/>
      <c r="PID34" s="3"/>
      <c r="PIE34" s="3"/>
      <c r="PIF34" s="3"/>
      <c r="PIG34" s="3"/>
      <c r="PIH34" s="3"/>
      <c r="PII34" s="3"/>
      <c r="PIJ34" s="3"/>
      <c r="PIK34" s="3"/>
      <c r="PIL34" s="3"/>
      <c r="PIM34" s="3"/>
      <c r="PIN34" s="3"/>
      <c r="PIO34" s="3"/>
      <c r="PIP34" s="3"/>
      <c r="PIQ34" s="3"/>
      <c r="PIR34" s="3"/>
      <c r="PIS34" s="3"/>
      <c r="PIT34" s="3"/>
      <c r="PIU34" s="3"/>
      <c r="PIV34" s="3"/>
      <c r="PIW34" s="3"/>
      <c r="PIX34" s="3"/>
      <c r="PIY34" s="3"/>
      <c r="PIZ34" s="3"/>
      <c r="PJA34" s="3"/>
      <c r="PJB34" s="3"/>
      <c r="PJC34" s="3"/>
      <c r="PJD34" s="3"/>
      <c r="PJE34" s="3"/>
      <c r="PJF34" s="3"/>
      <c r="PJG34" s="3"/>
      <c r="PJH34" s="3"/>
      <c r="PJI34" s="3"/>
      <c r="PJJ34" s="3"/>
      <c r="PJK34" s="3"/>
      <c r="PJL34" s="3"/>
      <c r="PJM34" s="3"/>
      <c r="PJN34" s="3"/>
      <c r="PJO34" s="3"/>
      <c r="PJP34" s="3"/>
      <c r="PJQ34" s="3"/>
      <c r="PJR34" s="3"/>
      <c r="PJS34" s="3"/>
      <c r="PJT34" s="3"/>
      <c r="PJU34" s="3"/>
      <c r="PJV34" s="3"/>
      <c r="PJW34" s="3"/>
      <c r="PJX34" s="3"/>
      <c r="PJY34" s="3"/>
      <c r="PJZ34" s="3"/>
      <c r="PKA34" s="3"/>
      <c r="PKB34" s="3"/>
      <c r="PKC34" s="3"/>
      <c r="PKD34" s="3"/>
      <c r="PKE34" s="3"/>
      <c r="PKF34" s="3"/>
      <c r="PKG34" s="3"/>
      <c r="PKH34" s="3"/>
      <c r="PKI34" s="3"/>
      <c r="PKJ34" s="3"/>
      <c r="PKK34" s="3"/>
      <c r="PKL34" s="3"/>
      <c r="PKM34" s="3"/>
      <c r="PKN34" s="3"/>
      <c r="PKO34" s="3"/>
      <c r="PKP34" s="3"/>
      <c r="PKQ34" s="3"/>
      <c r="PKR34" s="3"/>
      <c r="PKS34" s="3"/>
      <c r="PKT34" s="3"/>
      <c r="PKU34" s="3"/>
      <c r="PKV34" s="3"/>
      <c r="PKW34" s="3"/>
      <c r="PKX34" s="3"/>
      <c r="PKY34" s="3"/>
      <c r="PKZ34" s="3"/>
      <c r="PLA34" s="3"/>
      <c r="PLB34" s="3"/>
      <c r="PLC34" s="3"/>
      <c r="PLD34" s="3"/>
      <c r="PLE34" s="3"/>
      <c r="PLF34" s="3"/>
      <c r="PLG34" s="3"/>
      <c r="PLH34" s="3"/>
      <c r="PLI34" s="3"/>
      <c r="PLJ34" s="3"/>
      <c r="PLK34" s="3"/>
      <c r="PLL34" s="3"/>
      <c r="PLM34" s="3"/>
      <c r="PLN34" s="3"/>
      <c r="PLO34" s="3"/>
      <c r="PLP34" s="3"/>
      <c r="PLQ34" s="3"/>
      <c r="PLR34" s="3"/>
      <c r="PLS34" s="3"/>
      <c r="PLT34" s="3"/>
      <c r="PLU34" s="3"/>
      <c r="PLV34" s="3"/>
      <c r="PLW34" s="3"/>
      <c r="PLX34" s="3"/>
      <c r="PLY34" s="3"/>
      <c r="PLZ34" s="3"/>
      <c r="PMA34" s="3"/>
      <c r="PMB34" s="3"/>
      <c r="PMC34" s="3"/>
      <c r="PMD34" s="3"/>
      <c r="PME34" s="3"/>
      <c r="PMF34" s="3"/>
      <c r="PMG34" s="3"/>
      <c r="PMH34" s="3"/>
      <c r="PMI34" s="3"/>
      <c r="PMJ34" s="3"/>
      <c r="PMK34" s="3"/>
      <c r="PML34" s="3"/>
      <c r="PMM34" s="3"/>
      <c r="PMN34" s="3"/>
      <c r="PMO34" s="3"/>
      <c r="PMP34" s="3"/>
      <c r="PMQ34" s="3"/>
      <c r="PMR34" s="3"/>
      <c r="PMS34" s="3"/>
      <c r="PMT34" s="3"/>
      <c r="PMU34" s="3"/>
      <c r="PMV34" s="3"/>
      <c r="PMW34" s="3"/>
      <c r="PMX34" s="3"/>
      <c r="PMY34" s="3"/>
      <c r="PMZ34" s="3"/>
      <c r="PNA34" s="3"/>
      <c r="PNB34" s="3"/>
      <c r="PNC34" s="3"/>
      <c r="PND34" s="3"/>
      <c r="PNE34" s="3"/>
      <c r="PNF34" s="3"/>
      <c r="PNG34" s="3"/>
      <c r="PNH34" s="3"/>
      <c r="PNI34" s="3"/>
      <c r="PNJ34" s="3"/>
      <c r="PNK34" s="3"/>
      <c r="PNL34" s="3"/>
      <c r="PNM34" s="3"/>
      <c r="PNN34" s="3"/>
      <c r="PNO34" s="3"/>
      <c r="PNP34" s="3"/>
      <c r="PNQ34" s="3"/>
      <c r="PNR34" s="3"/>
      <c r="PNS34" s="3"/>
      <c r="PNT34" s="3"/>
      <c r="PNU34" s="3"/>
      <c r="PNV34" s="3"/>
      <c r="PNW34" s="3"/>
      <c r="PNX34" s="3"/>
      <c r="PNY34" s="3"/>
      <c r="PNZ34" s="3"/>
      <c r="POA34" s="3"/>
      <c r="POB34" s="3"/>
      <c r="POC34" s="3"/>
      <c r="POD34" s="3"/>
      <c r="POE34" s="3"/>
      <c r="POF34" s="3"/>
      <c r="POG34" s="3"/>
      <c r="POH34" s="3"/>
      <c r="POI34" s="3"/>
      <c r="POJ34" s="3"/>
      <c r="POK34" s="3"/>
      <c r="POL34" s="3"/>
      <c r="POM34" s="3"/>
      <c r="PON34" s="3"/>
      <c r="POO34" s="3"/>
      <c r="POP34" s="3"/>
      <c r="POQ34" s="3"/>
      <c r="POR34" s="3"/>
      <c r="POS34" s="3"/>
      <c r="POT34" s="3"/>
      <c r="POU34" s="3"/>
      <c r="POV34" s="3"/>
      <c r="POW34" s="3"/>
      <c r="POX34" s="3"/>
      <c r="POY34" s="3"/>
      <c r="POZ34" s="3"/>
      <c r="PPA34" s="3"/>
      <c r="PPB34" s="3"/>
      <c r="PPC34" s="3"/>
      <c r="PPD34" s="3"/>
      <c r="PPE34" s="3"/>
      <c r="PPF34" s="3"/>
      <c r="PPG34" s="3"/>
      <c r="PPH34" s="3"/>
      <c r="PPI34" s="3"/>
      <c r="PPJ34" s="3"/>
      <c r="PPK34" s="3"/>
      <c r="PPL34" s="3"/>
      <c r="PPM34" s="3"/>
      <c r="PPN34" s="3"/>
      <c r="PPO34" s="3"/>
      <c r="PPP34" s="3"/>
      <c r="PPQ34" s="3"/>
      <c r="PPR34" s="3"/>
      <c r="PPS34" s="3"/>
      <c r="PPT34" s="3"/>
      <c r="PPU34" s="3"/>
      <c r="PPV34" s="3"/>
      <c r="PPW34" s="3"/>
      <c r="PPX34" s="3"/>
      <c r="PPY34" s="3"/>
      <c r="PPZ34" s="3"/>
      <c r="PQA34" s="3"/>
      <c r="PQB34" s="3"/>
      <c r="PQC34" s="3"/>
      <c r="PQD34" s="3"/>
      <c r="PQE34" s="3"/>
      <c r="PQF34" s="3"/>
      <c r="PQG34" s="3"/>
      <c r="PQH34" s="3"/>
      <c r="PQI34" s="3"/>
      <c r="PQJ34" s="3"/>
      <c r="PQK34" s="3"/>
      <c r="PQL34" s="3"/>
      <c r="PQM34" s="3"/>
      <c r="PQN34" s="3"/>
      <c r="PQO34" s="3"/>
      <c r="PQP34" s="3"/>
      <c r="PQQ34" s="3"/>
      <c r="PQR34" s="3"/>
      <c r="PQS34" s="3"/>
      <c r="PQT34" s="3"/>
      <c r="PQU34" s="3"/>
      <c r="PQV34" s="3"/>
      <c r="PQW34" s="3"/>
      <c r="PQX34" s="3"/>
      <c r="PQY34" s="3"/>
      <c r="PQZ34" s="3"/>
      <c r="PRA34" s="3"/>
      <c r="PRB34" s="3"/>
      <c r="PRC34" s="3"/>
      <c r="PRD34" s="3"/>
      <c r="PRE34" s="3"/>
      <c r="PRF34" s="3"/>
      <c r="PRG34" s="3"/>
      <c r="PRH34" s="3"/>
      <c r="PRI34" s="3"/>
      <c r="PRJ34" s="3"/>
      <c r="PRK34" s="3"/>
      <c r="PRL34" s="3"/>
      <c r="PRM34" s="3"/>
      <c r="PRN34" s="3"/>
      <c r="PRO34" s="3"/>
      <c r="PRP34" s="3"/>
      <c r="PRQ34" s="3"/>
      <c r="PRR34" s="3"/>
      <c r="PRS34" s="3"/>
      <c r="PRT34" s="3"/>
      <c r="PRU34" s="3"/>
      <c r="PRV34" s="3"/>
      <c r="PRW34" s="3"/>
      <c r="PRX34" s="3"/>
      <c r="PRY34" s="3"/>
      <c r="PRZ34" s="3"/>
      <c r="PSA34" s="3"/>
      <c r="PSB34" s="3"/>
      <c r="PSC34" s="3"/>
      <c r="PSD34" s="3"/>
      <c r="PSE34" s="3"/>
      <c r="PSF34" s="3"/>
      <c r="PSG34" s="3"/>
      <c r="PSH34" s="3"/>
      <c r="PSI34" s="3"/>
      <c r="PSJ34" s="3"/>
      <c r="PSK34" s="3"/>
      <c r="PSL34" s="3"/>
      <c r="PSM34" s="3"/>
      <c r="PSN34" s="3"/>
      <c r="PSO34" s="3"/>
      <c r="PSP34" s="3"/>
      <c r="PSQ34" s="3"/>
      <c r="PSR34" s="3"/>
      <c r="PSS34" s="3"/>
      <c r="PST34" s="3"/>
      <c r="PSU34" s="3"/>
      <c r="PSV34" s="3"/>
      <c r="PSW34" s="3"/>
      <c r="PSX34" s="3"/>
      <c r="PSY34" s="3"/>
      <c r="PSZ34" s="3"/>
      <c r="PTA34" s="3"/>
      <c r="PTB34" s="3"/>
      <c r="PTC34" s="3"/>
      <c r="PTD34" s="3"/>
      <c r="PTE34" s="3"/>
      <c r="PTF34" s="3"/>
      <c r="PTG34" s="3"/>
      <c r="PTH34" s="3"/>
      <c r="PTI34" s="3"/>
      <c r="PTJ34" s="3"/>
      <c r="PTK34" s="3"/>
      <c r="PTL34" s="3"/>
      <c r="PTM34" s="3"/>
      <c r="PTN34" s="3"/>
      <c r="PTO34" s="3"/>
      <c r="PTP34" s="3"/>
      <c r="PTQ34" s="3"/>
      <c r="PTR34" s="3"/>
      <c r="PTS34" s="3"/>
      <c r="PTT34" s="3"/>
      <c r="PTU34" s="3"/>
      <c r="PTV34" s="3"/>
      <c r="PTW34" s="3"/>
      <c r="PTX34" s="3"/>
      <c r="PTY34" s="3"/>
      <c r="PTZ34" s="3"/>
      <c r="PUA34" s="3"/>
      <c r="PUB34" s="3"/>
      <c r="PUC34" s="3"/>
      <c r="PUD34" s="3"/>
      <c r="PUE34" s="3"/>
      <c r="PUF34" s="3"/>
      <c r="PUG34" s="3"/>
      <c r="PUH34" s="3"/>
      <c r="PUI34" s="3"/>
      <c r="PUJ34" s="3"/>
      <c r="PUK34" s="3"/>
      <c r="PUL34" s="3"/>
      <c r="PUM34" s="3"/>
      <c r="PUN34" s="3"/>
      <c r="PUO34" s="3"/>
      <c r="PUP34" s="3"/>
      <c r="PUQ34" s="3"/>
      <c r="PUR34" s="3"/>
      <c r="PUS34" s="3"/>
      <c r="PUT34" s="3"/>
      <c r="PUU34" s="3"/>
      <c r="PUV34" s="3"/>
      <c r="PUW34" s="3"/>
      <c r="PUX34" s="3"/>
      <c r="PUY34" s="3"/>
      <c r="PUZ34" s="3"/>
      <c r="PVA34" s="3"/>
      <c r="PVB34" s="3"/>
      <c r="PVC34" s="3"/>
      <c r="PVD34" s="3"/>
      <c r="PVE34" s="3"/>
      <c r="PVF34" s="3"/>
      <c r="PVG34" s="3"/>
      <c r="PVH34" s="3"/>
      <c r="PVI34" s="3"/>
      <c r="PVJ34" s="3"/>
      <c r="PVK34" s="3"/>
      <c r="PVL34" s="3"/>
      <c r="PVM34" s="3"/>
      <c r="PVN34" s="3"/>
      <c r="PVO34" s="3"/>
      <c r="PVP34" s="3"/>
      <c r="PVQ34" s="3"/>
      <c r="PVR34" s="3"/>
      <c r="PVS34" s="3"/>
      <c r="PVT34" s="3"/>
      <c r="PVU34" s="3"/>
      <c r="PVV34" s="3"/>
      <c r="PVW34" s="3"/>
      <c r="PVX34" s="3"/>
      <c r="PVY34" s="3"/>
      <c r="PVZ34" s="3"/>
      <c r="PWA34" s="3"/>
      <c r="PWB34" s="3"/>
      <c r="PWC34" s="3"/>
      <c r="PWD34" s="3"/>
      <c r="PWE34" s="3"/>
      <c r="PWF34" s="3"/>
      <c r="PWG34" s="3"/>
      <c r="PWH34" s="3"/>
      <c r="PWI34" s="3"/>
      <c r="PWJ34" s="3"/>
      <c r="PWK34" s="3"/>
      <c r="PWL34" s="3"/>
      <c r="PWM34" s="3"/>
      <c r="PWN34" s="3"/>
      <c r="PWO34" s="3"/>
      <c r="PWP34" s="3"/>
      <c r="PWQ34" s="3"/>
      <c r="PWR34" s="3"/>
      <c r="PWS34" s="3"/>
      <c r="PWT34" s="3"/>
      <c r="PWU34" s="3"/>
      <c r="PWV34" s="3"/>
      <c r="PWW34" s="3"/>
      <c r="PWX34" s="3"/>
      <c r="PWY34" s="3"/>
      <c r="PWZ34" s="3"/>
      <c r="PXA34" s="3"/>
      <c r="PXB34" s="3"/>
      <c r="PXC34" s="3"/>
      <c r="PXD34" s="3"/>
      <c r="PXE34" s="3"/>
      <c r="PXF34" s="3"/>
      <c r="PXG34" s="3"/>
      <c r="PXH34" s="3"/>
      <c r="PXI34" s="3"/>
      <c r="PXJ34" s="3"/>
      <c r="PXK34" s="3"/>
      <c r="PXL34" s="3"/>
      <c r="PXM34" s="3"/>
      <c r="PXN34" s="3"/>
      <c r="PXO34" s="3"/>
      <c r="PXP34" s="3"/>
      <c r="PXQ34" s="3"/>
      <c r="PXR34" s="3"/>
      <c r="PXS34" s="3"/>
      <c r="PXT34" s="3"/>
      <c r="PXU34" s="3"/>
      <c r="PXV34" s="3"/>
      <c r="PXW34" s="3"/>
      <c r="PXX34" s="3"/>
      <c r="PXY34" s="3"/>
      <c r="PXZ34" s="3"/>
      <c r="PYA34" s="3"/>
      <c r="PYB34" s="3"/>
      <c r="PYC34" s="3"/>
      <c r="PYD34" s="3"/>
      <c r="PYE34" s="3"/>
      <c r="PYF34" s="3"/>
      <c r="PYG34" s="3"/>
      <c r="PYH34" s="3"/>
      <c r="PYI34" s="3"/>
      <c r="PYJ34" s="3"/>
      <c r="PYK34" s="3"/>
      <c r="PYL34" s="3"/>
      <c r="PYM34" s="3"/>
      <c r="PYN34" s="3"/>
      <c r="PYO34" s="3"/>
      <c r="PYP34" s="3"/>
      <c r="PYQ34" s="3"/>
      <c r="PYR34" s="3"/>
      <c r="PYS34" s="3"/>
      <c r="PYT34" s="3"/>
      <c r="PYU34" s="3"/>
      <c r="PYV34" s="3"/>
      <c r="PYW34" s="3"/>
      <c r="PYX34" s="3"/>
      <c r="PYY34" s="3"/>
      <c r="PYZ34" s="3"/>
      <c r="PZA34" s="3"/>
      <c r="PZB34" s="3"/>
      <c r="PZC34" s="3"/>
      <c r="PZD34" s="3"/>
      <c r="PZE34" s="3"/>
      <c r="PZF34" s="3"/>
      <c r="PZG34" s="3"/>
      <c r="PZH34" s="3"/>
      <c r="PZI34" s="3"/>
      <c r="PZJ34" s="3"/>
      <c r="PZK34" s="3"/>
      <c r="PZL34" s="3"/>
      <c r="PZM34" s="3"/>
      <c r="PZN34" s="3"/>
      <c r="PZO34" s="3"/>
      <c r="PZP34" s="3"/>
      <c r="PZQ34" s="3"/>
      <c r="PZR34" s="3"/>
      <c r="PZS34" s="3"/>
      <c r="PZT34" s="3"/>
      <c r="PZU34" s="3"/>
      <c r="PZV34" s="3"/>
      <c r="PZW34" s="3"/>
      <c r="PZX34" s="3"/>
      <c r="PZY34" s="3"/>
      <c r="PZZ34" s="3"/>
      <c r="QAA34" s="3"/>
      <c r="QAB34" s="3"/>
      <c r="QAC34" s="3"/>
      <c r="QAD34" s="3"/>
      <c r="QAE34" s="3"/>
      <c r="QAF34" s="3"/>
      <c r="QAG34" s="3"/>
      <c r="QAH34" s="3"/>
      <c r="QAI34" s="3"/>
      <c r="QAJ34" s="3"/>
      <c r="QAK34" s="3"/>
      <c r="QAL34" s="3"/>
      <c r="QAM34" s="3"/>
      <c r="QAN34" s="3"/>
      <c r="QAO34" s="3"/>
      <c r="QAP34" s="3"/>
      <c r="QAQ34" s="3"/>
      <c r="QAR34" s="3"/>
      <c r="QAS34" s="3"/>
      <c r="QAT34" s="3"/>
      <c r="QAU34" s="3"/>
      <c r="QAV34" s="3"/>
      <c r="QAW34" s="3"/>
      <c r="QAX34" s="3"/>
      <c r="QAY34" s="3"/>
      <c r="QAZ34" s="3"/>
      <c r="QBA34" s="3"/>
      <c r="QBB34" s="3"/>
      <c r="QBC34" s="3"/>
      <c r="QBD34" s="3"/>
      <c r="QBE34" s="3"/>
      <c r="QBF34" s="3"/>
      <c r="QBG34" s="3"/>
      <c r="QBH34" s="3"/>
      <c r="QBI34" s="3"/>
      <c r="QBJ34" s="3"/>
      <c r="QBK34" s="3"/>
      <c r="QBL34" s="3"/>
      <c r="QBM34" s="3"/>
      <c r="QBN34" s="3"/>
      <c r="QBO34" s="3"/>
      <c r="QBP34" s="3"/>
      <c r="QBQ34" s="3"/>
      <c r="QBR34" s="3"/>
      <c r="QBS34" s="3"/>
      <c r="QBT34" s="3"/>
      <c r="QBU34" s="3"/>
      <c r="QBV34" s="3"/>
      <c r="QBW34" s="3"/>
      <c r="QBX34" s="3"/>
      <c r="QBY34" s="3"/>
      <c r="QBZ34" s="3"/>
      <c r="QCA34" s="3"/>
      <c r="QCB34" s="3"/>
      <c r="QCC34" s="3"/>
      <c r="QCD34" s="3"/>
      <c r="QCE34" s="3"/>
      <c r="QCF34" s="3"/>
      <c r="QCG34" s="3"/>
      <c r="QCH34" s="3"/>
      <c r="QCI34" s="3"/>
      <c r="QCJ34" s="3"/>
      <c r="QCK34" s="3"/>
      <c r="QCL34" s="3"/>
      <c r="QCM34" s="3"/>
      <c r="QCN34" s="3"/>
      <c r="QCO34" s="3"/>
      <c r="QCP34" s="3"/>
      <c r="QCQ34" s="3"/>
      <c r="QCR34" s="3"/>
      <c r="QCS34" s="3"/>
      <c r="QCT34" s="3"/>
      <c r="QCU34" s="3"/>
      <c r="QCV34" s="3"/>
      <c r="QCW34" s="3"/>
      <c r="QCX34" s="3"/>
      <c r="QCY34" s="3"/>
      <c r="QCZ34" s="3"/>
      <c r="QDA34" s="3"/>
      <c r="QDB34" s="3"/>
      <c r="QDC34" s="3"/>
      <c r="QDD34" s="3"/>
      <c r="QDE34" s="3"/>
      <c r="QDF34" s="3"/>
      <c r="QDG34" s="3"/>
      <c r="QDH34" s="3"/>
      <c r="QDI34" s="3"/>
      <c r="QDJ34" s="3"/>
      <c r="QDK34" s="3"/>
      <c r="QDL34" s="3"/>
      <c r="QDM34" s="3"/>
      <c r="QDN34" s="3"/>
      <c r="QDO34" s="3"/>
      <c r="QDP34" s="3"/>
      <c r="QDQ34" s="3"/>
      <c r="QDR34" s="3"/>
      <c r="QDS34" s="3"/>
      <c r="QDT34" s="3"/>
      <c r="QDU34" s="3"/>
      <c r="QDV34" s="3"/>
      <c r="QDW34" s="3"/>
      <c r="QDX34" s="3"/>
      <c r="QDY34" s="3"/>
      <c r="QDZ34" s="3"/>
      <c r="QEA34" s="3"/>
      <c r="QEB34" s="3"/>
      <c r="QEC34" s="3"/>
      <c r="QED34" s="3"/>
      <c r="QEE34" s="3"/>
      <c r="QEF34" s="3"/>
      <c r="QEG34" s="3"/>
      <c r="QEH34" s="3"/>
      <c r="QEI34" s="3"/>
      <c r="QEJ34" s="3"/>
      <c r="QEK34" s="3"/>
      <c r="QEL34" s="3"/>
      <c r="QEM34" s="3"/>
      <c r="QEN34" s="3"/>
      <c r="QEO34" s="3"/>
      <c r="QEP34" s="3"/>
      <c r="QEQ34" s="3"/>
      <c r="QER34" s="3"/>
      <c r="QES34" s="3"/>
      <c r="QET34" s="3"/>
      <c r="QEU34" s="3"/>
      <c r="QEV34" s="3"/>
      <c r="QEW34" s="3"/>
      <c r="QEX34" s="3"/>
      <c r="QEY34" s="3"/>
      <c r="QEZ34" s="3"/>
      <c r="QFA34" s="3"/>
      <c r="QFB34" s="3"/>
      <c r="QFC34" s="3"/>
      <c r="QFD34" s="3"/>
      <c r="QFE34" s="3"/>
      <c r="QFF34" s="3"/>
      <c r="QFG34" s="3"/>
      <c r="QFH34" s="3"/>
      <c r="QFI34" s="3"/>
      <c r="QFJ34" s="3"/>
      <c r="QFK34" s="3"/>
      <c r="QFL34" s="3"/>
      <c r="QFM34" s="3"/>
      <c r="QFN34" s="3"/>
      <c r="QFO34" s="3"/>
      <c r="QFP34" s="3"/>
      <c r="QFQ34" s="3"/>
      <c r="QFR34" s="3"/>
      <c r="QFS34" s="3"/>
      <c r="QFT34" s="3"/>
      <c r="QFU34" s="3"/>
      <c r="QFV34" s="3"/>
      <c r="QFW34" s="3"/>
      <c r="QFX34" s="3"/>
      <c r="QFY34" s="3"/>
      <c r="QFZ34" s="3"/>
      <c r="QGA34" s="3"/>
      <c r="QGB34" s="3"/>
      <c r="QGC34" s="3"/>
      <c r="QGD34" s="3"/>
      <c r="QGE34" s="3"/>
      <c r="QGF34" s="3"/>
      <c r="QGG34" s="3"/>
      <c r="QGH34" s="3"/>
      <c r="QGI34" s="3"/>
      <c r="QGJ34" s="3"/>
      <c r="QGK34" s="3"/>
      <c r="QGL34" s="3"/>
      <c r="QGM34" s="3"/>
      <c r="QGN34" s="3"/>
      <c r="QGO34" s="3"/>
      <c r="QGP34" s="3"/>
      <c r="QGQ34" s="3"/>
      <c r="QGR34" s="3"/>
      <c r="QGS34" s="3"/>
      <c r="QGT34" s="3"/>
      <c r="QGU34" s="3"/>
      <c r="QGV34" s="3"/>
      <c r="QGW34" s="3"/>
      <c r="QGX34" s="3"/>
      <c r="QGY34" s="3"/>
      <c r="QGZ34" s="3"/>
      <c r="QHA34" s="3"/>
      <c r="QHB34" s="3"/>
      <c r="QHC34" s="3"/>
      <c r="QHD34" s="3"/>
      <c r="QHE34" s="3"/>
      <c r="QHF34" s="3"/>
      <c r="QHG34" s="3"/>
      <c r="QHH34" s="3"/>
      <c r="QHI34" s="3"/>
      <c r="QHJ34" s="3"/>
      <c r="QHK34" s="3"/>
      <c r="QHL34" s="3"/>
      <c r="QHM34" s="3"/>
      <c r="QHN34" s="3"/>
      <c r="QHO34" s="3"/>
      <c r="QHP34" s="3"/>
      <c r="QHQ34" s="3"/>
      <c r="QHR34" s="3"/>
      <c r="QHS34" s="3"/>
      <c r="QHT34" s="3"/>
      <c r="QHU34" s="3"/>
      <c r="QHV34" s="3"/>
      <c r="QHW34" s="3"/>
      <c r="QHX34" s="3"/>
      <c r="QHY34" s="3"/>
      <c r="QHZ34" s="3"/>
      <c r="QIA34" s="3"/>
      <c r="QIB34" s="3"/>
      <c r="QIC34" s="3"/>
      <c r="QID34" s="3"/>
      <c r="QIE34" s="3"/>
      <c r="QIF34" s="3"/>
      <c r="QIG34" s="3"/>
      <c r="QIH34" s="3"/>
      <c r="QII34" s="3"/>
      <c r="QIJ34" s="3"/>
      <c r="QIK34" s="3"/>
      <c r="QIL34" s="3"/>
      <c r="QIM34" s="3"/>
      <c r="QIN34" s="3"/>
      <c r="QIO34" s="3"/>
      <c r="QIP34" s="3"/>
      <c r="QIQ34" s="3"/>
      <c r="QIR34" s="3"/>
      <c r="QIS34" s="3"/>
      <c r="QIT34" s="3"/>
      <c r="QIU34" s="3"/>
      <c r="QIV34" s="3"/>
      <c r="QIW34" s="3"/>
      <c r="QIX34" s="3"/>
      <c r="QIY34" s="3"/>
      <c r="QIZ34" s="3"/>
      <c r="QJA34" s="3"/>
      <c r="QJB34" s="3"/>
      <c r="QJC34" s="3"/>
      <c r="QJD34" s="3"/>
      <c r="QJE34" s="3"/>
      <c r="QJF34" s="3"/>
      <c r="QJG34" s="3"/>
      <c r="QJH34" s="3"/>
      <c r="QJI34" s="3"/>
      <c r="QJJ34" s="3"/>
      <c r="QJK34" s="3"/>
      <c r="QJL34" s="3"/>
      <c r="QJM34" s="3"/>
      <c r="QJN34" s="3"/>
      <c r="QJO34" s="3"/>
      <c r="QJP34" s="3"/>
      <c r="QJQ34" s="3"/>
      <c r="QJR34" s="3"/>
      <c r="QJS34" s="3"/>
      <c r="QJT34" s="3"/>
      <c r="QJU34" s="3"/>
      <c r="QJV34" s="3"/>
      <c r="QJW34" s="3"/>
      <c r="QJX34" s="3"/>
      <c r="QJY34" s="3"/>
      <c r="QJZ34" s="3"/>
      <c r="QKA34" s="3"/>
      <c r="QKB34" s="3"/>
      <c r="QKC34" s="3"/>
      <c r="QKD34" s="3"/>
      <c r="QKE34" s="3"/>
      <c r="QKF34" s="3"/>
      <c r="QKG34" s="3"/>
      <c r="QKH34" s="3"/>
      <c r="QKI34" s="3"/>
      <c r="QKJ34" s="3"/>
      <c r="QKK34" s="3"/>
      <c r="QKL34" s="3"/>
      <c r="QKM34" s="3"/>
      <c r="QKN34" s="3"/>
      <c r="QKO34" s="3"/>
      <c r="QKP34" s="3"/>
      <c r="QKQ34" s="3"/>
      <c r="QKR34" s="3"/>
      <c r="QKS34" s="3"/>
      <c r="QKT34" s="3"/>
      <c r="QKU34" s="3"/>
      <c r="QKV34" s="3"/>
      <c r="QKW34" s="3"/>
      <c r="QKX34" s="3"/>
      <c r="QKY34" s="3"/>
      <c r="QKZ34" s="3"/>
      <c r="QLA34" s="3"/>
      <c r="QLB34" s="3"/>
      <c r="QLC34" s="3"/>
      <c r="QLD34" s="3"/>
      <c r="QLE34" s="3"/>
      <c r="QLF34" s="3"/>
      <c r="QLG34" s="3"/>
      <c r="QLH34" s="3"/>
      <c r="QLI34" s="3"/>
      <c r="QLJ34" s="3"/>
      <c r="QLK34" s="3"/>
      <c r="QLL34" s="3"/>
      <c r="QLM34" s="3"/>
      <c r="QLN34" s="3"/>
      <c r="QLO34" s="3"/>
      <c r="QLP34" s="3"/>
      <c r="QLQ34" s="3"/>
      <c r="QLR34" s="3"/>
      <c r="QLS34" s="3"/>
      <c r="QLT34" s="3"/>
      <c r="QLU34" s="3"/>
      <c r="QLV34" s="3"/>
      <c r="QLW34" s="3"/>
      <c r="QLX34" s="3"/>
      <c r="QLY34" s="3"/>
      <c r="QLZ34" s="3"/>
      <c r="QMA34" s="3"/>
      <c r="QMB34" s="3"/>
      <c r="QMC34" s="3"/>
      <c r="QMD34" s="3"/>
      <c r="QME34" s="3"/>
      <c r="QMF34" s="3"/>
      <c r="QMG34" s="3"/>
      <c r="QMH34" s="3"/>
      <c r="QMI34" s="3"/>
      <c r="QMJ34" s="3"/>
      <c r="QMK34" s="3"/>
      <c r="QML34" s="3"/>
      <c r="QMM34" s="3"/>
      <c r="QMN34" s="3"/>
      <c r="QMO34" s="3"/>
      <c r="QMP34" s="3"/>
      <c r="QMQ34" s="3"/>
      <c r="QMR34" s="3"/>
      <c r="QMS34" s="3"/>
      <c r="QMT34" s="3"/>
      <c r="QMU34" s="3"/>
      <c r="QMV34" s="3"/>
      <c r="QMW34" s="3"/>
      <c r="QMX34" s="3"/>
      <c r="QMY34" s="3"/>
      <c r="QMZ34" s="3"/>
      <c r="QNA34" s="3"/>
      <c r="QNB34" s="3"/>
      <c r="QNC34" s="3"/>
      <c r="QND34" s="3"/>
      <c r="QNE34" s="3"/>
      <c r="QNF34" s="3"/>
      <c r="QNG34" s="3"/>
      <c r="QNH34" s="3"/>
      <c r="QNI34" s="3"/>
      <c r="QNJ34" s="3"/>
      <c r="QNK34" s="3"/>
      <c r="QNL34" s="3"/>
      <c r="QNM34" s="3"/>
      <c r="QNN34" s="3"/>
      <c r="QNO34" s="3"/>
      <c r="QNP34" s="3"/>
      <c r="QNQ34" s="3"/>
      <c r="QNR34" s="3"/>
      <c r="QNS34" s="3"/>
      <c r="QNT34" s="3"/>
      <c r="QNU34" s="3"/>
      <c r="QNV34" s="3"/>
      <c r="QNW34" s="3"/>
      <c r="QNX34" s="3"/>
      <c r="QNY34" s="3"/>
      <c r="QNZ34" s="3"/>
      <c r="QOA34" s="3"/>
      <c r="QOB34" s="3"/>
      <c r="QOC34" s="3"/>
      <c r="QOD34" s="3"/>
      <c r="QOE34" s="3"/>
      <c r="QOF34" s="3"/>
      <c r="QOG34" s="3"/>
      <c r="QOH34" s="3"/>
      <c r="QOI34" s="3"/>
      <c r="QOJ34" s="3"/>
      <c r="QOK34" s="3"/>
      <c r="QOL34" s="3"/>
      <c r="QOM34" s="3"/>
      <c r="QON34" s="3"/>
      <c r="QOO34" s="3"/>
      <c r="QOP34" s="3"/>
      <c r="QOQ34" s="3"/>
      <c r="QOR34" s="3"/>
      <c r="QOS34" s="3"/>
      <c r="QOT34" s="3"/>
      <c r="QOU34" s="3"/>
      <c r="QOV34" s="3"/>
      <c r="QOW34" s="3"/>
      <c r="QOX34" s="3"/>
      <c r="QOY34" s="3"/>
      <c r="QOZ34" s="3"/>
      <c r="QPA34" s="3"/>
      <c r="QPB34" s="3"/>
      <c r="QPC34" s="3"/>
      <c r="QPD34" s="3"/>
      <c r="QPE34" s="3"/>
      <c r="QPF34" s="3"/>
      <c r="QPG34" s="3"/>
      <c r="QPH34" s="3"/>
      <c r="QPI34" s="3"/>
      <c r="QPJ34" s="3"/>
      <c r="QPK34" s="3"/>
      <c r="QPL34" s="3"/>
      <c r="QPM34" s="3"/>
      <c r="QPN34" s="3"/>
      <c r="QPO34" s="3"/>
      <c r="QPP34" s="3"/>
      <c r="QPQ34" s="3"/>
      <c r="QPR34" s="3"/>
      <c r="QPS34" s="3"/>
      <c r="QPT34" s="3"/>
      <c r="QPU34" s="3"/>
      <c r="QPV34" s="3"/>
      <c r="QPW34" s="3"/>
      <c r="QPX34" s="3"/>
      <c r="QPY34" s="3"/>
      <c r="QPZ34" s="3"/>
      <c r="QQA34" s="3"/>
      <c r="QQB34" s="3"/>
      <c r="QQC34" s="3"/>
      <c r="QQD34" s="3"/>
      <c r="QQE34" s="3"/>
      <c r="QQF34" s="3"/>
      <c r="QQG34" s="3"/>
      <c r="QQH34" s="3"/>
      <c r="QQI34" s="3"/>
      <c r="QQJ34" s="3"/>
      <c r="QQK34" s="3"/>
      <c r="QQL34" s="3"/>
      <c r="QQM34" s="3"/>
      <c r="QQN34" s="3"/>
      <c r="QQO34" s="3"/>
      <c r="QQP34" s="3"/>
      <c r="QQQ34" s="3"/>
      <c r="QQR34" s="3"/>
      <c r="QQS34" s="3"/>
      <c r="QQT34" s="3"/>
      <c r="QQU34" s="3"/>
      <c r="QQV34" s="3"/>
      <c r="QQW34" s="3"/>
      <c r="QQX34" s="3"/>
      <c r="QQY34" s="3"/>
      <c r="QQZ34" s="3"/>
      <c r="QRA34" s="3"/>
      <c r="QRB34" s="3"/>
      <c r="QRC34" s="3"/>
      <c r="QRD34" s="3"/>
      <c r="QRE34" s="3"/>
      <c r="QRF34" s="3"/>
      <c r="QRG34" s="3"/>
      <c r="QRH34" s="3"/>
      <c r="QRI34" s="3"/>
      <c r="QRJ34" s="3"/>
      <c r="QRK34" s="3"/>
      <c r="QRL34" s="3"/>
      <c r="QRM34" s="3"/>
      <c r="QRN34" s="3"/>
      <c r="QRO34" s="3"/>
      <c r="QRP34" s="3"/>
      <c r="QRQ34" s="3"/>
      <c r="QRR34" s="3"/>
      <c r="QRS34" s="3"/>
      <c r="QRT34" s="3"/>
      <c r="QRU34" s="3"/>
      <c r="QRV34" s="3"/>
      <c r="QRW34" s="3"/>
      <c r="QRX34" s="3"/>
      <c r="QRY34" s="3"/>
      <c r="QRZ34" s="3"/>
      <c r="QSA34" s="3"/>
      <c r="QSB34" s="3"/>
      <c r="QSC34" s="3"/>
      <c r="QSD34" s="3"/>
      <c r="QSE34" s="3"/>
      <c r="QSF34" s="3"/>
      <c r="QSG34" s="3"/>
      <c r="QSH34" s="3"/>
      <c r="QSI34" s="3"/>
      <c r="QSJ34" s="3"/>
      <c r="QSK34" s="3"/>
      <c r="QSL34" s="3"/>
      <c r="QSM34" s="3"/>
      <c r="QSN34" s="3"/>
      <c r="QSO34" s="3"/>
      <c r="QSP34" s="3"/>
      <c r="QSQ34" s="3"/>
      <c r="QSR34" s="3"/>
      <c r="QSS34" s="3"/>
      <c r="QST34" s="3"/>
      <c r="QSU34" s="3"/>
      <c r="QSV34" s="3"/>
      <c r="QSW34" s="3"/>
      <c r="QSX34" s="3"/>
      <c r="QSY34" s="3"/>
      <c r="QSZ34" s="3"/>
      <c r="QTA34" s="3"/>
      <c r="QTB34" s="3"/>
      <c r="QTC34" s="3"/>
      <c r="QTD34" s="3"/>
      <c r="QTE34" s="3"/>
      <c r="QTF34" s="3"/>
      <c r="QTG34" s="3"/>
      <c r="QTH34" s="3"/>
      <c r="QTI34" s="3"/>
      <c r="QTJ34" s="3"/>
      <c r="QTK34" s="3"/>
      <c r="QTL34" s="3"/>
      <c r="QTM34" s="3"/>
      <c r="QTN34" s="3"/>
      <c r="QTO34" s="3"/>
      <c r="QTP34" s="3"/>
      <c r="QTQ34" s="3"/>
      <c r="QTR34" s="3"/>
      <c r="QTS34" s="3"/>
      <c r="QTT34" s="3"/>
      <c r="QTU34" s="3"/>
      <c r="QTV34" s="3"/>
      <c r="QTW34" s="3"/>
      <c r="QTX34" s="3"/>
      <c r="QTY34" s="3"/>
      <c r="QTZ34" s="3"/>
      <c r="QUA34" s="3"/>
      <c r="QUB34" s="3"/>
      <c r="QUC34" s="3"/>
      <c r="QUD34" s="3"/>
      <c r="QUE34" s="3"/>
      <c r="QUF34" s="3"/>
      <c r="QUG34" s="3"/>
      <c r="QUH34" s="3"/>
      <c r="QUI34" s="3"/>
      <c r="QUJ34" s="3"/>
      <c r="QUK34" s="3"/>
      <c r="QUL34" s="3"/>
      <c r="QUM34" s="3"/>
      <c r="QUN34" s="3"/>
      <c r="QUO34" s="3"/>
      <c r="QUP34" s="3"/>
      <c r="QUQ34" s="3"/>
      <c r="QUR34" s="3"/>
      <c r="QUS34" s="3"/>
      <c r="QUT34" s="3"/>
      <c r="QUU34" s="3"/>
      <c r="QUV34" s="3"/>
      <c r="QUW34" s="3"/>
      <c r="QUX34" s="3"/>
      <c r="QUY34" s="3"/>
      <c r="QUZ34" s="3"/>
      <c r="QVA34" s="3"/>
      <c r="QVB34" s="3"/>
      <c r="QVC34" s="3"/>
      <c r="QVD34" s="3"/>
      <c r="QVE34" s="3"/>
      <c r="QVF34" s="3"/>
      <c r="QVG34" s="3"/>
      <c r="QVH34" s="3"/>
      <c r="QVI34" s="3"/>
      <c r="QVJ34" s="3"/>
      <c r="QVK34" s="3"/>
      <c r="QVL34" s="3"/>
      <c r="QVM34" s="3"/>
      <c r="QVN34" s="3"/>
      <c r="QVO34" s="3"/>
      <c r="QVP34" s="3"/>
      <c r="QVQ34" s="3"/>
      <c r="QVR34" s="3"/>
      <c r="QVS34" s="3"/>
      <c r="QVT34" s="3"/>
      <c r="QVU34" s="3"/>
      <c r="QVV34" s="3"/>
      <c r="QVW34" s="3"/>
      <c r="QVX34" s="3"/>
      <c r="QVY34" s="3"/>
      <c r="QVZ34" s="3"/>
      <c r="QWA34" s="3"/>
      <c r="QWB34" s="3"/>
      <c r="QWC34" s="3"/>
      <c r="QWD34" s="3"/>
      <c r="QWE34" s="3"/>
      <c r="QWF34" s="3"/>
      <c r="QWG34" s="3"/>
      <c r="QWH34" s="3"/>
      <c r="QWI34" s="3"/>
      <c r="QWJ34" s="3"/>
      <c r="QWK34" s="3"/>
      <c r="QWL34" s="3"/>
      <c r="QWM34" s="3"/>
      <c r="QWN34" s="3"/>
      <c r="QWO34" s="3"/>
      <c r="QWP34" s="3"/>
      <c r="QWQ34" s="3"/>
      <c r="QWR34" s="3"/>
      <c r="QWS34" s="3"/>
      <c r="QWT34" s="3"/>
      <c r="QWU34" s="3"/>
      <c r="QWV34" s="3"/>
      <c r="QWW34" s="3"/>
      <c r="QWX34" s="3"/>
      <c r="QWY34" s="3"/>
      <c r="QWZ34" s="3"/>
      <c r="QXA34" s="3"/>
      <c r="QXB34" s="3"/>
      <c r="QXC34" s="3"/>
      <c r="QXD34" s="3"/>
      <c r="QXE34" s="3"/>
      <c r="QXF34" s="3"/>
      <c r="QXG34" s="3"/>
      <c r="QXH34" s="3"/>
      <c r="QXI34" s="3"/>
      <c r="QXJ34" s="3"/>
      <c r="QXK34" s="3"/>
      <c r="QXL34" s="3"/>
      <c r="QXM34" s="3"/>
      <c r="QXN34" s="3"/>
      <c r="QXO34" s="3"/>
      <c r="QXP34" s="3"/>
      <c r="QXQ34" s="3"/>
      <c r="QXR34" s="3"/>
      <c r="QXS34" s="3"/>
      <c r="QXT34" s="3"/>
      <c r="QXU34" s="3"/>
      <c r="QXV34" s="3"/>
      <c r="QXW34" s="3"/>
      <c r="QXX34" s="3"/>
      <c r="QXY34" s="3"/>
      <c r="QXZ34" s="3"/>
      <c r="QYA34" s="3"/>
      <c r="QYB34" s="3"/>
      <c r="QYC34" s="3"/>
      <c r="QYD34" s="3"/>
      <c r="QYE34" s="3"/>
      <c r="QYF34" s="3"/>
      <c r="QYG34" s="3"/>
      <c r="QYH34" s="3"/>
      <c r="QYI34" s="3"/>
      <c r="QYJ34" s="3"/>
      <c r="QYK34" s="3"/>
      <c r="QYL34" s="3"/>
      <c r="QYM34" s="3"/>
      <c r="QYN34" s="3"/>
      <c r="QYO34" s="3"/>
      <c r="QYP34" s="3"/>
      <c r="QYQ34" s="3"/>
      <c r="QYR34" s="3"/>
      <c r="QYS34" s="3"/>
      <c r="QYT34" s="3"/>
      <c r="QYU34" s="3"/>
      <c r="QYV34" s="3"/>
      <c r="QYW34" s="3"/>
      <c r="QYX34" s="3"/>
      <c r="QYY34" s="3"/>
      <c r="QYZ34" s="3"/>
      <c r="QZA34" s="3"/>
      <c r="QZB34" s="3"/>
      <c r="QZC34" s="3"/>
      <c r="QZD34" s="3"/>
      <c r="QZE34" s="3"/>
      <c r="QZF34" s="3"/>
      <c r="QZG34" s="3"/>
      <c r="QZH34" s="3"/>
      <c r="QZI34" s="3"/>
      <c r="QZJ34" s="3"/>
      <c r="QZK34" s="3"/>
      <c r="QZL34" s="3"/>
      <c r="QZM34" s="3"/>
      <c r="QZN34" s="3"/>
      <c r="QZO34" s="3"/>
      <c r="QZP34" s="3"/>
      <c r="QZQ34" s="3"/>
      <c r="QZR34" s="3"/>
      <c r="QZS34" s="3"/>
      <c r="QZT34" s="3"/>
      <c r="QZU34" s="3"/>
      <c r="QZV34" s="3"/>
      <c r="QZW34" s="3"/>
      <c r="QZX34" s="3"/>
      <c r="QZY34" s="3"/>
      <c r="QZZ34" s="3"/>
      <c r="RAA34" s="3"/>
      <c r="RAB34" s="3"/>
      <c r="RAC34" s="3"/>
      <c r="RAD34" s="3"/>
      <c r="RAE34" s="3"/>
      <c r="RAF34" s="3"/>
      <c r="RAG34" s="3"/>
      <c r="RAH34" s="3"/>
      <c r="RAI34" s="3"/>
      <c r="RAJ34" s="3"/>
      <c r="RAK34" s="3"/>
      <c r="RAL34" s="3"/>
      <c r="RAM34" s="3"/>
      <c r="RAN34" s="3"/>
      <c r="RAO34" s="3"/>
      <c r="RAP34" s="3"/>
      <c r="RAQ34" s="3"/>
      <c r="RAR34" s="3"/>
      <c r="RAS34" s="3"/>
      <c r="RAT34" s="3"/>
      <c r="RAU34" s="3"/>
      <c r="RAV34" s="3"/>
      <c r="RAW34" s="3"/>
      <c r="RAX34" s="3"/>
      <c r="RAY34" s="3"/>
      <c r="RAZ34" s="3"/>
      <c r="RBA34" s="3"/>
      <c r="RBB34" s="3"/>
      <c r="RBC34" s="3"/>
      <c r="RBD34" s="3"/>
      <c r="RBE34" s="3"/>
      <c r="RBF34" s="3"/>
      <c r="RBG34" s="3"/>
      <c r="RBH34" s="3"/>
      <c r="RBI34" s="3"/>
      <c r="RBJ34" s="3"/>
      <c r="RBK34" s="3"/>
      <c r="RBL34" s="3"/>
      <c r="RBM34" s="3"/>
      <c r="RBN34" s="3"/>
      <c r="RBO34" s="3"/>
      <c r="RBP34" s="3"/>
      <c r="RBQ34" s="3"/>
      <c r="RBR34" s="3"/>
      <c r="RBS34" s="3"/>
      <c r="RBT34" s="3"/>
      <c r="RBU34" s="3"/>
      <c r="RBV34" s="3"/>
      <c r="RBW34" s="3"/>
      <c r="RBX34" s="3"/>
      <c r="RBY34" s="3"/>
      <c r="RBZ34" s="3"/>
      <c r="RCA34" s="3"/>
      <c r="RCB34" s="3"/>
      <c r="RCC34" s="3"/>
      <c r="RCD34" s="3"/>
      <c r="RCE34" s="3"/>
      <c r="RCF34" s="3"/>
      <c r="RCG34" s="3"/>
      <c r="RCH34" s="3"/>
      <c r="RCI34" s="3"/>
      <c r="RCJ34" s="3"/>
      <c r="RCK34" s="3"/>
      <c r="RCL34" s="3"/>
      <c r="RCM34" s="3"/>
      <c r="RCN34" s="3"/>
      <c r="RCO34" s="3"/>
      <c r="RCP34" s="3"/>
      <c r="RCQ34" s="3"/>
      <c r="RCR34" s="3"/>
      <c r="RCS34" s="3"/>
      <c r="RCT34" s="3"/>
      <c r="RCU34" s="3"/>
      <c r="RCV34" s="3"/>
      <c r="RCW34" s="3"/>
      <c r="RCX34" s="3"/>
      <c r="RCY34" s="3"/>
      <c r="RCZ34" s="3"/>
      <c r="RDA34" s="3"/>
      <c r="RDB34" s="3"/>
      <c r="RDC34" s="3"/>
      <c r="RDD34" s="3"/>
      <c r="RDE34" s="3"/>
      <c r="RDF34" s="3"/>
      <c r="RDG34" s="3"/>
      <c r="RDH34" s="3"/>
      <c r="RDI34" s="3"/>
      <c r="RDJ34" s="3"/>
      <c r="RDK34" s="3"/>
      <c r="RDL34" s="3"/>
      <c r="RDM34" s="3"/>
      <c r="RDN34" s="3"/>
      <c r="RDO34" s="3"/>
      <c r="RDP34" s="3"/>
      <c r="RDQ34" s="3"/>
      <c r="RDR34" s="3"/>
      <c r="RDS34" s="3"/>
      <c r="RDT34" s="3"/>
      <c r="RDU34" s="3"/>
      <c r="RDV34" s="3"/>
      <c r="RDW34" s="3"/>
      <c r="RDX34" s="3"/>
      <c r="RDY34" s="3"/>
      <c r="RDZ34" s="3"/>
      <c r="REA34" s="3"/>
      <c r="REB34" s="3"/>
      <c r="REC34" s="3"/>
      <c r="RED34" s="3"/>
      <c r="REE34" s="3"/>
      <c r="REF34" s="3"/>
      <c r="REG34" s="3"/>
      <c r="REH34" s="3"/>
      <c r="REI34" s="3"/>
      <c r="REJ34" s="3"/>
      <c r="REK34" s="3"/>
      <c r="REL34" s="3"/>
      <c r="REM34" s="3"/>
      <c r="REN34" s="3"/>
      <c r="REO34" s="3"/>
      <c r="REP34" s="3"/>
      <c r="REQ34" s="3"/>
      <c r="RER34" s="3"/>
      <c r="RES34" s="3"/>
      <c r="RET34" s="3"/>
      <c r="REU34" s="3"/>
      <c r="REV34" s="3"/>
      <c r="REW34" s="3"/>
      <c r="REX34" s="3"/>
      <c r="REY34" s="3"/>
      <c r="REZ34" s="3"/>
      <c r="RFA34" s="3"/>
      <c r="RFB34" s="3"/>
      <c r="RFC34" s="3"/>
      <c r="RFD34" s="3"/>
      <c r="RFE34" s="3"/>
      <c r="RFF34" s="3"/>
      <c r="RFG34" s="3"/>
      <c r="RFH34" s="3"/>
      <c r="RFI34" s="3"/>
      <c r="RFJ34" s="3"/>
      <c r="RFK34" s="3"/>
      <c r="RFL34" s="3"/>
      <c r="RFM34" s="3"/>
      <c r="RFN34" s="3"/>
      <c r="RFO34" s="3"/>
      <c r="RFP34" s="3"/>
      <c r="RFQ34" s="3"/>
      <c r="RFR34" s="3"/>
      <c r="RFS34" s="3"/>
      <c r="RFT34" s="3"/>
      <c r="RFU34" s="3"/>
      <c r="RFV34" s="3"/>
      <c r="RFW34" s="3"/>
      <c r="RFX34" s="3"/>
      <c r="RFY34" s="3"/>
      <c r="RFZ34" s="3"/>
      <c r="RGA34" s="3"/>
      <c r="RGB34" s="3"/>
      <c r="RGC34" s="3"/>
      <c r="RGD34" s="3"/>
      <c r="RGE34" s="3"/>
      <c r="RGF34" s="3"/>
      <c r="RGG34" s="3"/>
      <c r="RGH34" s="3"/>
      <c r="RGI34" s="3"/>
      <c r="RGJ34" s="3"/>
      <c r="RGK34" s="3"/>
      <c r="RGL34" s="3"/>
      <c r="RGM34" s="3"/>
      <c r="RGN34" s="3"/>
      <c r="RGO34" s="3"/>
      <c r="RGP34" s="3"/>
      <c r="RGQ34" s="3"/>
      <c r="RGR34" s="3"/>
      <c r="RGS34" s="3"/>
      <c r="RGT34" s="3"/>
      <c r="RGU34" s="3"/>
      <c r="RGV34" s="3"/>
      <c r="RGW34" s="3"/>
      <c r="RGX34" s="3"/>
      <c r="RGY34" s="3"/>
      <c r="RGZ34" s="3"/>
      <c r="RHA34" s="3"/>
      <c r="RHB34" s="3"/>
      <c r="RHC34" s="3"/>
      <c r="RHD34" s="3"/>
      <c r="RHE34" s="3"/>
      <c r="RHF34" s="3"/>
      <c r="RHG34" s="3"/>
      <c r="RHH34" s="3"/>
      <c r="RHI34" s="3"/>
      <c r="RHJ34" s="3"/>
      <c r="RHK34" s="3"/>
      <c r="RHL34" s="3"/>
      <c r="RHM34" s="3"/>
      <c r="RHN34" s="3"/>
      <c r="RHO34" s="3"/>
      <c r="RHP34" s="3"/>
      <c r="RHQ34" s="3"/>
      <c r="RHR34" s="3"/>
      <c r="RHS34" s="3"/>
      <c r="RHT34" s="3"/>
      <c r="RHU34" s="3"/>
      <c r="RHV34" s="3"/>
      <c r="RHW34" s="3"/>
      <c r="RHX34" s="3"/>
      <c r="RHY34" s="3"/>
      <c r="RHZ34" s="3"/>
      <c r="RIA34" s="3"/>
      <c r="RIB34" s="3"/>
      <c r="RIC34" s="3"/>
      <c r="RID34" s="3"/>
      <c r="RIE34" s="3"/>
      <c r="RIF34" s="3"/>
      <c r="RIG34" s="3"/>
      <c r="RIH34" s="3"/>
      <c r="RII34" s="3"/>
      <c r="RIJ34" s="3"/>
      <c r="RIK34" s="3"/>
      <c r="RIL34" s="3"/>
      <c r="RIM34" s="3"/>
      <c r="RIN34" s="3"/>
      <c r="RIO34" s="3"/>
      <c r="RIP34" s="3"/>
      <c r="RIQ34" s="3"/>
      <c r="RIR34" s="3"/>
      <c r="RIS34" s="3"/>
      <c r="RIT34" s="3"/>
      <c r="RIU34" s="3"/>
      <c r="RIV34" s="3"/>
      <c r="RIW34" s="3"/>
      <c r="RIX34" s="3"/>
      <c r="RIY34" s="3"/>
      <c r="RIZ34" s="3"/>
      <c r="RJA34" s="3"/>
      <c r="RJB34" s="3"/>
      <c r="RJC34" s="3"/>
      <c r="RJD34" s="3"/>
      <c r="RJE34" s="3"/>
      <c r="RJF34" s="3"/>
      <c r="RJG34" s="3"/>
      <c r="RJH34" s="3"/>
      <c r="RJI34" s="3"/>
      <c r="RJJ34" s="3"/>
      <c r="RJK34" s="3"/>
      <c r="RJL34" s="3"/>
      <c r="RJM34" s="3"/>
      <c r="RJN34" s="3"/>
      <c r="RJO34" s="3"/>
      <c r="RJP34" s="3"/>
      <c r="RJQ34" s="3"/>
      <c r="RJR34" s="3"/>
      <c r="RJS34" s="3"/>
      <c r="RJT34" s="3"/>
      <c r="RJU34" s="3"/>
      <c r="RJV34" s="3"/>
      <c r="RJW34" s="3"/>
      <c r="RJX34" s="3"/>
      <c r="RJY34" s="3"/>
      <c r="RJZ34" s="3"/>
      <c r="RKA34" s="3"/>
      <c r="RKB34" s="3"/>
      <c r="RKC34" s="3"/>
      <c r="RKD34" s="3"/>
      <c r="RKE34" s="3"/>
      <c r="RKF34" s="3"/>
      <c r="RKG34" s="3"/>
      <c r="RKH34" s="3"/>
      <c r="RKI34" s="3"/>
      <c r="RKJ34" s="3"/>
      <c r="RKK34" s="3"/>
      <c r="RKL34" s="3"/>
      <c r="RKM34" s="3"/>
      <c r="RKN34" s="3"/>
      <c r="RKO34" s="3"/>
      <c r="RKP34" s="3"/>
      <c r="RKQ34" s="3"/>
      <c r="RKR34" s="3"/>
      <c r="RKS34" s="3"/>
      <c r="RKT34" s="3"/>
      <c r="RKU34" s="3"/>
      <c r="RKV34" s="3"/>
      <c r="RKW34" s="3"/>
      <c r="RKX34" s="3"/>
      <c r="RKY34" s="3"/>
      <c r="RKZ34" s="3"/>
      <c r="RLA34" s="3"/>
      <c r="RLB34" s="3"/>
      <c r="RLC34" s="3"/>
      <c r="RLD34" s="3"/>
      <c r="RLE34" s="3"/>
      <c r="RLF34" s="3"/>
      <c r="RLG34" s="3"/>
      <c r="RLH34" s="3"/>
      <c r="RLI34" s="3"/>
      <c r="RLJ34" s="3"/>
      <c r="RLK34" s="3"/>
      <c r="RLL34" s="3"/>
      <c r="RLM34" s="3"/>
      <c r="RLN34" s="3"/>
      <c r="RLO34" s="3"/>
      <c r="RLP34" s="3"/>
      <c r="RLQ34" s="3"/>
      <c r="RLR34" s="3"/>
      <c r="RLS34" s="3"/>
      <c r="RLT34" s="3"/>
      <c r="RLU34" s="3"/>
      <c r="RLV34" s="3"/>
      <c r="RLW34" s="3"/>
      <c r="RLX34" s="3"/>
      <c r="RLY34" s="3"/>
      <c r="RLZ34" s="3"/>
      <c r="RMA34" s="3"/>
      <c r="RMB34" s="3"/>
      <c r="RMC34" s="3"/>
      <c r="RMD34" s="3"/>
      <c r="RME34" s="3"/>
      <c r="RMF34" s="3"/>
      <c r="RMG34" s="3"/>
      <c r="RMH34" s="3"/>
      <c r="RMI34" s="3"/>
      <c r="RMJ34" s="3"/>
      <c r="RMK34" s="3"/>
      <c r="RML34" s="3"/>
      <c r="RMM34" s="3"/>
      <c r="RMN34" s="3"/>
      <c r="RMO34" s="3"/>
      <c r="RMP34" s="3"/>
      <c r="RMQ34" s="3"/>
      <c r="RMR34" s="3"/>
      <c r="RMS34" s="3"/>
      <c r="RMT34" s="3"/>
      <c r="RMU34" s="3"/>
      <c r="RMV34" s="3"/>
      <c r="RMW34" s="3"/>
      <c r="RMX34" s="3"/>
      <c r="RMY34" s="3"/>
      <c r="RMZ34" s="3"/>
      <c r="RNA34" s="3"/>
      <c r="RNB34" s="3"/>
      <c r="RNC34" s="3"/>
      <c r="RND34" s="3"/>
      <c r="RNE34" s="3"/>
      <c r="RNF34" s="3"/>
      <c r="RNG34" s="3"/>
      <c r="RNH34" s="3"/>
      <c r="RNI34" s="3"/>
      <c r="RNJ34" s="3"/>
      <c r="RNK34" s="3"/>
      <c r="RNL34" s="3"/>
      <c r="RNM34" s="3"/>
      <c r="RNN34" s="3"/>
      <c r="RNO34" s="3"/>
      <c r="RNP34" s="3"/>
      <c r="RNQ34" s="3"/>
      <c r="RNR34" s="3"/>
      <c r="RNS34" s="3"/>
      <c r="RNT34" s="3"/>
      <c r="RNU34" s="3"/>
      <c r="RNV34" s="3"/>
      <c r="RNW34" s="3"/>
      <c r="RNX34" s="3"/>
      <c r="RNY34" s="3"/>
      <c r="RNZ34" s="3"/>
      <c r="ROA34" s="3"/>
      <c r="ROB34" s="3"/>
      <c r="ROC34" s="3"/>
      <c r="ROD34" s="3"/>
      <c r="ROE34" s="3"/>
      <c r="ROF34" s="3"/>
      <c r="ROG34" s="3"/>
      <c r="ROH34" s="3"/>
      <c r="ROI34" s="3"/>
      <c r="ROJ34" s="3"/>
      <c r="ROK34" s="3"/>
      <c r="ROL34" s="3"/>
      <c r="ROM34" s="3"/>
      <c r="RON34" s="3"/>
      <c r="ROO34" s="3"/>
      <c r="ROP34" s="3"/>
      <c r="ROQ34" s="3"/>
      <c r="ROR34" s="3"/>
      <c r="ROS34" s="3"/>
      <c r="ROT34" s="3"/>
      <c r="ROU34" s="3"/>
      <c r="ROV34" s="3"/>
      <c r="ROW34" s="3"/>
      <c r="ROX34" s="3"/>
      <c r="ROY34" s="3"/>
      <c r="ROZ34" s="3"/>
      <c r="RPA34" s="3"/>
      <c r="RPB34" s="3"/>
      <c r="RPC34" s="3"/>
      <c r="RPD34" s="3"/>
      <c r="RPE34" s="3"/>
      <c r="RPF34" s="3"/>
      <c r="RPG34" s="3"/>
      <c r="RPH34" s="3"/>
      <c r="RPI34" s="3"/>
      <c r="RPJ34" s="3"/>
      <c r="RPK34" s="3"/>
      <c r="RPL34" s="3"/>
      <c r="RPM34" s="3"/>
      <c r="RPN34" s="3"/>
      <c r="RPO34" s="3"/>
      <c r="RPP34" s="3"/>
      <c r="RPQ34" s="3"/>
      <c r="RPR34" s="3"/>
      <c r="RPS34" s="3"/>
      <c r="RPT34" s="3"/>
      <c r="RPU34" s="3"/>
      <c r="RPV34" s="3"/>
      <c r="RPW34" s="3"/>
      <c r="RPX34" s="3"/>
      <c r="RPY34" s="3"/>
      <c r="RPZ34" s="3"/>
      <c r="RQA34" s="3"/>
      <c r="RQB34" s="3"/>
      <c r="RQC34" s="3"/>
      <c r="RQD34" s="3"/>
      <c r="RQE34" s="3"/>
      <c r="RQF34" s="3"/>
      <c r="RQG34" s="3"/>
      <c r="RQH34" s="3"/>
      <c r="RQI34" s="3"/>
      <c r="RQJ34" s="3"/>
      <c r="RQK34" s="3"/>
      <c r="RQL34" s="3"/>
      <c r="RQM34" s="3"/>
      <c r="RQN34" s="3"/>
      <c r="RQO34" s="3"/>
      <c r="RQP34" s="3"/>
      <c r="RQQ34" s="3"/>
      <c r="RQR34" s="3"/>
      <c r="RQS34" s="3"/>
      <c r="RQT34" s="3"/>
      <c r="RQU34" s="3"/>
      <c r="RQV34" s="3"/>
      <c r="RQW34" s="3"/>
      <c r="RQX34" s="3"/>
      <c r="RQY34" s="3"/>
      <c r="RQZ34" s="3"/>
      <c r="RRA34" s="3"/>
      <c r="RRB34" s="3"/>
      <c r="RRC34" s="3"/>
      <c r="RRD34" s="3"/>
      <c r="RRE34" s="3"/>
      <c r="RRF34" s="3"/>
      <c r="RRG34" s="3"/>
      <c r="RRH34" s="3"/>
      <c r="RRI34" s="3"/>
      <c r="RRJ34" s="3"/>
      <c r="RRK34" s="3"/>
      <c r="RRL34" s="3"/>
      <c r="RRM34" s="3"/>
      <c r="RRN34" s="3"/>
      <c r="RRO34" s="3"/>
      <c r="RRP34" s="3"/>
      <c r="RRQ34" s="3"/>
      <c r="RRR34" s="3"/>
      <c r="RRS34" s="3"/>
      <c r="RRT34" s="3"/>
      <c r="RRU34" s="3"/>
      <c r="RRV34" s="3"/>
      <c r="RRW34" s="3"/>
      <c r="RRX34" s="3"/>
      <c r="RRY34" s="3"/>
      <c r="RRZ34" s="3"/>
      <c r="RSA34" s="3"/>
      <c r="RSB34" s="3"/>
      <c r="RSC34" s="3"/>
      <c r="RSD34" s="3"/>
      <c r="RSE34" s="3"/>
      <c r="RSF34" s="3"/>
      <c r="RSG34" s="3"/>
      <c r="RSH34" s="3"/>
      <c r="RSI34" s="3"/>
      <c r="RSJ34" s="3"/>
      <c r="RSK34" s="3"/>
      <c r="RSL34" s="3"/>
      <c r="RSM34" s="3"/>
      <c r="RSN34" s="3"/>
      <c r="RSO34" s="3"/>
      <c r="RSP34" s="3"/>
      <c r="RSQ34" s="3"/>
      <c r="RSR34" s="3"/>
      <c r="RSS34" s="3"/>
      <c r="RST34" s="3"/>
      <c r="RSU34" s="3"/>
      <c r="RSV34" s="3"/>
      <c r="RSW34" s="3"/>
      <c r="RSX34" s="3"/>
      <c r="RSY34" s="3"/>
      <c r="RSZ34" s="3"/>
      <c r="RTA34" s="3"/>
      <c r="RTB34" s="3"/>
      <c r="RTC34" s="3"/>
      <c r="RTD34" s="3"/>
      <c r="RTE34" s="3"/>
      <c r="RTF34" s="3"/>
      <c r="RTG34" s="3"/>
      <c r="RTH34" s="3"/>
      <c r="RTI34" s="3"/>
      <c r="RTJ34" s="3"/>
      <c r="RTK34" s="3"/>
      <c r="RTL34" s="3"/>
      <c r="RTM34" s="3"/>
      <c r="RTN34" s="3"/>
      <c r="RTO34" s="3"/>
      <c r="RTP34" s="3"/>
      <c r="RTQ34" s="3"/>
      <c r="RTR34" s="3"/>
      <c r="RTS34" s="3"/>
      <c r="RTT34" s="3"/>
      <c r="RTU34" s="3"/>
      <c r="RTV34" s="3"/>
      <c r="RTW34" s="3"/>
      <c r="RTX34" s="3"/>
      <c r="RTY34" s="3"/>
      <c r="RTZ34" s="3"/>
      <c r="RUA34" s="3"/>
      <c r="RUB34" s="3"/>
      <c r="RUC34" s="3"/>
      <c r="RUD34" s="3"/>
      <c r="RUE34" s="3"/>
      <c r="RUF34" s="3"/>
      <c r="RUG34" s="3"/>
      <c r="RUH34" s="3"/>
      <c r="RUI34" s="3"/>
      <c r="RUJ34" s="3"/>
      <c r="RUK34" s="3"/>
      <c r="RUL34" s="3"/>
      <c r="RUM34" s="3"/>
      <c r="RUN34" s="3"/>
      <c r="RUO34" s="3"/>
      <c r="RUP34" s="3"/>
      <c r="RUQ34" s="3"/>
      <c r="RUR34" s="3"/>
      <c r="RUS34" s="3"/>
      <c r="RUT34" s="3"/>
      <c r="RUU34" s="3"/>
      <c r="RUV34" s="3"/>
      <c r="RUW34" s="3"/>
      <c r="RUX34" s="3"/>
      <c r="RUY34" s="3"/>
      <c r="RUZ34" s="3"/>
      <c r="RVA34" s="3"/>
      <c r="RVB34" s="3"/>
      <c r="RVC34" s="3"/>
      <c r="RVD34" s="3"/>
      <c r="RVE34" s="3"/>
      <c r="RVF34" s="3"/>
      <c r="RVG34" s="3"/>
      <c r="RVH34" s="3"/>
      <c r="RVI34" s="3"/>
      <c r="RVJ34" s="3"/>
      <c r="RVK34" s="3"/>
      <c r="RVL34" s="3"/>
      <c r="RVM34" s="3"/>
      <c r="RVN34" s="3"/>
      <c r="RVO34" s="3"/>
      <c r="RVP34" s="3"/>
      <c r="RVQ34" s="3"/>
      <c r="RVR34" s="3"/>
      <c r="RVS34" s="3"/>
      <c r="RVT34" s="3"/>
      <c r="RVU34" s="3"/>
      <c r="RVV34" s="3"/>
      <c r="RVW34" s="3"/>
      <c r="RVX34" s="3"/>
      <c r="RVY34" s="3"/>
      <c r="RVZ34" s="3"/>
      <c r="RWA34" s="3"/>
      <c r="RWB34" s="3"/>
      <c r="RWC34" s="3"/>
      <c r="RWD34" s="3"/>
      <c r="RWE34" s="3"/>
      <c r="RWF34" s="3"/>
      <c r="RWG34" s="3"/>
      <c r="RWH34" s="3"/>
      <c r="RWI34" s="3"/>
      <c r="RWJ34" s="3"/>
      <c r="RWK34" s="3"/>
      <c r="RWL34" s="3"/>
      <c r="RWM34" s="3"/>
      <c r="RWN34" s="3"/>
      <c r="RWO34" s="3"/>
      <c r="RWP34" s="3"/>
      <c r="RWQ34" s="3"/>
      <c r="RWR34" s="3"/>
      <c r="RWS34" s="3"/>
      <c r="RWT34" s="3"/>
      <c r="RWU34" s="3"/>
      <c r="RWV34" s="3"/>
      <c r="RWW34" s="3"/>
      <c r="RWX34" s="3"/>
      <c r="RWY34" s="3"/>
      <c r="RWZ34" s="3"/>
      <c r="RXA34" s="3"/>
      <c r="RXB34" s="3"/>
      <c r="RXC34" s="3"/>
      <c r="RXD34" s="3"/>
      <c r="RXE34" s="3"/>
      <c r="RXF34" s="3"/>
      <c r="RXG34" s="3"/>
      <c r="RXH34" s="3"/>
      <c r="RXI34" s="3"/>
      <c r="RXJ34" s="3"/>
      <c r="RXK34" s="3"/>
      <c r="RXL34" s="3"/>
      <c r="RXM34" s="3"/>
      <c r="RXN34" s="3"/>
      <c r="RXO34" s="3"/>
      <c r="RXP34" s="3"/>
      <c r="RXQ34" s="3"/>
      <c r="RXR34" s="3"/>
      <c r="RXS34" s="3"/>
      <c r="RXT34" s="3"/>
      <c r="RXU34" s="3"/>
      <c r="RXV34" s="3"/>
      <c r="RXW34" s="3"/>
      <c r="RXX34" s="3"/>
      <c r="RXY34" s="3"/>
      <c r="RXZ34" s="3"/>
      <c r="RYA34" s="3"/>
      <c r="RYB34" s="3"/>
      <c r="RYC34" s="3"/>
      <c r="RYD34" s="3"/>
      <c r="RYE34" s="3"/>
      <c r="RYF34" s="3"/>
      <c r="RYG34" s="3"/>
      <c r="RYH34" s="3"/>
      <c r="RYI34" s="3"/>
      <c r="RYJ34" s="3"/>
      <c r="RYK34" s="3"/>
      <c r="RYL34" s="3"/>
      <c r="RYM34" s="3"/>
      <c r="RYN34" s="3"/>
      <c r="RYO34" s="3"/>
      <c r="RYP34" s="3"/>
      <c r="RYQ34" s="3"/>
      <c r="RYR34" s="3"/>
      <c r="RYS34" s="3"/>
      <c r="RYT34" s="3"/>
      <c r="RYU34" s="3"/>
      <c r="RYV34" s="3"/>
      <c r="RYW34" s="3"/>
      <c r="RYX34" s="3"/>
      <c r="RYY34" s="3"/>
      <c r="RYZ34" s="3"/>
      <c r="RZA34" s="3"/>
      <c r="RZB34" s="3"/>
      <c r="RZC34" s="3"/>
      <c r="RZD34" s="3"/>
      <c r="RZE34" s="3"/>
      <c r="RZF34" s="3"/>
      <c r="RZG34" s="3"/>
      <c r="RZH34" s="3"/>
      <c r="RZI34" s="3"/>
      <c r="RZJ34" s="3"/>
      <c r="RZK34" s="3"/>
      <c r="RZL34" s="3"/>
      <c r="RZM34" s="3"/>
      <c r="RZN34" s="3"/>
      <c r="RZO34" s="3"/>
      <c r="RZP34" s="3"/>
      <c r="RZQ34" s="3"/>
      <c r="RZR34" s="3"/>
      <c r="RZS34" s="3"/>
      <c r="RZT34" s="3"/>
      <c r="RZU34" s="3"/>
      <c r="RZV34" s="3"/>
      <c r="RZW34" s="3"/>
      <c r="RZX34" s="3"/>
      <c r="RZY34" s="3"/>
      <c r="RZZ34" s="3"/>
      <c r="SAA34" s="3"/>
      <c r="SAB34" s="3"/>
      <c r="SAC34" s="3"/>
      <c r="SAD34" s="3"/>
      <c r="SAE34" s="3"/>
      <c r="SAF34" s="3"/>
      <c r="SAG34" s="3"/>
      <c r="SAH34" s="3"/>
      <c r="SAI34" s="3"/>
      <c r="SAJ34" s="3"/>
      <c r="SAK34" s="3"/>
      <c r="SAL34" s="3"/>
      <c r="SAM34" s="3"/>
      <c r="SAN34" s="3"/>
      <c r="SAO34" s="3"/>
      <c r="SAP34" s="3"/>
      <c r="SAQ34" s="3"/>
      <c r="SAR34" s="3"/>
      <c r="SAS34" s="3"/>
      <c r="SAT34" s="3"/>
      <c r="SAU34" s="3"/>
      <c r="SAV34" s="3"/>
      <c r="SAW34" s="3"/>
      <c r="SAX34" s="3"/>
      <c r="SAY34" s="3"/>
      <c r="SAZ34" s="3"/>
      <c r="SBA34" s="3"/>
      <c r="SBB34" s="3"/>
      <c r="SBC34" s="3"/>
      <c r="SBD34" s="3"/>
      <c r="SBE34" s="3"/>
      <c r="SBF34" s="3"/>
      <c r="SBG34" s="3"/>
      <c r="SBH34" s="3"/>
      <c r="SBI34" s="3"/>
      <c r="SBJ34" s="3"/>
      <c r="SBK34" s="3"/>
      <c r="SBL34" s="3"/>
      <c r="SBM34" s="3"/>
      <c r="SBN34" s="3"/>
      <c r="SBO34" s="3"/>
      <c r="SBP34" s="3"/>
      <c r="SBQ34" s="3"/>
      <c r="SBR34" s="3"/>
      <c r="SBS34" s="3"/>
      <c r="SBT34" s="3"/>
      <c r="SBU34" s="3"/>
      <c r="SBV34" s="3"/>
      <c r="SBW34" s="3"/>
      <c r="SBX34" s="3"/>
      <c r="SBY34" s="3"/>
      <c r="SBZ34" s="3"/>
      <c r="SCA34" s="3"/>
      <c r="SCB34" s="3"/>
      <c r="SCC34" s="3"/>
      <c r="SCD34" s="3"/>
      <c r="SCE34" s="3"/>
      <c r="SCF34" s="3"/>
      <c r="SCG34" s="3"/>
      <c r="SCH34" s="3"/>
      <c r="SCI34" s="3"/>
      <c r="SCJ34" s="3"/>
      <c r="SCK34" s="3"/>
      <c r="SCL34" s="3"/>
      <c r="SCM34" s="3"/>
      <c r="SCN34" s="3"/>
      <c r="SCO34" s="3"/>
      <c r="SCP34" s="3"/>
      <c r="SCQ34" s="3"/>
      <c r="SCR34" s="3"/>
      <c r="SCS34" s="3"/>
      <c r="SCT34" s="3"/>
      <c r="SCU34" s="3"/>
      <c r="SCV34" s="3"/>
      <c r="SCW34" s="3"/>
      <c r="SCX34" s="3"/>
      <c r="SCY34" s="3"/>
      <c r="SCZ34" s="3"/>
      <c r="SDA34" s="3"/>
      <c r="SDB34" s="3"/>
      <c r="SDC34" s="3"/>
      <c r="SDD34" s="3"/>
      <c r="SDE34" s="3"/>
      <c r="SDF34" s="3"/>
      <c r="SDG34" s="3"/>
      <c r="SDH34" s="3"/>
      <c r="SDI34" s="3"/>
      <c r="SDJ34" s="3"/>
      <c r="SDK34" s="3"/>
      <c r="SDL34" s="3"/>
      <c r="SDM34" s="3"/>
      <c r="SDN34" s="3"/>
      <c r="SDO34" s="3"/>
      <c r="SDP34" s="3"/>
      <c r="SDQ34" s="3"/>
      <c r="SDR34" s="3"/>
      <c r="SDS34" s="3"/>
      <c r="SDT34" s="3"/>
      <c r="SDU34" s="3"/>
      <c r="SDV34" s="3"/>
      <c r="SDW34" s="3"/>
      <c r="SDX34" s="3"/>
      <c r="SDY34" s="3"/>
      <c r="SDZ34" s="3"/>
      <c r="SEA34" s="3"/>
      <c r="SEB34" s="3"/>
      <c r="SEC34" s="3"/>
      <c r="SED34" s="3"/>
      <c r="SEE34" s="3"/>
      <c r="SEF34" s="3"/>
      <c r="SEG34" s="3"/>
      <c r="SEH34" s="3"/>
      <c r="SEI34" s="3"/>
      <c r="SEJ34" s="3"/>
      <c r="SEK34" s="3"/>
      <c r="SEL34" s="3"/>
      <c r="SEM34" s="3"/>
      <c r="SEN34" s="3"/>
      <c r="SEO34" s="3"/>
      <c r="SEP34" s="3"/>
      <c r="SEQ34" s="3"/>
      <c r="SER34" s="3"/>
      <c r="SES34" s="3"/>
      <c r="SET34" s="3"/>
      <c r="SEU34" s="3"/>
      <c r="SEV34" s="3"/>
      <c r="SEW34" s="3"/>
      <c r="SEX34" s="3"/>
      <c r="SEY34" s="3"/>
      <c r="SEZ34" s="3"/>
      <c r="SFA34" s="3"/>
      <c r="SFB34" s="3"/>
      <c r="SFC34" s="3"/>
      <c r="SFD34" s="3"/>
      <c r="SFE34" s="3"/>
      <c r="SFF34" s="3"/>
      <c r="SFG34" s="3"/>
      <c r="SFH34" s="3"/>
      <c r="SFI34" s="3"/>
      <c r="SFJ34" s="3"/>
      <c r="SFK34" s="3"/>
      <c r="SFL34" s="3"/>
      <c r="SFM34" s="3"/>
      <c r="SFN34" s="3"/>
      <c r="SFO34" s="3"/>
      <c r="SFP34" s="3"/>
      <c r="SFQ34" s="3"/>
      <c r="SFR34" s="3"/>
      <c r="SFS34" s="3"/>
      <c r="SFT34" s="3"/>
      <c r="SFU34" s="3"/>
      <c r="SFV34" s="3"/>
      <c r="SFW34" s="3"/>
      <c r="SFX34" s="3"/>
      <c r="SFY34" s="3"/>
      <c r="SFZ34" s="3"/>
      <c r="SGA34" s="3"/>
      <c r="SGB34" s="3"/>
      <c r="SGC34" s="3"/>
      <c r="SGD34" s="3"/>
      <c r="SGE34" s="3"/>
      <c r="SGF34" s="3"/>
      <c r="SGG34" s="3"/>
      <c r="SGH34" s="3"/>
      <c r="SGI34" s="3"/>
      <c r="SGJ34" s="3"/>
      <c r="SGK34" s="3"/>
      <c r="SGL34" s="3"/>
      <c r="SGM34" s="3"/>
      <c r="SGN34" s="3"/>
      <c r="SGO34" s="3"/>
      <c r="SGP34" s="3"/>
      <c r="SGQ34" s="3"/>
      <c r="SGR34" s="3"/>
      <c r="SGS34" s="3"/>
      <c r="SGT34" s="3"/>
      <c r="SGU34" s="3"/>
      <c r="SGV34" s="3"/>
      <c r="SGW34" s="3"/>
      <c r="SGX34" s="3"/>
      <c r="SGY34" s="3"/>
      <c r="SGZ34" s="3"/>
      <c r="SHA34" s="3"/>
      <c r="SHB34" s="3"/>
      <c r="SHC34" s="3"/>
      <c r="SHD34" s="3"/>
      <c r="SHE34" s="3"/>
      <c r="SHF34" s="3"/>
      <c r="SHG34" s="3"/>
      <c r="SHH34" s="3"/>
      <c r="SHI34" s="3"/>
      <c r="SHJ34" s="3"/>
      <c r="SHK34" s="3"/>
      <c r="SHL34" s="3"/>
      <c r="SHM34" s="3"/>
      <c r="SHN34" s="3"/>
      <c r="SHO34" s="3"/>
      <c r="SHP34" s="3"/>
      <c r="SHQ34" s="3"/>
      <c r="SHR34" s="3"/>
      <c r="SHS34" s="3"/>
      <c r="SHT34" s="3"/>
      <c r="SHU34" s="3"/>
      <c r="SHV34" s="3"/>
      <c r="SHW34" s="3"/>
      <c r="SHX34" s="3"/>
      <c r="SHY34" s="3"/>
      <c r="SHZ34" s="3"/>
      <c r="SIA34" s="3"/>
      <c r="SIB34" s="3"/>
      <c r="SIC34" s="3"/>
      <c r="SID34" s="3"/>
      <c r="SIE34" s="3"/>
      <c r="SIF34" s="3"/>
      <c r="SIG34" s="3"/>
      <c r="SIH34" s="3"/>
      <c r="SII34" s="3"/>
      <c r="SIJ34" s="3"/>
      <c r="SIK34" s="3"/>
      <c r="SIL34" s="3"/>
      <c r="SIM34" s="3"/>
      <c r="SIN34" s="3"/>
      <c r="SIO34" s="3"/>
      <c r="SIP34" s="3"/>
      <c r="SIQ34" s="3"/>
      <c r="SIR34" s="3"/>
      <c r="SIS34" s="3"/>
      <c r="SIT34" s="3"/>
      <c r="SIU34" s="3"/>
      <c r="SIV34" s="3"/>
      <c r="SIW34" s="3"/>
      <c r="SIX34" s="3"/>
      <c r="SIY34" s="3"/>
      <c r="SIZ34" s="3"/>
      <c r="SJA34" s="3"/>
      <c r="SJB34" s="3"/>
      <c r="SJC34" s="3"/>
      <c r="SJD34" s="3"/>
      <c r="SJE34" s="3"/>
      <c r="SJF34" s="3"/>
      <c r="SJG34" s="3"/>
      <c r="SJH34" s="3"/>
      <c r="SJI34" s="3"/>
      <c r="SJJ34" s="3"/>
      <c r="SJK34" s="3"/>
      <c r="SJL34" s="3"/>
      <c r="SJM34" s="3"/>
      <c r="SJN34" s="3"/>
      <c r="SJO34" s="3"/>
      <c r="SJP34" s="3"/>
      <c r="SJQ34" s="3"/>
      <c r="SJR34" s="3"/>
      <c r="SJS34" s="3"/>
      <c r="SJT34" s="3"/>
      <c r="SJU34" s="3"/>
      <c r="SJV34" s="3"/>
      <c r="SJW34" s="3"/>
      <c r="SJX34" s="3"/>
      <c r="SJY34" s="3"/>
      <c r="SJZ34" s="3"/>
      <c r="SKA34" s="3"/>
      <c r="SKB34" s="3"/>
      <c r="SKC34" s="3"/>
      <c r="SKD34" s="3"/>
      <c r="SKE34" s="3"/>
      <c r="SKF34" s="3"/>
      <c r="SKG34" s="3"/>
      <c r="SKH34" s="3"/>
      <c r="SKI34" s="3"/>
      <c r="SKJ34" s="3"/>
      <c r="SKK34" s="3"/>
      <c r="SKL34" s="3"/>
      <c r="SKM34" s="3"/>
      <c r="SKN34" s="3"/>
      <c r="SKO34" s="3"/>
      <c r="SKP34" s="3"/>
      <c r="SKQ34" s="3"/>
      <c r="SKR34" s="3"/>
      <c r="SKS34" s="3"/>
      <c r="SKT34" s="3"/>
      <c r="SKU34" s="3"/>
      <c r="SKV34" s="3"/>
      <c r="SKW34" s="3"/>
      <c r="SKX34" s="3"/>
      <c r="SKY34" s="3"/>
      <c r="SKZ34" s="3"/>
      <c r="SLA34" s="3"/>
      <c r="SLB34" s="3"/>
      <c r="SLC34" s="3"/>
      <c r="SLD34" s="3"/>
      <c r="SLE34" s="3"/>
      <c r="SLF34" s="3"/>
      <c r="SLG34" s="3"/>
      <c r="SLH34" s="3"/>
      <c r="SLI34" s="3"/>
      <c r="SLJ34" s="3"/>
      <c r="SLK34" s="3"/>
      <c r="SLL34" s="3"/>
      <c r="SLM34" s="3"/>
      <c r="SLN34" s="3"/>
      <c r="SLO34" s="3"/>
      <c r="SLP34" s="3"/>
      <c r="SLQ34" s="3"/>
      <c r="SLR34" s="3"/>
      <c r="SLS34" s="3"/>
      <c r="SLT34" s="3"/>
      <c r="SLU34" s="3"/>
      <c r="SLV34" s="3"/>
      <c r="SLW34" s="3"/>
      <c r="SLX34" s="3"/>
      <c r="SLY34" s="3"/>
      <c r="SLZ34" s="3"/>
      <c r="SMA34" s="3"/>
      <c r="SMB34" s="3"/>
      <c r="SMC34" s="3"/>
      <c r="SMD34" s="3"/>
      <c r="SME34" s="3"/>
      <c r="SMF34" s="3"/>
      <c r="SMG34" s="3"/>
      <c r="SMH34" s="3"/>
      <c r="SMI34" s="3"/>
      <c r="SMJ34" s="3"/>
      <c r="SMK34" s="3"/>
      <c r="SML34" s="3"/>
      <c r="SMM34" s="3"/>
      <c r="SMN34" s="3"/>
      <c r="SMO34" s="3"/>
      <c r="SMP34" s="3"/>
      <c r="SMQ34" s="3"/>
      <c r="SMR34" s="3"/>
      <c r="SMS34" s="3"/>
      <c r="SMT34" s="3"/>
      <c r="SMU34" s="3"/>
      <c r="SMV34" s="3"/>
      <c r="SMW34" s="3"/>
      <c r="SMX34" s="3"/>
      <c r="SMY34" s="3"/>
      <c r="SMZ34" s="3"/>
      <c r="SNA34" s="3"/>
      <c r="SNB34" s="3"/>
      <c r="SNC34" s="3"/>
      <c r="SND34" s="3"/>
      <c r="SNE34" s="3"/>
      <c r="SNF34" s="3"/>
      <c r="SNG34" s="3"/>
      <c r="SNH34" s="3"/>
      <c r="SNI34" s="3"/>
      <c r="SNJ34" s="3"/>
      <c r="SNK34" s="3"/>
      <c r="SNL34" s="3"/>
      <c r="SNM34" s="3"/>
      <c r="SNN34" s="3"/>
      <c r="SNO34" s="3"/>
      <c r="SNP34" s="3"/>
      <c r="SNQ34" s="3"/>
      <c r="SNR34" s="3"/>
      <c r="SNS34" s="3"/>
      <c r="SNT34" s="3"/>
      <c r="SNU34" s="3"/>
      <c r="SNV34" s="3"/>
      <c r="SNW34" s="3"/>
      <c r="SNX34" s="3"/>
      <c r="SNY34" s="3"/>
      <c r="SNZ34" s="3"/>
      <c r="SOA34" s="3"/>
      <c r="SOB34" s="3"/>
      <c r="SOC34" s="3"/>
      <c r="SOD34" s="3"/>
      <c r="SOE34" s="3"/>
      <c r="SOF34" s="3"/>
      <c r="SOG34" s="3"/>
      <c r="SOH34" s="3"/>
      <c r="SOI34" s="3"/>
      <c r="SOJ34" s="3"/>
      <c r="SOK34" s="3"/>
      <c r="SOL34" s="3"/>
      <c r="SOM34" s="3"/>
      <c r="SON34" s="3"/>
      <c r="SOO34" s="3"/>
      <c r="SOP34" s="3"/>
      <c r="SOQ34" s="3"/>
      <c r="SOR34" s="3"/>
      <c r="SOS34" s="3"/>
      <c r="SOT34" s="3"/>
      <c r="SOU34" s="3"/>
      <c r="SOV34" s="3"/>
      <c r="SOW34" s="3"/>
      <c r="SOX34" s="3"/>
      <c r="SOY34" s="3"/>
      <c r="SOZ34" s="3"/>
      <c r="SPA34" s="3"/>
      <c r="SPB34" s="3"/>
      <c r="SPC34" s="3"/>
      <c r="SPD34" s="3"/>
      <c r="SPE34" s="3"/>
      <c r="SPF34" s="3"/>
      <c r="SPG34" s="3"/>
      <c r="SPH34" s="3"/>
      <c r="SPI34" s="3"/>
      <c r="SPJ34" s="3"/>
      <c r="SPK34" s="3"/>
      <c r="SPL34" s="3"/>
      <c r="SPM34" s="3"/>
      <c r="SPN34" s="3"/>
      <c r="SPO34" s="3"/>
      <c r="SPP34" s="3"/>
      <c r="SPQ34" s="3"/>
      <c r="SPR34" s="3"/>
      <c r="SPS34" s="3"/>
      <c r="SPT34" s="3"/>
      <c r="SPU34" s="3"/>
      <c r="SPV34" s="3"/>
      <c r="SPW34" s="3"/>
      <c r="SPX34" s="3"/>
      <c r="SPY34" s="3"/>
      <c r="SPZ34" s="3"/>
      <c r="SQA34" s="3"/>
      <c r="SQB34" s="3"/>
      <c r="SQC34" s="3"/>
      <c r="SQD34" s="3"/>
      <c r="SQE34" s="3"/>
      <c r="SQF34" s="3"/>
      <c r="SQG34" s="3"/>
      <c r="SQH34" s="3"/>
      <c r="SQI34" s="3"/>
      <c r="SQJ34" s="3"/>
      <c r="SQK34" s="3"/>
      <c r="SQL34" s="3"/>
      <c r="SQM34" s="3"/>
      <c r="SQN34" s="3"/>
      <c r="SQO34" s="3"/>
      <c r="SQP34" s="3"/>
      <c r="SQQ34" s="3"/>
      <c r="SQR34" s="3"/>
      <c r="SQS34" s="3"/>
      <c r="SQT34" s="3"/>
      <c r="SQU34" s="3"/>
      <c r="SQV34" s="3"/>
      <c r="SQW34" s="3"/>
      <c r="SQX34" s="3"/>
      <c r="SQY34" s="3"/>
      <c r="SQZ34" s="3"/>
      <c r="SRA34" s="3"/>
      <c r="SRB34" s="3"/>
      <c r="SRC34" s="3"/>
      <c r="SRD34" s="3"/>
      <c r="SRE34" s="3"/>
      <c r="SRF34" s="3"/>
      <c r="SRG34" s="3"/>
      <c r="SRH34" s="3"/>
      <c r="SRI34" s="3"/>
      <c r="SRJ34" s="3"/>
      <c r="SRK34" s="3"/>
      <c r="SRL34" s="3"/>
      <c r="SRM34" s="3"/>
      <c r="SRN34" s="3"/>
      <c r="SRO34" s="3"/>
      <c r="SRP34" s="3"/>
      <c r="SRQ34" s="3"/>
      <c r="SRR34" s="3"/>
      <c r="SRS34" s="3"/>
      <c r="SRT34" s="3"/>
      <c r="SRU34" s="3"/>
      <c r="SRV34" s="3"/>
      <c r="SRW34" s="3"/>
      <c r="SRX34" s="3"/>
      <c r="SRY34" s="3"/>
      <c r="SRZ34" s="3"/>
      <c r="SSA34" s="3"/>
      <c r="SSB34" s="3"/>
      <c r="SSC34" s="3"/>
      <c r="SSD34" s="3"/>
      <c r="SSE34" s="3"/>
      <c r="SSF34" s="3"/>
      <c r="SSG34" s="3"/>
      <c r="SSH34" s="3"/>
      <c r="SSI34" s="3"/>
      <c r="SSJ34" s="3"/>
      <c r="SSK34" s="3"/>
      <c r="SSL34" s="3"/>
      <c r="SSM34" s="3"/>
      <c r="SSN34" s="3"/>
      <c r="SSO34" s="3"/>
      <c r="SSP34" s="3"/>
      <c r="SSQ34" s="3"/>
      <c r="SSR34" s="3"/>
      <c r="SSS34" s="3"/>
      <c r="SST34" s="3"/>
      <c r="SSU34" s="3"/>
      <c r="SSV34" s="3"/>
      <c r="SSW34" s="3"/>
      <c r="SSX34" s="3"/>
      <c r="SSY34" s="3"/>
      <c r="SSZ34" s="3"/>
      <c r="STA34" s="3"/>
      <c r="STB34" s="3"/>
      <c r="STC34" s="3"/>
      <c r="STD34" s="3"/>
      <c r="STE34" s="3"/>
      <c r="STF34" s="3"/>
      <c r="STG34" s="3"/>
      <c r="STH34" s="3"/>
      <c r="STI34" s="3"/>
      <c r="STJ34" s="3"/>
      <c r="STK34" s="3"/>
      <c r="STL34" s="3"/>
      <c r="STM34" s="3"/>
      <c r="STN34" s="3"/>
      <c r="STO34" s="3"/>
      <c r="STP34" s="3"/>
      <c r="STQ34" s="3"/>
      <c r="STR34" s="3"/>
      <c r="STS34" s="3"/>
      <c r="STT34" s="3"/>
      <c r="STU34" s="3"/>
      <c r="STV34" s="3"/>
      <c r="STW34" s="3"/>
      <c r="STX34" s="3"/>
      <c r="STY34" s="3"/>
      <c r="STZ34" s="3"/>
      <c r="SUA34" s="3"/>
      <c r="SUB34" s="3"/>
      <c r="SUC34" s="3"/>
      <c r="SUD34" s="3"/>
      <c r="SUE34" s="3"/>
      <c r="SUF34" s="3"/>
      <c r="SUG34" s="3"/>
      <c r="SUH34" s="3"/>
      <c r="SUI34" s="3"/>
      <c r="SUJ34" s="3"/>
      <c r="SUK34" s="3"/>
      <c r="SUL34" s="3"/>
      <c r="SUM34" s="3"/>
      <c r="SUN34" s="3"/>
      <c r="SUO34" s="3"/>
      <c r="SUP34" s="3"/>
      <c r="SUQ34" s="3"/>
      <c r="SUR34" s="3"/>
      <c r="SUS34" s="3"/>
      <c r="SUT34" s="3"/>
      <c r="SUU34" s="3"/>
      <c r="SUV34" s="3"/>
      <c r="SUW34" s="3"/>
      <c r="SUX34" s="3"/>
      <c r="SUY34" s="3"/>
      <c r="SUZ34" s="3"/>
      <c r="SVA34" s="3"/>
      <c r="SVB34" s="3"/>
      <c r="SVC34" s="3"/>
      <c r="SVD34" s="3"/>
      <c r="SVE34" s="3"/>
      <c r="SVF34" s="3"/>
      <c r="SVG34" s="3"/>
      <c r="SVH34" s="3"/>
      <c r="SVI34" s="3"/>
      <c r="SVJ34" s="3"/>
      <c r="SVK34" s="3"/>
      <c r="SVL34" s="3"/>
      <c r="SVM34" s="3"/>
      <c r="SVN34" s="3"/>
      <c r="SVO34" s="3"/>
      <c r="SVP34" s="3"/>
      <c r="SVQ34" s="3"/>
      <c r="SVR34" s="3"/>
      <c r="SVS34" s="3"/>
      <c r="SVT34" s="3"/>
      <c r="SVU34" s="3"/>
      <c r="SVV34" s="3"/>
      <c r="SVW34" s="3"/>
      <c r="SVX34" s="3"/>
      <c r="SVY34" s="3"/>
      <c r="SVZ34" s="3"/>
      <c r="SWA34" s="3"/>
      <c r="SWB34" s="3"/>
      <c r="SWC34" s="3"/>
      <c r="SWD34" s="3"/>
      <c r="SWE34" s="3"/>
      <c r="SWF34" s="3"/>
      <c r="SWG34" s="3"/>
      <c r="SWH34" s="3"/>
      <c r="SWI34" s="3"/>
      <c r="SWJ34" s="3"/>
      <c r="SWK34" s="3"/>
      <c r="SWL34" s="3"/>
      <c r="SWM34" s="3"/>
      <c r="SWN34" s="3"/>
      <c r="SWO34" s="3"/>
      <c r="SWP34" s="3"/>
      <c r="SWQ34" s="3"/>
      <c r="SWR34" s="3"/>
      <c r="SWS34" s="3"/>
      <c r="SWT34" s="3"/>
      <c r="SWU34" s="3"/>
      <c r="SWV34" s="3"/>
      <c r="SWW34" s="3"/>
      <c r="SWX34" s="3"/>
      <c r="SWY34" s="3"/>
      <c r="SWZ34" s="3"/>
      <c r="SXA34" s="3"/>
      <c r="SXB34" s="3"/>
      <c r="SXC34" s="3"/>
      <c r="SXD34" s="3"/>
      <c r="SXE34" s="3"/>
      <c r="SXF34" s="3"/>
      <c r="SXG34" s="3"/>
      <c r="SXH34" s="3"/>
      <c r="SXI34" s="3"/>
      <c r="SXJ34" s="3"/>
      <c r="SXK34" s="3"/>
      <c r="SXL34" s="3"/>
      <c r="SXM34" s="3"/>
      <c r="SXN34" s="3"/>
      <c r="SXO34" s="3"/>
      <c r="SXP34" s="3"/>
      <c r="SXQ34" s="3"/>
      <c r="SXR34" s="3"/>
      <c r="SXS34" s="3"/>
      <c r="SXT34" s="3"/>
      <c r="SXU34" s="3"/>
      <c r="SXV34" s="3"/>
      <c r="SXW34" s="3"/>
      <c r="SXX34" s="3"/>
      <c r="SXY34" s="3"/>
      <c r="SXZ34" s="3"/>
      <c r="SYA34" s="3"/>
      <c r="SYB34" s="3"/>
      <c r="SYC34" s="3"/>
      <c r="SYD34" s="3"/>
      <c r="SYE34" s="3"/>
      <c r="SYF34" s="3"/>
      <c r="SYG34" s="3"/>
      <c r="SYH34" s="3"/>
      <c r="SYI34" s="3"/>
      <c r="SYJ34" s="3"/>
      <c r="SYK34" s="3"/>
      <c r="SYL34" s="3"/>
      <c r="SYM34" s="3"/>
      <c r="SYN34" s="3"/>
      <c r="SYO34" s="3"/>
      <c r="SYP34" s="3"/>
      <c r="SYQ34" s="3"/>
      <c r="SYR34" s="3"/>
      <c r="SYS34" s="3"/>
      <c r="SYT34" s="3"/>
      <c r="SYU34" s="3"/>
      <c r="SYV34" s="3"/>
      <c r="SYW34" s="3"/>
      <c r="SYX34" s="3"/>
      <c r="SYY34" s="3"/>
      <c r="SYZ34" s="3"/>
      <c r="SZA34" s="3"/>
      <c r="SZB34" s="3"/>
      <c r="SZC34" s="3"/>
      <c r="SZD34" s="3"/>
      <c r="SZE34" s="3"/>
      <c r="SZF34" s="3"/>
      <c r="SZG34" s="3"/>
      <c r="SZH34" s="3"/>
      <c r="SZI34" s="3"/>
      <c r="SZJ34" s="3"/>
      <c r="SZK34" s="3"/>
      <c r="SZL34" s="3"/>
      <c r="SZM34" s="3"/>
      <c r="SZN34" s="3"/>
      <c r="SZO34" s="3"/>
      <c r="SZP34" s="3"/>
      <c r="SZQ34" s="3"/>
      <c r="SZR34" s="3"/>
      <c r="SZS34" s="3"/>
      <c r="SZT34" s="3"/>
      <c r="SZU34" s="3"/>
      <c r="SZV34" s="3"/>
      <c r="SZW34" s="3"/>
      <c r="SZX34" s="3"/>
      <c r="SZY34" s="3"/>
      <c r="SZZ34" s="3"/>
      <c r="TAA34" s="3"/>
      <c r="TAB34" s="3"/>
      <c r="TAC34" s="3"/>
      <c r="TAD34" s="3"/>
      <c r="TAE34" s="3"/>
      <c r="TAF34" s="3"/>
      <c r="TAG34" s="3"/>
      <c r="TAH34" s="3"/>
      <c r="TAI34" s="3"/>
      <c r="TAJ34" s="3"/>
      <c r="TAK34" s="3"/>
      <c r="TAL34" s="3"/>
      <c r="TAM34" s="3"/>
      <c r="TAN34" s="3"/>
      <c r="TAO34" s="3"/>
      <c r="TAP34" s="3"/>
      <c r="TAQ34" s="3"/>
      <c r="TAR34" s="3"/>
      <c r="TAS34" s="3"/>
      <c r="TAT34" s="3"/>
      <c r="TAU34" s="3"/>
      <c r="TAV34" s="3"/>
      <c r="TAW34" s="3"/>
      <c r="TAX34" s="3"/>
      <c r="TAY34" s="3"/>
      <c r="TAZ34" s="3"/>
      <c r="TBA34" s="3"/>
      <c r="TBB34" s="3"/>
      <c r="TBC34" s="3"/>
      <c r="TBD34" s="3"/>
      <c r="TBE34" s="3"/>
      <c r="TBF34" s="3"/>
      <c r="TBG34" s="3"/>
      <c r="TBH34" s="3"/>
      <c r="TBI34" s="3"/>
      <c r="TBJ34" s="3"/>
      <c r="TBK34" s="3"/>
      <c r="TBL34" s="3"/>
      <c r="TBM34" s="3"/>
      <c r="TBN34" s="3"/>
      <c r="TBO34" s="3"/>
      <c r="TBP34" s="3"/>
      <c r="TBQ34" s="3"/>
      <c r="TBR34" s="3"/>
      <c r="TBS34" s="3"/>
      <c r="TBT34" s="3"/>
      <c r="TBU34" s="3"/>
      <c r="TBV34" s="3"/>
      <c r="TBW34" s="3"/>
      <c r="TBX34" s="3"/>
      <c r="TBY34" s="3"/>
      <c r="TBZ34" s="3"/>
      <c r="TCA34" s="3"/>
      <c r="TCB34" s="3"/>
      <c r="TCC34" s="3"/>
      <c r="TCD34" s="3"/>
      <c r="TCE34" s="3"/>
      <c r="TCF34" s="3"/>
      <c r="TCG34" s="3"/>
      <c r="TCH34" s="3"/>
      <c r="TCI34" s="3"/>
      <c r="TCJ34" s="3"/>
      <c r="TCK34" s="3"/>
      <c r="TCL34" s="3"/>
      <c r="TCM34" s="3"/>
      <c r="TCN34" s="3"/>
      <c r="TCO34" s="3"/>
      <c r="TCP34" s="3"/>
      <c r="TCQ34" s="3"/>
      <c r="TCR34" s="3"/>
      <c r="TCS34" s="3"/>
      <c r="TCT34" s="3"/>
      <c r="TCU34" s="3"/>
      <c r="TCV34" s="3"/>
      <c r="TCW34" s="3"/>
      <c r="TCX34" s="3"/>
      <c r="TCY34" s="3"/>
      <c r="TCZ34" s="3"/>
      <c r="TDA34" s="3"/>
      <c r="TDB34" s="3"/>
      <c r="TDC34" s="3"/>
      <c r="TDD34" s="3"/>
      <c r="TDE34" s="3"/>
      <c r="TDF34" s="3"/>
      <c r="TDG34" s="3"/>
      <c r="TDH34" s="3"/>
      <c r="TDI34" s="3"/>
      <c r="TDJ34" s="3"/>
      <c r="TDK34" s="3"/>
      <c r="TDL34" s="3"/>
      <c r="TDM34" s="3"/>
      <c r="TDN34" s="3"/>
      <c r="TDO34" s="3"/>
      <c r="TDP34" s="3"/>
      <c r="TDQ34" s="3"/>
      <c r="TDR34" s="3"/>
      <c r="TDS34" s="3"/>
      <c r="TDT34" s="3"/>
      <c r="TDU34" s="3"/>
      <c r="TDV34" s="3"/>
      <c r="TDW34" s="3"/>
      <c r="TDX34" s="3"/>
      <c r="TDY34" s="3"/>
      <c r="TDZ34" s="3"/>
      <c r="TEA34" s="3"/>
      <c r="TEB34" s="3"/>
      <c r="TEC34" s="3"/>
      <c r="TED34" s="3"/>
      <c r="TEE34" s="3"/>
      <c r="TEF34" s="3"/>
      <c r="TEG34" s="3"/>
      <c r="TEH34" s="3"/>
      <c r="TEI34" s="3"/>
      <c r="TEJ34" s="3"/>
      <c r="TEK34" s="3"/>
      <c r="TEL34" s="3"/>
      <c r="TEM34" s="3"/>
      <c r="TEN34" s="3"/>
      <c r="TEO34" s="3"/>
      <c r="TEP34" s="3"/>
      <c r="TEQ34" s="3"/>
      <c r="TER34" s="3"/>
      <c r="TES34" s="3"/>
      <c r="TET34" s="3"/>
      <c r="TEU34" s="3"/>
      <c r="TEV34" s="3"/>
      <c r="TEW34" s="3"/>
      <c r="TEX34" s="3"/>
      <c r="TEY34" s="3"/>
      <c r="TEZ34" s="3"/>
      <c r="TFA34" s="3"/>
      <c r="TFB34" s="3"/>
      <c r="TFC34" s="3"/>
      <c r="TFD34" s="3"/>
      <c r="TFE34" s="3"/>
      <c r="TFF34" s="3"/>
      <c r="TFG34" s="3"/>
      <c r="TFH34" s="3"/>
      <c r="TFI34" s="3"/>
      <c r="TFJ34" s="3"/>
      <c r="TFK34" s="3"/>
      <c r="TFL34" s="3"/>
      <c r="TFM34" s="3"/>
      <c r="TFN34" s="3"/>
      <c r="TFO34" s="3"/>
      <c r="TFP34" s="3"/>
      <c r="TFQ34" s="3"/>
      <c r="TFR34" s="3"/>
      <c r="TFS34" s="3"/>
      <c r="TFT34" s="3"/>
      <c r="TFU34" s="3"/>
      <c r="TFV34" s="3"/>
      <c r="TFW34" s="3"/>
      <c r="TFX34" s="3"/>
      <c r="TFY34" s="3"/>
      <c r="TFZ34" s="3"/>
      <c r="TGA34" s="3"/>
      <c r="TGB34" s="3"/>
      <c r="TGC34" s="3"/>
      <c r="TGD34" s="3"/>
      <c r="TGE34" s="3"/>
      <c r="TGF34" s="3"/>
      <c r="TGG34" s="3"/>
      <c r="TGH34" s="3"/>
      <c r="TGI34" s="3"/>
      <c r="TGJ34" s="3"/>
      <c r="TGK34" s="3"/>
      <c r="TGL34" s="3"/>
      <c r="TGM34" s="3"/>
      <c r="TGN34" s="3"/>
      <c r="TGO34" s="3"/>
      <c r="TGP34" s="3"/>
      <c r="TGQ34" s="3"/>
      <c r="TGR34" s="3"/>
      <c r="TGS34" s="3"/>
      <c r="TGT34" s="3"/>
      <c r="TGU34" s="3"/>
      <c r="TGV34" s="3"/>
      <c r="TGW34" s="3"/>
      <c r="TGX34" s="3"/>
      <c r="TGY34" s="3"/>
      <c r="TGZ34" s="3"/>
      <c r="THA34" s="3"/>
      <c r="THB34" s="3"/>
      <c r="THC34" s="3"/>
      <c r="THD34" s="3"/>
      <c r="THE34" s="3"/>
      <c r="THF34" s="3"/>
      <c r="THG34" s="3"/>
      <c r="THH34" s="3"/>
      <c r="THI34" s="3"/>
      <c r="THJ34" s="3"/>
      <c r="THK34" s="3"/>
      <c r="THL34" s="3"/>
      <c r="THM34" s="3"/>
      <c r="THN34" s="3"/>
      <c r="THO34" s="3"/>
      <c r="THP34" s="3"/>
      <c r="THQ34" s="3"/>
      <c r="THR34" s="3"/>
      <c r="THS34" s="3"/>
      <c r="THT34" s="3"/>
      <c r="THU34" s="3"/>
      <c r="THV34" s="3"/>
      <c r="THW34" s="3"/>
      <c r="THX34" s="3"/>
      <c r="THY34" s="3"/>
      <c r="THZ34" s="3"/>
      <c r="TIA34" s="3"/>
      <c r="TIB34" s="3"/>
      <c r="TIC34" s="3"/>
      <c r="TID34" s="3"/>
      <c r="TIE34" s="3"/>
      <c r="TIF34" s="3"/>
      <c r="TIG34" s="3"/>
      <c r="TIH34" s="3"/>
      <c r="TII34" s="3"/>
      <c r="TIJ34" s="3"/>
      <c r="TIK34" s="3"/>
      <c r="TIL34" s="3"/>
      <c r="TIM34" s="3"/>
      <c r="TIN34" s="3"/>
      <c r="TIO34" s="3"/>
      <c r="TIP34" s="3"/>
      <c r="TIQ34" s="3"/>
      <c r="TIR34" s="3"/>
      <c r="TIS34" s="3"/>
      <c r="TIT34" s="3"/>
      <c r="TIU34" s="3"/>
      <c r="TIV34" s="3"/>
      <c r="TIW34" s="3"/>
      <c r="TIX34" s="3"/>
      <c r="TIY34" s="3"/>
      <c r="TIZ34" s="3"/>
      <c r="TJA34" s="3"/>
      <c r="TJB34" s="3"/>
      <c r="TJC34" s="3"/>
      <c r="TJD34" s="3"/>
      <c r="TJE34" s="3"/>
      <c r="TJF34" s="3"/>
      <c r="TJG34" s="3"/>
      <c r="TJH34" s="3"/>
      <c r="TJI34" s="3"/>
      <c r="TJJ34" s="3"/>
      <c r="TJK34" s="3"/>
      <c r="TJL34" s="3"/>
      <c r="TJM34" s="3"/>
      <c r="TJN34" s="3"/>
      <c r="TJO34" s="3"/>
      <c r="TJP34" s="3"/>
      <c r="TJQ34" s="3"/>
      <c r="TJR34" s="3"/>
      <c r="TJS34" s="3"/>
      <c r="TJT34" s="3"/>
      <c r="TJU34" s="3"/>
      <c r="TJV34" s="3"/>
      <c r="TJW34" s="3"/>
      <c r="TJX34" s="3"/>
      <c r="TJY34" s="3"/>
      <c r="TJZ34" s="3"/>
      <c r="TKA34" s="3"/>
      <c r="TKB34" s="3"/>
      <c r="TKC34" s="3"/>
      <c r="TKD34" s="3"/>
      <c r="TKE34" s="3"/>
      <c r="TKF34" s="3"/>
      <c r="TKG34" s="3"/>
      <c r="TKH34" s="3"/>
      <c r="TKI34" s="3"/>
      <c r="TKJ34" s="3"/>
      <c r="TKK34" s="3"/>
      <c r="TKL34" s="3"/>
      <c r="TKM34" s="3"/>
      <c r="TKN34" s="3"/>
      <c r="TKO34" s="3"/>
      <c r="TKP34" s="3"/>
      <c r="TKQ34" s="3"/>
      <c r="TKR34" s="3"/>
      <c r="TKS34" s="3"/>
      <c r="TKT34" s="3"/>
      <c r="TKU34" s="3"/>
      <c r="TKV34" s="3"/>
      <c r="TKW34" s="3"/>
      <c r="TKX34" s="3"/>
      <c r="TKY34" s="3"/>
      <c r="TKZ34" s="3"/>
      <c r="TLA34" s="3"/>
      <c r="TLB34" s="3"/>
      <c r="TLC34" s="3"/>
      <c r="TLD34" s="3"/>
      <c r="TLE34" s="3"/>
      <c r="TLF34" s="3"/>
      <c r="TLG34" s="3"/>
      <c r="TLH34" s="3"/>
      <c r="TLI34" s="3"/>
      <c r="TLJ34" s="3"/>
      <c r="TLK34" s="3"/>
      <c r="TLL34" s="3"/>
      <c r="TLM34" s="3"/>
      <c r="TLN34" s="3"/>
      <c r="TLO34" s="3"/>
      <c r="TLP34" s="3"/>
      <c r="TLQ34" s="3"/>
      <c r="TLR34" s="3"/>
      <c r="TLS34" s="3"/>
      <c r="TLT34" s="3"/>
      <c r="TLU34" s="3"/>
      <c r="TLV34" s="3"/>
      <c r="TLW34" s="3"/>
      <c r="TLX34" s="3"/>
      <c r="TLY34" s="3"/>
      <c r="TLZ34" s="3"/>
      <c r="TMA34" s="3"/>
      <c r="TMB34" s="3"/>
      <c r="TMC34" s="3"/>
      <c r="TMD34" s="3"/>
      <c r="TME34" s="3"/>
      <c r="TMF34" s="3"/>
      <c r="TMG34" s="3"/>
      <c r="TMH34" s="3"/>
      <c r="TMI34" s="3"/>
      <c r="TMJ34" s="3"/>
      <c r="TMK34" s="3"/>
      <c r="TML34" s="3"/>
      <c r="TMM34" s="3"/>
      <c r="TMN34" s="3"/>
      <c r="TMO34" s="3"/>
      <c r="TMP34" s="3"/>
      <c r="TMQ34" s="3"/>
      <c r="TMR34" s="3"/>
      <c r="TMS34" s="3"/>
      <c r="TMT34" s="3"/>
      <c r="TMU34" s="3"/>
      <c r="TMV34" s="3"/>
      <c r="TMW34" s="3"/>
      <c r="TMX34" s="3"/>
      <c r="TMY34" s="3"/>
      <c r="TMZ34" s="3"/>
      <c r="TNA34" s="3"/>
      <c r="TNB34" s="3"/>
      <c r="TNC34" s="3"/>
      <c r="TND34" s="3"/>
      <c r="TNE34" s="3"/>
      <c r="TNF34" s="3"/>
      <c r="TNG34" s="3"/>
      <c r="TNH34" s="3"/>
      <c r="TNI34" s="3"/>
      <c r="TNJ34" s="3"/>
      <c r="TNK34" s="3"/>
      <c r="TNL34" s="3"/>
      <c r="TNM34" s="3"/>
      <c r="TNN34" s="3"/>
      <c r="TNO34" s="3"/>
      <c r="TNP34" s="3"/>
      <c r="TNQ34" s="3"/>
      <c r="TNR34" s="3"/>
      <c r="TNS34" s="3"/>
      <c r="TNT34" s="3"/>
      <c r="TNU34" s="3"/>
      <c r="TNV34" s="3"/>
      <c r="TNW34" s="3"/>
      <c r="TNX34" s="3"/>
      <c r="TNY34" s="3"/>
      <c r="TNZ34" s="3"/>
      <c r="TOA34" s="3"/>
      <c r="TOB34" s="3"/>
      <c r="TOC34" s="3"/>
      <c r="TOD34" s="3"/>
      <c r="TOE34" s="3"/>
      <c r="TOF34" s="3"/>
      <c r="TOG34" s="3"/>
      <c r="TOH34" s="3"/>
      <c r="TOI34" s="3"/>
      <c r="TOJ34" s="3"/>
      <c r="TOK34" s="3"/>
      <c r="TOL34" s="3"/>
      <c r="TOM34" s="3"/>
      <c r="TON34" s="3"/>
      <c r="TOO34" s="3"/>
      <c r="TOP34" s="3"/>
      <c r="TOQ34" s="3"/>
      <c r="TOR34" s="3"/>
      <c r="TOS34" s="3"/>
      <c r="TOT34" s="3"/>
      <c r="TOU34" s="3"/>
      <c r="TOV34" s="3"/>
      <c r="TOW34" s="3"/>
      <c r="TOX34" s="3"/>
      <c r="TOY34" s="3"/>
      <c r="TOZ34" s="3"/>
      <c r="TPA34" s="3"/>
      <c r="TPB34" s="3"/>
      <c r="TPC34" s="3"/>
      <c r="TPD34" s="3"/>
      <c r="TPE34" s="3"/>
      <c r="TPF34" s="3"/>
      <c r="TPG34" s="3"/>
      <c r="TPH34" s="3"/>
      <c r="TPI34" s="3"/>
      <c r="TPJ34" s="3"/>
      <c r="TPK34" s="3"/>
      <c r="TPL34" s="3"/>
      <c r="TPM34" s="3"/>
      <c r="TPN34" s="3"/>
      <c r="TPO34" s="3"/>
      <c r="TPP34" s="3"/>
      <c r="TPQ34" s="3"/>
      <c r="TPR34" s="3"/>
      <c r="TPS34" s="3"/>
      <c r="TPT34" s="3"/>
      <c r="TPU34" s="3"/>
      <c r="TPV34" s="3"/>
      <c r="TPW34" s="3"/>
      <c r="TPX34" s="3"/>
      <c r="TPY34" s="3"/>
      <c r="TPZ34" s="3"/>
      <c r="TQA34" s="3"/>
      <c r="TQB34" s="3"/>
      <c r="TQC34" s="3"/>
      <c r="TQD34" s="3"/>
      <c r="TQE34" s="3"/>
      <c r="TQF34" s="3"/>
      <c r="TQG34" s="3"/>
      <c r="TQH34" s="3"/>
      <c r="TQI34" s="3"/>
      <c r="TQJ34" s="3"/>
      <c r="TQK34" s="3"/>
      <c r="TQL34" s="3"/>
      <c r="TQM34" s="3"/>
      <c r="TQN34" s="3"/>
      <c r="TQO34" s="3"/>
      <c r="TQP34" s="3"/>
      <c r="TQQ34" s="3"/>
      <c r="TQR34" s="3"/>
      <c r="TQS34" s="3"/>
      <c r="TQT34" s="3"/>
      <c r="TQU34" s="3"/>
      <c r="TQV34" s="3"/>
      <c r="TQW34" s="3"/>
      <c r="TQX34" s="3"/>
      <c r="TQY34" s="3"/>
      <c r="TQZ34" s="3"/>
      <c r="TRA34" s="3"/>
      <c r="TRB34" s="3"/>
      <c r="TRC34" s="3"/>
      <c r="TRD34" s="3"/>
      <c r="TRE34" s="3"/>
      <c r="TRF34" s="3"/>
      <c r="TRG34" s="3"/>
      <c r="TRH34" s="3"/>
      <c r="TRI34" s="3"/>
      <c r="TRJ34" s="3"/>
      <c r="TRK34" s="3"/>
      <c r="TRL34" s="3"/>
      <c r="TRM34" s="3"/>
      <c r="TRN34" s="3"/>
      <c r="TRO34" s="3"/>
      <c r="TRP34" s="3"/>
      <c r="TRQ34" s="3"/>
      <c r="TRR34" s="3"/>
      <c r="TRS34" s="3"/>
      <c r="TRT34" s="3"/>
      <c r="TRU34" s="3"/>
      <c r="TRV34" s="3"/>
      <c r="TRW34" s="3"/>
      <c r="TRX34" s="3"/>
      <c r="TRY34" s="3"/>
      <c r="TRZ34" s="3"/>
      <c r="TSA34" s="3"/>
      <c r="TSB34" s="3"/>
      <c r="TSC34" s="3"/>
      <c r="TSD34" s="3"/>
      <c r="TSE34" s="3"/>
      <c r="TSF34" s="3"/>
      <c r="TSG34" s="3"/>
      <c r="TSH34" s="3"/>
      <c r="TSI34" s="3"/>
      <c r="TSJ34" s="3"/>
      <c r="TSK34" s="3"/>
      <c r="TSL34" s="3"/>
      <c r="TSM34" s="3"/>
      <c r="TSN34" s="3"/>
      <c r="TSO34" s="3"/>
      <c r="TSP34" s="3"/>
      <c r="TSQ34" s="3"/>
      <c r="TSR34" s="3"/>
      <c r="TSS34" s="3"/>
      <c r="TST34" s="3"/>
      <c r="TSU34" s="3"/>
      <c r="TSV34" s="3"/>
      <c r="TSW34" s="3"/>
      <c r="TSX34" s="3"/>
      <c r="TSY34" s="3"/>
      <c r="TSZ34" s="3"/>
      <c r="TTA34" s="3"/>
      <c r="TTB34" s="3"/>
      <c r="TTC34" s="3"/>
      <c r="TTD34" s="3"/>
      <c r="TTE34" s="3"/>
      <c r="TTF34" s="3"/>
      <c r="TTG34" s="3"/>
      <c r="TTH34" s="3"/>
      <c r="TTI34" s="3"/>
      <c r="TTJ34" s="3"/>
      <c r="TTK34" s="3"/>
      <c r="TTL34" s="3"/>
      <c r="TTM34" s="3"/>
      <c r="TTN34" s="3"/>
      <c r="TTO34" s="3"/>
      <c r="TTP34" s="3"/>
      <c r="TTQ34" s="3"/>
      <c r="TTR34" s="3"/>
      <c r="TTS34" s="3"/>
      <c r="TTT34" s="3"/>
      <c r="TTU34" s="3"/>
      <c r="TTV34" s="3"/>
      <c r="TTW34" s="3"/>
      <c r="TTX34" s="3"/>
      <c r="TTY34" s="3"/>
      <c r="TTZ34" s="3"/>
      <c r="TUA34" s="3"/>
      <c r="TUB34" s="3"/>
      <c r="TUC34" s="3"/>
      <c r="TUD34" s="3"/>
      <c r="TUE34" s="3"/>
      <c r="TUF34" s="3"/>
      <c r="TUG34" s="3"/>
      <c r="TUH34" s="3"/>
      <c r="TUI34" s="3"/>
      <c r="TUJ34" s="3"/>
      <c r="TUK34" s="3"/>
      <c r="TUL34" s="3"/>
      <c r="TUM34" s="3"/>
      <c r="TUN34" s="3"/>
      <c r="TUO34" s="3"/>
      <c r="TUP34" s="3"/>
      <c r="TUQ34" s="3"/>
      <c r="TUR34" s="3"/>
      <c r="TUS34" s="3"/>
      <c r="TUT34" s="3"/>
      <c r="TUU34" s="3"/>
      <c r="TUV34" s="3"/>
      <c r="TUW34" s="3"/>
      <c r="TUX34" s="3"/>
      <c r="TUY34" s="3"/>
      <c r="TUZ34" s="3"/>
      <c r="TVA34" s="3"/>
      <c r="TVB34" s="3"/>
      <c r="TVC34" s="3"/>
      <c r="TVD34" s="3"/>
      <c r="TVE34" s="3"/>
      <c r="TVF34" s="3"/>
      <c r="TVG34" s="3"/>
      <c r="TVH34" s="3"/>
      <c r="TVI34" s="3"/>
      <c r="TVJ34" s="3"/>
      <c r="TVK34" s="3"/>
      <c r="TVL34" s="3"/>
      <c r="TVM34" s="3"/>
      <c r="TVN34" s="3"/>
      <c r="TVO34" s="3"/>
      <c r="TVP34" s="3"/>
      <c r="TVQ34" s="3"/>
      <c r="TVR34" s="3"/>
      <c r="TVS34" s="3"/>
      <c r="TVT34" s="3"/>
      <c r="TVU34" s="3"/>
      <c r="TVV34" s="3"/>
      <c r="TVW34" s="3"/>
      <c r="TVX34" s="3"/>
      <c r="TVY34" s="3"/>
      <c r="TVZ34" s="3"/>
      <c r="TWA34" s="3"/>
      <c r="TWB34" s="3"/>
      <c r="TWC34" s="3"/>
      <c r="TWD34" s="3"/>
      <c r="TWE34" s="3"/>
      <c r="TWF34" s="3"/>
      <c r="TWG34" s="3"/>
      <c r="TWH34" s="3"/>
      <c r="TWI34" s="3"/>
      <c r="TWJ34" s="3"/>
      <c r="TWK34" s="3"/>
      <c r="TWL34" s="3"/>
      <c r="TWM34" s="3"/>
      <c r="TWN34" s="3"/>
      <c r="TWO34" s="3"/>
      <c r="TWP34" s="3"/>
      <c r="TWQ34" s="3"/>
      <c r="TWR34" s="3"/>
      <c r="TWS34" s="3"/>
      <c r="TWT34" s="3"/>
      <c r="TWU34" s="3"/>
      <c r="TWV34" s="3"/>
      <c r="TWW34" s="3"/>
      <c r="TWX34" s="3"/>
      <c r="TWY34" s="3"/>
      <c r="TWZ34" s="3"/>
      <c r="TXA34" s="3"/>
      <c r="TXB34" s="3"/>
      <c r="TXC34" s="3"/>
      <c r="TXD34" s="3"/>
      <c r="TXE34" s="3"/>
      <c r="TXF34" s="3"/>
      <c r="TXG34" s="3"/>
      <c r="TXH34" s="3"/>
      <c r="TXI34" s="3"/>
      <c r="TXJ34" s="3"/>
      <c r="TXK34" s="3"/>
      <c r="TXL34" s="3"/>
      <c r="TXM34" s="3"/>
      <c r="TXN34" s="3"/>
      <c r="TXO34" s="3"/>
      <c r="TXP34" s="3"/>
      <c r="TXQ34" s="3"/>
      <c r="TXR34" s="3"/>
      <c r="TXS34" s="3"/>
      <c r="TXT34" s="3"/>
      <c r="TXU34" s="3"/>
      <c r="TXV34" s="3"/>
      <c r="TXW34" s="3"/>
      <c r="TXX34" s="3"/>
      <c r="TXY34" s="3"/>
      <c r="TXZ34" s="3"/>
      <c r="TYA34" s="3"/>
      <c r="TYB34" s="3"/>
      <c r="TYC34" s="3"/>
      <c r="TYD34" s="3"/>
      <c r="TYE34" s="3"/>
      <c r="TYF34" s="3"/>
      <c r="TYG34" s="3"/>
      <c r="TYH34" s="3"/>
      <c r="TYI34" s="3"/>
      <c r="TYJ34" s="3"/>
      <c r="TYK34" s="3"/>
      <c r="TYL34" s="3"/>
      <c r="TYM34" s="3"/>
      <c r="TYN34" s="3"/>
      <c r="TYO34" s="3"/>
      <c r="TYP34" s="3"/>
      <c r="TYQ34" s="3"/>
      <c r="TYR34" s="3"/>
      <c r="TYS34" s="3"/>
      <c r="TYT34" s="3"/>
      <c r="TYU34" s="3"/>
      <c r="TYV34" s="3"/>
      <c r="TYW34" s="3"/>
      <c r="TYX34" s="3"/>
      <c r="TYY34" s="3"/>
      <c r="TYZ34" s="3"/>
      <c r="TZA34" s="3"/>
      <c r="TZB34" s="3"/>
      <c r="TZC34" s="3"/>
      <c r="TZD34" s="3"/>
      <c r="TZE34" s="3"/>
      <c r="TZF34" s="3"/>
      <c r="TZG34" s="3"/>
      <c r="TZH34" s="3"/>
      <c r="TZI34" s="3"/>
      <c r="TZJ34" s="3"/>
      <c r="TZK34" s="3"/>
      <c r="TZL34" s="3"/>
      <c r="TZM34" s="3"/>
      <c r="TZN34" s="3"/>
      <c r="TZO34" s="3"/>
      <c r="TZP34" s="3"/>
      <c r="TZQ34" s="3"/>
      <c r="TZR34" s="3"/>
      <c r="TZS34" s="3"/>
      <c r="TZT34" s="3"/>
      <c r="TZU34" s="3"/>
      <c r="TZV34" s="3"/>
      <c r="TZW34" s="3"/>
      <c r="TZX34" s="3"/>
      <c r="TZY34" s="3"/>
      <c r="TZZ34" s="3"/>
      <c r="UAA34" s="3"/>
      <c r="UAB34" s="3"/>
      <c r="UAC34" s="3"/>
      <c r="UAD34" s="3"/>
      <c r="UAE34" s="3"/>
      <c r="UAF34" s="3"/>
      <c r="UAG34" s="3"/>
      <c r="UAH34" s="3"/>
      <c r="UAI34" s="3"/>
      <c r="UAJ34" s="3"/>
      <c r="UAK34" s="3"/>
      <c r="UAL34" s="3"/>
      <c r="UAM34" s="3"/>
      <c r="UAN34" s="3"/>
      <c r="UAO34" s="3"/>
      <c r="UAP34" s="3"/>
      <c r="UAQ34" s="3"/>
      <c r="UAR34" s="3"/>
      <c r="UAS34" s="3"/>
      <c r="UAT34" s="3"/>
      <c r="UAU34" s="3"/>
      <c r="UAV34" s="3"/>
      <c r="UAW34" s="3"/>
      <c r="UAX34" s="3"/>
      <c r="UAY34" s="3"/>
      <c r="UAZ34" s="3"/>
      <c r="UBA34" s="3"/>
      <c r="UBB34" s="3"/>
      <c r="UBC34" s="3"/>
      <c r="UBD34" s="3"/>
      <c r="UBE34" s="3"/>
      <c r="UBF34" s="3"/>
      <c r="UBG34" s="3"/>
      <c r="UBH34" s="3"/>
      <c r="UBI34" s="3"/>
      <c r="UBJ34" s="3"/>
      <c r="UBK34" s="3"/>
      <c r="UBL34" s="3"/>
      <c r="UBM34" s="3"/>
      <c r="UBN34" s="3"/>
      <c r="UBO34" s="3"/>
      <c r="UBP34" s="3"/>
      <c r="UBQ34" s="3"/>
      <c r="UBR34" s="3"/>
      <c r="UBS34" s="3"/>
      <c r="UBT34" s="3"/>
      <c r="UBU34" s="3"/>
      <c r="UBV34" s="3"/>
      <c r="UBW34" s="3"/>
      <c r="UBX34" s="3"/>
      <c r="UBY34" s="3"/>
      <c r="UBZ34" s="3"/>
      <c r="UCA34" s="3"/>
      <c r="UCB34" s="3"/>
      <c r="UCC34" s="3"/>
      <c r="UCD34" s="3"/>
      <c r="UCE34" s="3"/>
      <c r="UCF34" s="3"/>
      <c r="UCG34" s="3"/>
      <c r="UCH34" s="3"/>
      <c r="UCI34" s="3"/>
      <c r="UCJ34" s="3"/>
      <c r="UCK34" s="3"/>
      <c r="UCL34" s="3"/>
      <c r="UCM34" s="3"/>
      <c r="UCN34" s="3"/>
      <c r="UCO34" s="3"/>
      <c r="UCP34" s="3"/>
      <c r="UCQ34" s="3"/>
      <c r="UCR34" s="3"/>
      <c r="UCS34" s="3"/>
      <c r="UCT34" s="3"/>
      <c r="UCU34" s="3"/>
      <c r="UCV34" s="3"/>
      <c r="UCW34" s="3"/>
      <c r="UCX34" s="3"/>
      <c r="UCY34" s="3"/>
      <c r="UCZ34" s="3"/>
      <c r="UDA34" s="3"/>
      <c r="UDB34" s="3"/>
      <c r="UDC34" s="3"/>
      <c r="UDD34" s="3"/>
      <c r="UDE34" s="3"/>
      <c r="UDF34" s="3"/>
      <c r="UDG34" s="3"/>
      <c r="UDH34" s="3"/>
      <c r="UDI34" s="3"/>
      <c r="UDJ34" s="3"/>
      <c r="UDK34" s="3"/>
      <c r="UDL34" s="3"/>
      <c r="UDM34" s="3"/>
      <c r="UDN34" s="3"/>
      <c r="UDO34" s="3"/>
      <c r="UDP34" s="3"/>
      <c r="UDQ34" s="3"/>
      <c r="UDR34" s="3"/>
      <c r="UDS34" s="3"/>
      <c r="UDT34" s="3"/>
      <c r="UDU34" s="3"/>
      <c r="UDV34" s="3"/>
      <c r="UDW34" s="3"/>
      <c r="UDX34" s="3"/>
      <c r="UDY34" s="3"/>
      <c r="UDZ34" s="3"/>
      <c r="UEA34" s="3"/>
      <c r="UEB34" s="3"/>
      <c r="UEC34" s="3"/>
      <c r="UED34" s="3"/>
      <c r="UEE34" s="3"/>
      <c r="UEF34" s="3"/>
      <c r="UEG34" s="3"/>
      <c r="UEH34" s="3"/>
      <c r="UEI34" s="3"/>
      <c r="UEJ34" s="3"/>
      <c r="UEK34" s="3"/>
      <c r="UEL34" s="3"/>
      <c r="UEM34" s="3"/>
      <c r="UEN34" s="3"/>
      <c r="UEO34" s="3"/>
      <c r="UEP34" s="3"/>
      <c r="UEQ34" s="3"/>
      <c r="UER34" s="3"/>
      <c r="UES34" s="3"/>
      <c r="UET34" s="3"/>
      <c r="UEU34" s="3"/>
      <c r="UEV34" s="3"/>
      <c r="UEW34" s="3"/>
      <c r="UEX34" s="3"/>
      <c r="UEY34" s="3"/>
      <c r="UEZ34" s="3"/>
      <c r="UFA34" s="3"/>
      <c r="UFB34" s="3"/>
      <c r="UFC34" s="3"/>
      <c r="UFD34" s="3"/>
      <c r="UFE34" s="3"/>
      <c r="UFF34" s="3"/>
      <c r="UFG34" s="3"/>
      <c r="UFH34" s="3"/>
      <c r="UFI34" s="3"/>
      <c r="UFJ34" s="3"/>
      <c r="UFK34" s="3"/>
      <c r="UFL34" s="3"/>
      <c r="UFM34" s="3"/>
      <c r="UFN34" s="3"/>
      <c r="UFO34" s="3"/>
      <c r="UFP34" s="3"/>
      <c r="UFQ34" s="3"/>
      <c r="UFR34" s="3"/>
      <c r="UFS34" s="3"/>
      <c r="UFT34" s="3"/>
      <c r="UFU34" s="3"/>
      <c r="UFV34" s="3"/>
      <c r="UFW34" s="3"/>
      <c r="UFX34" s="3"/>
      <c r="UFY34" s="3"/>
      <c r="UFZ34" s="3"/>
      <c r="UGA34" s="3"/>
      <c r="UGB34" s="3"/>
      <c r="UGC34" s="3"/>
      <c r="UGD34" s="3"/>
      <c r="UGE34" s="3"/>
      <c r="UGF34" s="3"/>
      <c r="UGG34" s="3"/>
      <c r="UGH34" s="3"/>
      <c r="UGI34" s="3"/>
      <c r="UGJ34" s="3"/>
      <c r="UGK34" s="3"/>
      <c r="UGL34" s="3"/>
      <c r="UGM34" s="3"/>
      <c r="UGN34" s="3"/>
      <c r="UGO34" s="3"/>
      <c r="UGP34" s="3"/>
      <c r="UGQ34" s="3"/>
      <c r="UGR34" s="3"/>
      <c r="UGS34" s="3"/>
      <c r="UGT34" s="3"/>
      <c r="UGU34" s="3"/>
      <c r="UGV34" s="3"/>
      <c r="UGW34" s="3"/>
      <c r="UGX34" s="3"/>
      <c r="UGY34" s="3"/>
      <c r="UGZ34" s="3"/>
      <c r="UHA34" s="3"/>
      <c r="UHB34" s="3"/>
      <c r="UHC34" s="3"/>
      <c r="UHD34" s="3"/>
      <c r="UHE34" s="3"/>
      <c r="UHF34" s="3"/>
      <c r="UHG34" s="3"/>
      <c r="UHH34" s="3"/>
      <c r="UHI34" s="3"/>
      <c r="UHJ34" s="3"/>
      <c r="UHK34" s="3"/>
      <c r="UHL34" s="3"/>
      <c r="UHM34" s="3"/>
      <c r="UHN34" s="3"/>
      <c r="UHO34" s="3"/>
      <c r="UHP34" s="3"/>
      <c r="UHQ34" s="3"/>
      <c r="UHR34" s="3"/>
      <c r="UHS34" s="3"/>
      <c r="UHT34" s="3"/>
      <c r="UHU34" s="3"/>
      <c r="UHV34" s="3"/>
      <c r="UHW34" s="3"/>
      <c r="UHX34" s="3"/>
      <c r="UHY34" s="3"/>
      <c r="UHZ34" s="3"/>
      <c r="UIA34" s="3"/>
      <c r="UIB34" s="3"/>
      <c r="UIC34" s="3"/>
      <c r="UID34" s="3"/>
      <c r="UIE34" s="3"/>
      <c r="UIF34" s="3"/>
      <c r="UIG34" s="3"/>
      <c r="UIH34" s="3"/>
      <c r="UII34" s="3"/>
      <c r="UIJ34" s="3"/>
      <c r="UIK34" s="3"/>
      <c r="UIL34" s="3"/>
      <c r="UIM34" s="3"/>
      <c r="UIN34" s="3"/>
      <c r="UIO34" s="3"/>
      <c r="UIP34" s="3"/>
      <c r="UIQ34" s="3"/>
      <c r="UIR34" s="3"/>
      <c r="UIS34" s="3"/>
      <c r="UIT34" s="3"/>
      <c r="UIU34" s="3"/>
      <c r="UIV34" s="3"/>
      <c r="UIW34" s="3"/>
      <c r="UIX34" s="3"/>
      <c r="UIY34" s="3"/>
      <c r="UIZ34" s="3"/>
      <c r="UJA34" s="3"/>
      <c r="UJB34" s="3"/>
      <c r="UJC34" s="3"/>
      <c r="UJD34" s="3"/>
      <c r="UJE34" s="3"/>
      <c r="UJF34" s="3"/>
      <c r="UJG34" s="3"/>
      <c r="UJH34" s="3"/>
      <c r="UJI34" s="3"/>
      <c r="UJJ34" s="3"/>
      <c r="UJK34" s="3"/>
      <c r="UJL34" s="3"/>
      <c r="UJM34" s="3"/>
      <c r="UJN34" s="3"/>
      <c r="UJO34" s="3"/>
      <c r="UJP34" s="3"/>
      <c r="UJQ34" s="3"/>
      <c r="UJR34" s="3"/>
      <c r="UJS34" s="3"/>
      <c r="UJT34" s="3"/>
      <c r="UJU34" s="3"/>
      <c r="UJV34" s="3"/>
      <c r="UJW34" s="3"/>
      <c r="UJX34" s="3"/>
      <c r="UJY34" s="3"/>
      <c r="UJZ34" s="3"/>
      <c r="UKA34" s="3"/>
      <c r="UKB34" s="3"/>
      <c r="UKC34" s="3"/>
      <c r="UKD34" s="3"/>
      <c r="UKE34" s="3"/>
      <c r="UKF34" s="3"/>
      <c r="UKG34" s="3"/>
      <c r="UKH34" s="3"/>
      <c r="UKI34" s="3"/>
      <c r="UKJ34" s="3"/>
      <c r="UKK34" s="3"/>
      <c r="UKL34" s="3"/>
      <c r="UKM34" s="3"/>
      <c r="UKN34" s="3"/>
      <c r="UKO34" s="3"/>
      <c r="UKP34" s="3"/>
      <c r="UKQ34" s="3"/>
      <c r="UKR34" s="3"/>
      <c r="UKS34" s="3"/>
      <c r="UKT34" s="3"/>
      <c r="UKU34" s="3"/>
      <c r="UKV34" s="3"/>
      <c r="UKW34" s="3"/>
      <c r="UKX34" s="3"/>
      <c r="UKY34" s="3"/>
      <c r="UKZ34" s="3"/>
      <c r="ULA34" s="3"/>
      <c r="ULB34" s="3"/>
      <c r="ULC34" s="3"/>
      <c r="ULD34" s="3"/>
      <c r="ULE34" s="3"/>
      <c r="ULF34" s="3"/>
      <c r="ULG34" s="3"/>
      <c r="ULH34" s="3"/>
      <c r="ULI34" s="3"/>
      <c r="ULJ34" s="3"/>
      <c r="ULK34" s="3"/>
      <c r="ULL34" s="3"/>
      <c r="ULM34" s="3"/>
      <c r="ULN34" s="3"/>
      <c r="ULO34" s="3"/>
      <c r="ULP34" s="3"/>
      <c r="ULQ34" s="3"/>
      <c r="ULR34" s="3"/>
      <c r="ULS34" s="3"/>
      <c r="ULT34" s="3"/>
      <c r="ULU34" s="3"/>
      <c r="ULV34" s="3"/>
      <c r="ULW34" s="3"/>
      <c r="ULX34" s="3"/>
      <c r="ULY34" s="3"/>
      <c r="ULZ34" s="3"/>
      <c r="UMA34" s="3"/>
      <c r="UMB34" s="3"/>
      <c r="UMC34" s="3"/>
      <c r="UMD34" s="3"/>
      <c r="UME34" s="3"/>
      <c r="UMF34" s="3"/>
      <c r="UMG34" s="3"/>
      <c r="UMH34" s="3"/>
      <c r="UMI34" s="3"/>
      <c r="UMJ34" s="3"/>
      <c r="UMK34" s="3"/>
      <c r="UML34" s="3"/>
      <c r="UMM34" s="3"/>
      <c r="UMN34" s="3"/>
      <c r="UMO34" s="3"/>
      <c r="UMP34" s="3"/>
      <c r="UMQ34" s="3"/>
      <c r="UMR34" s="3"/>
      <c r="UMS34" s="3"/>
      <c r="UMT34" s="3"/>
      <c r="UMU34" s="3"/>
      <c r="UMV34" s="3"/>
      <c r="UMW34" s="3"/>
      <c r="UMX34" s="3"/>
      <c r="UMY34" s="3"/>
      <c r="UMZ34" s="3"/>
      <c r="UNA34" s="3"/>
      <c r="UNB34" s="3"/>
      <c r="UNC34" s="3"/>
      <c r="UND34" s="3"/>
      <c r="UNE34" s="3"/>
      <c r="UNF34" s="3"/>
      <c r="UNG34" s="3"/>
      <c r="UNH34" s="3"/>
      <c r="UNI34" s="3"/>
      <c r="UNJ34" s="3"/>
      <c r="UNK34" s="3"/>
      <c r="UNL34" s="3"/>
      <c r="UNM34" s="3"/>
      <c r="UNN34" s="3"/>
      <c r="UNO34" s="3"/>
      <c r="UNP34" s="3"/>
      <c r="UNQ34" s="3"/>
      <c r="UNR34" s="3"/>
      <c r="UNS34" s="3"/>
      <c r="UNT34" s="3"/>
      <c r="UNU34" s="3"/>
      <c r="UNV34" s="3"/>
      <c r="UNW34" s="3"/>
      <c r="UNX34" s="3"/>
      <c r="UNY34" s="3"/>
      <c r="UNZ34" s="3"/>
      <c r="UOA34" s="3"/>
      <c r="UOB34" s="3"/>
      <c r="UOC34" s="3"/>
      <c r="UOD34" s="3"/>
      <c r="UOE34" s="3"/>
      <c r="UOF34" s="3"/>
      <c r="UOG34" s="3"/>
      <c r="UOH34" s="3"/>
      <c r="UOI34" s="3"/>
      <c r="UOJ34" s="3"/>
      <c r="UOK34" s="3"/>
      <c r="UOL34" s="3"/>
      <c r="UOM34" s="3"/>
      <c r="UON34" s="3"/>
      <c r="UOO34" s="3"/>
      <c r="UOP34" s="3"/>
      <c r="UOQ34" s="3"/>
      <c r="UOR34" s="3"/>
      <c r="UOS34" s="3"/>
      <c r="UOT34" s="3"/>
      <c r="UOU34" s="3"/>
      <c r="UOV34" s="3"/>
      <c r="UOW34" s="3"/>
      <c r="UOX34" s="3"/>
      <c r="UOY34" s="3"/>
      <c r="UOZ34" s="3"/>
      <c r="UPA34" s="3"/>
      <c r="UPB34" s="3"/>
      <c r="UPC34" s="3"/>
      <c r="UPD34" s="3"/>
      <c r="UPE34" s="3"/>
      <c r="UPF34" s="3"/>
      <c r="UPG34" s="3"/>
      <c r="UPH34" s="3"/>
      <c r="UPI34" s="3"/>
      <c r="UPJ34" s="3"/>
      <c r="UPK34" s="3"/>
      <c r="UPL34" s="3"/>
      <c r="UPM34" s="3"/>
      <c r="UPN34" s="3"/>
      <c r="UPO34" s="3"/>
      <c r="UPP34" s="3"/>
      <c r="UPQ34" s="3"/>
      <c r="UPR34" s="3"/>
      <c r="UPS34" s="3"/>
      <c r="UPT34" s="3"/>
      <c r="UPU34" s="3"/>
      <c r="UPV34" s="3"/>
      <c r="UPW34" s="3"/>
      <c r="UPX34" s="3"/>
      <c r="UPY34" s="3"/>
      <c r="UPZ34" s="3"/>
      <c r="UQA34" s="3"/>
      <c r="UQB34" s="3"/>
      <c r="UQC34" s="3"/>
      <c r="UQD34" s="3"/>
      <c r="UQE34" s="3"/>
      <c r="UQF34" s="3"/>
      <c r="UQG34" s="3"/>
      <c r="UQH34" s="3"/>
      <c r="UQI34" s="3"/>
      <c r="UQJ34" s="3"/>
      <c r="UQK34" s="3"/>
      <c r="UQL34" s="3"/>
      <c r="UQM34" s="3"/>
      <c r="UQN34" s="3"/>
      <c r="UQO34" s="3"/>
      <c r="UQP34" s="3"/>
      <c r="UQQ34" s="3"/>
      <c r="UQR34" s="3"/>
      <c r="UQS34" s="3"/>
      <c r="UQT34" s="3"/>
      <c r="UQU34" s="3"/>
      <c r="UQV34" s="3"/>
      <c r="UQW34" s="3"/>
      <c r="UQX34" s="3"/>
      <c r="UQY34" s="3"/>
      <c r="UQZ34" s="3"/>
      <c r="URA34" s="3"/>
      <c r="URB34" s="3"/>
      <c r="URC34" s="3"/>
      <c r="URD34" s="3"/>
      <c r="URE34" s="3"/>
      <c r="URF34" s="3"/>
      <c r="URG34" s="3"/>
      <c r="URH34" s="3"/>
      <c r="URI34" s="3"/>
      <c r="URJ34" s="3"/>
      <c r="URK34" s="3"/>
      <c r="URL34" s="3"/>
      <c r="URM34" s="3"/>
      <c r="URN34" s="3"/>
      <c r="URO34" s="3"/>
      <c r="URP34" s="3"/>
      <c r="URQ34" s="3"/>
      <c r="URR34" s="3"/>
      <c r="URS34" s="3"/>
      <c r="URT34" s="3"/>
      <c r="URU34" s="3"/>
      <c r="URV34" s="3"/>
      <c r="URW34" s="3"/>
      <c r="URX34" s="3"/>
      <c r="URY34" s="3"/>
      <c r="URZ34" s="3"/>
      <c r="USA34" s="3"/>
      <c r="USB34" s="3"/>
      <c r="USC34" s="3"/>
      <c r="USD34" s="3"/>
      <c r="USE34" s="3"/>
      <c r="USF34" s="3"/>
      <c r="USG34" s="3"/>
      <c r="USH34" s="3"/>
      <c r="USI34" s="3"/>
      <c r="USJ34" s="3"/>
      <c r="USK34" s="3"/>
      <c r="USL34" s="3"/>
      <c r="USM34" s="3"/>
      <c r="USN34" s="3"/>
      <c r="USO34" s="3"/>
      <c r="USP34" s="3"/>
      <c r="USQ34" s="3"/>
      <c r="USR34" s="3"/>
      <c r="USS34" s="3"/>
      <c r="UST34" s="3"/>
      <c r="USU34" s="3"/>
      <c r="USV34" s="3"/>
      <c r="USW34" s="3"/>
      <c r="USX34" s="3"/>
      <c r="USY34" s="3"/>
      <c r="USZ34" s="3"/>
      <c r="UTA34" s="3"/>
      <c r="UTB34" s="3"/>
      <c r="UTC34" s="3"/>
      <c r="UTD34" s="3"/>
      <c r="UTE34" s="3"/>
      <c r="UTF34" s="3"/>
      <c r="UTG34" s="3"/>
      <c r="UTH34" s="3"/>
      <c r="UTI34" s="3"/>
      <c r="UTJ34" s="3"/>
      <c r="UTK34" s="3"/>
      <c r="UTL34" s="3"/>
      <c r="UTM34" s="3"/>
      <c r="UTN34" s="3"/>
      <c r="UTO34" s="3"/>
      <c r="UTP34" s="3"/>
      <c r="UTQ34" s="3"/>
      <c r="UTR34" s="3"/>
      <c r="UTS34" s="3"/>
      <c r="UTT34" s="3"/>
      <c r="UTU34" s="3"/>
      <c r="UTV34" s="3"/>
      <c r="UTW34" s="3"/>
      <c r="UTX34" s="3"/>
      <c r="UTY34" s="3"/>
      <c r="UTZ34" s="3"/>
      <c r="UUA34" s="3"/>
      <c r="UUB34" s="3"/>
      <c r="UUC34" s="3"/>
      <c r="UUD34" s="3"/>
      <c r="UUE34" s="3"/>
      <c r="UUF34" s="3"/>
      <c r="UUG34" s="3"/>
      <c r="UUH34" s="3"/>
      <c r="UUI34" s="3"/>
      <c r="UUJ34" s="3"/>
      <c r="UUK34" s="3"/>
      <c r="UUL34" s="3"/>
      <c r="UUM34" s="3"/>
      <c r="UUN34" s="3"/>
      <c r="UUO34" s="3"/>
      <c r="UUP34" s="3"/>
      <c r="UUQ34" s="3"/>
      <c r="UUR34" s="3"/>
      <c r="UUS34" s="3"/>
      <c r="UUT34" s="3"/>
      <c r="UUU34" s="3"/>
      <c r="UUV34" s="3"/>
      <c r="UUW34" s="3"/>
      <c r="UUX34" s="3"/>
      <c r="UUY34" s="3"/>
      <c r="UUZ34" s="3"/>
      <c r="UVA34" s="3"/>
      <c r="UVB34" s="3"/>
      <c r="UVC34" s="3"/>
      <c r="UVD34" s="3"/>
      <c r="UVE34" s="3"/>
      <c r="UVF34" s="3"/>
      <c r="UVG34" s="3"/>
      <c r="UVH34" s="3"/>
      <c r="UVI34" s="3"/>
      <c r="UVJ34" s="3"/>
      <c r="UVK34" s="3"/>
      <c r="UVL34" s="3"/>
      <c r="UVM34" s="3"/>
      <c r="UVN34" s="3"/>
      <c r="UVO34" s="3"/>
      <c r="UVP34" s="3"/>
      <c r="UVQ34" s="3"/>
      <c r="UVR34" s="3"/>
      <c r="UVS34" s="3"/>
      <c r="UVT34" s="3"/>
      <c r="UVU34" s="3"/>
      <c r="UVV34" s="3"/>
      <c r="UVW34" s="3"/>
      <c r="UVX34" s="3"/>
      <c r="UVY34" s="3"/>
      <c r="UVZ34" s="3"/>
      <c r="UWA34" s="3"/>
      <c r="UWB34" s="3"/>
      <c r="UWC34" s="3"/>
      <c r="UWD34" s="3"/>
      <c r="UWE34" s="3"/>
      <c r="UWF34" s="3"/>
      <c r="UWG34" s="3"/>
      <c r="UWH34" s="3"/>
      <c r="UWI34" s="3"/>
      <c r="UWJ34" s="3"/>
      <c r="UWK34" s="3"/>
      <c r="UWL34" s="3"/>
      <c r="UWM34" s="3"/>
      <c r="UWN34" s="3"/>
      <c r="UWO34" s="3"/>
      <c r="UWP34" s="3"/>
      <c r="UWQ34" s="3"/>
      <c r="UWR34" s="3"/>
      <c r="UWS34" s="3"/>
      <c r="UWT34" s="3"/>
      <c r="UWU34" s="3"/>
      <c r="UWV34" s="3"/>
      <c r="UWW34" s="3"/>
      <c r="UWX34" s="3"/>
      <c r="UWY34" s="3"/>
      <c r="UWZ34" s="3"/>
      <c r="UXA34" s="3"/>
      <c r="UXB34" s="3"/>
      <c r="UXC34" s="3"/>
      <c r="UXD34" s="3"/>
      <c r="UXE34" s="3"/>
      <c r="UXF34" s="3"/>
      <c r="UXG34" s="3"/>
      <c r="UXH34" s="3"/>
      <c r="UXI34" s="3"/>
      <c r="UXJ34" s="3"/>
      <c r="UXK34" s="3"/>
      <c r="UXL34" s="3"/>
      <c r="UXM34" s="3"/>
      <c r="UXN34" s="3"/>
      <c r="UXO34" s="3"/>
      <c r="UXP34" s="3"/>
      <c r="UXQ34" s="3"/>
      <c r="UXR34" s="3"/>
      <c r="UXS34" s="3"/>
      <c r="UXT34" s="3"/>
      <c r="UXU34" s="3"/>
      <c r="UXV34" s="3"/>
      <c r="UXW34" s="3"/>
      <c r="UXX34" s="3"/>
      <c r="UXY34" s="3"/>
      <c r="UXZ34" s="3"/>
      <c r="UYA34" s="3"/>
      <c r="UYB34" s="3"/>
      <c r="UYC34" s="3"/>
      <c r="UYD34" s="3"/>
      <c r="UYE34" s="3"/>
      <c r="UYF34" s="3"/>
      <c r="UYG34" s="3"/>
      <c r="UYH34" s="3"/>
      <c r="UYI34" s="3"/>
      <c r="UYJ34" s="3"/>
      <c r="UYK34" s="3"/>
      <c r="UYL34" s="3"/>
      <c r="UYM34" s="3"/>
      <c r="UYN34" s="3"/>
      <c r="UYO34" s="3"/>
      <c r="UYP34" s="3"/>
      <c r="UYQ34" s="3"/>
      <c r="UYR34" s="3"/>
      <c r="UYS34" s="3"/>
      <c r="UYT34" s="3"/>
      <c r="UYU34" s="3"/>
      <c r="UYV34" s="3"/>
      <c r="UYW34" s="3"/>
      <c r="UYX34" s="3"/>
      <c r="UYY34" s="3"/>
      <c r="UYZ34" s="3"/>
      <c r="UZA34" s="3"/>
      <c r="UZB34" s="3"/>
      <c r="UZC34" s="3"/>
      <c r="UZD34" s="3"/>
      <c r="UZE34" s="3"/>
      <c r="UZF34" s="3"/>
      <c r="UZG34" s="3"/>
      <c r="UZH34" s="3"/>
      <c r="UZI34" s="3"/>
      <c r="UZJ34" s="3"/>
      <c r="UZK34" s="3"/>
      <c r="UZL34" s="3"/>
      <c r="UZM34" s="3"/>
      <c r="UZN34" s="3"/>
      <c r="UZO34" s="3"/>
      <c r="UZP34" s="3"/>
      <c r="UZQ34" s="3"/>
      <c r="UZR34" s="3"/>
      <c r="UZS34" s="3"/>
      <c r="UZT34" s="3"/>
      <c r="UZU34" s="3"/>
      <c r="UZV34" s="3"/>
      <c r="UZW34" s="3"/>
      <c r="UZX34" s="3"/>
      <c r="UZY34" s="3"/>
      <c r="UZZ34" s="3"/>
      <c r="VAA34" s="3"/>
      <c r="VAB34" s="3"/>
      <c r="VAC34" s="3"/>
      <c r="VAD34" s="3"/>
      <c r="VAE34" s="3"/>
      <c r="VAF34" s="3"/>
      <c r="VAG34" s="3"/>
      <c r="VAH34" s="3"/>
      <c r="VAI34" s="3"/>
      <c r="VAJ34" s="3"/>
      <c r="VAK34" s="3"/>
      <c r="VAL34" s="3"/>
      <c r="VAM34" s="3"/>
      <c r="VAN34" s="3"/>
      <c r="VAO34" s="3"/>
      <c r="VAP34" s="3"/>
      <c r="VAQ34" s="3"/>
      <c r="VAR34" s="3"/>
      <c r="VAS34" s="3"/>
      <c r="VAT34" s="3"/>
      <c r="VAU34" s="3"/>
      <c r="VAV34" s="3"/>
      <c r="VAW34" s="3"/>
      <c r="VAX34" s="3"/>
      <c r="VAY34" s="3"/>
      <c r="VAZ34" s="3"/>
      <c r="VBA34" s="3"/>
      <c r="VBB34" s="3"/>
      <c r="VBC34" s="3"/>
      <c r="VBD34" s="3"/>
      <c r="VBE34" s="3"/>
      <c r="VBF34" s="3"/>
      <c r="VBG34" s="3"/>
      <c r="VBH34" s="3"/>
      <c r="VBI34" s="3"/>
      <c r="VBJ34" s="3"/>
      <c r="VBK34" s="3"/>
      <c r="VBL34" s="3"/>
      <c r="VBM34" s="3"/>
      <c r="VBN34" s="3"/>
      <c r="VBO34" s="3"/>
      <c r="VBP34" s="3"/>
      <c r="VBQ34" s="3"/>
      <c r="VBR34" s="3"/>
      <c r="VBS34" s="3"/>
      <c r="VBT34" s="3"/>
      <c r="VBU34" s="3"/>
      <c r="VBV34" s="3"/>
      <c r="VBW34" s="3"/>
      <c r="VBX34" s="3"/>
      <c r="VBY34" s="3"/>
      <c r="VBZ34" s="3"/>
      <c r="VCA34" s="3"/>
      <c r="VCB34" s="3"/>
      <c r="VCC34" s="3"/>
      <c r="VCD34" s="3"/>
      <c r="VCE34" s="3"/>
      <c r="VCF34" s="3"/>
      <c r="VCG34" s="3"/>
      <c r="VCH34" s="3"/>
      <c r="VCI34" s="3"/>
      <c r="VCJ34" s="3"/>
      <c r="VCK34" s="3"/>
      <c r="VCL34" s="3"/>
      <c r="VCM34" s="3"/>
      <c r="VCN34" s="3"/>
      <c r="VCO34" s="3"/>
      <c r="VCP34" s="3"/>
      <c r="VCQ34" s="3"/>
      <c r="VCR34" s="3"/>
      <c r="VCS34" s="3"/>
      <c r="VCT34" s="3"/>
      <c r="VCU34" s="3"/>
      <c r="VCV34" s="3"/>
      <c r="VCW34" s="3"/>
      <c r="VCX34" s="3"/>
      <c r="VCY34" s="3"/>
      <c r="VCZ34" s="3"/>
      <c r="VDA34" s="3"/>
      <c r="VDB34" s="3"/>
      <c r="VDC34" s="3"/>
      <c r="VDD34" s="3"/>
      <c r="VDE34" s="3"/>
      <c r="VDF34" s="3"/>
      <c r="VDG34" s="3"/>
      <c r="VDH34" s="3"/>
      <c r="VDI34" s="3"/>
      <c r="VDJ34" s="3"/>
      <c r="VDK34" s="3"/>
      <c r="VDL34" s="3"/>
      <c r="VDM34" s="3"/>
      <c r="VDN34" s="3"/>
      <c r="VDO34" s="3"/>
      <c r="VDP34" s="3"/>
      <c r="VDQ34" s="3"/>
      <c r="VDR34" s="3"/>
      <c r="VDS34" s="3"/>
      <c r="VDT34" s="3"/>
      <c r="VDU34" s="3"/>
      <c r="VDV34" s="3"/>
      <c r="VDW34" s="3"/>
      <c r="VDX34" s="3"/>
      <c r="VDY34" s="3"/>
      <c r="VDZ34" s="3"/>
      <c r="VEA34" s="3"/>
      <c r="VEB34" s="3"/>
      <c r="VEC34" s="3"/>
      <c r="VED34" s="3"/>
      <c r="VEE34" s="3"/>
      <c r="VEF34" s="3"/>
      <c r="VEG34" s="3"/>
      <c r="VEH34" s="3"/>
      <c r="VEI34" s="3"/>
      <c r="VEJ34" s="3"/>
      <c r="VEK34" s="3"/>
      <c r="VEL34" s="3"/>
      <c r="VEM34" s="3"/>
      <c r="VEN34" s="3"/>
      <c r="VEO34" s="3"/>
      <c r="VEP34" s="3"/>
      <c r="VEQ34" s="3"/>
      <c r="VER34" s="3"/>
      <c r="VES34" s="3"/>
      <c r="VET34" s="3"/>
      <c r="VEU34" s="3"/>
      <c r="VEV34" s="3"/>
      <c r="VEW34" s="3"/>
      <c r="VEX34" s="3"/>
      <c r="VEY34" s="3"/>
      <c r="VEZ34" s="3"/>
      <c r="VFA34" s="3"/>
      <c r="VFB34" s="3"/>
      <c r="VFC34" s="3"/>
      <c r="VFD34" s="3"/>
      <c r="VFE34" s="3"/>
      <c r="VFF34" s="3"/>
      <c r="VFG34" s="3"/>
      <c r="VFH34" s="3"/>
      <c r="VFI34" s="3"/>
      <c r="VFJ34" s="3"/>
      <c r="VFK34" s="3"/>
      <c r="VFL34" s="3"/>
      <c r="VFM34" s="3"/>
      <c r="VFN34" s="3"/>
      <c r="VFO34" s="3"/>
      <c r="VFP34" s="3"/>
      <c r="VFQ34" s="3"/>
      <c r="VFR34" s="3"/>
      <c r="VFS34" s="3"/>
      <c r="VFT34" s="3"/>
      <c r="VFU34" s="3"/>
      <c r="VFV34" s="3"/>
      <c r="VFW34" s="3"/>
      <c r="VFX34" s="3"/>
      <c r="VFY34" s="3"/>
      <c r="VFZ34" s="3"/>
      <c r="VGA34" s="3"/>
      <c r="VGB34" s="3"/>
      <c r="VGC34" s="3"/>
      <c r="VGD34" s="3"/>
      <c r="VGE34" s="3"/>
      <c r="VGF34" s="3"/>
      <c r="VGG34" s="3"/>
      <c r="VGH34" s="3"/>
      <c r="VGI34" s="3"/>
      <c r="VGJ34" s="3"/>
      <c r="VGK34" s="3"/>
      <c r="VGL34" s="3"/>
      <c r="VGM34" s="3"/>
      <c r="VGN34" s="3"/>
      <c r="VGO34" s="3"/>
      <c r="VGP34" s="3"/>
      <c r="VGQ34" s="3"/>
      <c r="VGR34" s="3"/>
      <c r="VGS34" s="3"/>
      <c r="VGT34" s="3"/>
      <c r="VGU34" s="3"/>
      <c r="VGV34" s="3"/>
      <c r="VGW34" s="3"/>
      <c r="VGX34" s="3"/>
      <c r="VGY34" s="3"/>
      <c r="VGZ34" s="3"/>
      <c r="VHA34" s="3"/>
      <c r="VHB34" s="3"/>
      <c r="VHC34" s="3"/>
      <c r="VHD34" s="3"/>
      <c r="VHE34" s="3"/>
      <c r="VHF34" s="3"/>
      <c r="VHG34" s="3"/>
      <c r="VHH34" s="3"/>
      <c r="VHI34" s="3"/>
      <c r="VHJ34" s="3"/>
      <c r="VHK34" s="3"/>
      <c r="VHL34" s="3"/>
      <c r="VHM34" s="3"/>
      <c r="VHN34" s="3"/>
      <c r="VHO34" s="3"/>
      <c r="VHP34" s="3"/>
      <c r="VHQ34" s="3"/>
      <c r="VHR34" s="3"/>
      <c r="VHS34" s="3"/>
      <c r="VHT34" s="3"/>
      <c r="VHU34" s="3"/>
      <c r="VHV34" s="3"/>
      <c r="VHW34" s="3"/>
      <c r="VHX34" s="3"/>
      <c r="VHY34" s="3"/>
      <c r="VHZ34" s="3"/>
      <c r="VIA34" s="3"/>
      <c r="VIB34" s="3"/>
      <c r="VIC34" s="3"/>
      <c r="VID34" s="3"/>
      <c r="VIE34" s="3"/>
      <c r="VIF34" s="3"/>
      <c r="VIG34" s="3"/>
      <c r="VIH34" s="3"/>
      <c r="VII34" s="3"/>
      <c r="VIJ34" s="3"/>
      <c r="VIK34" s="3"/>
      <c r="VIL34" s="3"/>
      <c r="VIM34" s="3"/>
      <c r="VIN34" s="3"/>
      <c r="VIO34" s="3"/>
      <c r="VIP34" s="3"/>
      <c r="VIQ34" s="3"/>
      <c r="VIR34" s="3"/>
      <c r="VIS34" s="3"/>
      <c r="VIT34" s="3"/>
      <c r="VIU34" s="3"/>
      <c r="VIV34" s="3"/>
      <c r="VIW34" s="3"/>
      <c r="VIX34" s="3"/>
      <c r="VIY34" s="3"/>
      <c r="VIZ34" s="3"/>
      <c r="VJA34" s="3"/>
      <c r="VJB34" s="3"/>
      <c r="VJC34" s="3"/>
      <c r="VJD34" s="3"/>
      <c r="VJE34" s="3"/>
      <c r="VJF34" s="3"/>
      <c r="VJG34" s="3"/>
      <c r="VJH34" s="3"/>
      <c r="VJI34" s="3"/>
      <c r="VJJ34" s="3"/>
      <c r="VJK34" s="3"/>
      <c r="VJL34" s="3"/>
      <c r="VJM34" s="3"/>
      <c r="VJN34" s="3"/>
      <c r="VJO34" s="3"/>
      <c r="VJP34" s="3"/>
      <c r="VJQ34" s="3"/>
      <c r="VJR34" s="3"/>
      <c r="VJS34" s="3"/>
      <c r="VJT34" s="3"/>
      <c r="VJU34" s="3"/>
      <c r="VJV34" s="3"/>
      <c r="VJW34" s="3"/>
      <c r="VJX34" s="3"/>
      <c r="VJY34" s="3"/>
      <c r="VJZ34" s="3"/>
      <c r="VKA34" s="3"/>
      <c r="VKB34" s="3"/>
      <c r="VKC34" s="3"/>
      <c r="VKD34" s="3"/>
      <c r="VKE34" s="3"/>
      <c r="VKF34" s="3"/>
      <c r="VKG34" s="3"/>
      <c r="VKH34" s="3"/>
      <c r="VKI34" s="3"/>
      <c r="VKJ34" s="3"/>
      <c r="VKK34" s="3"/>
      <c r="VKL34" s="3"/>
      <c r="VKM34" s="3"/>
      <c r="VKN34" s="3"/>
      <c r="VKO34" s="3"/>
      <c r="VKP34" s="3"/>
      <c r="VKQ34" s="3"/>
      <c r="VKR34" s="3"/>
      <c r="VKS34" s="3"/>
      <c r="VKT34" s="3"/>
      <c r="VKU34" s="3"/>
      <c r="VKV34" s="3"/>
      <c r="VKW34" s="3"/>
      <c r="VKX34" s="3"/>
      <c r="VKY34" s="3"/>
      <c r="VKZ34" s="3"/>
      <c r="VLA34" s="3"/>
      <c r="VLB34" s="3"/>
      <c r="VLC34" s="3"/>
      <c r="VLD34" s="3"/>
      <c r="VLE34" s="3"/>
      <c r="VLF34" s="3"/>
      <c r="VLG34" s="3"/>
      <c r="VLH34" s="3"/>
      <c r="VLI34" s="3"/>
      <c r="VLJ34" s="3"/>
      <c r="VLK34" s="3"/>
      <c r="VLL34" s="3"/>
      <c r="VLM34" s="3"/>
      <c r="VLN34" s="3"/>
      <c r="VLO34" s="3"/>
      <c r="VLP34" s="3"/>
      <c r="VLQ34" s="3"/>
      <c r="VLR34" s="3"/>
      <c r="VLS34" s="3"/>
      <c r="VLT34" s="3"/>
      <c r="VLU34" s="3"/>
      <c r="VLV34" s="3"/>
      <c r="VLW34" s="3"/>
      <c r="VLX34" s="3"/>
      <c r="VLY34" s="3"/>
      <c r="VLZ34" s="3"/>
      <c r="VMA34" s="3"/>
      <c r="VMB34" s="3"/>
      <c r="VMC34" s="3"/>
      <c r="VMD34" s="3"/>
      <c r="VME34" s="3"/>
      <c r="VMF34" s="3"/>
      <c r="VMG34" s="3"/>
      <c r="VMH34" s="3"/>
      <c r="VMI34" s="3"/>
      <c r="VMJ34" s="3"/>
      <c r="VMK34" s="3"/>
      <c r="VML34" s="3"/>
      <c r="VMM34" s="3"/>
      <c r="VMN34" s="3"/>
      <c r="VMO34" s="3"/>
      <c r="VMP34" s="3"/>
      <c r="VMQ34" s="3"/>
      <c r="VMR34" s="3"/>
      <c r="VMS34" s="3"/>
      <c r="VMT34" s="3"/>
      <c r="VMU34" s="3"/>
      <c r="VMV34" s="3"/>
      <c r="VMW34" s="3"/>
      <c r="VMX34" s="3"/>
      <c r="VMY34" s="3"/>
      <c r="VMZ34" s="3"/>
      <c r="VNA34" s="3"/>
      <c r="VNB34" s="3"/>
      <c r="VNC34" s="3"/>
      <c r="VND34" s="3"/>
      <c r="VNE34" s="3"/>
      <c r="VNF34" s="3"/>
      <c r="VNG34" s="3"/>
      <c r="VNH34" s="3"/>
      <c r="VNI34" s="3"/>
      <c r="VNJ34" s="3"/>
      <c r="VNK34" s="3"/>
      <c r="VNL34" s="3"/>
      <c r="VNM34" s="3"/>
      <c r="VNN34" s="3"/>
      <c r="VNO34" s="3"/>
      <c r="VNP34" s="3"/>
      <c r="VNQ34" s="3"/>
      <c r="VNR34" s="3"/>
      <c r="VNS34" s="3"/>
      <c r="VNT34" s="3"/>
      <c r="VNU34" s="3"/>
      <c r="VNV34" s="3"/>
      <c r="VNW34" s="3"/>
      <c r="VNX34" s="3"/>
      <c r="VNY34" s="3"/>
      <c r="VNZ34" s="3"/>
      <c r="VOA34" s="3"/>
      <c r="VOB34" s="3"/>
      <c r="VOC34" s="3"/>
      <c r="VOD34" s="3"/>
      <c r="VOE34" s="3"/>
      <c r="VOF34" s="3"/>
      <c r="VOG34" s="3"/>
      <c r="VOH34" s="3"/>
      <c r="VOI34" s="3"/>
      <c r="VOJ34" s="3"/>
      <c r="VOK34" s="3"/>
      <c r="VOL34" s="3"/>
      <c r="VOM34" s="3"/>
      <c r="VON34" s="3"/>
      <c r="VOO34" s="3"/>
      <c r="VOP34" s="3"/>
      <c r="VOQ34" s="3"/>
      <c r="VOR34" s="3"/>
      <c r="VOS34" s="3"/>
      <c r="VOT34" s="3"/>
      <c r="VOU34" s="3"/>
      <c r="VOV34" s="3"/>
      <c r="VOW34" s="3"/>
      <c r="VOX34" s="3"/>
      <c r="VOY34" s="3"/>
      <c r="VOZ34" s="3"/>
      <c r="VPA34" s="3"/>
      <c r="VPB34" s="3"/>
      <c r="VPC34" s="3"/>
      <c r="VPD34" s="3"/>
      <c r="VPE34" s="3"/>
      <c r="VPF34" s="3"/>
      <c r="VPG34" s="3"/>
      <c r="VPH34" s="3"/>
      <c r="VPI34" s="3"/>
      <c r="VPJ34" s="3"/>
      <c r="VPK34" s="3"/>
      <c r="VPL34" s="3"/>
      <c r="VPM34" s="3"/>
      <c r="VPN34" s="3"/>
      <c r="VPO34" s="3"/>
      <c r="VPP34" s="3"/>
      <c r="VPQ34" s="3"/>
      <c r="VPR34" s="3"/>
      <c r="VPS34" s="3"/>
      <c r="VPT34" s="3"/>
      <c r="VPU34" s="3"/>
      <c r="VPV34" s="3"/>
      <c r="VPW34" s="3"/>
      <c r="VPX34" s="3"/>
      <c r="VPY34" s="3"/>
      <c r="VPZ34" s="3"/>
      <c r="VQA34" s="3"/>
      <c r="VQB34" s="3"/>
      <c r="VQC34" s="3"/>
      <c r="VQD34" s="3"/>
      <c r="VQE34" s="3"/>
      <c r="VQF34" s="3"/>
      <c r="VQG34" s="3"/>
      <c r="VQH34" s="3"/>
      <c r="VQI34" s="3"/>
      <c r="VQJ34" s="3"/>
      <c r="VQK34" s="3"/>
      <c r="VQL34" s="3"/>
      <c r="VQM34" s="3"/>
      <c r="VQN34" s="3"/>
      <c r="VQO34" s="3"/>
      <c r="VQP34" s="3"/>
      <c r="VQQ34" s="3"/>
      <c r="VQR34" s="3"/>
      <c r="VQS34" s="3"/>
      <c r="VQT34" s="3"/>
      <c r="VQU34" s="3"/>
      <c r="VQV34" s="3"/>
      <c r="VQW34" s="3"/>
      <c r="VQX34" s="3"/>
      <c r="VQY34" s="3"/>
      <c r="VQZ34" s="3"/>
      <c r="VRA34" s="3"/>
      <c r="VRB34" s="3"/>
      <c r="VRC34" s="3"/>
      <c r="VRD34" s="3"/>
      <c r="VRE34" s="3"/>
      <c r="VRF34" s="3"/>
      <c r="VRG34" s="3"/>
      <c r="VRH34" s="3"/>
      <c r="VRI34" s="3"/>
      <c r="VRJ34" s="3"/>
      <c r="VRK34" s="3"/>
      <c r="VRL34" s="3"/>
      <c r="VRM34" s="3"/>
      <c r="VRN34" s="3"/>
      <c r="VRO34" s="3"/>
      <c r="VRP34" s="3"/>
      <c r="VRQ34" s="3"/>
      <c r="VRR34" s="3"/>
      <c r="VRS34" s="3"/>
      <c r="VRT34" s="3"/>
      <c r="VRU34" s="3"/>
      <c r="VRV34" s="3"/>
      <c r="VRW34" s="3"/>
      <c r="VRX34" s="3"/>
      <c r="VRY34" s="3"/>
      <c r="VRZ34" s="3"/>
      <c r="VSA34" s="3"/>
      <c r="VSB34" s="3"/>
      <c r="VSC34" s="3"/>
      <c r="VSD34" s="3"/>
      <c r="VSE34" s="3"/>
      <c r="VSF34" s="3"/>
      <c r="VSG34" s="3"/>
      <c r="VSH34" s="3"/>
      <c r="VSI34" s="3"/>
      <c r="VSJ34" s="3"/>
      <c r="VSK34" s="3"/>
      <c r="VSL34" s="3"/>
      <c r="VSM34" s="3"/>
      <c r="VSN34" s="3"/>
      <c r="VSO34" s="3"/>
      <c r="VSP34" s="3"/>
      <c r="VSQ34" s="3"/>
      <c r="VSR34" s="3"/>
      <c r="VSS34" s="3"/>
      <c r="VST34" s="3"/>
      <c r="VSU34" s="3"/>
      <c r="VSV34" s="3"/>
      <c r="VSW34" s="3"/>
      <c r="VSX34" s="3"/>
      <c r="VSY34" s="3"/>
      <c r="VSZ34" s="3"/>
      <c r="VTA34" s="3"/>
      <c r="VTB34" s="3"/>
      <c r="VTC34" s="3"/>
      <c r="VTD34" s="3"/>
      <c r="VTE34" s="3"/>
      <c r="VTF34" s="3"/>
      <c r="VTG34" s="3"/>
      <c r="VTH34" s="3"/>
      <c r="VTI34" s="3"/>
      <c r="VTJ34" s="3"/>
      <c r="VTK34" s="3"/>
      <c r="VTL34" s="3"/>
      <c r="VTM34" s="3"/>
      <c r="VTN34" s="3"/>
      <c r="VTO34" s="3"/>
      <c r="VTP34" s="3"/>
      <c r="VTQ34" s="3"/>
      <c r="VTR34" s="3"/>
      <c r="VTS34" s="3"/>
      <c r="VTT34" s="3"/>
      <c r="VTU34" s="3"/>
      <c r="VTV34" s="3"/>
      <c r="VTW34" s="3"/>
      <c r="VTX34" s="3"/>
      <c r="VTY34" s="3"/>
      <c r="VTZ34" s="3"/>
      <c r="VUA34" s="3"/>
      <c r="VUB34" s="3"/>
      <c r="VUC34" s="3"/>
      <c r="VUD34" s="3"/>
      <c r="VUE34" s="3"/>
      <c r="VUF34" s="3"/>
      <c r="VUG34" s="3"/>
      <c r="VUH34" s="3"/>
      <c r="VUI34" s="3"/>
      <c r="VUJ34" s="3"/>
      <c r="VUK34" s="3"/>
      <c r="VUL34" s="3"/>
      <c r="VUM34" s="3"/>
      <c r="VUN34" s="3"/>
      <c r="VUO34" s="3"/>
      <c r="VUP34" s="3"/>
      <c r="VUQ34" s="3"/>
      <c r="VUR34" s="3"/>
      <c r="VUS34" s="3"/>
      <c r="VUT34" s="3"/>
      <c r="VUU34" s="3"/>
      <c r="VUV34" s="3"/>
      <c r="VUW34" s="3"/>
      <c r="VUX34" s="3"/>
      <c r="VUY34" s="3"/>
      <c r="VUZ34" s="3"/>
      <c r="VVA34" s="3"/>
      <c r="VVB34" s="3"/>
      <c r="VVC34" s="3"/>
      <c r="VVD34" s="3"/>
      <c r="VVE34" s="3"/>
      <c r="VVF34" s="3"/>
      <c r="VVG34" s="3"/>
      <c r="VVH34" s="3"/>
      <c r="VVI34" s="3"/>
      <c r="VVJ34" s="3"/>
      <c r="VVK34" s="3"/>
      <c r="VVL34" s="3"/>
      <c r="VVM34" s="3"/>
      <c r="VVN34" s="3"/>
      <c r="VVO34" s="3"/>
      <c r="VVP34" s="3"/>
      <c r="VVQ34" s="3"/>
      <c r="VVR34" s="3"/>
      <c r="VVS34" s="3"/>
      <c r="VVT34" s="3"/>
      <c r="VVU34" s="3"/>
      <c r="VVV34" s="3"/>
      <c r="VVW34" s="3"/>
      <c r="VVX34" s="3"/>
      <c r="VVY34" s="3"/>
      <c r="VVZ34" s="3"/>
      <c r="VWA34" s="3"/>
      <c r="VWB34" s="3"/>
      <c r="VWC34" s="3"/>
      <c r="VWD34" s="3"/>
      <c r="VWE34" s="3"/>
      <c r="VWF34" s="3"/>
      <c r="VWG34" s="3"/>
      <c r="VWH34" s="3"/>
      <c r="VWI34" s="3"/>
      <c r="VWJ34" s="3"/>
      <c r="VWK34" s="3"/>
      <c r="VWL34" s="3"/>
      <c r="VWM34" s="3"/>
      <c r="VWN34" s="3"/>
      <c r="VWO34" s="3"/>
      <c r="VWP34" s="3"/>
      <c r="VWQ34" s="3"/>
      <c r="VWR34" s="3"/>
      <c r="VWS34" s="3"/>
      <c r="VWT34" s="3"/>
      <c r="VWU34" s="3"/>
      <c r="VWV34" s="3"/>
      <c r="VWW34" s="3"/>
      <c r="VWX34" s="3"/>
      <c r="VWY34" s="3"/>
      <c r="VWZ34" s="3"/>
      <c r="VXA34" s="3"/>
      <c r="VXB34" s="3"/>
      <c r="VXC34" s="3"/>
      <c r="VXD34" s="3"/>
      <c r="VXE34" s="3"/>
      <c r="VXF34" s="3"/>
      <c r="VXG34" s="3"/>
      <c r="VXH34" s="3"/>
      <c r="VXI34" s="3"/>
      <c r="VXJ34" s="3"/>
      <c r="VXK34" s="3"/>
      <c r="VXL34" s="3"/>
      <c r="VXM34" s="3"/>
      <c r="VXN34" s="3"/>
      <c r="VXO34" s="3"/>
      <c r="VXP34" s="3"/>
      <c r="VXQ34" s="3"/>
      <c r="VXR34" s="3"/>
      <c r="VXS34" s="3"/>
      <c r="VXT34" s="3"/>
      <c r="VXU34" s="3"/>
      <c r="VXV34" s="3"/>
      <c r="VXW34" s="3"/>
      <c r="VXX34" s="3"/>
      <c r="VXY34" s="3"/>
      <c r="VXZ34" s="3"/>
      <c r="VYA34" s="3"/>
      <c r="VYB34" s="3"/>
      <c r="VYC34" s="3"/>
      <c r="VYD34" s="3"/>
      <c r="VYE34" s="3"/>
      <c r="VYF34" s="3"/>
      <c r="VYG34" s="3"/>
      <c r="VYH34" s="3"/>
      <c r="VYI34" s="3"/>
      <c r="VYJ34" s="3"/>
      <c r="VYK34" s="3"/>
      <c r="VYL34" s="3"/>
      <c r="VYM34" s="3"/>
      <c r="VYN34" s="3"/>
      <c r="VYO34" s="3"/>
      <c r="VYP34" s="3"/>
      <c r="VYQ34" s="3"/>
      <c r="VYR34" s="3"/>
      <c r="VYS34" s="3"/>
      <c r="VYT34" s="3"/>
      <c r="VYU34" s="3"/>
      <c r="VYV34" s="3"/>
      <c r="VYW34" s="3"/>
      <c r="VYX34" s="3"/>
      <c r="VYY34" s="3"/>
      <c r="VYZ34" s="3"/>
      <c r="VZA34" s="3"/>
      <c r="VZB34" s="3"/>
      <c r="VZC34" s="3"/>
      <c r="VZD34" s="3"/>
      <c r="VZE34" s="3"/>
      <c r="VZF34" s="3"/>
      <c r="VZG34" s="3"/>
      <c r="VZH34" s="3"/>
      <c r="VZI34" s="3"/>
      <c r="VZJ34" s="3"/>
      <c r="VZK34" s="3"/>
      <c r="VZL34" s="3"/>
      <c r="VZM34" s="3"/>
      <c r="VZN34" s="3"/>
      <c r="VZO34" s="3"/>
      <c r="VZP34" s="3"/>
      <c r="VZQ34" s="3"/>
      <c r="VZR34" s="3"/>
      <c r="VZS34" s="3"/>
      <c r="VZT34" s="3"/>
      <c r="VZU34" s="3"/>
      <c r="VZV34" s="3"/>
      <c r="VZW34" s="3"/>
      <c r="VZX34" s="3"/>
      <c r="VZY34" s="3"/>
      <c r="VZZ34" s="3"/>
      <c r="WAA34" s="3"/>
      <c r="WAB34" s="3"/>
      <c r="WAC34" s="3"/>
      <c r="WAD34" s="3"/>
      <c r="WAE34" s="3"/>
      <c r="WAF34" s="3"/>
      <c r="WAG34" s="3"/>
      <c r="WAH34" s="3"/>
      <c r="WAI34" s="3"/>
      <c r="WAJ34" s="3"/>
      <c r="WAK34" s="3"/>
      <c r="WAL34" s="3"/>
      <c r="WAM34" s="3"/>
      <c r="WAN34" s="3"/>
      <c r="WAO34" s="3"/>
      <c r="WAP34" s="3"/>
      <c r="WAQ34" s="3"/>
      <c r="WAR34" s="3"/>
      <c r="WAS34" s="3"/>
      <c r="WAT34" s="3"/>
      <c r="WAU34" s="3"/>
      <c r="WAV34" s="3"/>
      <c r="WAW34" s="3"/>
      <c r="WAX34" s="3"/>
      <c r="WAY34" s="3"/>
      <c r="WAZ34" s="3"/>
      <c r="WBA34" s="3"/>
      <c r="WBB34" s="3"/>
      <c r="WBC34" s="3"/>
      <c r="WBD34" s="3"/>
      <c r="WBE34" s="3"/>
      <c r="WBF34" s="3"/>
      <c r="WBG34" s="3"/>
      <c r="WBH34" s="3"/>
      <c r="WBI34" s="3"/>
      <c r="WBJ34" s="3"/>
      <c r="WBK34" s="3"/>
      <c r="WBL34" s="3"/>
      <c r="WBM34" s="3"/>
      <c r="WBN34" s="3"/>
      <c r="WBO34" s="3"/>
      <c r="WBP34" s="3"/>
      <c r="WBQ34" s="3"/>
      <c r="WBR34" s="3"/>
      <c r="WBS34" s="3"/>
      <c r="WBT34" s="3"/>
      <c r="WBU34" s="3"/>
      <c r="WBV34" s="3"/>
      <c r="WBW34" s="3"/>
      <c r="WBX34" s="3"/>
      <c r="WBY34" s="3"/>
      <c r="WBZ34" s="3"/>
      <c r="WCA34" s="3"/>
      <c r="WCB34" s="3"/>
      <c r="WCC34" s="3"/>
      <c r="WCD34" s="3"/>
      <c r="WCE34" s="3"/>
      <c r="WCF34" s="3"/>
      <c r="WCG34" s="3"/>
      <c r="WCH34" s="3"/>
      <c r="WCI34" s="3"/>
      <c r="WCJ34" s="3"/>
      <c r="WCK34" s="3"/>
      <c r="WCL34" s="3"/>
      <c r="WCM34" s="3"/>
      <c r="WCN34" s="3"/>
      <c r="WCO34" s="3"/>
      <c r="WCP34" s="3"/>
      <c r="WCQ34" s="3"/>
      <c r="WCR34" s="3"/>
      <c r="WCS34" s="3"/>
      <c r="WCT34" s="3"/>
      <c r="WCU34" s="3"/>
      <c r="WCV34" s="3"/>
      <c r="WCW34" s="3"/>
      <c r="WCX34" s="3"/>
      <c r="WCY34" s="3"/>
      <c r="WCZ34" s="3"/>
      <c r="WDA34" s="3"/>
      <c r="WDB34" s="3"/>
      <c r="WDC34" s="3"/>
      <c r="WDD34" s="3"/>
      <c r="WDE34" s="3"/>
      <c r="WDF34" s="3"/>
      <c r="WDG34" s="3"/>
      <c r="WDH34" s="3"/>
      <c r="WDI34" s="3"/>
      <c r="WDJ34" s="3"/>
      <c r="WDK34" s="3"/>
      <c r="WDL34" s="3"/>
      <c r="WDM34" s="3"/>
      <c r="WDN34" s="3"/>
      <c r="WDO34" s="3"/>
      <c r="WDP34" s="3"/>
      <c r="WDQ34" s="3"/>
      <c r="WDR34" s="3"/>
      <c r="WDS34" s="3"/>
      <c r="WDT34" s="3"/>
      <c r="WDU34" s="3"/>
      <c r="WDV34" s="3"/>
      <c r="WDW34" s="3"/>
      <c r="WDX34" s="3"/>
      <c r="WDY34" s="3"/>
      <c r="WDZ34" s="3"/>
      <c r="WEA34" s="3"/>
      <c r="WEB34" s="3"/>
      <c r="WEC34" s="3"/>
      <c r="WED34" s="3"/>
      <c r="WEE34" s="3"/>
      <c r="WEF34" s="3"/>
      <c r="WEG34" s="3"/>
      <c r="WEH34" s="3"/>
      <c r="WEI34" s="3"/>
      <c r="WEJ34" s="3"/>
      <c r="WEK34" s="3"/>
      <c r="WEL34" s="3"/>
      <c r="WEM34" s="3"/>
      <c r="WEN34" s="3"/>
      <c r="WEO34" s="3"/>
      <c r="WEP34" s="3"/>
      <c r="WEQ34" s="3"/>
      <c r="WER34" s="3"/>
      <c r="WES34" s="3"/>
      <c r="WET34" s="3"/>
      <c r="WEU34" s="3"/>
      <c r="WEV34" s="3"/>
      <c r="WEW34" s="3"/>
      <c r="WEX34" s="3"/>
      <c r="WEY34" s="3"/>
      <c r="WEZ34" s="3"/>
      <c r="WFA34" s="3"/>
      <c r="WFB34" s="3"/>
      <c r="WFC34" s="3"/>
      <c r="WFD34" s="3"/>
      <c r="WFE34" s="3"/>
      <c r="WFF34" s="3"/>
      <c r="WFG34" s="3"/>
      <c r="WFH34" s="3"/>
      <c r="WFI34" s="3"/>
      <c r="WFJ34" s="3"/>
      <c r="WFK34" s="3"/>
      <c r="WFL34" s="3"/>
      <c r="WFM34" s="3"/>
      <c r="WFN34" s="3"/>
      <c r="WFO34" s="3"/>
      <c r="WFP34" s="3"/>
      <c r="WFQ34" s="3"/>
      <c r="WFR34" s="3"/>
      <c r="WFS34" s="3"/>
      <c r="WFT34" s="3"/>
      <c r="WFU34" s="3"/>
      <c r="WFV34" s="3"/>
      <c r="WFW34" s="3"/>
      <c r="WFX34" s="3"/>
      <c r="WFY34" s="3"/>
      <c r="WFZ34" s="3"/>
      <c r="WGA34" s="3"/>
      <c r="WGB34" s="3"/>
      <c r="WGC34" s="3"/>
      <c r="WGD34" s="3"/>
      <c r="WGE34" s="3"/>
      <c r="WGF34" s="3"/>
      <c r="WGG34" s="3"/>
      <c r="WGH34" s="3"/>
      <c r="WGI34" s="3"/>
      <c r="WGJ34" s="3"/>
      <c r="WGK34" s="3"/>
      <c r="WGL34" s="3"/>
      <c r="WGM34" s="3"/>
      <c r="WGN34" s="3"/>
      <c r="WGO34" s="3"/>
      <c r="WGP34" s="3"/>
      <c r="WGQ34" s="3"/>
      <c r="WGR34" s="3"/>
      <c r="WGS34" s="3"/>
      <c r="WGT34" s="3"/>
      <c r="WGU34" s="3"/>
      <c r="WGV34" s="3"/>
      <c r="WGW34" s="3"/>
      <c r="WGX34" s="3"/>
      <c r="WGY34" s="3"/>
      <c r="WGZ34" s="3"/>
      <c r="WHA34" s="3"/>
      <c r="WHB34" s="3"/>
      <c r="WHC34" s="3"/>
      <c r="WHD34" s="3"/>
      <c r="WHE34" s="3"/>
      <c r="WHF34" s="3"/>
      <c r="WHG34" s="3"/>
      <c r="WHH34" s="3"/>
      <c r="WHI34" s="3"/>
      <c r="WHJ34" s="3"/>
      <c r="WHK34" s="3"/>
      <c r="WHL34" s="3"/>
      <c r="WHM34" s="3"/>
      <c r="WHN34" s="3"/>
      <c r="WHO34" s="3"/>
      <c r="WHP34" s="3"/>
      <c r="WHQ34" s="3"/>
      <c r="WHR34" s="3"/>
      <c r="WHS34" s="3"/>
      <c r="WHT34" s="3"/>
      <c r="WHU34" s="3"/>
      <c r="WHV34" s="3"/>
      <c r="WHW34" s="3"/>
      <c r="WHX34" s="3"/>
      <c r="WHY34" s="3"/>
      <c r="WHZ34" s="3"/>
      <c r="WIA34" s="3"/>
      <c r="WIB34" s="3"/>
      <c r="WIC34" s="3"/>
      <c r="WID34" s="3"/>
      <c r="WIE34" s="3"/>
      <c r="WIF34" s="3"/>
      <c r="WIG34" s="3"/>
      <c r="WIH34" s="3"/>
      <c r="WII34" s="3"/>
      <c r="WIJ34" s="3"/>
      <c r="WIK34" s="3"/>
      <c r="WIL34" s="3"/>
      <c r="WIM34" s="3"/>
      <c r="WIN34" s="3"/>
      <c r="WIO34" s="3"/>
      <c r="WIP34" s="3"/>
      <c r="WIQ34" s="3"/>
      <c r="WIR34" s="3"/>
      <c r="WIS34" s="3"/>
      <c r="WIT34" s="3"/>
      <c r="WIU34" s="3"/>
      <c r="WIV34" s="3"/>
      <c r="WIW34" s="3"/>
      <c r="WIX34" s="3"/>
      <c r="WIY34" s="3"/>
      <c r="WIZ34" s="3"/>
      <c r="WJA34" s="3"/>
      <c r="WJB34" s="3"/>
      <c r="WJC34" s="3"/>
      <c r="WJD34" s="3"/>
      <c r="WJE34" s="3"/>
      <c r="WJF34" s="3"/>
      <c r="WJG34" s="3"/>
      <c r="WJH34" s="3"/>
      <c r="WJI34" s="3"/>
      <c r="WJJ34" s="3"/>
      <c r="WJK34" s="3"/>
      <c r="WJL34" s="3"/>
      <c r="WJM34" s="3"/>
      <c r="WJN34" s="3"/>
      <c r="WJO34" s="3"/>
      <c r="WJP34" s="3"/>
      <c r="WJQ34" s="3"/>
      <c r="WJR34" s="3"/>
      <c r="WJS34" s="3"/>
      <c r="WJT34" s="3"/>
      <c r="WJU34" s="3"/>
      <c r="WJV34" s="3"/>
      <c r="WJW34" s="3"/>
      <c r="WJX34" s="3"/>
      <c r="WJY34" s="3"/>
      <c r="WJZ34" s="3"/>
      <c r="WKA34" s="3"/>
      <c r="WKB34" s="3"/>
      <c r="WKC34" s="3"/>
      <c r="WKD34" s="3"/>
      <c r="WKE34" s="3"/>
      <c r="WKF34" s="3"/>
      <c r="WKG34" s="3"/>
      <c r="WKH34" s="3"/>
      <c r="WKI34" s="3"/>
      <c r="WKJ34" s="3"/>
      <c r="WKK34" s="3"/>
      <c r="WKL34" s="3"/>
      <c r="WKM34" s="3"/>
      <c r="WKN34" s="3"/>
      <c r="WKO34" s="3"/>
      <c r="WKP34" s="3"/>
      <c r="WKQ34" s="3"/>
      <c r="WKR34" s="3"/>
      <c r="WKS34" s="3"/>
      <c r="WKT34" s="3"/>
      <c r="WKU34" s="3"/>
      <c r="WKV34" s="3"/>
      <c r="WKW34" s="3"/>
      <c r="WKX34" s="3"/>
      <c r="WKY34" s="3"/>
      <c r="WKZ34" s="3"/>
      <c r="WLA34" s="3"/>
      <c r="WLB34" s="3"/>
      <c r="WLC34" s="3"/>
      <c r="WLD34" s="3"/>
      <c r="WLE34" s="3"/>
      <c r="WLF34" s="3"/>
      <c r="WLG34" s="3"/>
      <c r="WLH34" s="3"/>
      <c r="WLI34" s="3"/>
      <c r="WLJ34" s="3"/>
      <c r="WLK34" s="3"/>
      <c r="WLL34" s="3"/>
      <c r="WLM34" s="3"/>
      <c r="WLN34" s="3"/>
      <c r="WLO34" s="3"/>
      <c r="WLP34" s="3"/>
      <c r="WLQ34" s="3"/>
      <c r="WLR34" s="3"/>
      <c r="WLS34" s="3"/>
      <c r="WLT34" s="3"/>
      <c r="WLU34" s="3"/>
      <c r="WLV34" s="3"/>
      <c r="WLW34" s="3"/>
      <c r="WLX34" s="3"/>
      <c r="WLY34" s="3"/>
      <c r="WLZ34" s="3"/>
      <c r="WMA34" s="3"/>
      <c r="WMB34" s="3"/>
      <c r="WMC34" s="3"/>
      <c r="WMD34" s="3"/>
      <c r="WME34" s="3"/>
      <c r="WMF34" s="3"/>
      <c r="WMG34" s="3"/>
      <c r="WMH34" s="3"/>
      <c r="WMI34" s="3"/>
      <c r="WMJ34" s="3"/>
      <c r="WMK34" s="3"/>
      <c r="WML34" s="3"/>
      <c r="WMM34" s="3"/>
      <c r="WMN34" s="3"/>
      <c r="WMO34" s="3"/>
      <c r="WMP34" s="3"/>
      <c r="WMQ34" s="3"/>
      <c r="WMR34" s="3"/>
      <c r="WMS34" s="3"/>
      <c r="WMT34" s="3"/>
      <c r="WMU34" s="3"/>
      <c r="WMV34" s="3"/>
      <c r="WMW34" s="3"/>
      <c r="WMX34" s="3"/>
      <c r="WMY34" s="3"/>
      <c r="WMZ34" s="3"/>
      <c r="WNA34" s="3"/>
      <c r="WNB34" s="3"/>
      <c r="WNC34" s="3"/>
      <c r="WND34" s="3"/>
      <c r="WNE34" s="3"/>
      <c r="WNF34" s="3"/>
      <c r="WNG34" s="3"/>
      <c r="WNH34" s="3"/>
      <c r="WNI34" s="3"/>
      <c r="WNJ34" s="3"/>
      <c r="WNK34" s="3"/>
      <c r="WNL34" s="3"/>
      <c r="WNM34" s="3"/>
      <c r="WNN34" s="3"/>
      <c r="WNO34" s="3"/>
      <c r="WNP34" s="3"/>
      <c r="WNQ34" s="3"/>
      <c r="WNR34" s="3"/>
      <c r="WNS34" s="3"/>
      <c r="WNT34" s="3"/>
      <c r="WNU34" s="3"/>
      <c r="WNV34" s="3"/>
      <c r="WNW34" s="3"/>
      <c r="WNX34" s="3"/>
      <c r="WNY34" s="3"/>
      <c r="WNZ34" s="3"/>
      <c r="WOA34" s="3"/>
      <c r="WOB34" s="3"/>
      <c r="WOC34" s="3"/>
      <c r="WOD34" s="3"/>
      <c r="WOE34" s="3"/>
      <c r="WOF34" s="3"/>
      <c r="WOG34" s="3"/>
      <c r="WOH34" s="3"/>
      <c r="WOI34" s="3"/>
      <c r="WOJ34" s="3"/>
      <c r="WOK34" s="3"/>
      <c r="WOL34" s="3"/>
      <c r="WOM34" s="3"/>
      <c r="WON34" s="3"/>
      <c r="WOO34" s="3"/>
      <c r="WOP34" s="3"/>
      <c r="WOQ34" s="3"/>
      <c r="WOR34" s="3"/>
      <c r="WOS34" s="3"/>
      <c r="WOT34" s="3"/>
      <c r="WOU34" s="3"/>
      <c r="WOV34" s="3"/>
      <c r="WOW34" s="3"/>
      <c r="WOX34" s="3"/>
      <c r="WOY34" s="3"/>
      <c r="WOZ34" s="3"/>
      <c r="WPA34" s="3"/>
      <c r="WPB34" s="3"/>
      <c r="WPC34" s="3"/>
      <c r="WPD34" s="3"/>
      <c r="WPE34" s="3"/>
      <c r="WPF34" s="3"/>
      <c r="WPG34" s="3"/>
      <c r="WPH34" s="3"/>
      <c r="WPI34" s="3"/>
      <c r="WPJ34" s="3"/>
      <c r="WPK34" s="3"/>
      <c r="WPL34" s="3"/>
      <c r="WPM34" s="3"/>
      <c r="WPN34" s="3"/>
      <c r="WPO34" s="3"/>
      <c r="WPP34" s="3"/>
      <c r="WPQ34" s="3"/>
      <c r="WPR34" s="3"/>
      <c r="WPS34" s="3"/>
      <c r="WPT34" s="3"/>
      <c r="WPU34" s="3"/>
      <c r="WPV34" s="3"/>
      <c r="WPW34" s="3"/>
      <c r="WPX34" s="3"/>
      <c r="WPY34" s="3"/>
      <c r="WPZ34" s="3"/>
      <c r="WQA34" s="3"/>
      <c r="WQB34" s="3"/>
      <c r="WQC34" s="3"/>
      <c r="WQD34" s="3"/>
      <c r="WQE34" s="3"/>
      <c r="WQF34" s="3"/>
      <c r="WQG34" s="3"/>
      <c r="WQH34" s="3"/>
      <c r="WQI34" s="3"/>
      <c r="WQJ34" s="3"/>
      <c r="WQK34" s="3"/>
      <c r="WQL34" s="3"/>
      <c r="WQM34" s="3"/>
      <c r="WQN34" s="3"/>
      <c r="WQO34" s="3"/>
      <c r="WQP34" s="3"/>
      <c r="WQQ34" s="3"/>
      <c r="WQR34" s="3"/>
      <c r="WQS34" s="3"/>
      <c r="WQT34" s="3"/>
      <c r="WQU34" s="3"/>
      <c r="WQV34" s="3"/>
      <c r="WQW34" s="3"/>
      <c r="WQX34" s="3"/>
      <c r="WQY34" s="3"/>
      <c r="WQZ34" s="3"/>
      <c r="WRA34" s="3"/>
      <c r="WRB34" s="3"/>
      <c r="WRC34" s="3"/>
      <c r="WRD34" s="3"/>
      <c r="WRE34" s="3"/>
      <c r="WRF34" s="3"/>
      <c r="WRG34" s="3"/>
      <c r="WRH34" s="3"/>
      <c r="WRI34" s="3"/>
      <c r="WRJ34" s="3"/>
      <c r="WRK34" s="3"/>
      <c r="WRL34" s="3"/>
      <c r="WRM34" s="3"/>
      <c r="WRN34" s="3"/>
      <c r="WRO34" s="3"/>
      <c r="WRP34" s="3"/>
      <c r="WRQ34" s="3"/>
      <c r="WRR34" s="3"/>
      <c r="WRS34" s="3"/>
      <c r="WRT34" s="3"/>
      <c r="WRU34" s="3"/>
      <c r="WRV34" s="3"/>
      <c r="WRW34" s="3"/>
      <c r="WRX34" s="3"/>
      <c r="WRY34" s="3"/>
      <c r="WRZ34" s="3"/>
      <c r="WSA34" s="3"/>
      <c r="WSB34" s="3"/>
      <c r="WSC34" s="3"/>
      <c r="WSD34" s="3"/>
      <c r="WSE34" s="3"/>
      <c r="WSF34" s="3"/>
      <c r="WSG34" s="3"/>
      <c r="WSH34" s="3"/>
      <c r="WSI34" s="3"/>
      <c r="WSJ34" s="3"/>
      <c r="WSK34" s="3"/>
      <c r="WSL34" s="3"/>
      <c r="WSM34" s="3"/>
      <c r="WSN34" s="3"/>
      <c r="WSO34" s="3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16384" s="1" customFormat="1">
      <c r="A35" s="3"/>
      <c r="B35" s="3"/>
      <c r="C35" s="18">
        <v>99.6149336332426</v>
      </c>
      <c r="D35" s="19">
        <f t="shared" ref="D35:D38" si="2">C35%*G27</f>
        <v>4.3332496130460525</v>
      </c>
      <c r="E35" s="19">
        <f t="shared" ref="E35:E38" si="3">C35%*H27</f>
        <v>2.042106139481473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  <c r="FAN35" s="3"/>
      <c r="FAO35" s="3"/>
      <c r="FAP35" s="3"/>
      <c r="FAQ35" s="3"/>
      <c r="FAR35" s="3"/>
      <c r="FAS35" s="3"/>
      <c r="FAT35" s="3"/>
      <c r="FAU35" s="3"/>
      <c r="FAV35" s="3"/>
      <c r="FAW35" s="3"/>
      <c r="FAX35" s="3"/>
      <c r="FAY35" s="3"/>
      <c r="FAZ35" s="3"/>
      <c r="FBA35" s="3"/>
      <c r="FBB35" s="3"/>
      <c r="FBC35" s="3"/>
      <c r="FBD35" s="3"/>
      <c r="FBE35" s="3"/>
      <c r="FBF35" s="3"/>
      <c r="FBG35" s="3"/>
      <c r="FBH35" s="3"/>
      <c r="FBI35" s="3"/>
      <c r="FBJ35" s="3"/>
      <c r="FBK35" s="3"/>
      <c r="FBL35" s="3"/>
      <c r="FBM35" s="3"/>
      <c r="FBN35" s="3"/>
      <c r="FBO35" s="3"/>
      <c r="FBP35" s="3"/>
      <c r="FBQ35" s="3"/>
      <c r="FBR35" s="3"/>
      <c r="FBS35" s="3"/>
      <c r="FBT35" s="3"/>
      <c r="FBU35" s="3"/>
      <c r="FBV35" s="3"/>
      <c r="FBW35" s="3"/>
      <c r="FBX35" s="3"/>
      <c r="FBY35" s="3"/>
      <c r="FBZ35" s="3"/>
      <c r="FCA35" s="3"/>
      <c r="FCB35" s="3"/>
      <c r="FCC35" s="3"/>
      <c r="FCD35" s="3"/>
      <c r="FCE35" s="3"/>
      <c r="FCF35" s="3"/>
      <c r="FCG35" s="3"/>
      <c r="FCH35" s="3"/>
      <c r="FCI35" s="3"/>
      <c r="FCJ35" s="3"/>
      <c r="FCK35" s="3"/>
      <c r="FCL35" s="3"/>
      <c r="FCM35" s="3"/>
      <c r="FCN35" s="3"/>
      <c r="FCO35" s="3"/>
      <c r="FCP35" s="3"/>
      <c r="FCQ35" s="3"/>
      <c r="FCR35" s="3"/>
      <c r="FCS35" s="3"/>
      <c r="FCT35" s="3"/>
      <c r="FCU35" s="3"/>
      <c r="FCV35" s="3"/>
      <c r="FCW35" s="3"/>
      <c r="FCX35" s="3"/>
      <c r="FCY35" s="3"/>
      <c r="FCZ35" s="3"/>
      <c r="FDA35" s="3"/>
      <c r="FDB35" s="3"/>
      <c r="FDC35" s="3"/>
      <c r="FDD35" s="3"/>
      <c r="FDE35" s="3"/>
      <c r="FDF35" s="3"/>
      <c r="FDG35" s="3"/>
      <c r="FDH35" s="3"/>
      <c r="FDI35" s="3"/>
      <c r="FDJ35" s="3"/>
      <c r="FDK35" s="3"/>
      <c r="FDL35" s="3"/>
      <c r="FDM35" s="3"/>
      <c r="FDN35" s="3"/>
      <c r="FDO35" s="3"/>
      <c r="FDP35" s="3"/>
      <c r="FDQ35" s="3"/>
      <c r="FDR35" s="3"/>
      <c r="FDS35" s="3"/>
      <c r="FDT35" s="3"/>
      <c r="FDU35" s="3"/>
      <c r="FDV35" s="3"/>
      <c r="FDW35" s="3"/>
      <c r="FDX35" s="3"/>
      <c r="FDY35" s="3"/>
      <c r="FDZ35" s="3"/>
      <c r="FEA35" s="3"/>
      <c r="FEB35" s="3"/>
      <c r="FEC35" s="3"/>
      <c r="FED35" s="3"/>
      <c r="FEE35" s="3"/>
      <c r="FEF35" s="3"/>
      <c r="FEG35" s="3"/>
      <c r="FEH35" s="3"/>
      <c r="FEI35" s="3"/>
      <c r="FEJ35" s="3"/>
      <c r="FEK35" s="3"/>
      <c r="FEL35" s="3"/>
      <c r="FEM35" s="3"/>
      <c r="FEN35" s="3"/>
      <c r="FEO35" s="3"/>
      <c r="FEP35" s="3"/>
      <c r="FEQ35" s="3"/>
      <c r="FER35" s="3"/>
      <c r="FES35" s="3"/>
      <c r="FET35" s="3"/>
      <c r="FEU35" s="3"/>
      <c r="FEV35" s="3"/>
      <c r="FEW35" s="3"/>
      <c r="FEX35" s="3"/>
      <c r="FEY35" s="3"/>
      <c r="FEZ35" s="3"/>
      <c r="FFA35" s="3"/>
      <c r="FFB35" s="3"/>
      <c r="FFC35" s="3"/>
      <c r="FFD35" s="3"/>
      <c r="FFE35" s="3"/>
      <c r="FFF35" s="3"/>
      <c r="FFG35" s="3"/>
      <c r="FFH35" s="3"/>
      <c r="FFI35" s="3"/>
      <c r="FFJ35" s="3"/>
      <c r="FFK35" s="3"/>
      <c r="FFL35" s="3"/>
      <c r="FFM35" s="3"/>
      <c r="FFN35" s="3"/>
      <c r="FFO35" s="3"/>
      <c r="FFP35" s="3"/>
      <c r="FFQ35" s="3"/>
      <c r="FFR35" s="3"/>
      <c r="FFS35" s="3"/>
      <c r="FFT35" s="3"/>
      <c r="FFU35" s="3"/>
      <c r="FFV35" s="3"/>
      <c r="FFW35" s="3"/>
      <c r="FFX35" s="3"/>
      <c r="FFY35" s="3"/>
      <c r="FFZ35" s="3"/>
      <c r="FGA35" s="3"/>
      <c r="FGB35" s="3"/>
      <c r="FGC35" s="3"/>
      <c r="FGD35" s="3"/>
      <c r="FGE35" s="3"/>
      <c r="FGF35" s="3"/>
      <c r="FGG35" s="3"/>
      <c r="FGH35" s="3"/>
      <c r="FGI35" s="3"/>
      <c r="FGJ35" s="3"/>
      <c r="FGK35" s="3"/>
      <c r="FGL35" s="3"/>
      <c r="FGM35" s="3"/>
      <c r="FGN35" s="3"/>
      <c r="FGO35" s="3"/>
      <c r="FGP35" s="3"/>
      <c r="FGQ35" s="3"/>
      <c r="FGR35" s="3"/>
      <c r="FGS35" s="3"/>
      <c r="FGT35" s="3"/>
      <c r="FGU35" s="3"/>
      <c r="FGV35" s="3"/>
      <c r="FGW35" s="3"/>
      <c r="FGX35" s="3"/>
      <c r="FGY35" s="3"/>
      <c r="FGZ35" s="3"/>
      <c r="FHA35" s="3"/>
      <c r="FHB35" s="3"/>
      <c r="FHC35" s="3"/>
      <c r="FHD35" s="3"/>
      <c r="FHE35" s="3"/>
      <c r="FHF35" s="3"/>
      <c r="FHG35" s="3"/>
      <c r="FHH35" s="3"/>
      <c r="FHI35" s="3"/>
      <c r="FHJ35" s="3"/>
      <c r="FHK35" s="3"/>
      <c r="FHL35" s="3"/>
      <c r="FHM35" s="3"/>
      <c r="FHN35" s="3"/>
      <c r="FHO35" s="3"/>
      <c r="FHP35" s="3"/>
      <c r="FHQ35" s="3"/>
      <c r="FHR35" s="3"/>
      <c r="FHS35" s="3"/>
      <c r="FHT35" s="3"/>
      <c r="FHU35" s="3"/>
      <c r="FHV35" s="3"/>
      <c r="FHW35" s="3"/>
      <c r="FHX35" s="3"/>
      <c r="FHY35" s="3"/>
      <c r="FHZ35" s="3"/>
      <c r="FIA35" s="3"/>
      <c r="FIB35" s="3"/>
      <c r="FIC35" s="3"/>
      <c r="FID35" s="3"/>
      <c r="FIE35" s="3"/>
      <c r="FIF35" s="3"/>
      <c r="FIG35" s="3"/>
      <c r="FIH35" s="3"/>
      <c r="FII35" s="3"/>
      <c r="FIJ35" s="3"/>
      <c r="FIK35" s="3"/>
      <c r="FIL35" s="3"/>
      <c r="FIM35" s="3"/>
      <c r="FIN35" s="3"/>
      <c r="FIO35" s="3"/>
      <c r="FIP35" s="3"/>
      <c r="FIQ35" s="3"/>
      <c r="FIR35" s="3"/>
      <c r="FIS35" s="3"/>
      <c r="FIT35" s="3"/>
      <c r="FIU35" s="3"/>
      <c r="FIV35" s="3"/>
      <c r="FIW35" s="3"/>
      <c r="FIX35" s="3"/>
      <c r="FIY35" s="3"/>
      <c r="FIZ35" s="3"/>
      <c r="FJA35" s="3"/>
      <c r="FJB35" s="3"/>
      <c r="FJC35" s="3"/>
      <c r="FJD35" s="3"/>
      <c r="FJE35" s="3"/>
      <c r="FJF35" s="3"/>
      <c r="FJG35" s="3"/>
      <c r="FJH35" s="3"/>
      <c r="FJI35" s="3"/>
      <c r="FJJ35" s="3"/>
      <c r="FJK35" s="3"/>
      <c r="FJL35" s="3"/>
      <c r="FJM35" s="3"/>
      <c r="FJN35" s="3"/>
      <c r="FJO35" s="3"/>
      <c r="FJP35" s="3"/>
      <c r="FJQ35" s="3"/>
      <c r="FJR35" s="3"/>
      <c r="FJS35" s="3"/>
      <c r="FJT35" s="3"/>
      <c r="FJU35" s="3"/>
      <c r="FJV35" s="3"/>
      <c r="FJW35" s="3"/>
      <c r="FJX35" s="3"/>
      <c r="FJY35" s="3"/>
      <c r="FJZ35" s="3"/>
      <c r="FKA35" s="3"/>
      <c r="FKB35" s="3"/>
      <c r="FKC35" s="3"/>
      <c r="FKD35" s="3"/>
      <c r="FKE35" s="3"/>
      <c r="FKF35" s="3"/>
      <c r="FKG35" s="3"/>
      <c r="FKH35" s="3"/>
      <c r="FKI35" s="3"/>
      <c r="FKJ35" s="3"/>
      <c r="FKK35" s="3"/>
      <c r="FKL35" s="3"/>
      <c r="FKM35" s="3"/>
      <c r="FKN35" s="3"/>
      <c r="FKO35" s="3"/>
      <c r="FKP35" s="3"/>
      <c r="FKQ35" s="3"/>
      <c r="FKR35" s="3"/>
      <c r="FKS35" s="3"/>
      <c r="FKT35" s="3"/>
      <c r="FKU35" s="3"/>
      <c r="FKV35" s="3"/>
      <c r="FKW35" s="3"/>
      <c r="FKX35" s="3"/>
      <c r="FKY35" s="3"/>
      <c r="FKZ35" s="3"/>
      <c r="FLA35" s="3"/>
      <c r="FLB35" s="3"/>
      <c r="FLC35" s="3"/>
      <c r="FLD35" s="3"/>
      <c r="FLE35" s="3"/>
      <c r="FLF35" s="3"/>
      <c r="FLG35" s="3"/>
      <c r="FLH35" s="3"/>
      <c r="FLI35" s="3"/>
      <c r="FLJ35" s="3"/>
      <c r="FLK35" s="3"/>
      <c r="FLL35" s="3"/>
      <c r="FLM35" s="3"/>
      <c r="FLN35" s="3"/>
      <c r="FLO35" s="3"/>
      <c r="FLP35" s="3"/>
      <c r="FLQ35" s="3"/>
      <c r="FLR35" s="3"/>
      <c r="FLS35" s="3"/>
      <c r="FLT35" s="3"/>
      <c r="FLU35" s="3"/>
      <c r="FLV35" s="3"/>
      <c r="FLW35" s="3"/>
      <c r="FLX35" s="3"/>
      <c r="FLY35" s="3"/>
      <c r="FLZ35" s="3"/>
      <c r="FMA35" s="3"/>
      <c r="FMB35" s="3"/>
      <c r="FMC35" s="3"/>
      <c r="FMD35" s="3"/>
      <c r="FME35" s="3"/>
      <c r="FMF35" s="3"/>
      <c r="FMG35" s="3"/>
      <c r="FMH35" s="3"/>
      <c r="FMI35" s="3"/>
      <c r="FMJ35" s="3"/>
      <c r="FMK35" s="3"/>
      <c r="FML35" s="3"/>
      <c r="FMM35" s="3"/>
      <c r="FMN35" s="3"/>
      <c r="FMO35" s="3"/>
      <c r="FMP35" s="3"/>
      <c r="FMQ35" s="3"/>
      <c r="FMR35" s="3"/>
      <c r="FMS35" s="3"/>
      <c r="FMT35" s="3"/>
      <c r="FMU35" s="3"/>
      <c r="FMV35" s="3"/>
      <c r="FMW35" s="3"/>
      <c r="FMX35" s="3"/>
      <c r="FMY35" s="3"/>
      <c r="FMZ35" s="3"/>
      <c r="FNA35" s="3"/>
      <c r="FNB35" s="3"/>
      <c r="FNC35" s="3"/>
      <c r="FND35" s="3"/>
      <c r="FNE35" s="3"/>
      <c r="FNF35" s="3"/>
      <c r="FNG35" s="3"/>
      <c r="FNH35" s="3"/>
      <c r="FNI35" s="3"/>
      <c r="FNJ35" s="3"/>
      <c r="FNK35" s="3"/>
      <c r="FNL35" s="3"/>
      <c r="FNM35" s="3"/>
      <c r="FNN35" s="3"/>
      <c r="FNO35" s="3"/>
      <c r="FNP35" s="3"/>
      <c r="FNQ35" s="3"/>
      <c r="FNR35" s="3"/>
      <c r="FNS35" s="3"/>
      <c r="FNT35" s="3"/>
      <c r="FNU35" s="3"/>
      <c r="FNV35" s="3"/>
      <c r="FNW35" s="3"/>
      <c r="FNX35" s="3"/>
      <c r="FNY35" s="3"/>
      <c r="FNZ35" s="3"/>
      <c r="FOA35" s="3"/>
      <c r="FOB35" s="3"/>
      <c r="FOC35" s="3"/>
      <c r="FOD35" s="3"/>
      <c r="FOE35" s="3"/>
      <c r="FOF35" s="3"/>
      <c r="FOG35" s="3"/>
      <c r="FOH35" s="3"/>
      <c r="FOI35" s="3"/>
      <c r="FOJ35" s="3"/>
      <c r="FOK35" s="3"/>
      <c r="FOL35" s="3"/>
      <c r="FOM35" s="3"/>
      <c r="FON35" s="3"/>
      <c r="FOO35" s="3"/>
      <c r="FOP35" s="3"/>
      <c r="FOQ35" s="3"/>
      <c r="FOR35" s="3"/>
      <c r="FOS35" s="3"/>
      <c r="FOT35" s="3"/>
      <c r="FOU35" s="3"/>
      <c r="FOV35" s="3"/>
      <c r="FOW35" s="3"/>
      <c r="FOX35" s="3"/>
      <c r="FOY35" s="3"/>
      <c r="FOZ35" s="3"/>
      <c r="FPA35" s="3"/>
      <c r="FPB35" s="3"/>
      <c r="FPC35" s="3"/>
      <c r="FPD35" s="3"/>
      <c r="FPE35" s="3"/>
      <c r="FPF35" s="3"/>
      <c r="FPG35" s="3"/>
      <c r="FPH35" s="3"/>
      <c r="FPI35" s="3"/>
      <c r="FPJ35" s="3"/>
      <c r="FPK35" s="3"/>
      <c r="FPL35" s="3"/>
      <c r="FPM35" s="3"/>
      <c r="FPN35" s="3"/>
      <c r="FPO35" s="3"/>
      <c r="FPP35" s="3"/>
      <c r="FPQ35" s="3"/>
      <c r="FPR35" s="3"/>
      <c r="FPS35" s="3"/>
      <c r="FPT35" s="3"/>
      <c r="FPU35" s="3"/>
      <c r="FPV35" s="3"/>
      <c r="FPW35" s="3"/>
      <c r="FPX35" s="3"/>
      <c r="FPY35" s="3"/>
      <c r="FPZ35" s="3"/>
      <c r="FQA35" s="3"/>
      <c r="FQB35" s="3"/>
      <c r="FQC35" s="3"/>
      <c r="FQD35" s="3"/>
      <c r="FQE35" s="3"/>
      <c r="FQF35" s="3"/>
      <c r="FQG35" s="3"/>
      <c r="FQH35" s="3"/>
      <c r="FQI35" s="3"/>
      <c r="FQJ35" s="3"/>
      <c r="FQK35" s="3"/>
      <c r="FQL35" s="3"/>
      <c r="FQM35" s="3"/>
      <c r="FQN35" s="3"/>
      <c r="FQO35" s="3"/>
      <c r="FQP35" s="3"/>
      <c r="FQQ35" s="3"/>
      <c r="FQR35" s="3"/>
      <c r="FQS35" s="3"/>
      <c r="FQT35" s="3"/>
      <c r="FQU35" s="3"/>
      <c r="FQV35" s="3"/>
      <c r="FQW35" s="3"/>
      <c r="FQX35" s="3"/>
      <c r="FQY35" s="3"/>
      <c r="FQZ35" s="3"/>
      <c r="FRA35" s="3"/>
      <c r="FRB35" s="3"/>
      <c r="FRC35" s="3"/>
      <c r="FRD35" s="3"/>
      <c r="FRE35" s="3"/>
      <c r="FRF35" s="3"/>
      <c r="FRG35" s="3"/>
      <c r="FRH35" s="3"/>
      <c r="FRI35" s="3"/>
      <c r="FRJ35" s="3"/>
      <c r="FRK35" s="3"/>
      <c r="FRL35" s="3"/>
      <c r="FRM35" s="3"/>
      <c r="FRN35" s="3"/>
      <c r="FRO35" s="3"/>
      <c r="FRP35" s="3"/>
      <c r="FRQ35" s="3"/>
      <c r="FRR35" s="3"/>
      <c r="FRS35" s="3"/>
      <c r="FRT35" s="3"/>
      <c r="FRU35" s="3"/>
      <c r="FRV35" s="3"/>
      <c r="FRW35" s="3"/>
      <c r="FRX35" s="3"/>
      <c r="FRY35" s="3"/>
      <c r="FRZ35" s="3"/>
      <c r="FSA35" s="3"/>
      <c r="FSB35" s="3"/>
      <c r="FSC35" s="3"/>
      <c r="FSD35" s="3"/>
      <c r="FSE35" s="3"/>
      <c r="FSF35" s="3"/>
      <c r="FSG35" s="3"/>
      <c r="FSH35" s="3"/>
      <c r="FSI35" s="3"/>
      <c r="FSJ35" s="3"/>
      <c r="FSK35" s="3"/>
      <c r="FSL35" s="3"/>
      <c r="FSM35" s="3"/>
      <c r="FSN35" s="3"/>
      <c r="FSO35" s="3"/>
      <c r="FSP35" s="3"/>
      <c r="FSQ35" s="3"/>
      <c r="FSR35" s="3"/>
      <c r="FSS35" s="3"/>
      <c r="FST35" s="3"/>
      <c r="FSU35" s="3"/>
      <c r="FSV35" s="3"/>
      <c r="FSW35" s="3"/>
      <c r="FSX35" s="3"/>
      <c r="FSY35" s="3"/>
      <c r="FSZ35" s="3"/>
      <c r="FTA35" s="3"/>
      <c r="FTB35" s="3"/>
      <c r="FTC35" s="3"/>
      <c r="FTD35" s="3"/>
      <c r="FTE35" s="3"/>
      <c r="FTF35" s="3"/>
      <c r="FTG35" s="3"/>
      <c r="FTH35" s="3"/>
      <c r="FTI35" s="3"/>
      <c r="FTJ35" s="3"/>
      <c r="FTK35" s="3"/>
      <c r="FTL35" s="3"/>
      <c r="FTM35" s="3"/>
      <c r="FTN35" s="3"/>
      <c r="FTO35" s="3"/>
      <c r="FTP35" s="3"/>
      <c r="FTQ35" s="3"/>
      <c r="FTR35" s="3"/>
      <c r="FTS35" s="3"/>
      <c r="FTT35" s="3"/>
      <c r="FTU35" s="3"/>
      <c r="FTV35" s="3"/>
      <c r="FTW35" s="3"/>
      <c r="FTX35" s="3"/>
      <c r="FTY35" s="3"/>
      <c r="FTZ35" s="3"/>
      <c r="FUA35" s="3"/>
      <c r="FUB35" s="3"/>
      <c r="FUC35" s="3"/>
      <c r="FUD35" s="3"/>
      <c r="FUE35" s="3"/>
      <c r="FUF35" s="3"/>
      <c r="FUG35" s="3"/>
      <c r="FUH35" s="3"/>
      <c r="FUI35" s="3"/>
      <c r="FUJ35" s="3"/>
      <c r="FUK35" s="3"/>
      <c r="FUL35" s="3"/>
      <c r="FUM35" s="3"/>
      <c r="FUN35" s="3"/>
      <c r="FUO35" s="3"/>
      <c r="FUP35" s="3"/>
      <c r="FUQ35" s="3"/>
      <c r="FUR35" s="3"/>
      <c r="FUS35" s="3"/>
      <c r="FUT35" s="3"/>
      <c r="FUU35" s="3"/>
      <c r="FUV35" s="3"/>
      <c r="FUW35" s="3"/>
      <c r="FUX35" s="3"/>
      <c r="FUY35" s="3"/>
      <c r="FUZ35" s="3"/>
      <c r="FVA35" s="3"/>
      <c r="FVB35" s="3"/>
      <c r="FVC35" s="3"/>
      <c r="FVD35" s="3"/>
      <c r="FVE35" s="3"/>
      <c r="FVF35" s="3"/>
      <c r="FVG35" s="3"/>
      <c r="FVH35" s="3"/>
      <c r="FVI35" s="3"/>
      <c r="FVJ35" s="3"/>
      <c r="FVK35" s="3"/>
      <c r="FVL35" s="3"/>
      <c r="FVM35" s="3"/>
      <c r="FVN35" s="3"/>
      <c r="FVO35" s="3"/>
      <c r="FVP35" s="3"/>
      <c r="FVQ35" s="3"/>
      <c r="FVR35" s="3"/>
      <c r="FVS35" s="3"/>
      <c r="FVT35" s="3"/>
      <c r="FVU35" s="3"/>
      <c r="FVV35" s="3"/>
      <c r="FVW35" s="3"/>
      <c r="FVX35" s="3"/>
      <c r="FVY35" s="3"/>
      <c r="FVZ35" s="3"/>
      <c r="FWA35" s="3"/>
      <c r="FWB35" s="3"/>
      <c r="FWC35" s="3"/>
      <c r="FWD35" s="3"/>
      <c r="FWE35" s="3"/>
      <c r="FWF35" s="3"/>
      <c r="FWG35" s="3"/>
      <c r="FWH35" s="3"/>
      <c r="FWI35" s="3"/>
      <c r="FWJ35" s="3"/>
      <c r="FWK35" s="3"/>
      <c r="FWL35" s="3"/>
      <c r="FWM35" s="3"/>
      <c r="FWN35" s="3"/>
      <c r="FWO35" s="3"/>
      <c r="FWP35" s="3"/>
      <c r="FWQ35" s="3"/>
      <c r="FWR35" s="3"/>
      <c r="FWS35" s="3"/>
      <c r="FWT35" s="3"/>
      <c r="FWU35" s="3"/>
      <c r="FWV35" s="3"/>
      <c r="FWW35" s="3"/>
      <c r="FWX35" s="3"/>
      <c r="FWY35" s="3"/>
      <c r="FWZ35" s="3"/>
      <c r="FXA35" s="3"/>
      <c r="FXB35" s="3"/>
      <c r="FXC35" s="3"/>
      <c r="FXD35" s="3"/>
      <c r="FXE35" s="3"/>
      <c r="FXF35" s="3"/>
      <c r="FXG35" s="3"/>
      <c r="FXH35" s="3"/>
      <c r="FXI35" s="3"/>
      <c r="FXJ35" s="3"/>
      <c r="FXK35" s="3"/>
      <c r="FXL35" s="3"/>
      <c r="FXM35" s="3"/>
      <c r="FXN35" s="3"/>
      <c r="FXO35" s="3"/>
      <c r="FXP35" s="3"/>
      <c r="FXQ35" s="3"/>
      <c r="FXR35" s="3"/>
      <c r="FXS35" s="3"/>
      <c r="FXT35" s="3"/>
      <c r="FXU35" s="3"/>
      <c r="FXV35" s="3"/>
      <c r="FXW35" s="3"/>
      <c r="FXX35" s="3"/>
      <c r="FXY35" s="3"/>
      <c r="FXZ35" s="3"/>
      <c r="FYA35" s="3"/>
      <c r="FYB35" s="3"/>
      <c r="FYC35" s="3"/>
      <c r="FYD35" s="3"/>
      <c r="FYE35" s="3"/>
      <c r="FYF35" s="3"/>
      <c r="FYG35" s="3"/>
      <c r="FYH35" s="3"/>
      <c r="FYI35" s="3"/>
      <c r="FYJ35" s="3"/>
      <c r="FYK35" s="3"/>
      <c r="FYL35" s="3"/>
      <c r="FYM35" s="3"/>
      <c r="FYN35" s="3"/>
      <c r="FYO35" s="3"/>
      <c r="FYP35" s="3"/>
      <c r="FYQ35" s="3"/>
      <c r="FYR35" s="3"/>
      <c r="FYS35" s="3"/>
      <c r="FYT35" s="3"/>
      <c r="FYU35" s="3"/>
      <c r="FYV35" s="3"/>
      <c r="FYW35" s="3"/>
      <c r="FYX35" s="3"/>
      <c r="FYY35" s="3"/>
      <c r="FYZ35" s="3"/>
      <c r="FZA35" s="3"/>
      <c r="FZB35" s="3"/>
      <c r="FZC35" s="3"/>
      <c r="FZD35" s="3"/>
      <c r="FZE35" s="3"/>
      <c r="FZF35" s="3"/>
      <c r="FZG35" s="3"/>
      <c r="FZH35" s="3"/>
      <c r="FZI35" s="3"/>
      <c r="FZJ35" s="3"/>
      <c r="FZK35" s="3"/>
      <c r="FZL35" s="3"/>
      <c r="FZM35" s="3"/>
      <c r="FZN35" s="3"/>
      <c r="FZO35" s="3"/>
      <c r="FZP35" s="3"/>
      <c r="FZQ35" s="3"/>
      <c r="FZR35" s="3"/>
      <c r="FZS35" s="3"/>
      <c r="FZT35" s="3"/>
      <c r="FZU35" s="3"/>
      <c r="FZV35" s="3"/>
      <c r="FZW35" s="3"/>
      <c r="FZX35" s="3"/>
      <c r="FZY35" s="3"/>
      <c r="FZZ35" s="3"/>
      <c r="GAA35" s="3"/>
      <c r="GAB35" s="3"/>
      <c r="GAC35" s="3"/>
      <c r="GAD35" s="3"/>
      <c r="GAE35" s="3"/>
      <c r="GAF35" s="3"/>
      <c r="GAG35" s="3"/>
      <c r="GAH35" s="3"/>
      <c r="GAI35" s="3"/>
      <c r="GAJ35" s="3"/>
      <c r="GAK35" s="3"/>
      <c r="GAL35" s="3"/>
      <c r="GAM35" s="3"/>
      <c r="GAN35" s="3"/>
      <c r="GAO35" s="3"/>
      <c r="GAP35" s="3"/>
      <c r="GAQ35" s="3"/>
      <c r="GAR35" s="3"/>
      <c r="GAS35" s="3"/>
      <c r="GAT35" s="3"/>
      <c r="GAU35" s="3"/>
      <c r="GAV35" s="3"/>
      <c r="GAW35" s="3"/>
      <c r="GAX35" s="3"/>
      <c r="GAY35" s="3"/>
      <c r="GAZ35" s="3"/>
      <c r="GBA35" s="3"/>
      <c r="GBB35" s="3"/>
      <c r="GBC35" s="3"/>
      <c r="GBD35" s="3"/>
      <c r="GBE35" s="3"/>
      <c r="GBF35" s="3"/>
      <c r="GBG35" s="3"/>
      <c r="GBH35" s="3"/>
      <c r="GBI35" s="3"/>
      <c r="GBJ35" s="3"/>
      <c r="GBK35" s="3"/>
      <c r="GBL35" s="3"/>
      <c r="GBM35" s="3"/>
      <c r="GBN35" s="3"/>
      <c r="GBO35" s="3"/>
      <c r="GBP35" s="3"/>
      <c r="GBQ35" s="3"/>
      <c r="GBR35" s="3"/>
      <c r="GBS35" s="3"/>
      <c r="GBT35" s="3"/>
      <c r="GBU35" s="3"/>
      <c r="GBV35" s="3"/>
      <c r="GBW35" s="3"/>
      <c r="GBX35" s="3"/>
      <c r="GBY35" s="3"/>
      <c r="GBZ35" s="3"/>
      <c r="GCA35" s="3"/>
      <c r="GCB35" s="3"/>
      <c r="GCC35" s="3"/>
      <c r="GCD35" s="3"/>
      <c r="GCE35" s="3"/>
      <c r="GCF35" s="3"/>
      <c r="GCG35" s="3"/>
      <c r="GCH35" s="3"/>
      <c r="GCI35" s="3"/>
      <c r="GCJ35" s="3"/>
      <c r="GCK35" s="3"/>
      <c r="GCL35" s="3"/>
      <c r="GCM35" s="3"/>
      <c r="GCN35" s="3"/>
      <c r="GCO35" s="3"/>
      <c r="GCP35" s="3"/>
      <c r="GCQ35" s="3"/>
      <c r="GCR35" s="3"/>
      <c r="GCS35" s="3"/>
      <c r="GCT35" s="3"/>
      <c r="GCU35" s="3"/>
      <c r="GCV35" s="3"/>
      <c r="GCW35" s="3"/>
      <c r="GCX35" s="3"/>
      <c r="GCY35" s="3"/>
      <c r="GCZ35" s="3"/>
      <c r="GDA35" s="3"/>
      <c r="GDB35" s="3"/>
      <c r="GDC35" s="3"/>
      <c r="GDD35" s="3"/>
      <c r="GDE35" s="3"/>
      <c r="GDF35" s="3"/>
      <c r="GDG35" s="3"/>
      <c r="GDH35" s="3"/>
      <c r="GDI35" s="3"/>
      <c r="GDJ35" s="3"/>
      <c r="GDK35" s="3"/>
      <c r="GDL35" s="3"/>
      <c r="GDM35" s="3"/>
      <c r="GDN35" s="3"/>
      <c r="GDO35" s="3"/>
      <c r="GDP35" s="3"/>
      <c r="GDQ35" s="3"/>
      <c r="GDR35" s="3"/>
      <c r="GDS35" s="3"/>
      <c r="GDT35" s="3"/>
      <c r="GDU35" s="3"/>
      <c r="GDV35" s="3"/>
      <c r="GDW35" s="3"/>
      <c r="GDX35" s="3"/>
      <c r="GDY35" s="3"/>
      <c r="GDZ35" s="3"/>
      <c r="GEA35" s="3"/>
      <c r="GEB35" s="3"/>
      <c r="GEC35" s="3"/>
      <c r="GED35" s="3"/>
      <c r="GEE35" s="3"/>
      <c r="GEF35" s="3"/>
      <c r="GEG35" s="3"/>
      <c r="GEH35" s="3"/>
      <c r="GEI35" s="3"/>
      <c r="GEJ35" s="3"/>
      <c r="GEK35" s="3"/>
      <c r="GEL35" s="3"/>
      <c r="GEM35" s="3"/>
      <c r="GEN35" s="3"/>
      <c r="GEO35" s="3"/>
      <c r="GEP35" s="3"/>
      <c r="GEQ35" s="3"/>
      <c r="GER35" s="3"/>
      <c r="GES35" s="3"/>
      <c r="GET35" s="3"/>
      <c r="GEU35" s="3"/>
      <c r="GEV35" s="3"/>
      <c r="GEW35" s="3"/>
      <c r="GEX35" s="3"/>
      <c r="GEY35" s="3"/>
      <c r="GEZ35" s="3"/>
      <c r="GFA35" s="3"/>
      <c r="GFB35" s="3"/>
      <c r="GFC35" s="3"/>
      <c r="GFD35" s="3"/>
      <c r="GFE35" s="3"/>
      <c r="GFF35" s="3"/>
      <c r="GFG35" s="3"/>
      <c r="GFH35" s="3"/>
      <c r="GFI35" s="3"/>
      <c r="GFJ35" s="3"/>
      <c r="GFK35" s="3"/>
      <c r="GFL35" s="3"/>
      <c r="GFM35" s="3"/>
      <c r="GFN35" s="3"/>
      <c r="GFO35" s="3"/>
      <c r="GFP35" s="3"/>
      <c r="GFQ35" s="3"/>
      <c r="GFR35" s="3"/>
      <c r="GFS35" s="3"/>
      <c r="GFT35" s="3"/>
      <c r="GFU35" s="3"/>
      <c r="GFV35" s="3"/>
      <c r="GFW35" s="3"/>
      <c r="GFX35" s="3"/>
      <c r="GFY35" s="3"/>
      <c r="GFZ35" s="3"/>
      <c r="GGA35" s="3"/>
      <c r="GGB35" s="3"/>
      <c r="GGC35" s="3"/>
      <c r="GGD35" s="3"/>
      <c r="GGE35" s="3"/>
      <c r="GGF35" s="3"/>
      <c r="GGG35" s="3"/>
      <c r="GGH35" s="3"/>
      <c r="GGI35" s="3"/>
      <c r="GGJ35" s="3"/>
      <c r="GGK35" s="3"/>
      <c r="GGL35" s="3"/>
      <c r="GGM35" s="3"/>
      <c r="GGN35" s="3"/>
      <c r="GGO35" s="3"/>
      <c r="GGP35" s="3"/>
      <c r="GGQ35" s="3"/>
      <c r="GGR35" s="3"/>
      <c r="GGS35" s="3"/>
      <c r="GGT35" s="3"/>
      <c r="GGU35" s="3"/>
      <c r="GGV35" s="3"/>
      <c r="GGW35" s="3"/>
      <c r="GGX35" s="3"/>
      <c r="GGY35" s="3"/>
      <c r="GGZ35" s="3"/>
      <c r="GHA35" s="3"/>
      <c r="GHB35" s="3"/>
      <c r="GHC35" s="3"/>
      <c r="GHD35" s="3"/>
      <c r="GHE35" s="3"/>
      <c r="GHF35" s="3"/>
      <c r="GHG35" s="3"/>
      <c r="GHH35" s="3"/>
      <c r="GHI35" s="3"/>
      <c r="GHJ35" s="3"/>
      <c r="GHK35" s="3"/>
      <c r="GHL35" s="3"/>
      <c r="GHM35" s="3"/>
      <c r="GHN35" s="3"/>
      <c r="GHO35" s="3"/>
      <c r="GHP35" s="3"/>
      <c r="GHQ35" s="3"/>
      <c r="GHR35" s="3"/>
      <c r="GHS35" s="3"/>
      <c r="GHT35" s="3"/>
      <c r="GHU35" s="3"/>
      <c r="GHV35" s="3"/>
      <c r="GHW35" s="3"/>
      <c r="GHX35" s="3"/>
      <c r="GHY35" s="3"/>
      <c r="GHZ35" s="3"/>
      <c r="GIA35" s="3"/>
      <c r="GIB35" s="3"/>
      <c r="GIC35" s="3"/>
      <c r="GID35" s="3"/>
      <c r="GIE35" s="3"/>
      <c r="GIF35" s="3"/>
      <c r="GIG35" s="3"/>
      <c r="GIH35" s="3"/>
      <c r="GII35" s="3"/>
      <c r="GIJ35" s="3"/>
      <c r="GIK35" s="3"/>
      <c r="GIL35" s="3"/>
      <c r="GIM35" s="3"/>
      <c r="GIN35" s="3"/>
      <c r="GIO35" s="3"/>
      <c r="GIP35" s="3"/>
      <c r="GIQ35" s="3"/>
      <c r="GIR35" s="3"/>
      <c r="GIS35" s="3"/>
      <c r="GIT35" s="3"/>
      <c r="GIU35" s="3"/>
      <c r="GIV35" s="3"/>
      <c r="GIW35" s="3"/>
      <c r="GIX35" s="3"/>
      <c r="GIY35" s="3"/>
      <c r="GIZ35" s="3"/>
      <c r="GJA35" s="3"/>
      <c r="GJB35" s="3"/>
      <c r="GJC35" s="3"/>
      <c r="GJD35" s="3"/>
      <c r="GJE35" s="3"/>
      <c r="GJF35" s="3"/>
      <c r="GJG35" s="3"/>
      <c r="GJH35" s="3"/>
      <c r="GJI35" s="3"/>
      <c r="GJJ35" s="3"/>
      <c r="GJK35" s="3"/>
      <c r="GJL35" s="3"/>
      <c r="GJM35" s="3"/>
      <c r="GJN35" s="3"/>
      <c r="GJO35" s="3"/>
      <c r="GJP35" s="3"/>
      <c r="GJQ35" s="3"/>
      <c r="GJR35" s="3"/>
      <c r="GJS35" s="3"/>
      <c r="GJT35" s="3"/>
      <c r="GJU35" s="3"/>
      <c r="GJV35" s="3"/>
      <c r="GJW35" s="3"/>
      <c r="GJX35" s="3"/>
      <c r="GJY35" s="3"/>
      <c r="GJZ35" s="3"/>
      <c r="GKA35" s="3"/>
      <c r="GKB35" s="3"/>
      <c r="GKC35" s="3"/>
      <c r="GKD35" s="3"/>
      <c r="GKE35" s="3"/>
      <c r="GKF35" s="3"/>
      <c r="GKG35" s="3"/>
      <c r="GKH35" s="3"/>
      <c r="GKI35" s="3"/>
      <c r="GKJ35" s="3"/>
      <c r="GKK35" s="3"/>
      <c r="GKL35" s="3"/>
      <c r="GKM35" s="3"/>
      <c r="GKN35" s="3"/>
      <c r="GKO35" s="3"/>
      <c r="GKP35" s="3"/>
      <c r="GKQ35" s="3"/>
      <c r="GKR35" s="3"/>
      <c r="GKS35" s="3"/>
      <c r="GKT35" s="3"/>
      <c r="GKU35" s="3"/>
      <c r="GKV35" s="3"/>
      <c r="GKW35" s="3"/>
      <c r="GKX35" s="3"/>
      <c r="GKY35" s="3"/>
      <c r="GKZ35" s="3"/>
      <c r="GLA35" s="3"/>
      <c r="GLB35" s="3"/>
      <c r="GLC35" s="3"/>
      <c r="GLD35" s="3"/>
      <c r="GLE35" s="3"/>
      <c r="GLF35" s="3"/>
      <c r="GLG35" s="3"/>
      <c r="GLH35" s="3"/>
      <c r="GLI35" s="3"/>
      <c r="GLJ35" s="3"/>
      <c r="GLK35" s="3"/>
      <c r="GLL35" s="3"/>
      <c r="GLM35" s="3"/>
      <c r="GLN35" s="3"/>
      <c r="GLO35" s="3"/>
      <c r="GLP35" s="3"/>
      <c r="GLQ35" s="3"/>
      <c r="GLR35" s="3"/>
      <c r="GLS35" s="3"/>
      <c r="GLT35" s="3"/>
      <c r="GLU35" s="3"/>
      <c r="GLV35" s="3"/>
      <c r="GLW35" s="3"/>
      <c r="GLX35" s="3"/>
      <c r="GLY35" s="3"/>
      <c r="GLZ35" s="3"/>
      <c r="GMA35" s="3"/>
      <c r="GMB35" s="3"/>
      <c r="GMC35" s="3"/>
      <c r="GMD35" s="3"/>
      <c r="GME35" s="3"/>
      <c r="GMF35" s="3"/>
      <c r="GMG35" s="3"/>
      <c r="GMH35" s="3"/>
      <c r="GMI35" s="3"/>
      <c r="GMJ35" s="3"/>
      <c r="GMK35" s="3"/>
      <c r="GML35" s="3"/>
      <c r="GMM35" s="3"/>
      <c r="GMN35" s="3"/>
      <c r="GMO35" s="3"/>
      <c r="GMP35" s="3"/>
      <c r="GMQ35" s="3"/>
      <c r="GMR35" s="3"/>
      <c r="GMS35" s="3"/>
      <c r="GMT35" s="3"/>
      <c r="GMU35" s="3"/>
      <c r="GMV35" s="3"/>
      <c r="GMW35" s="3"/>
      <c r="GMX35" s="3"/>
      <c r="GMY35" s="3"/>
      <c r="GMZ35" s="3"/>
      <c r="GNA35" s="3"/>
      <c r="GNB35" s="3"/>
      <c r="GNC35" s="3"/>
      <c r="GND35" s="3"/>
      <c r="GNE35" s="3"/>
      <c r="GNF35" s="3"/>
      <c r="GNG35" s="3"/>
      <c r="GNH35" s="3"/>
      <c r="GNI35" s="3"/>
      <c r="GNJ35" s="3"/>
      <c r="GNK35" s="3"/>
      <c r="GNL35" s="3"/>
      <c r="GNM35" s="3"/>
      <c r="GNN35" s="3"/>
      <c r="GNO35" s="3"/>
      <c r="GNP35" s="3"/>
      <c r="GNQ35" s="3"/>
      <c r="GNR35" s="3"/>
      <c r="GNS35" s="3"/>
      <c r="GNT35" s="3"/>
      <c r="GNU35" s="3"/>
      <c r="GNV35" s="3"/>
      <c r="GNW35" s="3"/>
      <c r="GNX35" s="3"/>
      <c r="GNY35" s="3"/>
      <c r="GNZ35" s="3"/>
      <c r="GOA35" s="3"/>
      <c r="GOB35" s="3"/>
      <c r="GOC35" s="3"/>
      <c r="GOD35" s="3"/>
      <c r="GOE35" s="3"/>
      <c r="GOF35" s="3"/>
      <c r="GOG35" s="3"/>
      <c r="GOH35" s="3"/>
      <c r="GOI35" s="3"/>
      <c r="GOJ35" s="3"/>
      <c r="GOK35" s="3"/>
      <c r="GOL35" s="3"/>
      <c r="GOM35" s="3"/>
      <c r="GON35" s="3"/>
      <c r="GOO35" s="3"/>
      <c r="GOP35" s="3"/>
      <c r="GOQ35" s="3"/>
      <c r="GOR35" s="3"/>
      <c r="GOS35" s="3"/>
      <c r="GOT35" s="3"/>
      <c r="GOU35" s="3"/>
      <c r="GOV35" s="3"/>
      <c r="GOW35" s="3"/>
      <c r="GOX35" s="3"/>
      <c r="GOY35" s="3"/>
      <c r="GOZ35" s="3"/>
      <c r="GPA35" s="3"/>
      <c r="GPB35" s="3"/>
      <c r="GPC35" s="3"/>
      <c r="GPD35" s="3"/>
      <c r="GPE35" s="3"/>
      <c r="GPF35" s="3"/>
      <c r="GPG35" s="3"/>
      <c r="GPH35" s="3"/>
      <c r="GPI35" s="3"/>
      <c r="GPJ35" s="3"/>
      <c r="GPK35" s="3"/>
      <c r="GPL35" s="3"/>
      <c r="GPM35" s="3"/>
      <c r="GPN35" s="3"/>
      <c r="GPO35" s="3"/>
      <c r="GPP35" s="3"/>
      <c r="GPQ35" s="3"/>
      <c r="GPR35" s="3"/>
      <c r="GPS35" s="3"/>
      <c r="GPT35" s="3"/>
      <c r="GPU35" s="3"/>
      <c r="GPV35" s="3"/>
      <c r="GPW35" s="3"/>
      <c r="GPX35" s="3"/>
      <c r="GPY35" s="3"/>
      <c r="GPZ35" s="3"/>
      <c r="GQA35" s="3"/>
      <c r="GQB35" s="3"/>
      <c r="GQC35" s="3"/>
      <c r="GQD35" s="3"/>
      <c r="GQE35" s="3"/>
      <c r="GQF35" s="3"/>
      <c r="GQG35" s="3"/>
      <c r="GQH35" s="3"/>
      <c r="GQI35" s="3"/>
      <c r="GQJ35" s="3"/>
      <c r="GQK35" s="3"/>
      <c r="GQL35" s="3"/>
      <c r="GQM35" s="3"/>
      <c r="GQN35" s="3"/>
      <c r="GQO35" s="3"/>
      <c r="GQP35" s="3"/>
      <c r="GQQ35" s="3"/>
      <c r="GQR35" s="3"/>
      <c r="GQS35" s="3"/>
      <c r="GQT35" s="3"/>
      <c r="GQU35" s="3"/>
      <c r="GQV35" s="3"/>
      <c r="GQW35" s="3"/>
      <c r="GQX35" s="3"/>
      <c r="GQY35" s="3"/>
      <c r="GQZ35" s="3"/>
      <c r="GRA35" s="3"/>
      <c r="GRB35" s="3"/>
      <c r="GRC35" s="3"/>
      <c r="GRD35" s="3"/>
      <c r="GRE35" s="3"/>
      <c r="GRF35" s="3"/>
      <c r="GRG35" s="3"/>
      <c r="GRH35" s="3"/>
      <c r="GRI35" s="3"/>
      <c r="GRJ35" s="3"/>
      <c r="GRK35" s="3"/>
      <c r="GRL35" s="3"/>
      <c r="GRM35" s="3"/>
      <c r="GRN35" s="3"/>
      <c r="GRO35" s="3"/>
      <c r="GRP35" s="3"/>
      <c r="GRQ35" s="3"/>
      <c r="GRR35" s="3"/>
      <c r="GRS35" s="3"/>
      <c r="GRT35" s="3"/>
      <c r="GRU35" s="3"/>
      <c r="GRV35" s="3"/>
      <c r="GRW35" s="3"/>
      <c r="GRX35" s="3"/>
      <c r="GRY35" s="3"/>
      <c r="GRZ35" s="3"/>
      <c r="GSA35" s="3"/>
      <c r="GSB35" s="3"/>
      <c r="GSC35" s="3"/>
      <c r="GSD35" s="3"/>
      <c r="GSE35" s="3"/>
      <c r="GSF35" s="3"/>
      <c r="GSG35" s="3"/>
      <c r="GSH35" s="3"/>
      <c r="GSI35" s="3"/>
      <c r="GSJ35" s="3"/>
      <c r="GSK35" s="3"/>
      <c r="GSL35" s="3"/>
      <c r="GSM35" s="3"/>
      <c r="GSN35" s="3"/>
      <c r="GSO35" s="3"/>
      <c r="GSP35" s="3"/>
      <c r="GSQ35" s="3"/>
      <c r="GSR35" s="3"/>
      <c r="GSS35" s="3"/>
      <c r="GST35" s="3"/>
      <c r="GSU35" s="3"/>
      <c r="GSV35" s="3"/>
      <c r="GSW35" s="3"/>
      <c r="GSX35" s="3"/>
      <c r="GSY35" s="3"/>
      <c r="GSZ35" s="3"/>
      <c r="GTA35" s="3"/>
      <c r="GTB35" s="3"/>
      <c r="GTC35" s="3"/>
      <c r="GTD35" s="3"/>
      <c r="GTE35" s="3"/>
      <c r="GTF35" s="3"/>
      <c r="GTG35" s="3"/>
      <c r="GTH35" s="3"/>
      <c r="GTI35" s="3"/>
      <c r="GTJ35" s="3"/>
      <c r="GTK35" s="3"/>
      <c r="GTL35" s="3"/>
      <c r="GTM35" s="3"/>
      <c r="GTN35" s="3"/>
      <c r="GTO35" s="3"/>
      <c r="GTP35" s="3"/>
      <c r="GTQ35" s="3"/>
      <c r="GTR35" s="3"/>
      <c r="GTS35" s="3"/>
      <c r="GTT35" s="3"/>
      <c r="GTU35" s="3"/>
      <c r="GTV35" s="3"/>
      <c r="GTW35" s="3"/>
      <c r="GTX35" s="3"/>
      <c r="GTY35" s="3"/>
      <c r="GTZ35" s="3"/>
      <c r="GUA35" s="3"/>
      <c r="GUB35" s="3"/>
      <c r="GUC35" s="3"/>
      <c r="GUD35" s="3"/>
      <c r="GUE35" s="3"/>
      <c r="GUF35" s="3"/>
      <c r="GUG35" s="3"/>
      <c r="GUH35" s="3"/>
      <c r="GUI35" s="3"/>
      <c r="GUJ35" s="3"/>
      <c r="GUK35" s="3"/>
      <c r="GUL35" s="3"/>
      <c r="GUM35" s="3"/>
      <c r="GUN35" s="3"/>
      <c r="GUO35" s="3"/>
      <c r="GUP35" s="3"/>
      <c r="GUQ35" s="3"/>
      <c r="GUR35" s="3"/>
      <c r="GUS35" s="3"/>
      <c r="GUT35" s="3"/>
      <c r="GUU35" s="3"/>
      <c r="GUV35" s="3"/>
      <c r="GUW35" s="3"/>
      <c r="GUX35" s="3"/>
      <c r="GUY35" s="3"/>
      <c r="GUZ35" s="3"/>
      <c r="GVA35" s="3"/>
      <c r="GVB35" s="3"/>
      <c r="GVC35" s="3"/>
      <c r="GVD35" s="3"/>
      <c r="GVE35" s="3"/>
      <c r="GVF35" s="3"/>
      <c r="GVG35" s="3"/>
      <c r="GVH35" s="3"/>
      <c r="GVI35" s="3"/>
      <c r="GVJ35" s="3"/>
      <c r="GVK35" s="3"/>
      <c r="GVL35" s="3"/>
      <c r="GVM35" s="3"/>
      <c r="GVN35" s="3"/>
      <c r="GVO35" s="3"/>
      <c r="GVP35" s="3"/>
      <c r="GVQ35" s="3"/>
      <c r="GVR35" s="3"/>
      <c r="GVS35" s="3"/>
      <c r="GVT35" s="3"/>
      <c r="GVU35" s="3"/>
      <c r="GVV35" s="3"/>
      <c r="GVW35" s="3"/>
      <c r="GVX35" s="3"/>
      <c r="GVY35" s="3"/>
      <c r="GVZ35" s="3"/>
      <c r="GWA35" s="3"/>
      <c r="GWB35" s="3"/>
      <c r="GWC35" s="3"/>
      <c r="GWD35" s="3"/>
      <c r="GWE35" s="3"/>
      <c r="GWF35" s="3"/>
      <c r="GWG35" s="3"/>
      <c r="GWH35" s="3"/>
      <c r="GWI35" s="3"/>
      <c r="GWJ35" s="3"/>
      <c r="GWK35" s="3"/>
      <c r="GWL35" s="3"/>
      <c r="GWM35" s="3"/>
      <c r="GWN35" s="3"/>
      <c r="GWO35" s="3"/>
      <c r="GWP35" s="3"/>
      <c r="GWQ35" s="3"/>
      <c r="GWR35" s="3"/>
      <c r="GWS35" s="3"/>
      <c r="GWT35" s="3"/>
      <c r="GWU35" s="3"/>
      <c r="GWV35" s="3"/>
      <c r="GWW35" s="3"/>
      <c r="GWX35" s="3"/>
      <c r="GWY35" s="3"/>
      <c r="GWZ35" s="3"/>
      <c r="GXA35" s="3"/>
      <c r="GXB35" s="3"/>
      <c r="GXC35" s="3"/>
      <c r="GXD35" s="3"/>
      <c r="GXE35" s="3"/>
      <c r="GXF35" s="3"/>
      <c r="GXG35" s="3"/>
      <c r="GXH35" s="3"/>
      <c r="GXI35" s="3"/>
      <c r="GXJ35" s="3"/>
      <c r="GXK35" s="3"/>
      <c r="GXL35" s="3"/>
      <c r="GXM35" s="3"/>
      <c r="GXN35" s="3"/>
      <c r="GXO35" s="3"/>
      <c r="GXP35" s="3"/>
      <c r="GXQ35" s="3"/>
      <c r="GXR35" s="3"/>
      <c r="GXS35" s="3"/>
      <c r="GXT35" s="3"/>
      <c r="GXU35" s="3"/>
      <c r="GXV35" s="3"/>
      <c r="GXW35" s="3"/>
      <c r="GXX35" s="3"/>
      <c r="GXY35" s="3"/>
      <c r="GXZ35" s="3"/>
      <c r="GYA35" s="3"/>
      <c r="GYB35" s="3"/>
      <c r="GYC35" s="3"/>
      <c r="GYD35" s="3"/>
      <c r="GYE35" s="3"/>
      <c r="GYF35" s="3"/>
      <c r="GYG35" s="3"/>
      <c r="GYH35" s="3"/>
      <c r="GYI35" s="3"/>
      <c r="GYJ35" s="3"/>
      <c r="GYK35" s="3"/>
      <c r="GYL35" s="3"/>
      <c r="GYM35" s="3"/>
      <c r="GYN35" s="3"/>
      <c r="GYO35" s="3"/>
      <c r="GYP35" s="3"/>
      <c r="GYQ35" s="3"/>
      <c r="GYR35" s="3"/>
      <c r="GYS35" s="3"/>
      <c r="GYT35" s="3"/>
      <c r="GYU35" s="3"/>
      <c r="GYV35" s="3"/>
      <c r="GYW35" s="3"/>
      <c r="GYX35" s="3"/>
      <c r="GYY35" s="3"/>
      <c r="GYZ35" s="3"/>
      <c r="GZA35" s="3"/>
      <c r="GZB35" s="3"/>
      <c r="GZC35" s="3"/>
      <c r="GZD35" s="3"/>
      <c r="GZE35" s="3"/>
      <c r="GZF35" s="3"/>
      <c r="GZG35" s="3"/>
      <c r="GZH35" s="3"/>
      <c r="GZI35" s="3"/>
      <c r="GZJ35" s="3"/>
      <c r="GZK35" s="3"/>
      <c r="GZL35" s="3"/>
      <c r="GZM35" s="3"/>
      <c r="GZN35" s="3"/>
      <c r="GZO35" s="3"/>
      <c r="GZP35" s="3"/>
      <c r="GZQ35" s="3"/>
      <c r="GZR35" s="3"/>
      <c r="GZS35" s="3"/>
      <c r="GZT35" s="3"/>
      <c r="GZU35" s="3"/>
      <c r="GZV35" s="3"/>
      <c r="GZW35" s="3"/>
      <c r="GZX35" s="3"/>
      <c r="GZY35" s="3"/>
      <c r="GZZ35" s="3"/>
      <c r="HAA35" s="3"/>
      <c r="HAB35" s="3"/>
      <c r="HAC35" s="3"/>
      <c r="HAD35" s="3"/>
      <c r="HAE35" s="3"/>
      <c r="HAF35" s="3"/>
      <c r="HAG35" s="3"/>
      <c r="HAH35" s="3"/>
      <c r="HAI35" s="3"/>
      <c r="HAJ35" s="3"/>
      <c r="HAK35" s="3"/>
      <c r="HAL35" s="3"/>
      <c r="HAM35" s="3"/>
      <c r="HAN35" s="3"/>
      <c r="HAO35" s="3"/>
      <c r="HAP35" s="3"/>
      <c r="HAQ35" s="3"/>
      <c r="HAR35" s="3"/>
      <c r="HAS35" s="3"/>
      <c r="HAT35" s="3"/>
      <c r="HAU35" s="3"/>
      <c r="HAV35" s="3"/>
      <c r="HAW35" s="3"/>
      <c r="HAX35" s="3"/>
      <c r="HAY35" s="3"/>
      <c r="HAZ35" s="3"/>
      <c r="HBA35" s="3"/>
      <c r="HBB35" s="3"/>
      <c r="HBC35" s="3"/>
      <c r="HBD35" s="3"/>
      <c r="HBE35" s="3"/>
      <c r="HBF35" s="3"/>
      <c r="HBG35" s="3"/>
      <c r="HBH35" s="3"/>
      <c r="HBI35" s="3"/>
      <c r="HBJ35" s="3"/>
      <c r="HBK35" s="3"/>
      <c r="HBL35" s="3"/>
      <c r="HBM35" s="3"/>
      <c r="HBN35" s="3"/>
      <c r="HBO35" s="3"/>
      <c r="HBP35" s="3"/>
      <c r="HBQ35" s="3"/>
      <c r="HBR35" s="3"/>
      <c r="HBS35" s="3"/>
      <c r="HBT35" s="3"/>
      <c r="HBU35" s="3"/>
      <c r="HBV35" s="3"/>
      <c r="HBW35" s="3"/>
      <c r="HBX35" s="3"/>
      <c r="HBY35" s="3"/>
      <c r="HBZ35" s="3"/>
      <c r="HCA35" s="3"/>
      <c r="HCB35" s="3"/>
      <c r="HCC35" s="3"/>
      <c r="HCD35" s="3"/>
      <c r="HCE35" s="3"/>
      <c r="HCF35" s="3"/>
      <c r="HCG35" s="3"/>
      <c r="HCH35" s="3"/>
      <c r="HCI35" s="3"/>
      <c r="HCJ35" s="3"/>
      <c r="HCK35" s="3"/>
      <c r="HCL35" s="3"/>
      <c r="HCM35" s="3"/>
      <c r="HCN35" s="3"/>
      <c r="HCO35" s="3"/>
      <c r="HCP35" s="3"/>
      <c r="HCQ35" s="3"/>
      <c r="HCR35" s="3"/>
      <c r="HCS35" s="3"/>
      <c r="HCT35" s="3"/>
      <c r="HCU35" s="3"/>
      <c r="HCV35" s="3"/>
      <c r="HCW35" s="3"/>
      <c r="HCX35" s="3"/>
      <c r="HCY35" s="3"/>
      <c r="HCZ35" s="3"/>
      <c r="HDA35" s="3"/>
      <c r="HDB35" s="3"/>
      <c r="HDC35" s="3"/>
      <c r="HDD35" s="3"/>
      <c r="HDE35" s="3"/>
      <c r="HDF35" s="3"/>
      <c r="HDG35" s="3"/>
      <c r="HDH35" s="3"/>
      <c r="HDI35" s="3"/>
      <c r="HDJ35" s="3"/>
      <c r="HDK35" s="3"/>
      <c r="HDL35" s="3"/>
      <c r="HDM35" s="3"/>
      <c r="HDN35" s="3"/>
      <c r="HDO35" s="3"/>
      <c r="HDP35" s="3"/>
      <c r="HDQ35" s="3"/>
      <c r="HDR35" s="3"/>
      <c r="HDS35" s="3"/>
      <c r="HDT35" s="3"/>
      <c r="HDU35" s="3"/>
      <c r="HDV35" s="3"/>
      <c r="HDW35" s="3"/>
      <c r="HDX35" s="3"/>
      <c r="HDY35" s="3"/>
      <c r="HDZ35" s="3"/>
      <c r="HEA35" s="3"/>
      <c r="HEB35" s="3"/>
      <c r="HEC35" s="3"/>
      <c r="HED35" s="3"/>
      <c r="HEE35" s="3"/>
      <c r="HEF35" s="3"/>
      <c r="HEG35" s="3"/>
      <c r="HEH35" s="3"/>
      <c r="HEI35" s="3"/>
      <c r="HEJ35" s="3"/>
      <c r="HEK35" s="3"/>
      <c r="HEL35" s="3"/>
      <c r="HEM35" s="3"/>
      <c r="HEN35" s="3"/>
      <c r="HEO35" s="3"/>
      <c r="HEP35" s="3"/>
      <c r="HEQ35" s="3"/>
      <c r="HER35" s="3"/>
      <c r="HES35" s="3"/>
      <c r="HET35" s="3"/>
      <c r="HEU35" s="3"/>
      <c r="HEV35" s="3"/>
      <c r="HEW35" s="3"/>
      <c r="HEX35" s="3"/>
      <c r="HEY35" s="3"/>
      <c r="HEZ35" s="3"/>
      <c r="HFA35" s="3"/>
      <c r="HFB35" s="3"/>
      <c r="HFC35" s="3"/>
      <c r="HFD35" s="3"/>
      <c r="HFE35" s="3"/>
      <c r="HFF35" s="3"/>
      <c r="HFG35" s="3"/>
      <c r="HFH35" s="3"/>
      <c r="HFI35" s="3"/>
      <c r="HFJ35" s="3"/>
      <c r="HFK35" s="3"/>
      <c r="HFL35" s="3"/>
      <c r="HFM35" s="3"/>
      <c r="HFN35" s="3"/>
      <c r="HFO35" s="3"/>
      <c r="HFP35" s="3"/>
      <c r="HFQ35" s="3"/>
      <c r="HFR35" s="3"/>
      <c r="HFS35" s="3"/>
      <c r="HFT35" s="3"/>
      <c r="HFU35" s="3"/>
      <c r="HFV35" s="3"/>
      <c r="HFW35" s="3"/>
      <c r="HFX35" s="3"/>
      <c r="HFY35" s="3"/>
      <c r="HFZ35" s="3"/>
      <c r="HGA35" s="3"/>
      <c r="HGB35" s="3"/>
      <c r="HGC35" s="3"/>
      <c r="HGD35" s="3"/>
      <c r="HGE35" s="3"/>
      <c r="HGF35" s="3"/>
      <c r="HGG35" s="3"/>
      <c r="HGH35" s="3"/>
      <c r="HGI35" s="3"/>
      <c r="HGJ35" s="3"/>
      <c r="HGK35" s="3"/>
      <c r="HGL35" s="3"/>
      <c r="HGM35" s="3"/>
      <c r="HGN35" s="3"/>
      <c r="HGO35" s="3"/>
      <c r="HGP35" s="3"/>
      <c r="HGQ35" s="3"/>
      <c r="HGR35" s="3"/>
      <c r="HGS35" s="3"/>
      <c r="HGT35" s="3"/>
      <c r="HGU35" s="3"/>
      <c r="HGV35" s="3"/>
      <c r="HGW35" s="3"/>
      <c r="HGX35" s="3"/>
      <c r="HGY35" s="3"/>
      <c r="HGZ35" s="3"/>
      <c r="HHA35" s="3"/>
      <c r="HHB35" s="3"/>
      <c r="HHC35" s="3"/>
      <c r="HHD35" s="3"/>
      <c r="HHE35" s="3"/>
      <c r="HHF35" s="3"/>
      <c r="HHG35" s="3"/>
      <c r="HHH35" s="3"/>
      <c r="HHI35" s="3"/>
      <c r="HHJ35" s="3"/>
      <c r="HHK35" s="3"/>
      <c r="HHL35" s="3"/>
      <c r="HHM35" s="3"/>
      <c r="HHN35" s="3"/>
      <c r="HHO35" s="3"/>
      <c r="HHP35" s="3"/>
      <c r="HHQ35" s="3"/>
      <c r="HHR35" s="3"/>
      <c r="HHS35" s="3"/>
      <c r="HHT35" s="3"/>
      <c r="HHU35" s="3"/>
      <c r="HHV35" s="3"/>
      <c r="HHW35" s="3"/>
      <c r="HHX35" s="3"/>
      <c r="HHY35" s="3"/>
      <c r="HHZ35" s="3"/>
      <c r="HIA35" s="3"/>
      <c r="HIB35" s="3"/>
      <c r="HIC35" s="3"/>
      <c r="HID35" s="3"/>
      <c r="HIE35" s="3"/>
      <c r="HIF35" s="3"/>
      <c r="HIG35" s="3"/>
      <c r="HIH35" s="3"/>
      <c r="HII35" s="3"/>
      <c r="HIJ35" s="3"/>
      <c r="HIK35" s="3"/>
      <c r="HIL35" s="3"/>
      <c r="HIM35" s="3"/>
      <c r="HIN35" s="3"/>
      <c r="HIO35" s="3"/>
      <c r="HIP35" s="3"/>
      <c r="HIQ35" s="3"/>
      <c r="HIR35" s="3"/>
      <c r="HIS35" s="3"/>
      <c r="HIT35" s="3"/>
      <c r="HIU35" s="3"/>
      <c r="HIV35" s="3"/>
      <c r="HIW35" s="3"/>
      <c r="HIX35" s="3"/>
      <c r="HIY35" s="3"/>
      <c r="HIZ35" s="3"/>
      <c r="HJA35" s="3"/>
      <c r="HJB35" s="3"/>
      <c r="HJC35" s="3"/>
      <c r="HJD35" s="3"/>
      <c r="HJE35" s="3"/>
      <c r="HJF35" s="3"/>
      <c r="HJG35" s="3"/>
      <c r="HJH35" s="3"/>
      <c r="HJI35" s="3"/>
      <c r="HJJ35" s="3"/>
      <c r="HJK35" s="3"/>
      <c r="HJL35" s="3"/>
      <c r="HJM35" s="3"/>
      <c r="HJN35" s="3"/>
      <c r="HJO35" s="3"/>
      <c r="HJP35" s="3"/>
      <c r="HJQ35" s="3"/>
      <c r="HJR35" s="3"/>
      <c r="HJS35" s="3"/>
      <c r="HJT35" s="3"/>
      <c r="HJU35" s="3"/>
      <c r="HJV35" s="3"/>
      <c r="HJW35" s="3"/>
      <c r="HJX35" s="3"/>
      <c r="HJY35" s="3"/>
      <c r="HJZ35" s="3"/>
      <c r="HKA35" s="3"/>
      <c r="HKB35" s="3"/>
      <c r="HKC35" s="3"/>
      <c r="HKD35" s="3"/>
      <c r="HKE35" s="3"/>
      <c r="HKF35" s="3"/>
      <c r="HKG35" s="3"/>
      <c r="HKH35" s="3"/>
      <c r="HKI35" s="3"/>
      <c r="HKJ35" s="3"/>
      <c r="HKK35" s="3"/>
      <c r="HKL35" s="3"/>
      <c r="HKM35" s="3"/>
      <c r="HKN35" s="3"/>
      <c r="HKO35" s="3"/>
      <c r="HKP35" s="3"/>
      <c r="HKQ35" s="3"/>
      <c r="HKR35" s="3"/>
      <c r="HKS35" s="3"/>
      <c r="HKT35" s="3"/>
      <c r="HKU35" s="3"/>
      <c r="HKV35" s="3"/>
      <c r="HKW35" s="3"/>
      <c r="HKX35" s="3"/>
      <c r="HKY35" s="3"/>
      <c r="HKZ35" s="3"/>
      <c r="HLA35" s="3"/>
      <c r="HLB35" s="3"/>
      <c r="HLC35" s="3"/>
      <c r="HLD35" s="3"/>
      <c r="HLE35" s="3"/>
      <c r="HLF35" s="3"/>
      <c r="HLG35" s="3"/>
      <c r="HLH35" s="3"/>
      <c r="HLI35" s="3"/>
      <c r="HLJ35" s="3"/>
      <c r="HLK35" s="3"/>
      <c r="HLL35" s="3"/>
      <c r="HLM35" s="3"/>
      <c r="HLN35" s="3"/>
      <c r="HLO35" s="3"/>
      <c r="HLP35" s="3"/>
      <c r="HLQ35" s="3"/>
      <c r="HLR35" s="3"/>
      <c r="HLS35" s="3"/>
      <c r="HLT35" s="3"/>
      <c r="HLU35" s="3"/>
      <c r="HLV35" s="3"/>
      <c r="HLW35" s="3"/>
      <c r="HLX35" s="3"/>
      <c r="HLY35" s="3"/>
      <c r="HLZ35" s="3"/>
      <c r="HMA35" s="3"/>
      <c r="HMB35" s="3"/>
      <c r="HMC35" s="3"/>
      <c r="HMD35" s="3"/>
      <c r="HME35" s="3"/>
      <c r="HMF35" s="3"/>
      <c r="HMG35" s="3"/>
      <c r="HMH35" s="3"/>
      <c r="HMI35" s="3"/>
      <c r="HMJ35" s="3"/>
      <c r="HMK35" s="3"/>
      <c r="HML35" s="3"/>
      <c r="HMM35" s="3"/>
      <c r="HMN35" s="3"/>
      <c r="HMO35" s="3"/>
      <c r="HMP35" s="3"/>
      <c r="HMQ35" s="3"/>
      <c r="HMR35" s="3"/>
      <c r="HMS35" s="3"/>
      <c r="HMT35" s="3"/>
      <c r="HMU35" s="3"/>
      <c r="HMV35" s="3"/>
      <c r="HMW35" s="3"/>
      <c r="HMX35" s="3"/>
      <c r="HMY35" s="3"/>
      <c r="HMZ35" s="3"/>
      <c r="HNA35" s="3"/>
      <c r="HNB35" s="3"/>
      <c r="HNC35" s="3"/>
      <c r="HND35" s="3"/>
      <c r="HNE35" s="3"/>
      <c r="HNF35" s="3"/>
      <c r="HNG35" s="3"/>
      <c r="HNH35" s="3"/>
      <c r="HNI35" s="3"/>
      <c r="HNJ35" s="3"/>
      <c r="HNK35" s="3"/>
      <c r="HNL35" s="3"/>
      <c r="HNM35" s="3"/>
      <c r="HNN35" s="3"/>
      <c r="HNO35" s="3"/>
      <c r="HNP35" s="3"/>
      <c r="HNQ35" s="3"/>
      <c r="HNR35" s="3"/>
      <c r="HNS35" s="3"/>
      <c r="HNT35" s="3"/>
      <c r="HNU35" s="3"/>
      <c r="HNV35" s="3"/>
      <c r="HNW35" s="3"/>
      <c r="HNX35" s="3"/>
      <c r="HNY35" s="3"/>
      <c r="HNZ35" s="3"/>
      <c r="HOA35" s="3"/>
      <c r="HOB35" s="3"/>
      <c r="HOC35" s="3"/>
      <c r="HOD35" s="3"/>
      <c r="HOE35" s="3"/>
      <c r="HOF35" s="3"/>
      <c r="HOG35" s="3"/>
      <c r="HOH35" s="3"/>
      <c r="HOI35" s="3"/>
      <c r="HOJ35" s="3"/>
      <c r="HOK35" s="3"/>
      <c r="HOL35" s="3"/>
      <c r="HOM35" s="3"/>
      <c r="HON35" s="3"/>
      <c r="HOO35" s="3"/>
      <c r="HOP35" s="3"/>
      <c r="HOQ35" s="3"/>
      <c r="HOR35" s="3"/>
      <c r="HOS35" s="3"/>
      <c r="HOT35" s="3"/>
      <c r="HOU35" s="3"/>
      <c r="HOV35" s="3"/>
      <c r="HOW35" s="3"/>
      <c r="HOX35" s="3"/>
      <c r="HOY35" s="3"/>
      <c r="HOZ35" s="3"/>
      <c r="HPA35" s="3"/>
      <c r="HPB35" s="3"/>
      <c r="HPC35" s="3"/>
      <c r="HPD35" s="3"/>
      <c r="HPE35" s="3"/>
      <c r="HPF35" s="3"/>
      <c r="HPG35" s="3"/>
      <c r="HPH35" s="3"/>
      <c r="HPI35" s="3"/>
      <c r="HPJ35" s="3"/>
      <c r="HPK35" s="3"/>
      <c r="HPL35" s="3"/>
      <c r="HPM35" s="3"/>
      <c r="HPN35" s="3"/>
      <c r="HPO35" s="3"/>
      <c r="HPP35" s="3"/>
      <c r="HPQ35" s="3"/>
      <c r="HPR35" s="3"/>
      <c r="HPS35" s="3"/>
      <c r="HPT35" s="3"/>
      <c r="HPU35" s="3"/>
      <c r="HPV35" s="3"/>
      <c r="HPW35" s="3"/>
      <c r="HPX35" s="3"/>
      <c r="HPY35" s="3"/>
      <c r="HPZ35" s="3"/>
      <c r="HQA35" s="3"/>
      <c r="HQB35" s="3"/>
      <c r="HQC35" s="3"/>
      <c r="HQD35" s="3"/>
      <c r="HQE35" s="3"/>
      <c r="HQF35" s="3"/>
      <c r="HQG35" s="3"/>
      <c r="HQH35" s="3"/>
      <c r="HQI35" s="3"/>
      <c r="HQJ35" s="3"/>
      <c r="HQK35" s="3"/>
      <c r="HQL35" s="3"/>
      <c r="HQM35" s="3"/>
      <c r="HQN35" s="3"/>
      <c r="HQO35" s="3"/>
      <c r="HQP35" s="3"/>
      <c r="HQQ35" s="3"/>
      <c r="HQR35" s="3"/>
      <c r="HQS35" s="3"/>
      <c r="HQT35" s="3"/>
      <c r="HQU35" s="3"/>
      <c r="HQV35" s="3"/>
      <c r="HQW35" s="3"/>
      <c r="HQX35" s="3"/>
      <c r="HQY35" s="3"/>
      <c r="HQZ35" s="3"/>
      <c r="HRA35" s="3"/>
      <c r="HRB35" s="3"/>
      <c r="HRC35" s="3"/>
      <c r="HRD35" s="3"/>
      <c r="HRE35" s="3"/>
      <c r="HRF35" s="3"/>
      <c r="HRG35" s="3"/>
      <c r="HRH35" s="3"/>
      <c r="HRI35" s="3"/>
      <c r="HRJ35" s="3"/>
      <c r="HRK35" s="3"/>
      <c r="HRL35" s="3"/>
      <c r="HRM35" s="3"/>
      <c r="HRN35" s="3"/>
      <c r="HRO35" s="3"/>
      <c r="HRP35" s="3"/>
      <c r="HRQ35" s="3"/>
      <c r="HRR35" s="3"/>
      <c r="HRS35" s="3"/>
      <c r="HRT35" s="3"/>
      <c r="HRU35" s="3"/>
      <c r="HRV35" s="3"/>
      <c r="HRW35" s="3"/>
      <c r="HRX35" s="3"/>
      <c r="HRY35" s="3"/>
      <c r="HRZ35" s="3"/>
      <c r="HSA35" s="3"/>
      <c r="HSB35" s="3"/>
      <c r="HSC35" s="3"/>
      <c r="HSD35" s="3"/>
      <c r="HSE35" s="3"/>
      <c r="HSF35" s="3"/>
      <c r="HSG35" s="3"/>
      <c r="HSH35" s="3"/>
      <c r="HSI35" s="3"/>
      <c r="HSJ35" s="3"/>
      <c r="HSK35" s="3"/>
      <c r="HSL35" s="3"/>
      <c r="HSM35" s="3"/>
      <c r="HSN35" s="3"/>
      <c r="HSO35" s="3"/>
      <c r="HSP35" s="3"/>
      <c r="HSQ35" s="3"/>
      <c r="HSR35" s="3"/>
      <c r="HSS35" s="3"/>
      <c r="HST35" s="3"/>
      <c r="HSU35" s="3"/>
      <c r="HSV35" s="3"/>
      <c r="HSW35" s="3"/>
      <c r="HSX35" s="3"/>
      <c r="HSY35" s="3"/>
      <c r="HSZ35" s="3"/>
      <c r="HTA35" s="3"/>
      <c r="HTB35" s="3"/>
      <c r="HTC35" s="3"/>
      <c r="HTD35" s="3"/>
      <c r="HTE35" s="3"/>
      <c r="HTF35" s="3"/>
      <c r="HTG35" s="3"/>
      <c r="HTH35" s="3"/>
      <c r="HTI35" s="3"/>
      <c r="HTJ35" s="3"/>
      <c r="HTK35" s="3"/>
      <c r="HTL35" s="3"/>
      <c r="HTM35" s="3"/>
      <c r="HTN35" s="3"/>
      <c r="HTO35" s="3"/>
      <c r="HTP35" s="3"/>
      <c r="HTQ35" s="3"/>
      <c r="HTR35" s="3"/>
      <c r="HTS35" s="3"/>
      <c r="HTT35" s="3"/>
      <c r="HTU35" s="3"/>
      <c r="HTV35" s="3"/>
      <c r="HTW35" s="3"/>
      <c r="HTX35" s="3"/>
      <c r="HTY35" s="3"/>
      <c r="HTZ35" s="3"/>
      <c r="HUA35" s="3"/>
      <c r="HUB35" s="3"/>
      <c r="HUC35" s="3"/>
      <c r="HUD35" s="3"/>
      <c r="HUE35" s="3"/>
      <c r="HUF35" s="3"/>
      <c r="HUG35" s="3"/>
      <c r="HUH35" s="3"/>
      <c r="HUI35" s="3"/>
      <c r="HUJ35" s="3"/>
      <c r="HUK35" s="3"/>
      <c r="HUL35" s="3"/>
      <c r="HUM35" s="3"/>
      <c r="HUN35" s="3"/>
      <c r="HUO35" s="3"/>
      <c r="HUP35" s="3"/>
      <c r="HUQ35" s="3"/>
      <c r="HUR35" s="3"/>
      <c r="HUS35" s="3"/>
      <c r="HUT35" s="3"/>
      <c r="HUU35" s="3"/>
      <c r="HUV35" s="3"/>
      <c r="HUW35" s="3"/>
      <c r="HUX35" s="3"/>
      <c r="HUY35" s="3"/>
      <c r="HUZ35" s="3"/>
      <c r="HVA35" s="3"/>
      <c r="HVB35" s="3"/>
      <c r="HVC35" s="3"/>
      <c r="HVD35" s="3"/>
      <c r="HVE35" s="3"/>
      <c r="HVF35" s="3"/>
      <c r="HVG35" s="3"/>
      <c r="HVH35" s="3"/>
      <c r="HVI35" s="3"/>
      <c r="HVJ35" s="3"/>
      <c r="HVK35" s="3"/>
      <c r="HVL35" s="3"/>
      <c r="HVM35" s="3"/>
      <c r="HVN35" s="3"/>
      <c r="HVO35" s="3"/>
      <c r="HVP35" s="3"/>
      <c r="HVQ35" s="3"/>
      <c r="HVR35" s="3"/>
      <c r="HVS35" s="3"/>
      <c r="HVT35" s="3"/>
      <c r="HVU35" s="3"/>
      <c r="HVV35" s="3"/>
      <c r="HVW35" s="3"/>
      <c r="HVX35" s="3"/>
      <c r="HVY35" s="3"/>
      <c r="HVZ35" s="3"/>
      <c r="HWA35" s="3"/>
      <c r="HWB35" s="3"/>
      <c r="HWC35" s="3"/>
      <c r="HWD35" s="3"/>
      <c r="HWE35" s="3"/>
      <c r="HWF35" s="3"/>
      <c r="HWG35" s="3"/>
      <c r="HWH35" s="3"/>
      <c r="HWI35" s="3"/>
      <c r="HWJ35" s="3"/>
      <c r="HWK35" s="3"/>
      <c r="HWL35" s="3"/>
      <c r="HWM35" s="3"/>
      <c r="HWN35" s="3"/>
      <c r="HWO35" s="3"/>
      <c r="HWP35" s="3"/>
      <c r="HWQ35" s="3"/>
      <c r="HWR35" s="3"/>
      <c r="HWS35" s="3"/>
      <c r="HWT35" s="3"/>
      <c r="HWU35" s="3"/>
      <c r="HWV35" s="3"/>
      <c r="HWW35" s="3"/>
      <c r="HWX35" s="3"/>
      <c r="HWY35" s="3"/>
      <c r="HWZ35" s="3"/>
      <c r="HXA35" s="3"/>
      <c r="HXB35" s="3"/>
      <c r="HXC35" s="3"/>
      <c r="HXD35" s="3"/>
      <c r="HXE35" s="3"/>
      <c r="HXF35" s="3"/>
      <c r="HXG35" s="3"/>
      <c r="HXH35" s="3"/>
      <c r="HXI35" s="3"/>
      <c r="HXJ35" s="3"/>
      <c r="HXK35" s="3"/>
      <c r="HXL35" s="3"/>
      <c r="HXM35" s="3"/>
      <c r="HXN35" s="3"/>
      <c r="HXO35" s="3"/>
      <c r="HXP35" s="3"/>
      <c r="HXQ35" s="3"/>
      <c r="HXR35" s="3"/>
      <c r="HXS35" s="3"/>
      <c r="HXT35" s="3"/>
      <c r="HXU35" s="3"/>
      <c r="HXV35" s="3"/>
      <c r="HXW35" s="3"/>
      <c r="HXX35" s="3"/>
      <c r="HXY35" s="3"/>
      <c r="HXZ35" s="3"/>
      <c r="HYA35" s="3"/>
      <c r="HYB35" s="3"/>
      <c r="HYC35" s="3"/>
      <c r="HYD35" s="3"/>
      <c r="HYE35" s="3"/>
      <c r="HYF35" s="3"/>
      <c r="HYG35" s="3"/>
      <c r="HYH35" s="3"/>
      <c r="HYI35" s="3"/>
      <c r="HYJ35" s="3"/>
      <c r="HYK35" s="3"/>
      <c r="HYL35" s="3"/>
      <c r="HYM35" s="3"/>
      <c r="HYN35" s="3"/>
      <c r="HYO35" s="3"/>
      <c r="HYP35" s="3"/>
      <c r="HYQ35" s="3"/>
      <c r="HYR35" s="3"/>
      <c r="HYS35" s="3"/>
      <c r="HYT35" s="3"/>
      <c r="HYU35" s="3"/>
      <c r="HYV35" s="3"/>
      <c r="HYW35" s="3"/>
      <c r="HYX35" s="3"/>
      <c r="HYY35" s="3"/>
      <c r="HYZ35" s="3"/>
      <c r="HZA35" s="3"/>
      <c r="HZB35" s="3"/>
      <c r="HZC35" s="3"/>
      <c r="HZD35" s="3"/>
      <c r="HZE35" s="3"/>
      <c r="HZF35" s="3"/>
      <c r="HZG35" s="3"/>
      <c r="HZH35" s="3"/>
      <c r="HZI35" s="3"/>
      <c r="HZJ35" s="3"/>
      <c r="HZK35" s="3"/>
      <c r="HZL35" s="3"/>
      <c r="HZM35" s="3"/>
      <c r="HZN35" s="3"/>
      <c r="HZO35" s="3"/>
      <c r="HZP35" s="3"/>
      <c r="HZQ35" s="3"/>
      <c r="HZR35" s="3"/>
      <c r="HZS35" s="3"/>
      <c r="HZT35" s="3"/>
      <c r="HZU35" s="3"/>
      <c r="HZV35" s="3"/>
      <c r="HZW35" s="3"/>
      <c r="HZX35" s="3"/>
      <c r="HZY35" s="3"/>
      <c r="HZZ35" s="3"/>
      <c r="IAA35" s="3"/>
      <c r="IAB35" s="3"/>
      <c r="IAC35" s="3"/>
      <c r="IAD35" s="3"/>
      <c r="IAE35" s="3"/>
      <c r="IAF35" s="3"/>
      <c r="IAG35" s="3"/>
      <c r="IAH35" s="3"/>
      <c r="IAI35" s="3"/>
      <c r="IAJ35" s="3"/>
      <c r="IAK35" s="3"/>
      <c r="IAL35" s="3"/>
      <c r="IAM35" s="3"/>
      <c r="IAN35" s="3"/>
      <c r="IAO35" s="3"/>
      <c r="IAP35" s="3"/>
      <c r="IAQ35" s="3"/>
      <c r="IAR35" s="3"/>
      <c r="IAS35" s="3"/>
      <c r="IAT35" s="3"/>
      <c r="IAU35" s="3"/>
      <c r="IAV35" s="3"/>
      <c r="IAW35" s="3"/>
      <c r="IAX35" s="3"/>
      <c r="IAY35" s="3"/>
      <c r="IAZ35" s="3"/>
      <c r="IBA35" s="3"/>
      <c r="IBB35" s="3"/>
      <c r="IBC35" s="3"/>
      <c r="IBD35" s="3"/>
      <c r="IBE35" s="3"/>
      <c r="IBF35" s="3"/>
      <c r="IBG35" s="3"/>
      <c r="IBH35" s="3"/>
      <c r="IBI35" s="3"/>
      <c r="IBJ35" s="3"/>
      <c r="IBK35" s="3"/>
      <c r="IBL35" s="3"/>
      <c r="IBM35" s="3"/>
      <c r="IBN35" s="3"/>
      <c r="IBO35" s="3"/>
      <c r="IBP35" s="3"/>
      <c r="IBQ35" s="3"/>
      <c r="IBR35" s="3"/>
      <c r="IBS35" s="3"/>
      <c r="IBT35" s="3"/>
      <c r="IBU35" s="3"/>
      <c r="IBV35" s="3"/>
      <c r="IBW35" s="3"/>
      <c r="IBX35" s="3"/>
      <c r="IBY35" s="3"/>
      <c r="IBZ35" s="3"/>
      <c r="ICA35" s="3"/>
      <c r="ICB35" s="3"/>
      <c r="ICC35" s="3"/>
      <c r="ICD35" s="3"/>
      <c r="ICE35" s="3"/>
      <c r="ICF35" s="3"/>
      <c r="ICG35" s="3"/>
      <c r="ICH35" s="3"/>
      <c r="ICI35" s="3"/>
      <c r="ICJ35" s="3"/>
      <c r="ICK35" s="3"/>
      <c r="ICL35" s="3"/>
      <c r="ICM35" s="3"/>
      <c r="ICN35" s="3"/>
      <c r="ICO35" s="3"/>
      <c r="ICP35" s="3"/>
      <c r="ICQ35" s="3"/>
      <c r="ICR35" s="3"/>
      <c r="ICS35" s="3"/>
      <c r="ICT35" s="3"/>
      <c r="ICU35" s="3"/>
      <c r="ICV35" s="3"/>
      <c r="ICW35" s="3"/>
      <c r="ICX35" s="3"/>
      <c r="ICY35" s="3"/>
      <c r="ICZ35" s="3"/>
      <c r="IDA35" s="3"/>
      <c r="IDB35" s="3"/>
      <c r="IDC35" s="3"/>
      <c r="IDD35" s="3"/>
      <c r="IDE35" s="3"/>
      <c r="IDF35" s="3"/>
      <c r="IDG35" s="3"/>
      <c r="IDH35" s="3"/>
      <c r="IDI35" s="3"/>
      <c r="IDJ35" s="3"/>
      <c r="IDK35" s="3"/>
      <c r="IDL35" s="3"/>
      <c r="IDM35" s="3"/>
      <c r="IDN35" s="3"/>
      <c r="IDO35" s="3"/>
      <c r="IDP35" s="3"/>
      <c r="IDQ35" s="3"/>
      <c r="IDR35" s="3"/>
      <c r="IDS35" s="3"/>
      <c r="IDT35" s="3"/>
      <c r="IDU35" s="3"/>
      <c r="IDV35" s="3"/>
      <c r="IDW35" s="3"/>
      <c r="IDX35" s="3"/>
      <c r="IDY35" s="3"/>
      <c r="IDZ35" s="3"/>
      <c r="IEA35" s="3"/>
      <c r="IEB35" s="3"/>
      <c r="IEC35" s="3"/>
      <c r="IED35" s="3"/>
      <c r="IEE35" s="3"/>
      <c r="IEF35" s="3"/>
      <c r="IEG35" s="3"/>
      <c r="IEH35" s="3"/>
      <c r="IEI35" s="3"/>
      <c r="IEJ35" s="3"/>
      <c r="IEK35" s="3"/>
      <c r="IEL35" s="3"/>
      <c r="IEM35" s="3"/>
      <c r="IEN35" s="3"/>
      <c r="IEO35" s="3"/>
      <c r="IEP35" s="3"/>
      <c r="IEQ35" s="3"/>
      <c r="IER35" s="3"/>
      <c r="IES35" s="3"/>
      <c r="IET35" s="3"/>
      <c r="IEU35" s="3"/>
      <c r="IEV35" s="3"/>
      <c r="IEW35" s="3"/>
      <c r="IEX35" s="3"/>
      <c r="IEY35" s="3"/>
      <c r="IEZ35" s="3"/>
      <c r="IFA35" s="3"/>
      <c r="IFB35" s="3"/>
      <c r="IFC35" s="3"/>
      <c r="IFD35" s="3"/>
      <c r="IFE35" s="3"/>
      <c r="IFF35" s="3"/>
      <c r="IFG35" s="3"/>
      <c r="IFH35" s="3"/>
      <c r="IFI35" s="3"/>
      <c r="IFJ35" s="3"/>
      <c r="IFK35" s="3"/>
      <c r="IFL35" s="3"/>
      <c r="IFM35" s="3"/>
      <c r="IFN35" s="3"/>
      <c r="IFO35" s="3"/>
      <c r="IFP35" s="3"/>
      <c r="IFQ35" s="3"/>
      <c r="IFR35" s="3"/>
      <c r="IFS35" s="3"/>
      <c r="IFT35" s="3"/>
      <c r="IFU35" s="3"/>
      <c r="IFV35" s="3"/>
      <c r="IFW35" s="3"/>
      <c r="IFX35" s="3"/>
      <c r="IFY35" s="3"/>
      <c r="IFZ35" s="3"/>
      <c r="IGA35" s="3"/>
      <c r="IGB35" s="3"/>
      <c r="IGC35" s="3"/>
      <c r="IGD35" s="3"/>
      <c r="IGE35" s="3"/>
      <c r="IGF35" s="3"/>
      <c r="IGG35" s="3"/>
      <c r="IGH35" s="3"/>
      <c r="IGI35" s="3"/>
      <c r="IGJ35" s="3"/>
      <c r="IGK35" s="3"/>
      <c r="IGL35" s="3"/>
      <c r="IGM35" s="3"/>
      <c r="IGN35" s="3"/>
      <c r="IGO35" s="3"/>
      <c r="IGP35" s="3"/>
      <c r="IGQ35" s="3"/>
      <c r="IGR35" s="3"/>
      <c r="IGS35" s="3"/>
      <c r="IGT35" s="3"/>
      <c r="IGU35" s="3"/>
      <c r="IGV35" s="3"/>
      <c r="IGW35" s="3"/>
      <c r="IGX35" s="3"/>
      <c r="IGY35" s="3"/>
      <c r="IGZ35" s="3"/>
      <c r="IHA35" s="3"/>
      <c r="IHB35" s="3"/>
      <c r="IHC35" s="3"/>
      <c r="IHD35" s="3"/>
      <c r="IHE35" s="3"/>
      <c r="IHF35" s="3"/>
      <c r="IHG35" s="3"/>
      <c r="IHH35" s="3"/>
      <c r="IHI35" s="3"/>
      <c r="IHJ35" s="3"/>
      <c r="IHK35" s="3"/>
      <c r="IHL35" s="3"/>
      <c r="IHM35" s="3"/>
      <c r="IHN35" s="3"/>
      <c r="IHO35" s="3"/>
      <c r="IHP35" s="3"/>
      <c r="IHQ35" s="3"/>
      <c r="IHR35" s="3"/>
      <c r="IHS35" s="3"/>
      <c r="IHT35" s="3"/>
      <c r="IHU35" s="3"/>
      <c r="IHV35" s="3"/>
      <c r="IHW35" s="3"/>
      <c r="IHX35" s="3"/>
      <c r="IHY35" s="3"/>
      <c r="IHZ35" s="3"/>
      <c r="IIA35" s="3"/>
      <c r="IIB35" s="3"/>
      <c r="IIC35" s="3"/>
      <c r="IID35" s="3"/>
      <c r="IIE35" s="3"/>
      <c r="IIF35" s="3"/>
      <c r="IIG35" s="3"/>
      <c r="IIH35" s="3"/>
      <c r="III35" s="3"/>
      <c r="IIJ35" s="3"/>
      <c r="IIK35" s="3"/>
      <c r="IIL35" s="3"/>
      <c r="IIM35" s="3"/>
      <c r="IIN35" s="3"/>
      <c r="IIO35" s="3"/>
      <c r="IIP35" s="3"/>
      <c r="IIQ35" s="3"/>
      <c r="IIR35" s="3"/>
      <c r="IIS35" s="3"/>
      <c r="IIT35" s="3"/>
      <c r="IIU35" s="3"/>
      <c r="IIV35" s="3"/>
      <c r="IIW35" s="3"/>
      <c r="IIX35" s="3"/>
      <c r="IIY35" s="3"/>
      <c r="IIZ35" s="3"/>
      <c r="IJA35" s="3"/>
      <c r="IJB35" s="3"/>
      <c r="IJC35" s="3"/>
      <c r="IJD35" s="3"/>
      <c r="IJE35" s="3"/>
      <c r="IJF35" s="3"/>
      <c r="IJG35" s="3"/>
      <c r="IJH35" s="3"/>
      <c r="IJI35" s="3"/>
      <c r="IJJ35" s="3"/>
      <c r="IJK35" s="3"/>
      <c r="IJL35" s="3"/>
      <c r="IJM35" s="3"/>
      <c r="IJN35" s="3"/>
      <c r="IJO35" s="3"/>
      <c r="IJP35" s="3"/>
      <c r="IJQ35" s="3"/>
      <c r="IJR35" s="3"/>
      <c r="IJS35" s="3"/>
      <c r="IJT35" s="3"/>
      <c r="IJU35" s="3"/>
      <c r="IJV35" s="3"/>
      <c r="IJW35" s="3"/>
      <c r="IJX35" s="3"/>
      <c r="IJY35" s="3"/>
      <c r="IJZ35" s="3"/>
      <c r="IKA35" s="3"/>
      <c r="IKB35" s="3"/>
      <c r="IKC35" s="3"/>
      <c r="IKD35" s="3"/>
      <c r="IKE35" s="3"/>
      <c r="IKF35" s="3"/>
      <c r="IKG35" s="3"/>
      <c r="IKH35" s="3"/>
      <c r="IKI35" s="3"/>
      <c r="IKJ35" s="3"/>
      <c r="IKK35" s="3"/>
      <c r="IKL35" s="3"/>
      <c r="IKM35" s="3"/>
      <c r="IKN35" s="3"/>
      <c r="IKO35" s="3"/>
      <c r="IKP35" s="3"/>
      <c r="IKQ35" s="3"/>
      <c r="IKR35" s="3"/>
      <c r="IKS35" s="3"/>
      <c r="IKT35" s="3"/>
      <c r="IKU35" s="3"/>
      <c r="IKV35" s="3"/>
      <c r="IKW35" s="3"/>
      <c r="IKX35" s="3"/>
      <c r="IKY35" s="3"/>
      <c r="IKZ35" s="3"/>
      <c r="ILA35" s="3"/>
      <c r="ILB35" s="3"/>
      <c r="ILC35" s="3"/>
      <c r="ILD35" s="3"/>
      <c r="ILE35" s="3"/>
      <c r="ILF35" s="3"/>
      <c r="ILG35" s="3"/>
      <c r="ILH35" s="3"/>
      <c r="ILI35" s="3"/>
      <c r="ILJ35" s="3"/>
      <c r="ILK35" s="3"/>
      <c r="ILL35" s="3"/>
      <c r="ILM35" s="3"/>
      <c r="ILN35" s="3"/>
      <c r="ILO35" s="3"/>
      <c r="ILP35" s="3"/>
      <c r="ILQ35" s="3"/>
      <c r="ILR35" s="3"/>
      <c r="ILS35" s="3"/>
      <c r="ILT35" s="3"/>
      <c r="ILU35" s="3"/>
      <c r="ILV35" s="3"/>
      <c r="ILW35" s="3"/>
      <c r="ILX35" s="3"/>
      <c r="ILY35" s="3"/>
      <c r="ILZ35" s="3"/>
      <c r="IMA35" s="3"/>
      <c r="IMB35" s="3"/>
      <c r="IMC35" s="3"/>
      <c r="IMD35" s="3"/>
      <c r="IME35" s="3"/>
      <c r="IMF35" s="3"/>
      <c r="IMG35" s="3"/>
      <c r="IMH35" s="3"/>
      <c r="IMI35" s="3"/>
      <c r="IMJ35" s="3"/>
      <c r="IMK35" s="3"/>
      <c r="IML35" s="3"/>
      <c r="IMM35" s="3"/>
      <c r="IMN35" s="3"/>
      <c r="IMO35" s="3"/>
      <c r="IMP35" s="3"/>
      <c r="IMQ35" s="3"/>
      <c r="IMR35" s="3"/>
      <c r="IMS35" s="3"/>
      <c r="IMT35" s="3"/>
      <c r="IMU35" s="3"/>
      <c r="IMV35" s="3"/>
      <c r="IMW35" s="3"/>
      <c r="IMX35" s="3"/>
      <c r="IMY35" s="3"/>
      <c r="IMZ35" s="3"/>
      <c r="INA35" s="3"/>
      <c r="INB35" s="3"/>
      <c r="INC35" s="3"/>
      <c r="IND35" s="3"/>
      <c r="INE35" s="3"/>
      <c r="INF35" s="3"/>
      <c r="ING35" s="3"/>
      <c r="INH35" s="3"/>
      <c r="INI35" s="3"/>
      <c r="INJ35" s="3"/>
      <c r="INK35" s="3"/>
      <c r="INL35" s="3"/>
      <c r="INM35" s="3"/>
      <c r="INN35" s="3"/>
      <c r="INO35" s="3"/>
      <c r="INP35" s="3"/>
      <c r="INQ35" s="3"/>
      <c r="INR35" s="3"/>
      <c r="INS35" s="3"/>
      <c r="INT35" s="3"/>
      <c r="INU35" s="3"/>
      <c r="INV35" s="3"/>
      <c r="INW35" s="3"/>
      <c r="INX35" s="3"/>
      <c r="INY35" s="3"/>
      <c r="INZ35" s="3"/>
      <c r="IOA35" s="3"/>
      <c r="IOB35" s="3"/>
      <c r="IOC35" s="3"/>
      <c r="IOD35" s="3"/>
      <c r="IOE35" s="3"/>
      <c r="IOF35" s="3"/>
      <c r="IOG35" s="3"/>
      <c r="IOH35" s="3"/>
      <c r="IOI35" s="3"/>
      <c r="IOJ35" s="3"/>
      <c r="IOK35" s="3"/>
      <c r="IOL35" s="3"/>
      <c r="IOM35" s="3"/>
      <c r="ION35" s="3"/>
      <c r="IOO35" s="3"/>
      <c r="IOP35" s="3"/>
      <c r="IOQ35" s="3"/>
      <c r="IOR35" s="3"/>
      <c r="IOS35" s="3"/>
      <c r="IOT35" s="3"/>
      <c r="IOU35" s="3"/>
      <c r="IOV35" s="3"/>
      <c r="IOW35" s="3"/>
      <c r="IOX35" s="3"/>
      <c r="IOY35" s="3"/>
      <c r="IOZ35" s="3"/>
      <c r="IPA35" s="3"/>
      <c r="IPB35" s="3"/>
      <c r="IPC35" s="3"/>
      <c r="IPD35" s="3"/>
      <c r="IPE35" s="3"/>
      <c r="IPF35" s="3"/>
      <c r="IPG35" s="3"/>
      <c r="IPH35" s="3"/>
      <c r="IPI35" s="3"/>
      <c r="IPJ35" s="3"/>
      <c r="IPK35" s="3"/>
      <c r="IPL35" s="3"/>
      <c r="IPM35" s="3"/>
      <c r="IPN35" s="3"/>
      <c r="IPO35" s="3"/>
      <c r="IPP35" s="3"/>
      <c r="IPQ35" s="3"/>
      <c r="IPR35" s="3"/>
      <c r="IPS35" s="3"/>
      <c r="IPT35" s="3"/>
      <c r="IPU35" s="3"/>
      <c r="IPV35" s="3"/>
      <c r="IPW35" s="3"/>
      <c r="IPX35" s="3"/>
      <c r="IPY35" s="3"/>
      <c r="IPZ35" s="3"/>
      <c r="IQA35" s="3"/>
      <c r="IQB35" s="3"/>
      <c r="IQC35" s="3"/>
      <c r="IQD35" s="3"/>
      <c r="IQE35" s="3"/>
      <c r="IQF35" s="3"/>
      <c r="IQG35" s="3"/>
      <c r="IQH35" s="3"/>
      <c r="IQI35" s="3"/>
      <c r="IQJ35" s="3"/>
      <c r="IQK35" s="3"/>
      <c r="IQL35" s="3"/>
      <c r="IQM35" s="3"/>
      <c r="IQN35" s="3"/>
      <c r="IQO35" s="3"/>
      <c r="IQP35" s="3"/>
      <c r="IQQ35" s="3"/>
      <c r="IQR35" s="3"/>
      <c r="IQS35" s="3"/>
      <c r="IQT35" s="3"/>
      <c r="IQU35" s="3"/>
      <c r="IQV35" s="3"/>
      <c r="IQW35" s="3"/>
      <c r="IQX35" s="3"/>
      <c r="IQY35" s="3"/>
      <c r="IQZ35" s="3"/>
      <c r="IRA35" s="3"/>
      <c r="IRB35" s="3"/>
      <c r="IRC35" s="3"/>
      <c r="IRD35" s="3"/>
      <c r="IRE35" s="3"/>
      <c r="IRF35" s="3"/>
      <c r="IRG35" s="3"/>
      <c r="IRH35" s="3"/>
      <c r="IRI35" s="3"/>
      <c r="IRJ35" s="3"/>
      <c r="IRK35" s="3"/>
      <c r="IRL35" s="3"/>
      <c r="IRM35" s="3"/>
      <c r="IRN35" s="3"/>
      <c r="IRO35" s="3"/>
      <c r="IRP35" s="3"/>
      <c r="IRQ35" s="3"/>
      <c r="IRR35" s="3"/>
      <c r="IRS35" s="3"/>
      <c r="IRT35" s="3"/>
      <c r="IRU35" s="3"/>
      <c r="IRV35" s="3"/>
      <c r="IRW35" s="3"/>
      <c r="IRX35" s="3"/>
      <c r="IRY35" s="3"/>
      <c r="IRZ35" s="3"/>
      <c r="ISA35" s="3"/>
      <c r="ISB35" s="3"/>
      <c r="ISC35" s="3"/>
      <c r="ISD35" s="3"/>
      <c r="ISE35" s="3"/>
      <c r="ISF35" s="3"/>
      <c r="ISG35" s="3"/>
      <c r="ISH35" s="3"/>
      <c r="ISI35" s="3"/>
      <c r="ISJ35" s="3"/>
      <c r="ISK35" s="3"/>
      <c r="ISL35" s="3"/>
      <c r="ISM35" s="3"/>
      <c r="ISN35" s="3"/>
      <c r="ISO35" s="3"/>
      <c r="ISP35" s="3"/>
      <c r="ISQ35" s="3"/>
      <c r="ISR35" s="3"/>
      <c r="ISS35" s="3"/>
      <c r="IST35" s="3"/>
      <c r="ISU35" s="3"/>
      <c r="ISV35" s="3"/>
      <c r="ISW35" s="3"/>
      <c r="ISX35" s="3"/>
      <c r="ISY35" s="3"/>
      <c r="ISZ35" s="3"/>
      <c r="ITA35" s="3"/>
      <c r="ITB35" s="3"/>
      <c r="ITC35" s="3"/>
      <c r="ITD35" s="3"/>
      <c r="ITE35" s="3"/>
      <c r="ITF35" s="3"/>
      <c r="ITG35" s="3"/>
      <c r="ITH35" s="3"/>
      <c r="ITI35" s="3"/>
      <c r="ITJ35" s="3"/>
      <c r="ITK35" s="3"/>
      <c r="ITL35" s="3"/>
      <c r="ITM35" s="3"/>
      <c r="ITN35" s="3"/>
      <c r="ITO35" s="3"/>
      <c r="ITP35" s="3"/>
      <c r="ITQ35" s="3"/>
      <c r="ITR35" s="3"/>
      <c r="ITS35" s="3"/>
      <c r="ITT35" s="3"/>
      <c r="ITU35" s="3"/>
      <c r="ITV35" s="3"/>
      <c r="ITW35" s="3"/>
      <c r="ITX35" s="3"/>
      <c r="ITY35" s="3"/>
      <c r="ITZ35" s="3"/>
      <c r="IUA35" s="3"/>
      <c r="IUB35" s="3"/>
      <c r="IUC35" s="3"/>
      <c r="IUD35" s="3"/>
      <c r="IUE35" s="3"/>
      <c r="IUF35" s="3"/>
      <c r="IUG35" s="3"/>
      <c r="IUH35" s="3"/>
      <c r="IUI35" s="3"/>
      <c r="IUJ35" s="3"/>
      <c r="IUK35" s="3"/>
      <c r="IUL35" s="3"/>
      <c r="IUM35" s="3"/>
      <c r="IUN35" s="3"/>
      <c r="IUO35" s="3"/>
      <c r="IUP35" s="3"/>
      <c r="IUQ35" s="3"/>
      <c r="IUR35" s="3"/>
      <c r="IUS35" s="3"/>
      <c r="IUT35" s="3"/>
      <c r="IUU35" s="3"/>
      <c r="IUV35" s="3"/>
      <c r="IUW35" s="3"/>
      <c r="IUX35" s="3"/>
      <c r="IUY35" s="3"/>
      <c r="IUZ35" s="3"/>
      <c r="IVA35" s="3"/>
      <c r="IVB35" s="3"/>
      <c r="IVC35" s="3"/>
      <c r="IVD35" s="3"/>
      <c r="IVE35" s="3"/>
      <c r="IVF35" s="3"/>
      <c r="IVG35" s="3"/>
      <c r="IVH35" s="3"/>
      <c r="IVI35" s="3"/>
      <c r="IVJ35" s="3"/>
      <c r="IVK35" s="3"/>
      <c r="IVL35" s="3"/>
      <c r="IVM35" s="3"/>
      <c r="IVN35" s="3"/>
      <c r="IVO35" s="3"/>
      <c r="IVP35" s="3"/>
      <c r="IVQ35" s="3"/>
      <c r="IVR35" s="3"/>
      <c r="IVS35" s="3"/>
      <c r="IVT35" s="3"/>
      <c r="IVU35" s="3"/>
      <c r="IVV35" s="3"/>
      <c r="IVW35" s="3"/>
      <c r="IVX35" s="3"/>
      <c r="IVY35" s="3"/>
      <c r="IVZ35" s="3"/>
      <c r="IWA35" s="3"/>
      <c r="IWB35" s="3"/>
      <c r="IWC35" s="3"/>
      <c r="IWD35" s="3"/>
      <c r="IWE35" s="3"/>
      <c r="IWF35" s="3"/>
      <c r="IWG35" s="3"/>
      <c r="IWH35" s="3"/>
      <c r="IWI35" s="3"/>
      <c r="IWJ35" s="3"/>
      <c r="IWK35" s="3"/>
      <c r="IWL35" s="3"/>
      <c r="IWM35" s="3"/>
      <c r="IWN35" s="3"/>
      <c r="IWO35" s="3"/>
      <c r="IWP35" s="3"/>
      <c r="IWQ35" s="3"/>
      <c r="IWR35" s="3"/>
      <c r="IWS35" s="3"/>
      <c r="IWT35" s="3"/>
      <c r="IWU35" s="3"/>
      <c r="IWV35" s="3"/>
      <c r="IWW35" s="3"/>
      <c r="IWX35" s="3"/>
      <c r="IWY35" s="3"/>
      <c r="IWZ35" s="3"/>
      <c r="IXA35" s="3"/>
      <c r="IXB35" s="3"/>
      <c r="IXC35" s="3"/>
      <c r="IXD35" s="3"/>
      <c r="IXE35" s="3"/>
      <c r="IXF35" s="3"/>
      <c r="IXG35" s="3"/>
      <c r="IXH35" s="3"/>
      <c r="IXI35" s="3"/>
      <c r="IXJ35" s="3"/>
      <c r="IXK35" s="3"/>
      <c r="IXL35" s="3"/>
      <c r="IXM35" s="3"/>
      <c r="IXN35" s="3"/>
      <c r="IXO35" s="3"/>
      <c r="IXP35" s="3"/>
      <c r="IXQ35" s="3"/>
      <c r="IXR35" s="3"/>
      <c r="IXS35" s="3"/>
      <c r="IXT35" s="3"/>
      <c r="IXU35" s="3"/>
      <c r="IXV35" s="3"/>
      <c r="IXW35" s="3"/>
      <c r="IXX35" s="3"/>
      <c r="IXY35" s="3"/>
      <c r="IXZ35" s="3"/>
      <c r="IYA35" s="3"/>
      <c r="IYB35" s="3"/>
      <c r="IYC35" s="3"/>
      <c r="IYD35" s="3"/>
      <c r="IYE35" s="3"/>
      <c r="IYF35" s="3"/>
      <c r="IYG35" s="3"/>
      <c r="IYH35" s="3"/>
      <c r="IYI35" s="3"/>
      <c r="IYJ35" s="3"/>
      <c r="IYK35" s="3"/>
      <c r="IYL35" s="3"/>
      <c r="IYM35" s="3"/>
      <c r="IYN35" s="3"/>
      <c r="IYO35" s="3"/>
      <c r="IYP35" s="3"/>
      <c r="IYQ35" s="3"/>
      <c r="IYR35" s="3"/>
      <c r="IYS35" s="3"/>
      <c r="IYT35" s="3"/>
      <c r="IYU35" s="3"/>
      <c r="IYV35" s="3"/>
      <c r="IYW35" s="3"/>
      <c r="IYX35" s="3"/>
      <c r="IYY35" s="3"/>
      <c r="IYZ35" s="3"/>
      <c r="IZA35" s="3"/>
      <c r="IZB35" s="3"/>
      <c r="IZC35" s="3"/>
      <c r="IZD35" s="3"/>
      <c r="IZE35" s="3"/>
      <c r="IZF35" s="3"/>
      <c r="IZG35" s="3"/>
      <c r="IZH35" s="3"/>
      <c r="IZI35" s="3"/>
      <c r="IZJ35" s="3"/>
      <c r="IZK35" s="3"/>
      <c r="IZL35" s="3"/>
      <c r="IZM35" s="3"/>
      <c r="IZN35" s="3"/>
      <c r="IZO35" s="3"/>
      <c r="IZP35" s="3"/>
      <c r="IZQ35" s="3"/>
      <c r="IZR35" s="3"/>
      <c r="IZS35" s="3"/>
      <c r="IZT35" s="3"/>
      <c r="IZU35" s="3"/>
      <c r="IZV35" s="3"/>
      <c r="IZW35" s="3"/>
      <c r="IZX35" s="3"/>
      <c r="IZY35" s="3"/>
      <c r="IZZ35" s="3"/>
      <c r="JAA35" s="3"/>
      <c r="JAB35" s="3"/>
      <c r="JAC35" s="3"/>
      <c r="JAD35" s="3"/>
      <c r="JAE35" s="3"/>
      <c r="JAF35" s="3"/>
      <c r="JAG35" s="3"/>
      <c r="JAH35" s="3"/>
      <c r="JAI35" s="3"/>
      <c r="JAJ35" s="3"/>
      <c r="JAK35" s="3"/>
      <c r="JAL35" s="3"/>
      <c r="JAM35" s="3"/>
      <c r="JAN35" s="3"/>
      <c r="JAO35" s="3"/>
      <c r="JAP35" s="3"/>
      <c r="JAQ35" s="3"/>
      <c r="JAR35" s="3"/>
      <c r="JAS35" s="3"/>
      <c r="JAT35" s="3"/>
      <c r="JAU35" s="3"/>
      <c r="JAV35" s="3"/>
      <c r="JAW35" s="3"/>
      <c r="JAX35" s="3"/>
      <c r="JAY35" s="3"/>
      <c r="JAZ35" s="3"/>
      <c r="JBA35" s="3"/>
      <c r="JBB35" s="3"/>
      <c r="JBC35" s="3"/>
      <c r="JBD35" s="3"/>
      <c r="JBE35" s="3"/>
      <c r="JBF35" s="3"/>
      <c r="JBG35" s="3"/>
      <c r="JBH35" s="3"/>
      <c r="JBI35" s="3"/>
      <c r="JBJ35" s="3"/>
      <c r="JBK35" s="3"/>
      <c r="JBL35" s="3"/>
      <c r="JBM35" s="3"/>
      <c r="JBN35" s="3"/>
      <c r="JBO35" s="3"/>
      <c r="JBP35" s="3"/>
      <c r="JBQ35" s="3"/>
      <c r="JBR35" s="3"/>
      <c r="JBS35" s="3"/>
      <c r="JBT35" s="3"/>
      <c r="JBU35" s="3"/>
      <c r="JBV35" s="3"/>
      <c r="JBW35" s="3"/>
      <c r="JBX35" s="3"/>
      <c r="JBY35" s="3"/>
      <c r="JBZ35" s="3"/>
      <c r="JCA35" s="3"/>
      <c r="JCB35" s="3"/>
      <c r="JCC35" s="3"/>
      <c r="JCD35" s="3"/>
      <c r="JCE35" s="3"/>
      <c r="JCF35" s="3"/>
      <c r="JCG35" s="3"/>
      <c r="JCH35" s="3"/>
      <c r="JCI35" s="3"/>
      <c r="JCJ35" s="3"/>
      <c r="JCK35" s="3"/>
      <c r="JCL35" s="3"/>
      <c r="JCM35" s="3"/>
      <c r="JCN35" s="3"/>
      <c r="JCO35" s="3"/>
      <c r="JCP35" s="3"/>
      <c r="JCQ35" s="3"/>
      <c r="JCR35" s="3"/>
      <c r="JCS35" s="3"/>
      <c r="JCT35" s="3"/>
      <c r="JCU35" s="3"/>
      <c r="JCV35" s="3"/>
      <c r="JCW35" s="3"/>
      <c r="JCX35" s="3"/>
      <c r="JCY35" s="3"/>
      <c r="JCZ35" s="3"/>
      <c r="JDA35" s="3"/>
      <c r="JDB35" s="3"/>
      <c r="JDC35" s="3"/>
      <c r="JDD35" s="3"/>
      <c r="JDE35" s="3"/>
      <c r="JDF35" s="3"/>
      <c r="JDG35" s="3"/>
      <c r="JDH35" s="3"/>
      <c r="JDI35" s="3"/>
      <c r="JDJ35" s="3"/>
      <c r="JDK35" s="3"/>
      <c r="JDL35" s="3"/>
      <c r="JDM35" s="3"/>
      <c r="JDN35" s="3"/>
      <c r="JDO35" s="3"/>
      <c r="JDP35" s="3"/>
      <c r="JDQ35" s="3"/>
      <c r="JDR35" s="3"/>
      <c r="JDS35" s="3"/>
      <c r="JDT35" s="3"/>
      <c r="JDU35" s="3"/>
      <c r="JDV35" s="3"/>
      <c r="JDW35" s="3"/>
      <c r="JDX35" s="3"/>
      <c r="JDY35" s="3"/>
      <c r="JDZ35" s="3"/>
      <c r="JEA35" s="3"/>
      <c r="JEB35" s="3"/>
      <c r="JEC35" s="3"/>
      <c r="JED35" s="3"/>
      <c r="JEE35" s="3"/>
      <c r="JEF35" s="3"/>
      <c r="JEG35" s="3"/>
      <c r="JEH35" s="3"/>
      <c r="JEI35" s="3"/>
      <c r="JEJ35" s="3"/>
      <c r="JEK35" s="3"/>
      <c r="JEL35" s="3"/>
      <c r="JEM35" s="3"/>
      <c r="JEN35" s="3"/>
      <c r="JEO35" s="3"/>
      <c r="JEP35" s="3"/>
      <c r="JEQ35" s="3"/>
      <c r="JER35" s="3"/>
      <c r="JES35" s="3"/>
      <c r="JET35" s="3"/>
      <c r="JEU35" s="3"/>
      <c r="JEV35" s="3"/>
      <c r="JEW35" s="3"/>
      <c r="JEX35" s="3"/>
      <c r="JEY35" s="3"/>
      <c r="JEZ35" s="3"/>
      <c r="JFA35" s="3"/>
      <c r="JFB35" s="3"/>
      <c r="JFC35" s="3"/>
      <c r="JFD35" s="3"/>
      <c r="JFE35" s="3"/>
      <c r="JFF35" s="3"/>
      <c r="JFG35" s="3"/>
      <c r="JFH35" s="3"/>
      <c r="JFI35" s="3"/>
      <c r="JFJ35" s="3"/>
      <c r="JFK35" s="3"/>
      <c r="JFL35" s="3"/>
      <c r="JFM35" s="3"/>
      <c r="JFN35" s="3"/>
      <c r="JFO35" s="3"/>
      <c r="JFP35" s="3"/>
      <c r="JFQ35" s="3"/>
      <c r="JFR35" s="3"/>
      <c r="JFS35" s="3"/>
      <c r="JFT35" s="3"/>
      <c r="JFU35" s="3"/>
      <c r="JFV35" s="3"/>
      <c r="JFW35" s="3"/>
      <c r="JFX35" s="3"/>
      <c r="JFY35" s="3"/>
      <c r="JFZ35" s="3"/>
      <c r="JGA35" s="3"/>
      <c r="JGB35" s="3"/>
      <c r="JGC35" s="3"/>
      <c r="JGD35" s="3"/>
      <c r="JGE35" s="3"/>
      <c r="JGF35" s="3"/>
      <c r="JGG35" s="3"/>
      <c r="JGH35" s="3"/>
      <c r="JGI35" s="3"/>
      <c r="JGJ35" s="3"/>
      <c r="JGK35" s="3"/>
      <c r="JGL35" s="3"/>
      <c r="JGM35" s="3"/>
      <c r="JGN35" s="3"/>
      <c r="JGO35" s="3"/>
      <c r="JGP35" s="3"/>
      <c r="JGQ35" s="3"/>
      <c r="JGR35" s="3"/>
      <c r="JGS35" s="3"/>
      <c r="JGT35" s="3"/>
      <c r="JGU35" s="3"/>
      <c r="JGV35" s="3"/>
      <c r="JGW35" s="3"/>
      <c r="JGX35" s="3"/>
      <c r="JGY35" s="3"/>
      <c r="JGZ35" s="3"/>
      <c r="JHA35" s="3"/>
      <c r="JHB35" s="3"/>
      <c r="JHC35" s="3"/>
      <c r="JHD35" s="3"/>
      <c r="JHE35" s="3"/>
      <c r="JHF35" s="3"/>
      <c r="JHG35" s="3"/>
      <c r="JHH35" s="3"/>
      <c r="JHI35" s="3"/>
      <c r="JHJ35" s="3"/>
      <c r="JHK35" s="3"/>
      <c r="JHL35" s="3"/>
      <c r="JHM35" s="3"/>
      <c r="JHN35" s="3"/>
      <c r="JHO35" s="3"/>
      <c r="JHP35" s="3"/>
      <c r="JHQ35" s="3"/>
      <c r="JHR35" s="3"/>
      <c r="JHS35" s="3"/>
      <c r="JHT35" s="3"/>
      <c r="JHU35" s="3"/>
      <c r="JHV35" s="3"/>
      <c r="JHW35" s="3"/>
      <c r="JHX35" s="3"/>
      <c r="JHY35" s="3"/>
      <c r="JHZ35" s="3"/>
      <c r="JIA35" s="3"/>
      <c r="JIB35" s="3"/>
      <c r="JIC35" s="3"/>
      <c r="JID35" s="3"/>
      <c r="JIE35" s="3"/>
      <c r="JIF35" s="3"/>
      <c r="JIG35" s="3"/>
      <c r="JIH35" s="3"/>
      <c r="JII35" s="3"/>
      <c r="JIJ35" s="3"/>
      <c r="JIK35" s="3"/>
      <c r="JIL35" s="3"/>
      <c r="JIM35" s="3"/>
      <c r="JIN35" s="3"/>
      <c r="JIO35" s="3"/>
      <c r="JIP35" s="3"/>
      <c r="JIQ35" s="3"/>
      <c r="JIR35" s="3"/>
      <c r="JIS35" s="3"/>
      <c r="JIT35" s="3"/>
      <c r="JIU35" s="3"/>
      <c r="JIV35" s="3"/>
      <c r="JIW35" s="3"/>
      <c r="JIX35" s="3"/>
      <c r="JIY35" s="3"/>
      <c r="JIZ35" s="3"/>
      <c r="JJA35" s="3"/>
      <c r="JJB35" s="3"/>
      <c r="JJC35" s="3"/>
      <c r="JJD35" s="3"/>
      <c r="JJE35" s="3"/>
      <c r="JJF35" s="3"/>
      <c r="JJG35" s="3"/>
      <c r="JJH35" s="3"/>
      <c r="JJI35" s="3"/>
      <c r="JJJ35" s="3"/>
      <c r="JJK35" s="3"/>
      <c r="JJL35" s="3"/>
      <c r="JJM35" s="3"/>
      <c r="JJN35" s="3"/>
      <c r="JJO35" s="3"/>
      <c r="JJP35" s="3"/>
      <c r="JJQ35" s="3"/>
      <c r="JJR35" s="3"/>
      <c r="JJS35" s="3"/>
      <c r="JJT35" s="3"/>
      <c r="JJU35" s="3"/>
      <c r="JJV35" s="3"/>
      <c r="JJW35" s="3"/>
      <c r="JJX35" s="3"/>
      <c r="JJY35" s="3"/>
      <c r="JJZ35" s="3"/>
      <c r="JKA35" s="3"/>
      <c r="JKB35" s="3"/>
      <c r="JKC35" s="3"/>
      <c r="JKD35" s="3"/>
      <c r="JKE35" s="3"/>
      <c r="JKF35" s="3"/>
      <c r="JKG35" s="3"/>
      <c r="JKH35" s="3"/>
      <c r="JKI35" s="3"/>
      <c r="JKJ35" s="3"/>
      <c r="JKK35" s="3"/>
      <c r="JKL35" s="3"/>
      <c r="JKM35" s="3"/>
      <c r="JKN35" s="3"/>
      <c r="JKO35" s="3"/>
      <c r="JKP35" s="3"/>
      <c r="JKQ35" s="3"/>
      <c r="JKR35" s="3"/>
      <c r="JKS35" s="3"/>
      <c r="JKT35" s="3"/>
      <c r="JKU35" s="3"/>
      <c r="JKV35" s="3"/>
      <c r="JKW35" s="3"/>
      <c r="JKX35" s="3"/>
      <c r="JKY35" s="3"/>
      <c r="JKZ35" s="3"/>
      <c r="JLA35" s="3"/>
      <c r="JLB35" s="3"/>
      <c r="JLC35" s="3"/>
      <c r="JLD35" s="3"/>
      <c r="JLE35" s="3"/>
      <c r="JLF35" s="3"/>
      <c r="JLG35" s="3"/>
      <c r="JLH35" s="3"/>
      <c r="JLI35" s="3"/>
      <c r="JLJ35" s="3"/>
      <c r="JLK35" s="3"/>
      <c r="JLL35" s="3"/>
      <c r="JLM35" s="3"/>
      <c r="JLN35" s="3"/>
      <c r="JLO35" s="3"/>
      <c r="JLP35" s="3"/>
      <c r="JLQ35" s="3"/>
      <c r="JLR35" s="3"/>
      <c r="JLS35" s="3"/>
      <c r="JLT35" s="3"/>
      <c r="JLU35" s="3"/>
      <c r="JLV35" s="3"/>
      <c r="JLW35" s="3"/>
      <c r="JLX35" s="3"/>
      <c r="JLY35" s="3"/>
      <c r="JLZ35" s="3"/>
      <c r="JMA35" s="3"/>
      <c r="JMB35" s="3"/>
      <c r="JMC35" s="3"/>
      <c r="JMD35" s="3"/>
      <c r="JME35" s="3"/>
      <c r="JMF35" s="3"/>
      <c r="JMG35" s="3"/>
      <c r="JMH35" s="3"/>
      <c r="JMI35" s="3"/>
      <c r="JMJ35" s="3"/>
      <c r="JMK35" s="3"/>
      <c r="JML35" s="3"/>
      <c r="JMM35" s="3"/>
      <c r="JMN35" s="3"/>
      <c r="JMO35" s="3"/>
      <c r="JMP35" s="3"/>
      <c r="JMQ35" s="3"/>
      <c r="JMR35" s="3"/>
      <c r="JMS35" s="3"/>
      <c r="JMT35" s="3"/>
      <c r="JMU35" s="3"/>
      <c r="JMV35" s="3"/>
      <c r="JMW35" s="3"/>
      <c r="JMX35" s="3"/>
      <c r="JMY35" s="3"/>
      <c r="JMZ35" s="3"/>
      <c r="JNA35" s="3"/>
      <c r="JNB35" s="3"/>
      <c r="JNC35" s="3"/>
      <c r="JND35" s="3"/>
      <c r="JNE35" s="3"/>
      <c r="JNF35" s="3"/>
      <c r="JNG35" s="3"/>
      <c r="JNH35" s="3"/>
      <c r="JNI35" s="3"/>
      <c r="JNJ35" s="3"/>
      <c r="JNK35" s="3"/>
      <c r="JNL35" s="3"/>
      <c r="JNM35" s="3"/>
      <c r="JNN35" s="3"/>
      <c r="JNO35" s="3"/>
      <c r="JNP35" s="3"/>
      <c r="JNQ35" s="3"/>
      <c r="JNR35" s="3"/>
      <c r="JNS35" s="3"/>
      <c r="JNT35" s="3"/>
      <c r="JNU35" s="3"/>
      <c r="JNV35" s="3"/>
      <c r="JNW35" s="3"/>
      <c r="JNX35" s="3"/>
      <c r="JNY35" s="3"/>
      <c r="JNZ35" s="3"/>
      <c r="JOA35" s="3"/>
      <c r="JOB35" s="3"/>
      <c r="JOC35" s="3"/>
      <c r="JOD35" s="3"/>
      <c r="JOE35" s="3"/>
      <c r="JOF35" s="3"/>
      <c r="JOG35" s="3"/>
      <c r="JOH35" s="3"/>
      <c r="JOI35" s="3"/>
      <c r="JOJ35" s="3"/>
      <c r="JOK35" s="3"/>
      <c r="JOL35" s="3"/>
      <c r="JOM35" s="3"/>
      <c r="JON35" s="3"/>
      <c r="JOO35" s="3"/>
      <c r="JOP35" s="3"/>
      <c r="JOQ35" s="3"/>
      <c r="JOR35" s="3"/>
      <c r="JOS35" s="3"/>
      <c r="JOT35" s="3"/>
      <c r="JOU35" s="3"/>
      <c r="JOV35" s="3"/>
      <c r="JOW35" s="3"/>
      <c r="JOX35" s="3"/>
      <c r="JOY35" s="3"/>
      <c r="JOZ35" s="3"/>
      <c r="JPA35" s="3"/>
      <c r="JPB35" s="3"/>
      <c r="JPC35" s="3"/>
      <c r="JPD35" s="3"/>
      <c r="JPE35" s="3"/>
      <c r="JPF35" s="3"/>
      <c r="JPG35" s="3"/>
      <c r="JPH35" s="3"/>
      <c r="JPI35" s="3"/>
      <c r="JPJ35" s="3"/>
      <c r="JPK35" s="3"/>
      <c r="JPL35" s="3"/>
      <c r="JPM35" s="3"/>
      <c r="JPN35" s="3"/>
      <c r="JPO35" s="3"/>
      <c r="JPP35" s="3"/>
      <c r="JPQ35" s="3"/>
      <c r="JPR35" s="3"/>
      <c r="JPS35" s="3"/>
      <c r="JPT35" s="3"/>
      <c r="JPU35" s="3"/>
      <c r="JPV35" s="3"/>
      <c r="JPW35" s="3"/>
      <c r="JPX35" s="3"/>
      <c r="JPY35" s="3"/>
      <c r="JPZ35" s="3"/>
      <c r="JQA35" s="3"/>
      <c r="JQB35" s="3"/>
      <c r="JQC35" s="3"/>
      <c r="JQD35" s="3"/>
      <c r="JQE35" s="3"/>
      <c r="JQF35" s="3"/>
      <c r="JQG35" s="3"/>
      <c r="JQH35" s="3"/>
      <c r="JQI35" s="3"/>
      <c r="JQJ35" s="3"/>
      <c r="JQK35" s="3"/>
      <c r="JQL35" s="3"/>
      <c r="JQM35" s="3"/>
      <c r="JQN35" s="3"/>
      <c r="JQO35" s="3"/>
      <c r="JQP35" s="3"/>
      <c r="JQQ35" s="3"/>
      <c r="JQR35" s="3"/>
      <c r="JQS35" s="3"/>
      <c r="JQT35" s="3"/>
      <c r="JQU35" s="3"/>
      <c r="JQV35" s="3"/>
      <c r="JQW35" s="3"/>
      <c r="JQX35" s="3"/>
      <c r="JQY35" s="3"/>
      <c r="JQZ35" s="3"/>
      <c r="JRA35" s="3"/>
      <c r="JRB35" s="3"/>
      <c r="JRC35" s="3"/>
      <c r="JRD35" s="3"/>
      <c r="JRE35" s="3"/>
      <c r="JRF35" s="3"/>
      <c r="JRG35" s="3"/>
      <c r="JRH35" s="3"/>
      <c r="JRI35" s="3"/>
      <c r="JRJ35" s="3"/>
      <c r="JRK35" s="3"/>
      <c r="JRL35" s="3"/>
      <c r="JRM35" s="3"/>
      <c r="JRN35" s="3"/>
      <c r="JRO35" s="3"/>
      <c r="JRP35" s="3"/>
      <c r="JRQ35" s="3"/>
      <c r="JRR35" s="3"/>
      <c r="JRS35" s="3"/>
      <c r="JRT35" s="3"/>
      <c r="JRU35" s="3"/>
      <c r="JRV35" s="3"/>
      <c r="JRW35" s="3"/>
      <c r="JRX35" s="3"/>
      <c r="JRY35" s="3"/>
      <c r="JRZ35" s="3"/>
      <c r="JSA35" s="3"/>
      <c r="JSB35" s="3"/>
      <c r="JSC35" s="3"/>
      <c r="JSD35" s="3"/>
      <c r="JSE35" s="3"/>
      <c r="JSF35" s="3"/>
      <c r="JSG35" s="3"/>
      <c r="JSH35" s="3"/>
      <c r="JSI35" s="3"/>
      <c r="JSJ35" s="3"/>
      <c r="JSK35" s="3"/>
      <c r="JSL35" s="3"/>
      <c r="JSM35" s="3"/>
      <c r="JSN35" s="3"/>
      <c r="JSO35" s="3"/>
      <c r="JSP35" s="3"/>
      <c r="JSQ35" s="3"/>
      <c r="JSR35" s="3"/>
      <c r="JSS35" s="3"/>
      <c r="JST35" s="3"/>
      <c r="JSU35" s="3"/>
      <c r="JSV35" s="3"/>
      <c r="JSW35" s="3"/>
      <c r="JSX35" s="3"/>
      <c r="JSY35" s="3"/>
      <c r="JSZ35" s="3"/>
      <c r="JTA35" s="3"/>
      <c r="JTB35" s="3"/>
      <c r="JTC35" s="3"/>
      <c r="JTD35" s="3"/>
      <c r="JTE35" s="3"/>
      <c r="JTF35" s="3"/>
      <c r="JTG35" s="3"/>
      <c r="JTH35" s="3"/>
      <c r="JTI35" s="3"/>
      <c r="JTJ35" s="3"/>
      <c r="JTK35" s="3"/>
      <c r="JTL35" s="3"/>
      <c r="JTM35" s="3"/>
      <c r="JTN35" s="3"/>
      <c r="JTO35" s="3"/>
      <c r="JTP35" s="3"/>
      <c r="JTQ35" s="3"/>
      <c r="JTR35" s="3"/>
      <c r="JTS35" s="3"/>
      <c r="JTT35" s="3"/>
      <c r="JTU35" s="3"/>
      <c r="JTV35" s="3"/>
      <c r="JTW35" s="3"/>
      <c r="JTX35" s="3"/>
      <c r="JTY35" s="3"/>
      <c r="JTZ35" s="3"/>
      <c r="JUA35" s="3"/>
      <c r="JUB35" s="3"/>
      <c r="JUC35" s="3"/>
      <c r="JUD35" s="3"/>
      <c r="JUE35" s="3"/>
      <c r="JUF35" s="3"/>
      <c r="JUG35" s="3"/>
      <c r="JUH35" s="3"/>
      <c r="JUI35" s="3"/>
      <c r="JUJ35" s="3"/>
      <c r="JUK35" s="3"/>
      <c r="JUL35" s="3"/>
      <c r="JUM35" s="3"/>
      <c r="JUN35" s="3"/>
      <c r="JUO35" s="3"/>
      <c r="JUP35" s="3"/>
      <c r="JUQ35" s="3"/>
      <c r="JUR35" s="3"/>
      <c r="JUS35" s="3"/>
      <c r="JUT35" s="3"/>
      <c r="JUU35" s="3"/>
      <c r="JUV35" s="3"/>
      <c r="JUW35" s="3"/>
      <c r="JUX35" s="3"/>
      <c r="JUY35" s="3"/>
      <c r="JUZ35" s="3"/>
      <c r="JVA35" s="3"/>
      <c r="JVB35" s="3"/>
      <c r="JVC35" s="3"/>
      <c r="JVD35" s="3"/>
      <c r="JVE35" s="3"/>
      <c r="JVF35" s="3"/>
      <c r="JVG35" s="3"/>
      <c r="JVH35" s="3"/>
      <c r="JVI35" s="3"/>
      <c r="JVJ35" s="3"/>
      <c r="JVK35" s="3"/>
      <c r="JVL35" s="3"/>
      <c r="JVM35" s="3"/>
      <c r="JVN35" s="3"/>
      <c r="JVO35" s="3"/>
      <c r="JVP35" s="3"/>
      <c r="JVQ35" s="3"/>
      <c r="JVR35" s="3"/>
      <c r="JVS35" s="3"/>
      <c r="JVT35" s="3"/>
      <c r="JVU35" s="3"/>
      <c r="JVV35" s="3"/>
      <c r="JVW35" s="3"/>
      <c r="JVX35" s="3"/>
      <c r="JVY35" s="3"/>
      <c r="JVZ35" s="3"/>
      <c r="JWA35" s="3"/>
      <c r="JWB35" s="3"/>
      <c r="JWC35" s="3"/>
      <c r="JWD35" s="3"/>
      <c r="JWE35" s="3"/>
      <c r="JWF35" s="3"/>
      <c r="JWG35" s="3"/>
      <c r="JWH35" s="3"/>
      <c r="JWI35" s="3"/>
      <c r="JWJ35" s="3"/>
      <c r="JWK35" s="3"/>
      <c r="JWL35" s="3"/>
      <c r="JWM35" s="3"/>
      <c r="JWN35" s="3"/>
      <c r="JWO35" s="3"/>
      <c r="JWP35" s="3"/>
      <c r="JWQ35" s="3"/>
      <c r="JWR35" s="3"/>
      <c r="JWS35" s="3"/>
      <c r="JWT35" s="3"/>
      <c r="JWU35" s="3"/>
      <c r="JWV35" s="3"/>
      <c r="JWW35" s="3"/>
      <c r="JWX35" s="3"/>
      <c r="JWY35" s="3"/>
      <c r="JWZ35" s="3"/>
      <c r="JXA35" s="3"/>
      <c r="JXB35" s="3"/>
      <c r="JXC35" s="3"/>
      <c r="JXD35" s="3"/>
      <c r="JXE35" s="3"/>
      <c r="JXF35" s="3"/>
      <c r="JXG35" s="3"/>
      <c r="JXH35" s="3"/>
      <c r="JXI35" s="3"/>
      <c r="JXJ35" s="3"/>
      <c r="JXK35" s="3"/>
      <c r="JXL35" s="3"/>
      <c r="JXM35" s="3"/>
      <c r="JXN35" s="3"/>
      <c r="JXO35" s="3"/>
      <c r="JXP35" s="3"/>
      <c r="JXQ35" s="3"/>
      <c r="JXR35" s="3"/>
      <c r="JXS35" s="3"/>
      <c r="JXT35" s="3"/>
      <c r="JXU35" s="3"/>
      <c r="JXV35" s="3"/>
      <c r="JXW35" s="3"/>
      <c r="JXX35" s="3"/>
      <c r="JXY35" s="3"/>
      <c r="JXZ35" s="3"/>
      <c r="JYA35" s="3"/>
      <c r="JYB35" s="3"/>
      <c r="JYC35" s="3"/>
      <c r="JYD35" s="3"/>
      <c r="JYE35" s="3"/>
      <c r="JYF35" s="3"/>
      <c r="JYG35" s="3"/>
      <c r="JYH35" s="3"/>
      <c r="JYI35" s="3"/>
      <c r="JYJ35" s="3"/>
      <c r="JYK35" s="3"/>
      <c r="JYL35" s="3"/>
      <c r="JYM35" s="3"/>
      <c r="JYN35" s="3"/>
      <c r="JYO35" s="3"/>
      <c r="JYP35" s="3"/>
      <c r="JYQ35" s="3"/>
      <c r="JYR35" s="3"/>
      <c r="JYS35" s="3"/>
      <c r="JYT35" s="3"/>
      <c r="JYU35" s="3"/>
      <c r="JYV35" s="3"/>
      <c r="JYW35" s="3"/>
      <c r="JYX35" s="3"/>
      <c r="JYY35" s="3"/>
      <c r="JYZ35" s="3"/>
      <c r="JZA35" s="3"/>
      <c r="JZB35" s="3"/>
      <c r="JZC35" s="3"/>
      <c r="JZD35" s="3"/>
      <c r="JZE35" s="3"/>
      <c r="JZF35" s="3"/>
      <c r="JZG35" s="3"/>
      <c r="JZH35" s="3"/>
      <c r="JZI35" s="3"/>
      <c r="JZJ35" s="3"/>
      <c r="JZK35" s="3"/>
      <c r="JZL35" s="3"/>
      <c r="JZM35" s="3"/>
      <c r="JZN35" s="3"/>
      <c r="JZO35" s="3"/>
      <c r="JZP35" s="3"/>
      <c r="JZQ35" s="3"/>
      <c r="JZR35" s="3"/>
      <c r="JZS35" s="3"/>
      <c r="JZT35" s="3"/>
      <c r="JZU35" s="3"/>
      <c r="JZV35" s="3"/>
      <c r="JZW35" s="3"/>
      <c r="JZX35" s="3"/>
      <c r="JZY35" s="3"/>
      <c r="JZZ35" s="3"/>
      <c r="KAA35" s="3"/>
      <c r="KAB35" s="3"/>
      <c r="KAC35" s="3"/>
      <c r="KAD35" s="3"/>
      <c r="KAE35" s="3"/>
      <c r="KAF35" s="3"/>
      <c r="KAG35" s="3"/>
      <c r="KAH35" s="3"/>
      <c r="KAI35" s="3"/>
      <c r="KAJ35" s="3"/>
      <c r="KAK35" s="3"/>
      <c r="KAL35" s="3"/>
      <c r="KAM35" s="3"/>
      <c r="KAN35" s="3"/>
      <c r="KAO35" s="3"/>
      <c r="KAP35" s="3"/>
      <c r="KAQ35" s="3"/>
      <c r="KAR35" s="3"/>
      <c r="KAS35" s="3"/>
      <c r="KAT35" s="3"/>
      <c r="KAU35" s="3"/>
      <c r="KAV35" s="3"/>
      <c r="KAW35" s="3"/>
      <c r="KAX35" s="3"/>
      <c r="KAY35" s="3"/>
      <c r="KAZ35" s="3"/>
      <c r="KBA35" s="3"/>
      <c r="KBB35" s="3"/>
      <c r="KBC35" s="3"/>
      <c r="KBD35" s="3"/>
      <c r="KBE35" s="3"/>
      <c r="KBF35" s="3"/>
      <c r="KBG35" s="3"/>
      <c r="KBH35" s="3"/>
      <c r="KBI35" s="3"/>
      <c r="KBJ35" s="3"/>
      <c r="KBK35" s="3"/>
      <c r="KBL35" s="3"/>
      <c r="KBM35" s="3"/>
      <c r="KBN35" s="3"/>
      <c r="KBO35" s="3"/>
      <c r="KBP35" s="3"/>
      <c r="KBQ35" s="3"/>
      <c r="KBR35" s="3"/>
      <c r="KBS35" s="3"/>
      <c r="KBT35" s="3"/>
      <c r="KBU35" s="3"/>
      <c r="KBV35" s="3"/>
      <c r="KBW35" s="3"/>
      <c r="KBX35" s="3"/>
      <c r="KBY35" s="3"/>
      <c r="KBZ35" s="3"/>
      <c r="KCA35" s="3"/>
      <c r="KCB35" s="3"/>
      <c r="KCC35" s="3"/>
      <c r="KCD35" s="3"/>
      <c r="KCE35" s="3"/>
      <c r="KCF35" s="3"/>
      <c r="KCG35" s="3"/>
      <c r="KCH35" s="3"/>
      <c r="KCI35" s="3"/>
      <c r="KCJ35" s="3"/>
      <c r="KCK35" s="3"/>
      <c r="KCL35" s="3"/>
      <c r="KCM35" s="3"/>
      <c r="KCN35" s="3"/>
      <c r="KCO35" s="3"/>
      <c r="KCP35" s="3"/>
      <c r="KCQ35" s="3"/>
      <c r="KCR35" s="3"/>
      <c r="KCS35" s="3"/>
      <c r="KCT35" s="3"/>
      <c r="KCU35" s="3"/>
      <c r="KCV35" s="3"/>
      <c r="KCW35" s="3"/>
      <c r="KCX35" s="3"/>
      <c r="KCY35" s="3"/>
      <c r="KCZ35" s="3"/>
      <c r="KDA35" s="3"/>
      <c r="KDB35" s="3"/>
      <c r="KDC35" s="3"/>
      <c r="KDD35" s="3"/>
      <c r="KDE35" s="3"/>
      <c r="KDF35" s="3"/>
      <c r="KDG35" s="3"/>
      <c r="KDH35" s="3"/>
      <c r="KDI35" s="3"/>
      <c r="KDJ35" s="3"/>
      <c r="KDK35" s="3"/>
      <c r="KDL35" s="3"/>
      <c r="KDM35" s="3"/>
      <c r="KDN35" s="3"/>
      <c r="KDO35" s="3"/>
      <c r="KDP35" s="3"/>
      <c r="KDQ35" s="3"/>
      <c r="KDR35" s="3"/>
      <c r="KDS35" s="3"/>
      <c r="KDT35" s="3"/>
      <c r="KDU35" s="3"/>
      <c r="KDV35" s="3"/>
      <c r="KDW35" s="3"/>
      <c r="KDX35" s="3"/>
      <c r="KDY35" s="3"/>
      <c r="KDZ35" s="3"/>
      <c r="KEA35" s="3"/>
      <c r="KEB35" s="3"/>
      <c r="KEC35" s="3"/>
      <c r="KED35" s="3"/>
      <c r="KEE35" s="3"/>
      <c r="KEF35" s="3"/>
      <c r="KEG35" s="3"/>
      <c r="KEH35" s="3"/>
      <c r="KEI35" s="3"/>
      <c r="KEJ35" s="3"/>
      <c r="KEK35" s="3"/>
      <c r="KEL35" s="3"/>
      <c r="KEM35" s="3"/>
      <c r="KEN35" s="3"/>
      <c r="KEO35" s="3"/>
      <c r="KEP35" s="3"/>
      <c r="KEQ35" s="3"/>
      <c r="KER35" s="3"/>
      <c r="KES35" s="3"/>
      <c r="KET35" s="3"/>
      <c r="KEU35" s="3"/>
      <c r="KEV35" s="3"/>
      <c r="KEW35" s="3"/>
      <c r="KEX35" s="3"/>
      <c r="KEY35" s="3"/>
      <c r="KEZ35" s="3"/>
      <c r="KFA35" s="3"/>
      <c r="KFB35" s="3"/>
      <c r="KFC35" s="3"/>
      <c r="KFD35" s="3"/>
      <c r="KFE35" s="3"/>
      <c r="KFF35" s="3"/>
      <c r="KFG35" s="3"/>
      <c r="KFH35" s="3"/>
      <c r="KFI35" s="3"/>
      <c r="KFJ35" s="3"/>
      <c r="KFK35" s="3"/>
      <c r="KFL35" s="3"/>
      <c r="KFM35" s="3"/>
      <c r="KFN35" s="3"/>
      <c r="KFO35" s="3"/>
      <c r="KFP35" s="3"/>
      <c r="KFQ35" s="3"/>
      <c r="KFR35" s="3"/>
      <c r="KFS35" s="3"/>
      <c r="KFT35" s="3"/>
      <c r="KFU35" s="3"/>
      <c r="KFV35" s="3"/>
      <c r="KFW35" s="3"/>
      <c r="KFX35" s="3"/>
      <c r="KFY35" s="3"/>
      <c r="KFZ35" s="3"/>
      <c r="KGA35" s="3"/>
      <c r="KGB35" s="3"/>
      <c r="KGC35" s="3"/>
      <c r="KGD35" s="3"/>
      <c r="KGE35" s="3"/>
      <c r="KGF35" s="3"/>
      <c r="KGG35" s="3"/>
      <c r="KGH35" s="3"/>
      <c r="KGI35" s="3"/>
      <c r="KGJ35" s="3"/>
      <c r="KGK35" s="3"/>
      <c r="KGL35" s="3"/>
      <c r="KGM35" s="3"/>
      <c r="KGN35" s="3"/>
      <c r="KGO35" s="3"/>
      <c r="KGP35" s="3"/>
      <c r="KGQ35" s="3"/>
      <c r="KGR35" s="3"/>
      <c r="KGS35" s="3"/>
      <c r="KGT35" s="3"/>
      <c r="KGU35" s="3"/>
      <c r="KGV35" s="3"/>
      <c r="KGW35" s="3"/>
      <c r="KGX35" s="3"/>
      <c r="KGY35" s="3"/>
      <c r="KGZ35" s="3"/>
      <c r="KHA35" s="3"/>
      <c r="KHB35" s="3"/>
      <c r="KHC35" s="3"/>
      <c r="KHD35" s="3"/>
      <c r="KHE35" s="3"/>
      <c r="KHF35" s="3"/>
      <c r="KHG35" s="3"/>
      <c r="KHH35" s="3"/>
      <c r="KHI35" s="3"/>
      <c r="KHJ35" s="3"/>
      <c r="KHK35" s="3"/>
      <c r="KHL35" s="3"/>
      <c r="KHM35" s="3"/>
      <c r="KHN35" s="3"/>
      <c r="KHO35" s="3"/>
      <c r="KHP35" s="3"/>
      <c r="KHQ35" s="3"/>
      <c r="KHR35" s="3"/>
      <c r="KHS35" s="3"/>
      <c r="KHT35" s="3"/>
      <c r="KHU35" s="3"/>
      <c r="KHV35" s="3"/>
      <c r="KHW35" s="3"/>
      <c r="KHX35" s="3"/>
      <c r="KHY35" s="3"/>
      <c r="KHZ35" s="3"/>
      <c r="KIA35" s="3"/>
      <c r="KIB35" s="3"/>
      <c r="KIC35" s="3"/>
      <c r="KID35" s="3"/>
      <c r="KIE35" s="3"/>
      <c r="KIF35" s="3"/>
      <c r="KIG35" s="3"/>
      <c r="KIH35" s="3"/>
      <c r="KII35" s="3"/>
      <c r="KIJ35" s="3"/>
      <c r="KIK35" s="3"/>
      <c r="KIL35" s="3"/>
      <c r="KIM35" s="3"/>
      <c r="KIN35" s="3"/>
      <c r="KIO35" s="3"/>
      <c r="KIP35" s="3"/>
      <c r="KIQ35" s="3"/>
      <c r="KIR35" s="3"/>
      <c r="KIS35" s="3"/>
      <c r="KIT35" s="3"/>
      <c r="KIU35" s="3"/>
      <c r="KIV35" s="3"/>
      <c r="KIW35" s="3"/>
      <c r="KIX35" s="3"/>
      <c r="KIY35" s="3"/>
      <c r="KIZ35" s="3"/>
      <c r="KJA35" s="3"/>
      <c r="KJB35" s="3"/>
      <c r="KJC35" s="3"/>
      <c r="KJD35" s="3"/>
      <c r="KJE35" s="3"/>
      <c r="KJF35" s="3"/>
      <c r="KJG35" s="3"/>
      <c r="KJH35" s="3"/>
      <c r="KJI35" s="3"/>
      <c r="KJJ35" s="3"/>
      <c r="KJK35" s="3"/>
      <c r="KJL35" s="3"/>
      <c r="KJM35" s="3"/>
      <c r="KJN35" s="3"/>
      <c r="KJO35" s="3"/>
      <c r="KJP35" s="3"/>
      <c r="KJQ35" s="3"/>
      <c r="KJR35" s="3"/>
      <c r="KJS35" s="3"/>
      <c r="KJT35" s="3"/>
      <c r="KJU35" s="3"/>
      <c r="KJV35" s="3"/>
      <c r="KJW35" s="3"/>
      <c r="KJX35" s="3"/>
      <c r="KJY35" s="3"/>
      <c r="KJZ35" s="3"/>
      <c r="KKA35" s="3"/>
      <c r="KKB35" s="3"/>
      <c r="KKC35" s="3"/>
      <c r="KKD35" s="3"/>
      <c r="KKE35" s="3"/>
      <c r="KKF35" s="3"/>
      <c r="KKG35" s="3"/>
      <c r="KKH35" s="3"/>
      <c r="KKI35" s="3"/>
      <c r="KKJ35" s="3"/>
      <c r="KKK35" s="3"/>
      <c r="KKL35" s="3"/>
      <c r="KKM35" s="3"/>
      <c r="KKN35" s="3"/>
      <c r="KKO35" s="3"/>
      <c r="KKP35" s="3"/>
      <c r="KKQ35" s="3"/>
      <c r="KKR35" s="3"/>
      <c r="KKS35" s="3"/>
      <c r="KKT35" s="3"/>
      <c r="KKU35" s="3"/>
      <c r="KKV35" s="3"/>
      <c r="KKW35" s="3"/>
      <c r="KKX35" s="3"/>
      <c r="KKY35" s="3"/>
      <c r="KKZ35" s="3"/>
      <c r="KLA35" s="3"/>
      <c r="KLB35" s="3"/>
      <c r="KLC35" s="3"/>
      <c r="KLD35" s="3"/>
      <c r="KLE35" s="3"/>
      <c r="KLF35" s="3"/>
      <c r="KLG35" s="3"/>
      <c r="KLH35" s="3"/>
      <c r="KLI35" s="3"/>
      <c r="KLJ35" s="3"/>
      <c r="KLK35" s="3"/>
      <c r="KLL35" s="3"/>
      <c r="KLM35" s="3"/>
      <c r="KLN35" s="3"/>
      <c r="KLO35" s="3"/>
      <c r="KLP35" s="3"/>
      <c r="KLQ35" s="3"/>
      <c r="KLR35" s="3"/>
      <c r="KLS35" s="3"/>
      <c r="KLT35" s="3"/>
      <c r="KLU35" s="3"/>
      <c r="KLV35" s="3"/>
      <c r="KLW35" s="3"/>
      <c r="KLX35" s="3"/>
      <c r="KLY35" s="3"/>
      <c r="KLZ35" s="3"/>
      <c r="KMA35" s="3"/>
      <c r="KMB35" s="3"/>
      <c r="KMC35" s="3"/>
      <c r="KMD35" s="3"/>
      <c r="KME35" s="3"/>
      <c r="KMF35" s="3"/>
      <c r="KMG35" s="3"/>
      <c r="KMH35" s="3"/>
      <c r="KMI35" s="3"/>
      <c r="KMJ35" s="3"/>
      <c r="KMK35" s="3"/>
      <c r="KML35" s="3"/>
      <c r="KMM35" s="3"/>
      <c r="KMN35" s="3"/>
      <c r="KMO35" s="3"/>
      <c r="KMP35" s="3"/>
      <c r="KMQ35" s="3"/>
      <c r="KMR35" s="3"/>
      <c r="KMS35" s="3"/>
      <c r="KMT35" s="3"/>
      <c r="KMU35" s="3"/>
      <c r="KMV35" s="3"/>
      <c r="KMW35" s="3"/>
      <c r="KMX35" s="3"/>
      <c r="KMY35" s="3"/>
      <c r="KMZ35" s="3"/>
      <c r="KNA35" s="3"/>
      <c r="KNB35" s="3"/>
      <c r="KNC35" s="3"/>
      <c r="KND35" s="3"/>
      <c r="KNE35" s="3"/>
      <c r="KNF35" s="3"/>
      <c r="KNG35" s="3"/>
      <c r="KNH35" s="3"/>
      <c r="KNI35" s="3"/>
      <c r="KNJ35" s="3"/>
      <c r="KNK35" s="3"/>
      <c r="KNL35" s="3"/>
      <c r="KNM35" s="3"/>
      <c r="KNN35" s="3"/>
      <c r="KNO35" s="3"/>
      <c r="KNP35" s="3"/>
      <c r="KNQ35" s="3"/>
      <c r="KNR35" s="3"/>
      <c r="KNS35" s="3"/>
      <c r="KNT35" s="3"/>
      <c r="KNU35" s="3"/>
      <c r="KNV35" s="3"/>
      <c r="KNW35" s="3"/>
      <c r="KNX35" s="3"/>
      <c r="KNY35" s="3"/>
      <c r="KNZ35" s="3"/>
      <c r="KOA35" s="3"/>
      <c r="KOB35" s="3"/>
      <c r="KOC35" s="3"/>
      <c r="KOD35" s="3"/>
      <c r="KOE35" s="3"/>
      <c r="KOF35" s="3"/>
      <c r="KOG35" s="3"/>
      <c r="KOH35" s="3"/>
      <c r="KOI35" s="3"/>
      <c r="KOJ35" s="3"/>
      <c r="KOK35" s="3"/>
      <c r="KOL35" s="3"/>
      <c r="KOM35" s="3"/>
      <c r="KON35" s="3"/>
      <c r="KOO35" s="3"/>
      <c r="KOP35" s="3"/>
      <c r="KOQ35" s="3"/>
      <c r="KOR35" s="3"/>
      <c r="KOS35" s="3"/>
      <c r="KOT35" s="3"/>
      <c r="KOU35" s="3"/>
      <c r="KOV35" s="3"/>
      <c r="KOW35" s="3"/>
      <c r="KOX35" s="3"/>
      <c r="KOY35" s="3"/>
      <c r="KOZ35" s="3"/>
      <c r="KPA35" s="3"/>
      <c r="KPB35" s="3"/>
      <c r="KPC35" s="3"/>
      <c r="KPD35" s="3"/>
      <c r="KPE35" s="3"/>
      <c r="KPF35" s="3"/>
      <c r="KPG35" s="3"/>
      <c r="KPH35" s="3"/>
      <c r="KPI35" s="3"/>
      <c r="KPJ35" s="3"/>
      <c r="KPK35" s="3"/>
      <c r="KPL35" s="3"/>
      <c r="KPM35" s="3"/>
      <c r="KPN35" s="3"/>
      <c r="KPO35" s="3"/>
      <c r="KPP35" s="3"/>
      <c r="KPQ35" s="3"/>
      <c r="KPR35" s="3"/>
      <c r="KPS35" s="3"/>
      <c r="KPT35" s="3"/>
      <c r="KPU35" s="3"/>
      <c r="KPV35" s="3"/>
      <c r="KPW35" s="3"/>
      <c r="KPX35" s="3"/>
      <c r="KPY35" s="3"/>
      <c r="KPZ35" s="3"/>
      <c r="KQA35" s="3"/>
      <c r="KQB35" s="3"/>
      <c r="KQC35" s="3"/>
      <c r="KQD35" s="3"/>
      <c r="KQE35" s="3"/>
      <c r="KQF35" s="3"/>
      <c r="KQG35" s="3"/>
      <c r="KQH35" s="3"/>
      <c r="KQI35" s="3"/>
      <c r="KQJ35" s="3"/>
      <c r="KQK35" s="3"/>
      <c r="KQL35" s="3"/>
      <c r="KQM35" s="3"/>
      <c r="KQN35" s="3"/>
      <c r="KQO35" s="3"/>
      <c r="KQP35" s="3"/>
      <c r="KQQ35" s="3"/>
      <c r="KQR35" s="3"/>
      <c r="KQS35" s="3"/>
      <c r="KQT35" s="3"/>
      <c r="KQU35" s="3"/>
      <c r="KQV35" s="3"/>
      <c r="KQW35" s="3"/>
      <c r="KQX35" s="3"/>
      <c r="KQY35" s="3"/>
      <c r="KQZ35" s="3"/>
      <c r="KRA35" s="3"/>
      <c r="KRB35" s="3"/>
      <c r="KRC35" s="3"/>
      <c r="KRD35" s="3"/>
      <c r="KRE35" s="3"/>
      <c r="KRF35" s="3"/>
      <c r="KRG35" s="3"/>
      <c r="KRH35" s="3"/>
      <c r="KRI35" s="3"/>
      <c r="KRJ35" s="3"/>
      <c r="KRK35" s="3"/>
      <c r="KRL35" s="3"/>
      <c r="KRM35" s="3"/>
      <c r="KRN35" s="3"/>
      <c r="KRO35" s="3"/>
      <c r="KRP35" s="3"/>
      <c r="KRQ35" s="3"/>
      <c r="KRR35" s="3"/>
      <c r="KRS35" s="3"/>
      <c r="KRT35" s="3"/>
      <c r="KRU35" s="3"/>
      <c r="KRV35" s="3"/>
      <c r="KRW35" s="3"/>
      <c r="KRX35" s="3"/>
      <c r="KRY35" s="3"/>
      <c r="KRZ35" s="3"/>
      <c r="KSA35" s="3"/>
      <c r="KSB35" s="3"/>
      <c r="KSC35" s="3"/>
      <c r="KSD35" s="3"/>
      <c r="KSE35" s="3"/>
      <c r="KSF35" s="3"/>
      <c r="KSG35" s="3"/>
      <c r="KSH35" s="3"/>
      <c r="KSI35" s="3"/>
      <c r="KSJ35" s="3"/>
      <c r="KSK35" s="3"/>
      <c r="KSL35" s="3"/>
      <c r="KSM35" s="3"/>
      <c r="KSN35" s="3"/>
      <c r="KSO35" s="3"/>
      <c r="KSP35" s="3"/>
      <c r="KSQ35" s="3"/>
      <c r="KSR35" s="3"/>
      <c r="KSS35" s="3"/>
      <c r="KST35" s="3"/>
      <c r="KSU35" s="3"/>
      <c r="KSV35" s="3"/>
      <c r="KSW35" s="3"/>
      <c r="KSX35" s="3"/>
      <c r="KSY35" s="3"/>
      <c r="KSZ35" s="3"/>
      <c r="KTA35" s="3"/>
      <c r="KTB35" s="3"/>
      <c r="KTC35" s="3"/>
      <c r="KTD35" s="3"/>
      <c r="KTE35" s="3"/>
      <c r="KTF35" s="3"/>
      <c r="KTG35" s="3"/>
      <c r="KTH35" s="3"/>
      <c r="KTI35" s="3"/>
      <c r="KTJ35" s="3"/>
      <c r="KTK35" s="3"/>
      <c r="KTL35" s="3"/>
      <c r="KTM35" s="3"/>
      <c r="KTN35" s="3"/>
      <c r="KTO35" s="3"/>
      <c r="KTP35" s="3"/>
      <c r="KTQ35" s="3"/>
      <c r="KTR35" s="3"/>
      <c r="KTS35" s="3"/>
      <c r="KTT35" s="3"/>
      <c r="KTU35" s="3"/>
      <c r="KTV35" s="3"/>
      <c r="KTW35" s="3"/>
      <c r="KTX35" s="3"/>
      <c r="KTY35" s="3"/>
      <c r="KTZ35" s="3"/>
      <c r="KUA35" s="3"/>
      <c r="KUB35" s="3"/>
      <c r="KUC35" s="3"/>
      <c r="KUD35" s="3"/>
      <c r="KUE35" s="3"/>
      <c r="KUF35" s="3"/>
      <c r="KUG35" s="3"/>
      <c r="KUH35" s="3"/>
      <c r="KUI35" s="3"/>
      <c r="KUJ35" s="3"/>
      <c r="KUK35" s="3"/>
      <c r="KUL35" s="3"/>
      <c r="KUM35" s="3"/>
      <c r="KUN35" s="3"/>
      <c r="KUO35" s="3"/>
      <c r="KUP35" s="3"/>
      <c r="KUQ35" s="3"/>
      <c r="KUR35" s="3"/>
      <c r="KUS35" s="3"/>
      <c r="KUT35" s="3"/>
      <c r="KUU35" s="3"/>
      <c r="KUV35" s="3"/>
      <c r="KUW35" s="3"/>
      <c r="KUX35" s="3"/>
      <c r="KUY35" s="3"/>
      <c r="KUZ35" s="3"/>
      <c r="KVA35" s="3"/>
      <c r="KVB35" s="3"/>
      <c r="KVC35" s="3"/>
      <c r="KVD35" s="3"/>
      <c r="KVE35" s="3"/>
      <c r="KVF35" s="3"/>
      <c r="KVG35" s="3"/>
      <c r="KVH35" s="3"/>
      <c r="KVI35" s="3"/>
      <c r="KVJ35" s="3"/>
      <c r="KVK35" s="3"/>
      <c r="KVL35" s="3"/>
      <c r="KVM35" s="3"/>
      <c r="KVN35" s="3"/>
      <c r="KVO35" s="3"/>
      <c r="KVP35" s="3"/>
      <c r="KVQ35" s="3"/>
      <c r="KVR35" s="3"/>
      <c r="KVS35" s="3"/>
      <c r="KVT35" s="3"/>
      <c r="KVU35" s="3"/>
      <c r="KVV35" s="3"/>
      <c r="KVW35" s="3"/>
      <c r="KVX35" s="3"/>
      <c r="KVY35" s="3"/>
      <c r="KVZ35" s="3"/>
      <c r="KWA35" s="3"/>
      <c r="KWB35" s="3"/>
      <c r="KWC35" s="3"/>
      <c r="KWD35" s="3"/>
      <c r="KWE35" s="3"/>
      <c r="KWF35" s="3"/>
      <c r="KWG35" s="3"/>
      <c r="KWH35" s="3"/>
      <c r="KWI35" s="3"/>
      <c r="KWJ35" s="3"/>
      <c r="KWK35" s="3"/>
      <c r="KWL35" s="3"/>
      <c r="KWM35" s="3"/>
      <c r="KWN35" s="3"/>
      <c r="KWO35" s="3"/>
      <c r="KWP35" s="3"/>
      <c r="KWQ35" s="3"/>
      <c r="KWR35" s="3"/>
      <c r="KWS35" s="3"/>
      <c r="KWT35" s="3"/>
      <c r="KWU35" s="3"/>
      <c r="KWV35" s="3"/>
      <c r="KWW35" s="3"/>
      <c r="KWX35" s="3"/>
      <c r="KWY35" s="3"/>
      <c r="KWZ35" s="3"/>
      <c r="KXA35" s="3"/>
      <c r="KXB35" s="3"/>
      <c r="KXC35" s="3"/>
      <c r="KXD35" s="3"/>
      <c r="KXE35" s="3"/>
      <c r="KXF35" s="3"/>
      <c r="KXG35" s="3"/>
      <c r="KXH35" s="3"/>
      <c r="KXI35" s="3"/>
      <c r="KXJ35" s="3"/>
      <c r="KXK35" s="3"/>
      <c r="KXL35" s="3"/>
      <c r="KXM35" s="3"/>
      <c r="KXN35" s="3"/>
      <c r="KXO35" s="3"/>
      <c r="KXP35" s="3"/>
      <c r="KXQ35" s="3"/>
      <c r="KXR35" s="3"/>
      <c r="KXS35" s="3"/>
      <c r="KXT35" s="3"/>
      <c r="KXU35" s="3"/>
      <c r="KXV35" s="3"/>
      <c r="KXW35" s="3"/>
      <c r="KXX35" s="3"/>
      <c r="KXY35" s="3"/>
      <c r="KXZ35" s="3"/>
      <c r="KYA35" s="3"/>
      <c r="KYB35" s="3"/>
      <c r="KYC35" s="3"/>
      <c r="KYD35" s="3"/>
      <c r="KYE35" s="3"/>
      <c r="KYF35" s="3"/>
      <c r="KYG35" s="3"/>
      <c r="KYH35" s="3"/>
      <c r="KYI35" s="3"/>
      <c r="KYJ35" s="3"/>
      <c r="KYK35" s="3"/>
      <c r="KYL35" s="3"/>
      <c r="KYM35" s="3"/>
      <c r="KYN35" s="3"/>
      <c r="KYO35" s="3"/>
      <c r="KYP35" s="3"/>
      <c r="KYQ35" s="3"/>
      <c r="KYR35" s="3"/>
      <c r="KYS35" s="3"/>
      <c r="KYT35" s="3"/>
      <c r="KYU35" s="3"/>
      <c r="KYV35" s="3"/>
      <c r="KYW35" s="3"/>
      <c r="KYX35" s="3"/>
      <c r="KYY35" s="3"/>
      <c r="KYZ35" s="3"/>
      <c r="KZA35" s="3"/>
      <c r="KZB35" s="3"/>
      <c r="KZC35" s="3"/>
      <c r="KZD35" s="3"/>
      <c r="KZE35" s="3"/>
      <c r="KZF35" s="3"/>
      <c r="KZG35" s="3"/>
      <c r="KZH35" s="3"/>
      <c r="KZI35" s="3"/>
      <c r="KZJ35" s="3"/>
      <c r="KZK35" s="3"/>
      <c r="KZL35" s="3"/>
      <c r="KZM35" s="3"/>
      <c r="KZN35" s="3"/>
      <c r="KZO35" s="3"/>
      <c r="KZP35" s="3"/>
      <c r="KZQ35" s="3"/>
      <c r="KZR35" s="3"/>
      <c r="KZS35" s="3"/>
      <c r="KZT35" s="3"/>
      <c r="KZU35" s="3"/>
      <c r="KZV35" s="3"/>
      <c r="KZW35" s="3"/>
      <c r="KZX35" s="3"/>
      <c r="KZY35" s="3"/>
      <c r="KZZ35" s="3"/>
      <c r="LAA35" s="3"/>
      <c r="LAB35" s="3"/>
      <c r="LAC35" s="3"/>
      <c r="LAD35" s="3"/>
      <c r="LAE35" s="3"/>
      <c r="LAF35" s="3"/>
      <c r="LAG35" s="3"/>
      <c r="LAH35" s="3"/>
      <c r="LAI35" s="3"/>
      <c r="LAJ35" s="3"/>
      <c r="LAK35" s="3"/>
      <c r="LAL35" s="3"/>
      <c r="LAM35" s="3"/>
      <c r="LAN35" s="3"/>
      <c r="LAO35" s="3"/>
      <c r="LAP35" s="3"/>
      <c r="LAQ35" s="3"/>
      <c r="LAR35" s="3"/>
      <c r="LAS35" s="3"/>
      <c r="LAT35" s="3"/>
      <c r="LAU35" s="3"/>
      <c r="LAV35" s="3"/>
      <c r="LAW35" s="3"/>
      <c r="LAX35" s="3"/>
      <c r="LAY35" s="3"/>
      <c r="LAZ35" s="3"/>
      <c r="LBA35" s="3"/>
      <c r="LBB35" s="3"/>
      <c r="LBC35" s="3"/>
      <c r="LBD35" s="3"/>
      <c r="LBE35" s="3"/>
      <c r="LBF35" s="3"/>
      <c r="LBG35" s="3"/>
      <c r="LBH35" s="3"/>
      <c r="LBI35" s="3"/>
      <c r="LBJ35" s="3"/>
      <c r="LBK35" s="3"/>
      <c r="LBL35" s="3"/>
      <c r="LBM35" s="3"/>
      <c r="LBN35" s="3"/>
      <c r="LBO35" s="3"/>
      <c r="LBP35" s="3"/>
      <c r="LBQ35" s="3"/>
      <c r="LBR35" s="3"/>
      <c r="LBS35" s="3"/>
      <c r="LBT35" s="3"/>
      <c r="LBU35" s="3"/>
      <c r="LBV35" s="3"/>
      <c r="LBW35" s="3"/>
      <c r="LBX35" s="3"/>
      <c r="LBY35" s="3"/>
      <c r="LBZ35" s="3"/>
      <c r="LCA35" s="3"/>
      <c r="LCB35" s="3"/>
      <c r="LCC35" s="3"/>
      <c r="LCD35" s="3"/>
      <c r="LCE35" s="3"/>
      <c r="LCF35" s="3"/>
      <c r="LCG35" s="3"/>
      <c r="LCH35" s="3"/>
      <c r="LCI35" s="3"/>
      <c r="LCJ35" s="3"/>
      <c r="LCK35" s="3"/>
      <c r="LCL35" s="3"/>
      <c r="LCM35" s="3"/>
      <c r="LCN35" s="3"/>
      <c r="LCO35" s="3"/>
      <c r="LCP35" s="3"/>
      <c r="LCQ35" s="3"/>
      <c r="LCR35" s="3"/>
      <c r="LCS35" s="3"/>
      <c r="LCT35" s="3"/>
      <c r="LCU35" s="3"/>
      <c r="LCV35" s="3"/>
      <c r="LCW35" s="3"/>
      <c r="LCX35" s="3"/>
      <c r="LCY35" s="3"/>
      <c r="LCZ35" s="3"/>
      <c r="LDA35" s="3"/>
      <c r="LDB35" s="3"/>
      <c r="LDC35" s="3"/>
      <c r="LDD35" s="3"/>
      <c r="LDE35" s="3"/>
      <c r="LDF35" s="3"/>
      <c r="LDG35" s="3"/>
      <c r="LDH35" s="3"/>
      <c r="LDI35" s="3"/>
      <c r="LDJ35" s="3"/>
      <c r="LDK35" s="3"/>
      <c r="LDL35" s="3"/>
      <c r="LDM35" s="3"/>
      <c r="LDN35" s="3"/>
      <c r="LDO35" s="3"/>
      <c r="LDP35" s="3"/>
      <c r="LDQ35" s="3"/>
      <c r="LDR35" s="3"/>
      <c r="LDS35" s="3"/>
      <c r="LDT35" s="3"/>
      <c r="LDU35" s="3"/>
      <c r="LDV35" s="3"/>
      <c r="LDW35" s="3"/>
      <c r="LDX35" s="3"/>
      <c r="LDY35" s="3"/>
      <c r="LDZ35" s="3"/>
      <c r="LEA35" s="3"/>
      <c r="LEB35" s="3"/>
      <c r="LEC35" s="3"/>
      <c r="LED35" s="3"/>
      <c r="LEE35" s="3"/>
      <c r="LEF35" s="3"/>
      <c r="LEG35" s="3"/>
      <c r="LEH35" s="3"/>
      <c r="LEI35" s="3"/>
      <c r="LEJ35" s="3"/>
      <c r="LEK35" s="3"/>
      <c r="LEL35" s="3"/>
      <c r="LEM35" s="3"/>
      <c r="LEN35" s="3"/>
      <c r="LEO35" s="3"/>
      <c r="LEP35" s="3"/>
      <c r="LEQ35" s="3"/>
      <c r="LER35" s="3"/>
      <c r="LES35" s="3"/>
      <c r="LET35" s="3"/>
      <c r="LEU35" s="3"/>
      <c r="LEV35" s="3"/>
      <c r="LEW35" s="3"/>
      <c r="LEX35" s="3"/>
      <c r="LEY35" s="3"/>
      <c r="LEZ35" s="3"/>
      <c r="LFA35" s="3"/>
      <c r="LFB35" s="3"/>
      <c r="LFC35" s="3"/>
      <c r="LFD35" s="3"/>
      <c r="LFE35" s="3"/>
      <c r="LFF35" s="3"/>
      <c r="LFG35" s="3"/>
      <c r="LFH35" s="3"/>
      <c r="LFI35" s="3"/>
      <c r="LFJ35" s="3"/>
      <c r="LFK35" s="3"/>
      <c r="LFL35" s="3"/>
      <c r="LFM35" s="3"/>
      <c r="LFN35" s="3"/>
      <c r="LFO35" s="3"/>
      <c r="LFP35" s="3"/>
      <c r="LFQ35" s="3"/>
      <c r="LFR35" s="3"/>
      <c r="LFS35" s="3"/>
      <c r="LFT35" s="3"/>
      <c r="LFU35" s="3"/>
      <c r="LFV35" s="3"/>
      <c r="LFW35" s="3"/>
      <c r="LFX35" s="3"/>
      <c r="LFY35" s="3"/>
      <c r="LFZ35" s="3"/>
      <c r="LGA35" s="3"/>
      <c r="LGB35" s="3"/>
      <c r="LGC35" s="3"/>
      <c r="LGD35" s="3"/>
      <c r="LGE35" s="3"/>
      <c r="LGF35" s="3"/>
      <c r="LGG35" s="3"/>
      <c r="LGH35" s="3"/>
      <c r="LGI35" s="3"/>
      <c r="LGJ35" s="3"/>
      <c r="LGK35" s="3"/>
      <c r="LGL35" s="3"/>
      <c r="LGM35" s="3"/>
      <c r="LGN35" s="3"/>
      <c r="LGO35" s="3"/>
      <c r="LGP35" s="3"/>
      <c r="LGQ35" s="3"/>
      <c r="LGR35" s="3"/>
      <c r="LGS35" s="3"/>
      <c r="LGT35" s="3"/>
      <c r="LGU35" s="3"/>
      <c r="LGV35" s="3"/>
      <c r="LGW35" s="3"/>
      <c r="LGX35" s="3"/>
      <c r="LGY35" s="3"/>
      <c r="LGZ35" s="3"/>
      <c r="LHA35" s="3"/>
      <c r="LHB35" s="3"/>
      <c r="LHC35" s="3"/>
      <c r="LHD35" s="3"/>
      <c r="LHE35" s="3"/>
      <c r="LHF35" s="3"/>
      <c r="LHG35" s="3"/>
      <c r="LHH35" s="3"/>
      <c r="LHI35" s="3"/>
      <c r="LHJ35" s="3"/>
      <c r="LHK35" s="3"/>
      <c r="LHL35" s="3"/>
      <c r="LHM35" s="3"/>
      <c r="LHN35" s="3"/>
      <c r="LHO35" s="3"/>
      <c r="LHP35" s="3"/>
      <c r="LHQ35" s="3"/>
      <c r="LHR35" s="3"/>
      <c r="LHS35" s="3"/>
      <c r="LHT35" s="3"/>
      <c r="LHU35" s="3"/>
      <c r="LHV35" s="3"/>
      <c r="LHW35" s="3"/>
      <c r="LHX35" s="3"/>
      <c r="LHY35" s="3"/>
      <c r="LHZ35" s="3"/>
      <c r="LIA35" s="3"/>
      <c r="LIB35" s="3"/>
      <c r="LIC35" s="3"/>
      <c r="LID35" s="3"/>
      <c r="LIE35" s="3"/>
      <c r="LIF35" s="3"/>
      <c r="LIG35" s="3"/>
      <c r="LIH35" s="3"/>
      <c r="LII35" s="3"/>
      <c r="LIJ35" s="3"/>
      <c r="LIK35" s="3"/>
      <c r="LIL35" s="3"/>
      <c r="LIM35" s="3"/>
      <c r="LIN35" s="3"/>
      <c r="LIO35" s="3"/>
      <c r="LIP35" s="3"/>
      <c r="LIQ35" s="3"/>
      <c r="LIR35" s="3"/>
      <c r="LIS35" s="3"/>
      <c r="LIT35" s="3"/>
      <c r="LIU35" s="3"/>
      <c r="LIV35" s="3"/>
      <c r="LIW35" s="3"/>
      <c r="LIX35" s="3"/>
      <c r="LIY35" s="3"/>
      <c r="LIZ35" s="3"/>
      <c r="LJA35" s="3"/>
      <c r="LJB35" s="3"/>
      <c r="LJC35" s="3"/>
      <c r="LJD35" s="3"/>
      <c r="LJE35" s="3"/>
      <c r="LJF35" s="3"/>
      <c r="LJG35" s="3"/>
      <c r="LJH35" s="3"/>
      <c r="LJI35" s="3"/>
      <c r="LJJ35" s="3"/>
      <c r="LJK35" s="3"/>
      <c r="LJL35" s="3"/>
      <c r="LJM35" s="3"/>
      <c r="LJN35" s="3"/>
      <c r="LJO35" s="3"/>
      <c r="LJP35" s="3"/>
      <c r="LJQ35" s="3"/>
      <c r="LJR35" s="3"/>
      <c r="LJS35" s="3"/>
      <c r="LJT35" s="3"/>
      <c r="LJU35" s="3"/>
      <c r="LJV35" s="3"/>
      <c r="LJW35" s="3"/>
      <c r="LJX35" s="3"/>
      <c r="LJY35" s="3"/>
      <c r="LJZ35" s="3"/>
      <c r="LKA35" s="3"/>
      <c r="LKB35" s="3"/>
      <c r="LKC35" s="3"/>
      <c r="LKD35" s="3"/>
      <c r="LKE35" s="3"/>
      <c r="LKF35" s="3"/>
      <c r="LKG35" s="3"/>
      <c r="LKH35" s="3"/>
      <c r="LKI35" s="3"/>
      <c r="LKJ35" s="3"/>
      <c r="LKK35" s="3"/>
      <c r="LKL35" s="3"/>
      <c r="LKM35" s="3"/>
      <c r="LKN35" s="3"/>
      <c r="LKO35" s="3"/>
      <c r="LKP35" s="3"/>
      <c r="LKQ35" s="3"/>
      <c r="LKR35" s="3"/>
      <c r="LKS35" s="3"/>
      <c r="LKT35" s="3"/>
      <c r="LKU35" s="3"/>
      <c r="LKV35" s="3"/>
      <c r="LKW35" s="3"/>
      <c r="LKX35" s="3"/>
      <c r="LKY35" s="3"/>
      <c r="LKZ35" s="3"/>
      <c r="LLA35" s="3"/>
      <c r="LLB35" s="3"/>
      <c r="LLC35" s="3"/>
      <c r="LLD35" s="3"/>
      <c r="LLE35" s="3"/>
      <c r="LLF35" s="3"/>
      <c r="LLG35" s="3"/>
      <c r="LLH35" s="3"/>
      <c r="LLI35" s="3"/>
      <c r="LLJ35" s="3"/>
      <c r="LLK35" s="3"/>
      <c r="LLL35" s="3"/>
      <c r="LLM35" s="3"/>
      <c r="LLN35" s="3"/>
      <c r="LLO35" s="3"/>
      <c r="LLP35" s="3"/>
      <c r="LLQ35" s="3"/>
      <c r="LLR35" s="3"/>
      <c r="LLS35" s="3"/>
      <c r="LLT35" s="3"/>
      <c r="LLU35" s="3"/>
      <c r="LLV35" s="3"/>
      <c r="LLW35" s="3"/>
      <c r="LLX35" s="3"/>
      <c r="LLY35" s="3"/>
      <c r="LLZ35" s="3"/>
      <c r="LMA35" s="3"/>
      <c r="LMB35" s="3"/>
      <c r="LMC35" s="3"/>
      <c r="LMD35" s="3"/>
      <c r="LME35" s="3"/>
      <c r="LMF35" s="3"/>
      <c r="LMG35" s="3"/>
      <c r="LMH35" s="3"/>
      <c r="LMI35" s="3"/>
      <c r="LMJ35" s="3"/>
      <c r="LMK35" s="3"/>
      <c r="LML35" s="3"/>
      <c r="LMM35" s="3"/>
      <c r="LMN35" s="3"/>
      <c r="LMO35" s="3"/>
      <c r="LMP35" s="3"/>
      <c r="LMQ35" s="3"/>
      <c r="LMR35" s="3"/>
      <c r="LMS35" s="3"/>
      <c r="LMT35" s="3"/>
      <c r="LMU35" s="3"/>
      <c r="LMV35" s="3"/>
      <c r="LMW35" s="3"/>
      <c r="LMX35" s="3"/>
      <c r="LMY35" s="3"/>
      <c r="LMZ35" s="3"/>
      <c r="LNA35" s="3"/>
      <c r="LNB35" s="3"/>
      <c r="LNC35" s="3"/>
      <c r="LND35" s="3"/>
      <c r="LNE35" s="3"/>
      <c r="LNF35" s="3"/>
      <c r="LNG35" s="3"/>
      <c r="LNH35" s="3"/>
      <c r="LNI35" s="3"/>
      <c r="LNJ35" s="3"/>
      <c r="LNK35" s="3"/>
      <c r="LNL35" s="3"/>
      <c r="LNM35" s="3"/>
      <c r="LNN35" s="3"/>
      <c r="LNO35" s="3"/>
      <c r="LNP35" s="3"/>
      <c r="LNQ35" s="3"/>
      <c r="LNR35" s="3"/>
      <c r="LNS35" s="3"/>
      <c r="LNT35" s="3"/>
      <c r="LNU35" s="3"/>
      <c r="LNV35" s="3"/>
      <c r="LNW35" s="3"/>
      <c r="LNX35" s="3"/>
      <c r="LNY35" s="3"/>
      <c r="LNZ35" s="3"/>
      <c r="LOA35" s="3"/>
      <c r="LOB35" s="3"/>
      <c r="LOC35" s="3"/>
      <c r="LOD35" s="3"/>
      <c r="LOE35" s="3"/>
      <c r="LOF35" s="3"/>
      <c r="LOG35" s="3"/>
      <c r="LOH35" s="3"/>
      <c r="LOI35" s="3"/>
      <c r="LOJ35" s="3"/>
      <c r="LOK35" s="3"/>
      <c r="LOL35" s="3"/>
      <c r="LOM35" s="3"/>
      <c r="LON35" s="3"/>
      <c r="LOO35" s="3"/>
      <c r="LOP35" s="3"/>
      <c r="LOQ35" s="3"/>
      <c r="LOR35" s="3"/>
      <c r="LOS35" s="3"/>
      <c r="LOT35" s="3"/>
      <c r="LOU35" s="3"/>
      <c r="LOV35" s="3"/>
      <c r="LOW35" s="3"/>
      <c r="LOX35" s="3"/>
      <c r="LOY35" s="3"/>
      <c r="LOZ35" s="3"/>
      <c r="LPA35" s="3"/>
      <c r="LPB35" s="3"/>
      <c r="LPC35" s="3"/>
      <c r="LPD35" s="3"/>
      <c r="LPE35" s="3"/>
      <c r="LPF35" s="3"/>
      <c r="LPG35" s="3"/>
      <c r="LPH35" s="3"/>
      <c r="LPI35" s="3"/>
      <c r="LPJ35" s="3"/>
      <c r="LPK35" s="3"/>
      <c r="LPL35" s="3"/>
      <c r="LPM35" s="3"/>
      <c r="LPN35" s="3"/>
      <c r="LPO35" s="3"/>
      <c r="LPP35" s="3"/>
      <c r="LPQ35" s="3"/>
      <c r="LPR35" s="3"/>
      <c r="LPS35" s="3"/>
      <c r="LPT35" s="3"/>
      <c r="LPU35" s="3"/>
      <c r="LPV35" s="3"/>
      <c r="LPW35" s="3"/>
      <c r="LPX35" s="3"/>
      <c r="LPY35" s="3"/>
      <c r="LPZ35" s="3"/>
      <c r="LQA35" s="3"/>
      <c r="LQB35" s="3"/>
      <c r="LQC35" s="3"/>
      <c r="LQD35" s="3"/>
      <c r="LQE35" s="3"/>
      <c r="LQF35" s="3"/>
      <c r="LQG35" s="3"/>
      <c r="LQH35" s="3"/>
      <c r="LQI35" s="3"/>
      <c r="LQJ35" s="3"/>
      <c r="LQK35" s="3"/>
      <c r="LQL35" s="3"/>
      <c r="LQM35" s="3"/>
      <c r="LQN35" s="3"/>
      <c r="LQO35" s="3"/>
      <c r="LQP35" s="3"/>
      <c r="LQQ35" s="3"/>
      <c r="LQR35" s="3"/>
      <c r="LQS35" s="3"/>
      <c r="LQT35" s="3"/>
      <c r="LQU35" s="3"/>
      <c r="LQV35" s="3"/>
      <c r="LQW35" s="3"/>
      <c r="LQX35" s="3"/>
      <c r="LQY35" s="3"/>
      <c r="LQZ35" s="3"/>
      <c r="LRA35" s="3"/>
      <c r="LRB35" s="3"/>
      <c r="LRC35" s="3"/>
      <c r="LRD35" s="3"/>
      <c r="LRE35" s="3"/>
      <c r="LRF35" s="3"/>
      <c r="LRG35" s="3"/>
      <c r="LRH35" s="3"/>
      <c r="LRI35" s="3"/>
      <c r="LRJ35" s="3"/>
      <c r="LRK35" s="3"/>
      <c r="LRL35" s="3"/>
      <c r="LRM35" s="3"/>
      <c r="LRN35" s="3"/>
      <c r="LRO35" s="3"/>
      <c r="LRP35" s="3"/>
      <c r="LRQ35" s="3"/>
      <c r="LRR35" s="3"/>
      <c r="LRS35" s="3"/>
      <c r="LRT35" s="3"/>
      <c r="LRU35" s="3"/>
      <c r="LRV35" s="3"/>
      <c r="LRW35" s="3"/>
      <c r="LRX35" s="3"/>
      <c r="LRY35" s="3"/>
      <c r="LRZ35" s="3"/>
      <c r="LSA35" s="3"/>
      <c r="LSB35" s="3"/>
      <c r="LSC35" s="3"/>
      <c r="LSD35" s="3"/>
      <c r="LSE35" s="3"/>
      <c r="LSF35" s="3"/>
      <c r="LSG35" s="3"/>
      <c r="LSH35" s="3"/>
      <c r="LSI35" s="3"/>
      <c r="LSJ35" s="3"/>
      <c r="LSK35" s="3"/>
      <c r="LSL35" s="3"/>
      <c r="LSM35" s="3"/>
      <c r="LSN35" s="3"/>
      <c r="LSO35" s="3"/>
      <c r="LSP35" s="3"/>
      <c r="LSQ35" s="3"/>
      <c r="LSR35" s="3"/>
      <c r="LSS35" s="3"/>
      <c r="LST35" s="3"/>
      <c r="LSU35" s="3"/>
      <c r="LSV35" s="3"/>
      <c r="LSW35" s="3"/>
      <c r="LSX35" s="3"/>
      <c r="LSY35" s="3"/>
      <c r="LSZ35" s="3"/>
      <c r="LTA35" s="3"/>
      <c r="LTB35" s="3"/>
      <c r="LTC35" s="3"/>
      <c r="LTD35" s="3"/>
      <c r="LTE35" s="3"/>
      <c r="LTF35" s="3"/>
      <c r="LTG35" s="3"/>
      <c r="LTH35" s="3"/>
      <c r="LTI35" s="3"/>
      <c r="LTJ35" s="3"/>
      <c r="LTK35" s="3"/>
      <c r="LTL35" s="3"/>
      <c r="LTM35" s="3"/>
      <c r="LTN35" s="3"/>
      <c r="LTO35" s="3"/>
      <c r="LTP35" s="3"/>
      <c r="LTQ35" s="3"/>
      <c r="LTR35" s="3"/>
      <c r="LTS35" s="3"/>
      <c r="LTT35" s="3"/>
      <c r="LTU35" s="3"/>
      <c r="LTV35" s="3"/>
      <c r="LTW35" s="3"/>
      <c r="LTX35" s="3"/>
      <c r="LTY35" s="3"/>
      <c r="LTZ35" s="3"/>
      <c r="LUA35" s="3"/>
      <c r="LUB35" s="3"/>
      <c r="LUC35" s="3"/>
      <c r="LUD35" s="3"/>
      <c r="LUE35" s="3"/>
      <c r="LUF35" s="3"/>
      <c r="LUG35" s="3"/>
      <c r="LUH35" s="3"/>
      <c r="LUI35" s="3"/>
      <c r="LUJ35" s="3"/>
      <c r="LUK35" s="3"/>
      <c r="LUL35" s="3"/>
      <c r="LUM35" s="3"/>
      <c r="LUN35" s="3"/>
      <c r="LUO35" s="3"/>
      <c r="LUP35" s="3"/>
      <c r="LUQ35" s="3"/>
      <c r="LUR35" s="3"/>
      <c r="LUS35" s="3"/>
      <c r="LUT35" s="3"/>
      <c r="LUU35" s="3"/>
      <c r="LUV35" s="3"/>
      <c r="LUW35" s="3"/>
      <c r="LUX35" s="3"/>
      <c r="LUY35" s="3"/>
      <c r="LUZ35" s="3"/>
      <c r="LVA35" s="3"/>
      <c r="LVB35" s="3"/>
      <c r="LVC35" s="3"/>
      <c r="LVD35" s="3"/>
      <c r="LVE35" s="3"/>
      <c r="LVF35" s="3"/>
      <c r="LVG35" s="3"/>
      <c r="LVH35" s="3"/>
      <c r="LVI35" s="3"/>
      <c r="LVJ35" s="3"/>
      <c r="LVK35" s="3"/>
      <c r="LVL35" s="3"/>
      <c r="LVM35" s="3"/>
      <c r="LVN35" s="3"/>
      <c r="LVO35" s="3"/>
      <c r="LVP35" s="3"/>
      <c r="LVQ35" s="3"/>
      <c r="LVR35" s="3"/>
      <c r="LVS35" s="3"/>
      <c r="LVT35" s="3"/>
      <c r="LVU35" s="3"/>
      <c r="LVV35" s="3"/>
      <c r="LVW35" s="3"/>
      <c r="LVX35" s="3"/>
      <c r="LVY35" s="3"/>
      <c r="LVZ35" s="3"/>
      <c r="LWA35" s="3"/>
      <c r="LWB35" s="3"/>
      <c r="LWC35" s="3"/>
      <c r="LWD35" s="3"/>
      <c r="LWE35" s="3"/>
      <c r="LWF35" s="3"/>
      <c r="LWG35" s="3"/>
      <c r="LWH35" s="3"/>
      <c r="LWI35" s="3"/>
      <c r="LWJ35" s="3"/>
      <c r="LWK35" s="3"/>
      <c r="LWL35" s="3"/>
      <c r="LWM35" s="3"/>
      <c r="LWN35" s="3"/>
      <c r="LWO35" s="3"/>
      <c r="LWP35" s="3"/>
      <c r="LWQ35" s="3"/>
      <c r="LWR35" s="3"/>
      <c r="LWS35" s="3"/>
      <c r="LWT35" s="3"/>
      <c r="LWU35" s="3"/>
      <c r="LWV35" s="3"/>
      <c r="LWW35" s="3"/>
      <c r="LWX35" s="3"/>
      <c r="LWY35" s="3"/>
      <c r="LWZ35" s="3"/>
      <c r="LXA35" s="3"/>
      <c r="LXB35" s="3"/>
      <c r="LXC35" s="3"/>
      <c r="LXD35" s="3"/>
      <c r="LXE35" s="3"/>
      <c r="LXF35" s="3"/>
      <c r="LXG35" s="3"/>
      <c r="LXH35" s="3"/>
      <c r="LXI35" s="3"/>
      <c r="LXJ35" s="3"/>
      <c r="LXK35" s="3"/>
      <c r="LXL35" s="3"/>
      <c r="LXM35" s="3"/>
      <c r="LXN35" s="3"/>
      <c r="LXO35" s="3"/>
      <c r="LXP35" s="3"/>
      <c r="LXQ35" s="3"/>
      <c r="LXR35" s="3"/>
      <c r="LXS35" s="3"/>
      <c r="LXT35" s="3"/>
      <c r="LXU35" s="3"/>
      <c r="LXV35" s="3"/>
      <c r="LXW35" s="3"/>
      <c r="LXX35" s="3"/>
      <c r="LXY35" s="3"/>
      <c r="LXZ35" s="3"/>
      <c r="LYA35" s="3"/>
      <c r="LYB35" s="3"/>
      <c r="LYC35" s="3"/>
      <c r="LYD35" s="3"/>
      <c r="LYE35" s="3"/>
      <c r="LYF35" s="3"/>
      <c r="LYG35" s="3"/>
      <c r="LYH35" s="3"/>
      <c r="LYI35" s="3"/>
      <c r="LYJ35" s="3"/>
      <c r="LYK35" s="3"/>
      <c r="LYL35" s="3"/>
      <c r="LYM35" s="3"/>
      <c r="LYN35" s="3"/>
      <c r="LYO35" s="3"/>
      <c r="LYP35" s="3"/>
      <c r="LYQ35" s="3"/>
      <c r="LYR35" s="3"/>
      <c r="LYS35" s="3"/>
      <c r="LYT35" s="3"/>
      <c r="LYU35" s="3"/>
      <c r="LYV35" s="3"/>
      <c r="LYW35" s="3"/>
      <c r="LYX35" s="3"/>
      <c r="LYY35" s="3"/>
      <c r="LYZ35" s="3"/>
      <c r="LZA35" s="3"/>
      <c r="LZB35" s="3"/>
      <c r="LZC35" s="3"/>
      <c r="LZD35" s="3"/>
      <c r="LZE35" s="3"/>
      <c r="LZF35" s="3"/>
      <c r="LZG35" s="3"/>
      <c r="LZH35" s="3"/>
      <c r="LZI35" s="3"/>
      <c r="LZJ35" s="3"/>
      <c r="LZK35" s="3"/>
      <c r="LZL35" s="3"/>
      <c r="LZM35" s="3"/>
      <c r="LZN35" s="3"/>
      <c r="LZO35" s="3"/>
      <c r="LZP35" s="3"/>
      <c r="LZQ35" s="3"/>
      <c r="LZR35" s="3"/>
      <c r="LZS35" s="3"/>
      <c r="LZT35" s="3"/>
      <c r="LZU35" s="3"/>
      <c r="LZV35" s="3"/>
      <c r="LZW35" s="3"/>
      <c r="LZX35" s="3"/>
      <c r="LZY35" s="3"/>
      <c r="LZZ35" s="3"/>
      <c r="MAA35" s="3"/>
      <c r="MAB35" s="3"/>
      <c r="MAC35" s="3"/>
      <c r="MAD35" s="3"/>
      <c r="MAE35" s="3"/>
      <c r="MAF35" s="3"/>
      <c r="MAG35" s="3"/>
      <c r="MAH35" s="3"/>
      <c r="MAI35" s="3"/>
      <c r="MAJ35" s="3"/>
      <c r="MAK35" s="3"/>
      <c r="MAL35" s="3"/>
      <c r="MAM35" s="3"/>
      <c r="MAN35" s="3"/>
      <c r="MAO35" s="3"/>
      <c r="MAP35" s="3"/>
      <c r="MAQ35" s="3"/>
      <c r="MAR35" s="3"/>
      <c r="MAS35" s="3"/>
      <c r="MAT35" s="3"/>
      <c r="MAU35" s="3"/>
      <c r="MAV35" s="3"/>
      <c r="MAW35" s="3"/>
      <c r="MAX35" s="3"/>
      <c r="MAY35" s="3"/>
      <c r="MAZ35" s="3"/>
      <c r="MBA35" s="3"/>
      <c r="MBB35" s="3"/>
      <c r="MBC35" s="3"/>
      <c r="MBD35" s="3"/>
      <c r="MBE35" s="3"/>
      <c r="MBF35" s="3"/>
      <c r="MBG35" s="3"/>
      <c r="MBH35" s="3"/>
      <c r="MBI35" s="3"/>
      <c r="MBJ35" s="3"/>
      <c r="MBK35" s="3"/>
      <c r="MBL35" s="3"/>
      <c r="MBM35" s="3"/>
      <c r="MBN35" s="3"/>
      <c r="MBO35" s="3"/>
      <c r="MBP35" s="3"/>
      <c r="MBQ35" s="3"/>
      <c r="MBR35" s="3"/>
      <c r="MBS35" s="3"/>
      <c r="MBT35" s="3"/>
      <c r="MBU35" s="3"/>
      <c r="MBV35" s="3"/>
      <c r="MBW35" s="3"/>
      <c r="MBX35" s="3"/>
      <c r="MBY35" s="3"/>
      <c r="MBZ35" s="3"/>
      <c r="MCA35" s="3"/>
      <c r="MCB35" s="3"/>
      <c r="MCC35" s="3"/>
      <c r="MCD35" s="3"/>
      <c r="MCE35" s="3"/>
      <c r="MCF35" s="3"/>
      <c r="MCG35" s="3"/>
      <c r="MCH35" s="3"/>
      <c r="MCI35" s="3"/>
      <c r="MCJ35" s="3"/>
      <c r="MCK35" s="3"/>
      <c r="MCL35" s="3"/>
      <c r="MCM35" s="3"/>
      <c r="MCN35" s="3"/>
      <c r="MCO35" s="3"/>
      <c r="MCP35" s="3"/>
      <c r="MCQ35" s="3"/>
      <c r="MCR35" s="3"/>
      <c r="MCS35" s="3"/>
      <c r="MCT35" s="3"/>
      <c r="MCU35" s="3"/>
      <c r="MCV35" s="3"/>
      <c r="MCW35" s="3"/>
      <c r="MCX35" s="3"/>
      <c r="MCY35" s="3"/>
      <c r="MCZ35" s="3"/>
      <c r="MDA35" s="3"/>
      <c r="MDB35" s="3"/>
      <c r="MDC35" s="3"/>
      <c r="MDD35" s="3"/>
      <c r="MDE35" s="3"/>
      <c r="MDF35" s="3"/>
      <c r="MDG35" s="3"/>
      <c r="MDH35" s="3"/>
      <c r="MDI35" s="3"/>
      <c r="MDJ35" s="3"/>
      <c r="MDK35" s="3"/>
      <c r="MDL35" s="3"/>
      <c r="MDM35" s="3"/>
      <c r="MDN35" s="3"/>
      <c r="MDO35" s="3"/>
      <c r="MDP35" s="3"/>
      <c r="MDQ35" s="3"/>
      <c r="MDR35" s="3"/>
      <c r="MDS35" s="3"/>
      <c r="MDT35" s="3"/>
      <c r="MDU35" s="3"/>
      <c r="MDV35" s="3"/>
      <c r="MDW35" s="3"/>
      <c r="MDX35" s="3"/>
      <c r="MDY35" s="3"/>
      <c r="MDZ35" s="3"/>
      <c r="MEA35" s="3"/>
      <c r="MEB35" s="3"/>
      <c r="MEC35" s="3"/>
      <c r="MED35" s="3"/>
      <c r="MEE35" s="3"/>
      <c r="MEF35" s="3"/>
      <c r="MEG35" s="3"/>
      <c r="MEH35" s="3"/>
      <c r="MEI35" s="3"/>
      <c r="MEJ35" s="3"/>
      <c r="MEK35" s="3"/>
      <c r="MEL35" s="3"/>
      <c r="MEM35" s="3"/>
      <c r="MEN35" s="3"/>
      <c r="MEO35" s="3"/>
      <c r="MEP35" s="3"/>
      <c r="MEQ35" s="3"/>
      <c r="MER35" s="3"/>
      <c r="MES35" s="3"/>
      <c r="MET35" s="3"/>
      <c r="MEU35" s="3"/>
      <c r="MEV35" s="3"/>
      <c r="MEW35" s="3"/>
      <c r="MEX35" s="3"/>
      <c r="MEY35" s="3"/>
      <c r="MEZ35" s="3"/>
      <c r="MFA35" s="3"/>
      <c r="MFB35" s="3"/>
      <c r="MFC35" s="3"/>
      <c r="MFD35" s="3"/>
      <c r="MFE35" s="3"/>
      <c r="MFF35" s="3"/>
      <c r="MFG35" s="3"/>
      <c r="MFH35" s="3"/>
      <c r="MFI35" s="3"/>
      <c r="MFJ35" s="3"/>
      <c r="MFK35" s="3"/>
      <c r="MFL35" s="3"/>
      <c r="MFM35" s="3"/>
      <c r="MFN35" s="3"/>
      <c r="MFO35" s="3"/>
      <c r="MFP35" s="3"/>
      <c r="MFQ35" s="3"/>
      <c r="MFR35" s="3"/>
      <c r="MFS35" s="3"/>
      <c r="MFT35" s="3"/>
      <c r="MFU35" s="3"/>
      <c r="MFV35" s="3"/>
      <c r="MFW35" s="3"/>
      <c r="MFX35" s="3"/>
      <c r="MFY35" s="3"/>
      <c r="MFZ35" s="3"/>
      <c r="MGA35" s="3"/>
      <c r="MGB35" s="3"/>
      <c r="MGC35" s="3"/>
      <c r="MGD35" s="3"/>
      <c r="MGE35" s="3"/>
      <c r="MGF35" s="3"/>
      <c r="MGG35" s="3"/>
      <c r="MGH35" s="3"/>
      <c r="MGI35" s="3"/>
      <c r="MGJ35" s="3"/>
      <c r="MGK35" s="3"/>
      <c r="MGL35" s="3"/>
      <c r="MGM35" s="3"/>
      <c r="MGN35" s="3"/>
      <c r="MGO35" s="3"/>
      <c r="MGP35" s="3"/>
      <c r="MGQ35" s="3"/>
      <c r="MGR35" s="3"/>
      <c r="MGS35" s="3"/>
      <c r="MGT35" s="3"/>
      <c r="MGU35" s="3"/>
      <c r="MGV35" s="3"/>
      <c r="MGW35" s="3"/>
      <c r="MGX35" s="3"/>
      <c r="MGY35" s="3"/>
      <c r="MGZ35" s="3"/>
      <c r="MHA35" s="3"/>
      <c r="MHB35" s="3"/>
      <c r="MHC35" s="3"/>
      <c r="MHD35" s="3"/>
      <c r="MHE35" s="3"/>
      <c r="MHF35" s="3"/>
      <c r="MHG35" s="3"/>
      <c r="MHH35" s="3"/>
      <c r="MHI35" s="3"/>
      <c r="MHJ35" s="3"/>
      <c r="MHK35" s="3"/>
      <c r="MHL35" s="3"/>
      <c r="MHM35" s="3"/>
      <c r="MHN35" s="3"/>
      <c r="MHO35" s="3"/>
      <c r="MHP35" s="3"/>
      <c r="MHQ35" s="3"/>
      <c r="MHR35" s="3"/>
      <c r="MHS35" s="3"/>
      <c r="MHT35" s="3"/>
      <c r="MHU35" s="3"/>
      <c r="MHV35" s="3"/>
      <c r="MHW35" s="3"/>
      <c r="MHX35" s="3"/>
      <c r="MHY35" s="3"/>
      <c r="MHZ35" s="3"/>
      <c r="MIA35" s="3"/>
      <c r="MIB35" s="3"/>
      <c r="MIC35" s="3"/>
      <c r="MID35" s="3"/>
      <c r="MIE35" s="3"/>
      <c r="MIF35" s="3"/>
      <c r="MIG35" s="3"/>
      <c r="MIH35" s="3"/>
      <c r="MII35" s="3"/>
      <c r="MIJ35" s="3"/>
      <c r="MIK35" s="3"/>
      <c r="MIL35" s="3"/>
      <c r="MIM35" s="3"/>
      <c r="MIN35" s="3"/>
      <c r="MIO35" s="3"/>
      <c r="MIP35" s="3"/>
      <c r="MIQ35" s="3"/>
      <c r="MIR35" s="3"/>
      <c r="MIS35" s="3"/>
      <c r="MIT35" s="3"/>
      <c r="MIU35" s="3"/>
      <c r="MIV35" s="3"/>
      <c r="MIW35" s="3"/>
      <c r="MIX35" s="3"/>
      <c r="MIY35" s="3"/>
      <c r="MIZ35" s="3"/>
      <c r="MJA35" s="3"/>
      <c r="MJB35" s="3"/>
      <c r="MJC35" s="3"/>
      <c r="MJD35" s="3"/>
      <c r="MJE35" s="3"/>
      <c r="MJF35" s="3"/>
      <c r="MJG35" s="3"/>
      <c r="MJH35" s="3"/>
      <c r="MJI35" s="3"/>
      <c r="MJJ35" s="3"/>
      <c r="MJK35" s="3"/>
      <c r="MJL35" s="3"/>
      <c r="MJM35" s="3"/>
      <c r="MJN35" s="3"/>
      <c r="MJO35" s="3"/>
      <c r="MJP35" s="3"/>
      <c r="MJQ35" s="3"/>
      <c r="MJR35" s="3"/>
      <c r="MJS35" s="3"/>
      <c r="MJT35" s="3"/>
      <c r="MJU35" s="3"/>
      <c r="MJV35" s="3"/>
      <c r="MJW35" s="3"/>
      <c r="MJX35" s="3"/>
      <c r="MJY35" s="3"/>
      <c r="MJZ35" s="3"/>
      <c r="MKA35" s="3"/>
      <c r="MKB35" s="3"/>
      <c r="MKC35" s="3"/>
      <c r="MKD35" s="3"/>
      <c r="MKE35" s="3"/>
      <c r="MKF35" s="3"/>
      <c r="MKG35" s="3"/>
      <c r="MKH35" s="3"/>
      <c r="MKI35" s="3"/>
      <c r="MKJ35" s="3"/>
      <c r="MKK35" s="3"/>
      <c r="MKL35" s="3"/>
      <c r="MKM35" s="3"/>
      <c r="MKN35" s="3"/>
      <c r="MKO35" s="3"/>
      <c r="MKP35" s="3"/>
      <c r="MKQ35" s="3"/>
      <c r="MKR35" s="3"/>
      <c r="MKS35" s="3"/>
      <c r="MKT35" s="3"/>
      <c r="MKU35" s="3"/>
      <c r="MKV35" s="3"/>
      <c r="MKW35" s="3"/>
      <c r="MKX35" s="3"/>
      <c r="MKY35" s="3"/>
      <c r="MKZ35" s="3"/>
      <c r="MLA35" s="3"/>
      <c r="MLB35" s="3"/>
      <c r="MLC35" s="3"/>
      <c r="MLD35" s="3"/>
      <c r="MLE35" s="3"/>
      <c r="MLF35" s="3"/>
      <c r="MLG35" s="3"/>
      <c r="MLH35" s="3"/>
      <c r="MLI35" s="3"/>
      <c r="MLJ35" s="3"/>
      <c r="MLK35" s="3"/>
      <c r="MLL35" s="3"/>
      <c r="MLM35" s="3"/>
      <c r="MLN35" s="3"/>
      <c r="MLO35" s="3"/>
      <c r="MLP35" s="3"/>
      <c r="MLQ35" s="3"/>
      <c r="MLR35" s="3"/>
      <c r="MLS35" s="3"/>
      <c r="MLT35" s="3"/>
      <c r="MLU35" s="3"/>
      <c r="MLV35" s="3"/>
      <c r="MLW35" s="3"/>
      <c r="MLX35" s="3"/>
      <c r="MLY35" s="3"/>
      <c r="MLZ35" s="3"/>
      <c r="MMA35" s="3"/>
      <c r="MMB35" s="3"/>
      <c r="MMC35" s="3"/>
      <c r="MMD35" s="3"/>
      <c r="MME35" s="3"/>
      <c r="MMF35" s="3"/>
      <c r="MMG35" s="3"/>
      <c r="MMH35" s="3"/>
      <c r="MMI35" s="3"/>
      <c r="MMJ35" s="3"/>
      <c r="MMK35" s="3"/>
      <c r="MML35" s="3"/>
      <c r="MMM35" s="3"/>
      <c r="MMN35" s="3"/>
      <c r="MMO35" s="3"/>
      <c r="MMP35" s="3"/>
      <c r="MMQ35" s="3"/>
      <c r="MMR35" s="3"/>
      <c r="MMS35" s="3"/>
      <c r="MMT35" s="3"/>
      <c r="MMU35" s="3"/>
      <c r="MMV35" s="3"/>
      <c r="MMW35" s="3"/>
      <c r="MMX35" s="3"/>
      <c r="MMY35" s="3"/>
      <c r="MMZ35" s="3"/>
      <c r="MNA35" s="3"/>
      <c r="MNB35" s="3"/>
      <c r="MNC35" s="3"/>
      <c r="MND35" s="3"/>
      <c r="MNE35" s="3"/>
      <c r="MNF35" s="3"/>
      <c r="MNG35" s="3"/>
      <c r="MNH35" s="3"/>
      <c r="MNI35" s="3"/>
      <c r="MNJ35" s="3"/>
      <c r="MNK35" s="3"/>
      <c r="MNL35" s="3"/>
      <c r="MNM35" s="3"/>
      <c r="MNN35" s="3"/>
      <c r="MNO35" s="3"/>
      <c r="MNP35" s="3"/>
      <c r="MNQ35" s="3"/>
      <c r="MNR35" s="3"/>
      <c r="MNS35" s="3"/>
      <c r="MNT35" s="3"/>
      <c r="MNU35" s="3"/>
      <c r="MNV35" s="3"/>
      <c r="MNW35" s="3"/>
      <c r="MNX35" s="3"/>
      <c r="MNY35" s="3"/>
      <c r="MNZ35" s="3"/>
      <c r="MOA35" s="3"/>
      <c r="MOB35" s="3"/>
      <c r="MOC35" s="3"/>
      <c r="MOD35" s="3"/>
      <c r="MOE35" s="3"/>
      <c r="MOF35" s="3"/>
      <c r="MOG35" s="3"/>
      <c r="MOH35" s="3"/>
      <c r="MOI35" s="3"/>
      <c r="MOJ35" s="3"/>
      <c r="MOK35" s="3"/>
      <c r="MOL35" s="3"/>
      <c r="MOM35" s="3"/>
      <c r="MON35" s="3"/>
      <c r="MOO35" s="3"/>
      <c r="MOP35" s="3"/>
      <c r="MOQ35" s="3"/>
      <c r="MOR35" s="3"/>
      <c r="MOS35" s="3"/>
      <c r="MOT35" s="3"/>
      <c r="MOU35" s="3"/>
      <c r="MOV35" s="3"/>
      <c r="MOW35" s="3"/>
      <c r="MOX35" s="3"/>
      <c r="MOY35" s="3"/>
      <c r="MOZ35" s="3"/>
      <c r="MPA35" s="3"/>
      <c r="MPB35" s="3"/>
      <c r="MPC35" s="3"/>
      <c r="MPD35" s="3"/>
      <c r="MPE35" s="3"/>
      <c r="MPF35" s="3"/>
      <c r="MPG35" s="3"/>
      <c r="MPH35" s="3"/>
      <c r="MPI35" s="3"/>
      <c r="MPJ35" s="3"/>
      <c r="MPK35" s="3"/>
      <c r="MPL35" s="3"/>
      <c r="MPM35" s="3"/>
      <c r="MPN35" s="3"/>
      <c r="MPO35" s="3"/>
      <c r="MPP35" s="3"/>
      <c r="MPQ35" s="3"/>
      <c r="MPR35" s="3"/>
      <c r="MPS35" s="3"/>
      <c r="MPT35" s="3"/>
      <c r="MPU35" s="3"/>
      <c r="MPV35" s="3"/>
      <c r="MPW35" s="3"/>
      <c r="MPX35" s="3"/>
      <c r="MPY35" s="3"/>
      <c r="MPZ35" s="3"/>
      <c r="MQA35" s="3"/>
      <c r="MQB35" s="3"/>
      <c r="MQC35" s="3"/>
      <c r="MQD35" s="3"/>
      <c r="MQE35" s="3"/>
      <c r="MQF35" s="3"/>
      <c r="MQG35" s="3"/>
      <c r="MQH35" s="3"/>
      <c r="MQI35" s="3"/>
      <c r="MQJ35" s="3"/>
      <c r="MQK35" s="3"/>
      <c r="MQL35" s="3"/>
      <c r="MQM35" s="3"/>
      <c r="MQN35" s="3"/>
      <c r="MQO35" s="3"/>
      <c r="MQP35" s="3"/>
      <c r="MQQ35" s="3"/>
      <c r="MQR35" s="3"/>
      <c r="MQS35" s="3"/>
      <c r="MQT35" s="3"/>
      <c r="MQU35" s="3"/>
      <c r="MQV35" s="3"/>
      <c r="MQW35" s="3"/>
      <c r="MQX35" s="3"/>
      <c r="MQY35" s="3"/>
      <c r="MQZ35" s="3"/>
      <c r="MRA35" s="3"/>
      <c r="MRB35" s="3"/>
      <c r="MRC35" s="3"/>
      <c r="MRD35" s="3"/>
      <c r="MRE35" s="3"/>
      <c r="MRF35" s="3"/>
      <c r="MRG35" s="3"/>
      <c r="MRH35" s="3"/>
      <c r="MRI35" s="3"/>
      <c r="MRJ35" s="3"/>
      <c r="MRK35" s="3"/>
      <c r="MRL35" s="3"/>
      <c r="MRM35" s="3"/>
      <c r="MRN35" s="3"/>
      <c r="MRO35" s="3"/>
      <c r="MRP35" s="3"/>
      <c r="MRQ35" s="3"/>
      <c r="MRR35" s="3"/>
      <c r="MRS35" s="3"/>
      <c r="MRT35" s="3"/>
      <c r="MRU35" s="3"/>
      <c r="MRV35" s="3"/>
      <c r="MRW35" s="3"/>
      <c r="MRX35" s="3"/>
      <c r="MRY35" s="3"/>
      <c r="MRZ35" s="3"/>
      <c r="MSA35" s="3"/>
      <c r="MSB35" s="3"/>
      <c r="MSC35" s="3"/>
      <c r="MSD35" s="3"/>
      <c r="MSE35" s="3"/>
      <c r="MSF35" s="3"/>
      <c r="MSG35" s="3"/>
      <c r="MSH35" s="3"/>
      <c r="MSI35" s="3"/>
      <c r="MSJ35" s="3"/>
      <c r="MSK35" s="3"/>
      <c r="MSL35" s="3"/>
      <c r="MSM35" s="3"/>
      <c r="MSN35" s="3"/>
      <c r="MSO35" s="3"/>
      <c r="MSP35" s="3"/>
      <c r="MSQ35" s="3"/>
      <c r="MSR35" s="3"/>
      <c r="MSS35" s="3"/>
      <c r="MST35" s="3"/>
      <c r="MSU35" s="3"/>
      <c r="MSV35" s="3"/>
      <c r="MSW35" s="3"/>
      <c r="MSX35" s="3"/>
      <c r="MSY35" s="3"/>
      <c r="MSZ35" s="3"/>
      <c r="MTA35" s="3"/>
      <c r="MTB35" s="3"/>
      <c r="MTC35" s="3"/>
      <c r="MTD35" s="3"/>
      <c r="MTE35" s="3"/>
      <c r="MTF35" s="3"/>
      <c r="MTG35" s="3"/>
      <c r="MTH35" s="3"/>
      <c r="MTI35" s="3"/>
      <c r="MTJ35" s="3"/>
      <c r="MTK35" s="3"/>
      <c r="MTL35" s="3"/>
      <c r="MTM35" s="3"/>
      <c r="MTN35" s="3"/>
      <c r="MTO35" s="3"/>
      <c r="MTP35" s="3"/>
      <c r="MTQ35" s="3"/>
      <c r="MTR35" s="3"/>
      <c r="MTS35" s="3"/>
      <c r="MTT35" s="3"/>
      <c r="MTU35" s="3"/>
      <c r="MTV35" s="3"/>
      <c r="MTW35" s="3"/>
      <c r="MTX35" s="3"/>
      <c r="MTY35" s="3"/>
      <c r="MTZ35" s="3"/>
      <c r="MUA35" s="3"/>
      <c r="MUB35" s="3"/>
      <c r="MUC35" s="3"/>
      <c r="MUD35" s="3"/>
      <c r="MUE35" s="3"/>
      <c r="MUF35" s="3"/>
      <c r="MUG35" s="3"/>
      <c r="MUH35" s="3"/>
      <c r="MUI35" s="3"/>
      <c r="MUJ35" s="3"/>
      <c r="MUK35" s="3"/>
      <c r="MUL35" s="3"/>
      <c r="MUM35" s="3"/>
      <c r="MUN35" s="3"/>
      <c r="MUO35" s="3"/>
      <c r="MUP35" s="3"/>
      <c r="MUQ35" s="3"/>
      <c r="MUR35" s="3"/>
      <c r="MUS35" s="3"/>
      <c r="MUT35" s="3"/>
      <c r="MUU35" s="3"/>
      <c r="MUV35" s="3"/>
      <c r="MUW35" s="3"/>
      <c r="MUX35" s="3"/>
      <c r="MUY35" s="3"/>
      <c r="MUZ35" s="3"/>
      <c r="MVA35" s="3"/>
      <c r="MVB35" s="3"/>
      <c r="MVC35" s="3"/>
      <c r="MVD35" s="3"/>
      <c r="MVE35" s="3"/>
      <c r="MVF35" s="3"/>
      <c r="MVG35" s="3"/>
      <c r="MVH35" s="3"/>
      <c r="MVI35" s="3"/>
      <c r="MVJ35" s="3"/>
      <c r="MVK35" s="3"/>
      <c r="MVL35" s="3"/>
      <c r="MVM35" s="3"/>
      <c r="MVN35" s="3"/>
      <c r="MVO35" s="3"/>
      <c r="MVP35" s="3"/>
      <c r="MVQ35" s="3"/>
      <c r="MVR35" s="3"/>
      <c r="MVS35" s="3"/>
      <c r="MVT35" s="3"/>
      <c r="MVU35" s="3"/>
      <c r="MVV35" s="3"/>
      <c r="MVW35" s="3"/>
      <c r="MVX35" s="3"/>
      <c r="MVY35" s="3"/>
      <c r="MVZ35" s="3"/>
      <c r="MWA35" s="3"/>
      <c r="MWB35" s="3"/>
      <c r="MWC35" s="3"/>
      <c r="MWD35" s="3"/>
      <c r="MWE35" s="3"/>
      <c r="MWF35" s="3"/>
      <c r="MWG35" s="3"/>
      <c r="MWH35" s="3"/>
      <c r="MWI35" s="3"/>
      <c r="MWJ35" s="3"/>
      <c r="MWK35" s="3"/>
      <c r="MWL35" s="3"/>
      <c r="MWM35" s="3"/>
      <c r="MWN35" s="3"/>
      <c r="MWO35" s="3"/>
      <c r="MWP35" s="3"/>
      <c r="MWQ35" s="3"/>
      <c r="MWR35" s="3"/>
      <c r="MWS35" s="3"/>
      <c r="MWT35" s="3"/>
      <c r="MWU35" s="3"/>
      <c r="MWV35" s="3"/>
      <c r="MWW35" s="3"/>
      <c r="MWX35" s="3"/>
      <c r="MWY35" s="3"/>
      <c r="MWZ35" s="3"/>
      <c r="MXA35" s="3"/>
      <c r="MXB35" s="3"/>
      <c r="MXC35" s="3"/>
      <c r="MXD35" s="3"/>
      <c r="MXE35" s="3"/>
      <c r="MXF35" s="3"/>
      <c r="MXG35" s="3"/>
      <c r="MXH35" s="3"/>
      <c r="MXI35" s="3"/>
      <c r="MXJ35" s="3"/>
      <c r="MXK35" s="3"/>
      <c r="MXL35" s="3"/>
      <c r="MXM35" s="3"/>
      <c r="MXN35" s="3"/>
      <c r="MXO35" s="3"/>
      <c r="MXP35" s="3"/>
      <c r="MXQ35" s="3"/>
      <c r="MXR35" s="3"/>
      <c r="MXS35" s="3"/>
      <c r="MXT35" s="3"/>
      <c r="MXU35" s="3"/>
      <c r="MXV35" s="3"/>
      <c r="MXW35" s="3"/>
      <c r="MXX35" s="3"/>
      <c r="MXY35" s="3"/>
      <c r="MXZ35" s="3"/>
      <c r="MYA35" s="3"/>
      <c r="MYB35" s="3"/>
      <c r="MYC35" s="3"/>
      <c r="MYD35" s="3"/>
      <c r="MYE35" s="3"/>
      <c r="MYF35" s="3"/>
      <c r="MYG35" s="3"/>
      <c r="MYH35" s="3"/>
      <c r="MYI35" s="3"/>
      <c r="MYJ35" s="3"/>
      <c r="MYK35" s="3"/>
      <c r="MYL35" s="3"/>
      <c r="MYM35" s="3"/>
      <c r="MYN35" s="3"/>
      <c r="MYO35" s="3"/>
      <c r="MYP35" s="3"/>
      <c r="MYQ35" s="3"/>
      <c r="MYR35" s="3"/>
      <c r="MYS35" s="3"/>
      <c r="MYT35" s="3"/>
      <c r="MYU35" s="3"/>
      <c r="MYV35" s="3"/>
      <c r="MYW35" s="3"/>
      <c r="MYX35" s="3"/>
      <c r="MYY35" s="3"/>
      <c r="MYZ35" s="3"/>
      <c r="MZA35" s="3"/>
      <c r="MZB35" s="3"/>
      <c r="MZC35" s="3"/>
      <c r="MZD35" s="3"/>
      <c r="MZE35" s="3"/>
      <c r="MZF35" s="3"/>
      <c r="MZG35" s="3"/>
      <c r="MZH35" s="3"/>
      <c r="MZI35" s="3"/>
      <c r="MZJ35" s="3"/>
      <c r="MZK35" s="3"/>
      <c r="MZL35" s="3"/>
      <c r="MZM35" s="3"/>
      <c r="MZN35" s="3"/>
      <c r="MZO35" s="3"/>
      <c r="MZP35" s="3"/>
      <c r="MZQ35" s="3"/>
      <c r="MZR35" s="3"/>
      <c r="MZS35" s="3"/>
      <c r="MZT35" s="3"/>
      <c r="MZU35" s="3"/>
      <c r="MZV35" s="3"/>
      <c r="MZW35" s="3"/>
      <c r="MZX35" s="3"/>
      <c r="MZY35" s="3"/>
      <c r="MZZ35" s="3"/>
      <c r="NAA35" s="3"/>
      <c r="NAB35" s="3"/>
      <c r="NAC35" s="3"/>
      <c r="NAD35" s="3"/>
      <c r="NAE35" s="3"/>
      <c r="NAF35" s="3"/>
      <c r="NAG35" s="3"/>
      <c r="NAH35" s="3"/>
      <c r="NAI35" s="3"/>
      <c r="NAJ35" s="3"/>
      <c r="NAK35" s="3"/>
      <c r="NAL35" s="3"/>
      <c r="NAM35" s="3"/>
      <c r="NAN35" s="3"/>
      <c r="NAO35" s="3"/>
      <c r="NAP35" s="3"/>
      <c r="NAQ35" s="3"/>
      <c r="NAR35" s="3"/>
      <c r="NAS35" s="3"/>
      <c r="NAT35" s="3"/>
      <c r="NAU35" s="3"/>
      <c r="NAV35" s="3"/>
      <c r="NAW35" s="3"/>
      <c r="NAX35" s="3"/>
      <c r="NAY35" s="3"/>
      <c r="NAZ35" s="3"/>
      <c r="NBA35" s="3"/>
      <c r="NBB35" s="3"/>
      <c r="NBC35" s="3"/>
      <c r="NBD35" s="3"/>
      <c r="NBE35" s="3"/>
      <c r="NBF35" s="3"/>
      <c r="NBG35" s="3"/>
      <c r="NBH35" s="3"/>
      <c r="NBI35" s="3"/>
      <c r="NBJ35" s="3"/>
      <c r="NBK35" s="3"/>
      <c r="NBL35" s="3"/>
      <c r="NBM35" s="3"/>
      <c r="NBN35" s="3"/>
      <c r="NBO35" s="3"/>
      <c r="NBP35" s="3"/>
      <c r="NBQ35" s="3"/>
      <c r="NBR35" s="3"/>
      <c r="NBS35" s="3"/>
      <c r="NBT35" s="3"/>
      <c r="NBU35" s="3"/>
      <c r="NBV35" s="3"/>
      <c r="NBW35" s="3"/>
      <c r="NBX35" s="3"/>
      <c r="NBY35" s="3"/>
      <c r="NBZ35" s="3"/>
      <c r="NCA35" s="3"/>
      <c r="NCB35" s="3"/>
      <c r="NCC35" s="3"/>
      <c r="NCD35" s="3"/>
      <c r="NCE35" s="3"/>
      <c r="NCF35" s="3"/>
      <c r="NCG35" s="3"/>
      <c r="NCH35" s="3"/>
      <c r="NCI35" s="3"/>
      <c r="NCJ35" s="3"/>
      <c r="NCK35" s="3"/>
      <c r="NCL35" s="3"/>
      <c r="NCM35" s="3"/>
      <c r="NCN35" s="3"/>
      <c r="NCO35" s="3"/>
      <c r="NCP35" s="3"/>
      <c r="NCQ35" s="3"/>
      <c r="NCR35" s="3"/>
      <c r="NCS35" s="3"/>
      <c r="NCT35" s="3"/>
      <c r="NCU35" s="3"/>
      <c r="NCV35" s="3"/>
      <c r="NCW35" s="3"/>
      <c r="NCX35" s="3"/>
      <c r="NCY35" s="3"/>
      <c r="NCZ35" s="3"/>
      <c r="NDA35" s="3"/>
      <c r="NDB35" s="3"/>
      <c r="NDC35" s="3"/>
      <c r="NDD35" s="3"/>
      <c r="NDE35" s="3"/>
      <c r="NDF35" s="3"/>
      <c r="NDG35" s="3"/>
      <c r="NDH35" s="3"/>
      <c r="NDI35" s="3"/>
      <c r="NDJ35" s="3"/>
      <c r="NDK35" s="3"/>
      <c r="NDL35" s="3"/>
      <c r="NDM35" s="3"/>
      <c r="NDN35" s="3"/>
      <c r="NDO35" s="3"/>
      <c r="NDP35" s="3"/>
      <c r="NDQ35" s="3"/>
      <c r="NDR35" s="3"/>
      <c r="NDS35" s="3"/>
      <c r="NDT35" s="3"/>
      <c r="NDU35" s="3"/>
      <c r="NDV35" s="3"/>
      <c r="NDW35" s="3"/>
      <c r="NDX35" s="3"/>
      <c r="NDY35" s="3"/>
      <c r="NDZ35" s="3"/>
      <c r="NEA35" s="3"/>
      <c r="NEB35" s="3"/>
      <c r="NEC35" s="3"/>
      <c r="NED35" s="3"/>
      <c r="NEE35" s="3"/>
      <c r="NEF35" s="3"/>
      <c r="NEG35" s="3"/>
      <c r="NEH35" s="3"/>
      <c r="NEI35" s="3"/>
      <c r="NEJ35" s="3"/>
      <c r="NEK35" s="3"/>
      <c r="NEL35" s="3"/>
      <c r="NEM35" s="3"/>
      <c r="NEN35" s="3"/>
      <c r="NEO35" s="3"/>
      <c r="NEP35" s="3"/>
      <c r="NEQ35" s="3"/>
      <c r="NER35" s="3"/>
      <c r="NES35" s="3"/>
      <c r="NET35" s="3"/>
      <c r="NEU35" s="3"/>
      <c r="NEV35" s="3"/>
      <c r="NEW35" s="3"/>
      <c r="NEX35" s="3"/>
      <c r="NEY35" s="3"/>
      <c r="NEZ35" s="3"/>
      <c r="NFA35" s="3"/>
      <c r="NFB35" s="3"/>
      <c r="NFC35" s="3"/>
      <c r="NFD35" s="3"/>
      <c r="NFE35" s="3"/>
      <c r="NFF35" s="3"/>
      <c r="NFG35" s="3"/>
      <c r="NFH35" s="3"/>
      <c r="NFI35" s="3"/>
      <c r="NFJ35" s="3"/>
      <c r="NFK35" s="3"/>
      <c r="NFL35" s="3"/>
      <c r="NFM35" s="3"/>
      <c r="NFN35" s="3"/>
      <c r="NFO35" s="3"/>
      <c r="NFP35" s="3"/>
      <c r="NFQ35" s="3"/>
      <c r="NFR35" s="3"/>
      <c r="NFS35" s="3"/>
      <c r="NFT35" s="3"/>
      <c r="NFU35" s="3"/>
      <c r="NFV35" s="3"/>
      <c r="NFW35" s="3"/>
      <c r="NFX35" s="3"/>
      <c r="NFY35" s="3"/>
      <c r="NFZ35" s="3"/>
      <c r="NGA35" s="3"/>
      <c r="NGB35" s="3"/>
      <c r="NGC35" s="3"/>
      <c r="NGD35" s="3"/>
      <c r="NGE35" s="3"/>
      <c r="NGF35" s="3"/>
      <c r="NGG35" s="3"/>
      <c r="NGH35" s="3"/>
      <c r="NGI35" s="3"/>
      <c r="NGJ35" s="3"/>
      <c r="NGK35" s="3"/>
      <c r="NGL35" s="3"/>
      <c r="NGM35" s="3"/>
      <c r="NGN35" s="3"/>
      <c r="NGO35" s="3"/>
      <c r="NGP35" s="3"/>
      <c r="NGQ35" s="3"/>
      <c r="NGR35" s="3"/>
      <c r="NGS35" s="3"/>
      <c r="NGT35" s="3"/>
      <c r="NGU35" s="3"/>
      <c r="NGV35" s="3"/>
      <c r="NGW35" s="3"/>
      <c r="NGX35" s="3"/>
      <c r="NGY35" s="3"/>
      <c r="NGZ35" s="3"/>
      <c r="NHA35" s="3"/>
      <c r="NHB35" s="3"/>
      <c r="NHC35" s="3"/>
      <c r="NHD35" s="3"/>
      <c r="NHE35" s="3"/>
      <c r="NHF35" s="3"/>
      <c r="NHG35" s="3"/>
      <c r="NHH35" s="3"/>
      <c r="NHI35" s="3"/>
      <c r="NHJ35" s="3"/>
      <c r="NHK35" s="3"/>
      <c r="NHL35" s="3"/>
      <c r="NHM35" s="3"/>
      <c r="NHN35" s="3"/>
      <c r="NHO35" s="3"/>
      <c r="NHP35" s="3"/>
      <c r="NHQ35" s="3"/>
      <c r="NHR35" s="3"/>
      <c r="NHS35" s="3"/>
      <c r="NHT35" s="3"/>
      <c r="NHU35" s="3"/>
      <c r="NHV35" s="3"/>
      <c r="NHW35" s="3"/>
      <c r="NHX35" s="3"/>
      <c r="NHY35" s="3"/>
      <c r="NHZ35" s="3"/>
      <c r="NIA35" s="3"/>
      <c r="NIB35" s="3"/>
      <c r="NIC35" s="3"/>
      <c r="NID35" s="3"/>
      <c r="NIE35" s="3"/>
      <c r="NIF35" s="3"/>
      <c r="NIG35" s="3"/>
      <c r="NIH35" s="3"/>
      <c r="NII35" s="3"/>
      <c r="NIJ35" s="3"/>
      <c r="NIK35" s="3"/>
      <c r="NIL35" s="3"/>
      <c r="NIM35" s="3"/>
      <c r="NIN35" s="3"/>
      <c r="NIO35" s="3"/>
      <c r="NIP35" s="3"/>
      <c r="NIQ35" s="3"/>
      <c r="NIR35" s="3"/>
      <c r="NIS35" s="3"/>
      <c r="NIT35" s="3"/>
      <c r="NIU35" s="3"/>
      <c r="NIV35" s="3"/>
      <c r="NIW35" s="3"/>
      <c r="NIX35" s="3"/>
      <c r="NIY35" s="3"/>
      <c r="NIZ35" s="3"/>
      <c r="NJA35" s="3"/>
      <c r="NJB35" s="3"/>
      <c r="NJC35" s="3"/>
      <c r="NJD35" s="3"/>
      <c r="NJE35" s="3"/>
      <c r="NJF35" s="3"/>
      <c r="NJG35" s="3"/>
      <c r="NJH35" s="3"/>
      <c r="NJI35" s="3"/>
      <c r="NJJ35" s="3"/>
      <c r="NJK35" s="3"/>
      <c r="NJL35" s="3"/>
      <c r="NJM35" s="3"/>
      <c r="NJN35" s="3"/>
      <c r="NJO35" s="3"/>
      <c r="NJP35" s="3"/>
      <c r="NJQ35" s="3"/>
      <c r="NJR35" s="3"/>
      <c r="NJS35" s="3"/>
      <c r="NJT35" s="3"/>
      <c r="NJU35" s="3"/>
      <c r="NJV35" s="3"/>
      <c r="NJW35" s="3"/>
      <c r="NJX35" s="3"/>
      <c r="NJY35" s="3"/>
      <c r="NJZ35" s="3"/>
      <c r="NKA35" s="3"/>
      <c r="NKB35" s="3"/>
      <c r="NKC35" s="3"/>
      <c r="NKD35" s="3"/>
      <c r="NKE35" s="3"/>
      <c r="NKF35" s="3"/>
      <c r="NKG35" s="3"/>
      <c r="NKH35" s="3"/>
      <c r="NKI35" s="3"/>
      <c r="NKJ35" s="3"/>
      <c r="NKK35" s="3"/>
      <c r="NKL35" s="3"/>
      <c r="NKM35" s="3"/>
      <c r="NKN35" s="3"/>
      <c r="NKO35" s="3"/>
      <c r="NKP35" s="3"/>
      <c r="NKQ35" s="3"/>
      <c r="NKR35" s="3"/>
      <c r="NKS35" s="3"/>
      <c r="NKT35" s="3"/>
      <c r="NKU35" s="3"/>
      <c r="NKV35" s="3"/>
      <c r="NKW35" s="3"/>
      <c r="NKX35" s="3"/>
      <c r="NKY35" s="3"/>
      <c r="NKZ35" s="3"/>
      <c r="NLA35" s="3"/>
      <c r="NLB35" s="3"/>
      <c r="NLC35" s="3"/>
      <c r="NLD35" s="3"/>
      <c r="NLE35" s="3"/>
      <c r="NLF35" s="3"/>
      <c r="NLG35" s="3"/>
      <c r="NLH35" s="3"/>
      <c r="NLI35" s="3"/>
      <c r="NLJ35" s="3"/>
      <c r="NLK35" s="3"/>
      <c r="NLL35" s="3"/>
      <c r="NLM35" s="3"/>
      <c r="NLN35" s="3"/>
      <c r="NLO35" s="3"/>
      <c r="NLP35" s="3"/>
      <c r="NLQ35" s="3"/>
      <c r="NLR35" s="3"/>
      <c r="NLS35" s="3"/>
      <c r="NLT35" s="3"/>
      <c r="NLU35" s="3"/>
      <c r="NLV35" s="3"/>
      <c r="NLW35" s="3"/>
      <c r="NLX35" s="3"/>
      <c r="NLY35" s="3"/>
      <c r="NLZ35" s="3"/>
      <c r="NMA35" s="3"/>
      <c r="NMB35" s="3"/>
      <c r="NMC35" s="3"/>
      <c r="NMD35" s="3"/>
      <c r="NME35" s="3"/>
      <c r="NMF35" s="3"/>
      <c r="NMG35" s="3"/>
      <c r="NMH35" s="3"/>
      <c r="NMI35" s="3"/>
      <c r="NMJ35" s="3"/>
      <c r="NMK35" s="3"/>
      <c r="NML35" s="3"/>
      <c r="NMM35" s="3"/>
      <c r="NMN35" s="3"/>
      <c r="NMO35" s="3"/>
      <c r="NMP35" s="3"/>
      <c r="NMQ35" s="3"/>
      <c r="NMR35" s="3"/>
      <c r="NMS35" s="3"/>
      <c r="NMT35" s="3"/>
      <c r="NMU35" s="3"/>
      <c r="NMV35" s="3"/>
      <c r="NMW35" s="3"/>
      <c r="NMX35" s="3"/>
      <c r="NMY35" s="3"/>
      <c r="NMZ35" s="3"/>
      <c r="NNA35" s="3"/>
      <c r="NNB35" s="3"/>
      <c r="NNC35" s="3"/>
      <c r="NND35" s="3"/>
      <c r="NNE35" s="3"/>
      <c r="NNF35" s="3"/>
      <c r="NNG35" s="3"/>
      <c r="NNH35" s="3"/>
      <c r="NNI35" s="3"/>
      <c r="NNJ35" s="3"/>
      <c r="NNK35" s="3"/>
      <c r="NNL35" s="3"/>
      <c r="NNM35" s="3"/>
      <c r="NNN35" s="3"/>
      <c r="NNO35" s="3"/>
      <c r="NNP35" s="3"/>
      <c r="NNQ35" s="3"/>
      <c r="NNR35" s="3"/>
      <c r="NNS35" s="3"/>
      <c r="NNT35" s="3"/>
      <c r="NNU35" s="3"/>
      <c r="NNV35" s="3"/>
      <c r="NNW35" s="3"/>
      <c r="NNX35" s="3"/>
      <c r="NNY35" s="3"/>
      <c r="NNZ35" s="3"/>
      <c r="NOA35" s="3"/>
      <c r="NOB35" s="3"/>
      <c r="NOC35" s="3"/>
      <c r="NOD35" s="3"/>
      <c r="NOE35" s="3"/>
      <c r="NOF35" s="3"/>
      <c r="NOG35" s="3"/>
      <c r="NOH35" s="3"/>
      <c r="NOI35" s="3"/>
      <c r="NOJ35" s="3"/>
      <c r="NOK35" s="3"/>
      <c r="NOL35" s="3"/>
      <c r="NOM35" s="3"/>
      <c r="NON35" s="3"/>
      <c r="NOO35" s="3"/>
      <c r="NOP35" s="3"/>
      <c r="NOQ35" s="3"/>
      <c r="NOR35" s="3"/>
      <c r="NOS35" s="3"/>
      <c r="NOT35" s="3"/>
      <c r="NOU35" s="3"/>
      <c r="NOV35" s="3"/>
      <c r="NOW35" s="3"/>
      <c r="NOX35" s="3"/>
      <c r="NOY35" s="3"/>
      <c r="NOZ35" s="3"/>
      <c r="NPA35" s="3"/>
      <c r="NPB35" s="3"/>
      <c r="NPC35" s="3"/>
      <c r="NPD35" s="3"/>
      <c r="NPE35" s="3"/>
      <c r="NPF35" s="3"/>
      <c r="NPG35" s="3"/>
      <c r="NPH35" s="3"/>
      <c r="NPI35" s="3"/>
      <c r="NPJ35" s="3"/>
      <c r="NPK35" s="3"/>
      <c r="NPL35" s="3"/>
      <c r="NPM35" s="3"/>
      <c r="NPN35" s="3"/>
      <c r="NPO35" s="3"/>
      <c r="NPP35" s="3"/>
      <c r="NPQ35" s="3"/>
      <c r="NPR35" s="3"/>
      <c r="NPS35" s="3"/>
      <c r="NPT35" s="3"/>
      <c r="NPU35" s="3"/>
      <c r="NPV35" s="3"/>
      <c r="NPW35" s="3"/>
      <c r="NPX35" s="3"/>
      <c r="NPY35" s="3"/>
      <c r="NPZ35" s="3"/>
      <c r="NQA35" s="3"/>
      <c r="NQB35" s="3"/>
      <c r="NQC35" s="3"/>
      <c r="NQD35" s="3"/>
      <c r="NQE35" s="3"/>
      <c r="NQF35" s="3"/>
      <c r="NQG35" s="3"/>
      <c r="NQH35" s="3"/>
      <c r="NQI35" s="3"/>
      <c r="NQJ35" s="3"/>
      <c r="NQK35" s="3"/>
      <c r="NQL35" s="3"/>
      <c r="NQM35" s="3"/>
      <c r="NQN35" s="3"/>
      <c r="NQO35" s="3"/>
      <c r="NQP35" s="3"/>
      <c r="NQQ35" s="3"/>
      <c r="NQR35" s="3"/>
      <c r="NQS35" s="3"/>
      <c r="NQT35" s="3"/>
      <c r="NQU35" s="3"/>
      <c r="NQV35" s="3"/>
      <c r="NQW35" s="3"/>
      <c r="NQX35" s="3"/>
      <c r="NQY35" s="3"/>
      <c r="NQZ35" s="3"/>
      <c r="NRA35" s="3"/>
      <c r="NRB35" s="3"/>
      <c r="NRC35" s="3"/>
      <c r="NRD35" s="3"/>
      <c r="NRE35" s="3"/>
      <c r="NRF35" s="3"/>
      <c r="NRG35" s="3"/>
      <c r="NRH35" s="3"/>
      <c r="NRI35" s="3"/>
      <c r="NRJ35" s="3"/>
      <c r="NRK35" s="3"/>
      <c r="NRL35" s="3"/>
      <c r="NRM35" s="3"/>
      <c r="NRN35" s="3"/>
      <c r="NRO35" s="3"/>
      <c r="NRP35" s="3"/>
      <c r="NRQ35" s="3"/>
      <c r="NRR35" s="3"/>
      <c r="NRS35" s="3"/>
      <c r="NRT35" s="3"/>
      <c r="NRU35" s="3"/>
      <c r="NRV35" s="3"/>
      <c r="NRW35" s="3"/>
      <c r="NRX35" s="3"/>
      <c r="NRY35" s="3"/>
      <c r="NRZ35" s="3"/>
      <c r="NSA35" s="3"/>
      <c r="NSB35" s="3"/>
      <c r="NSC35" s="3"/>
      <c r="NSD35" s="3"/>
      <c r="NSE35" s="3"/>
      <c r="NSF35" s="3"/>
      <c r="NSG35" s="3"/>
      <c r="NSH35" s="3"/>
      <c r="NSI35" s="3"/>
      <c r="NSJ35" s="3"/>
      <c r="NSK35" s="3"/>
      <c r="NSL35" s="3"/>
      <c r="NSM35" s="3"/>
      <c r="NSN35" s="3"/>
      <c r="NSO35" s="3"/>
      <c r="NSP35" s="3"/>
      <c r="NSQ35" s="3"/>
      <c r="NSR35" s="3"/>
      <c r="NSS35" s="3"/>
      <c r="NST35" s="3"/>
      <c r="NSU35" s="3"/>
      <c r="NSV35" s="3"/>
      <c r="NSW35" s="3"/>
      <c r="NSX35" s="3"/>
      <c r="NSY35" s="3"/>
      <c r="NSZ35" s="3"/>
      <c r="NTA35" s="3"/>
      <c r="NTB35" s="3"/>
      <c r="NTC35" s="3"/>
      <c r="NTD35" s="3"/>
      <c r="NTE35" s="3"/>
      <c r="NTF35" s="3"/>
      <c r="NTG35" s="3"/>
      <c r="NTH35" s="3"/>
      <c r="NTI35" s="3"/>
      <c r="NTJ35" s="3"/>
      <c r="NTK35" s="3"/>
      <c r="NTL35" s="3"/>
      <c r="NTM35" s="3"/>
      <c r="NTN35" s="3"/>
      <c r="NTO35" s="3"/>
      <c r="NTP35" s="3"/>
      <c r="NTQ35" s="3"/>
      <c r="NTR35" s="3"/>
      <c r="NTS35" s="3"/>
      <c r="NTT35" s="3"/>
      <c r="NTU35" s="3"/>
      <c r="NTV35" s="3"/>
      <c r="NTW35" s="3"/>
      <c r="NTX35" s="3"/>
      <c r="NTY35" s="3"/>
      <c r="NTZ35" s="3"/>
      <c r="NUA35" s="3"/>
      <c r="NUB35" s="3"/>
      <c r="NUC35" s="3"/>
      <c r="NUD35" s="3"/>
      <c r="NUE35" s="3"/>
      <c r="NUF35" s="3"/>
      <c r="NUG35" s="3"/>
      <c r="NUH35" s="3"/>
      <c r="NUI35" s="3"/>
      <c r="NUJ35" s="3"/>
      <c r="NUK35" s="3"/>
      <c r="NUL35" s="3"/>
      <c r="NUM35" s="3"/>
      <c r="NUN35" s="3"/>
      <c r="NUO35" s="3"/>
      <c r="NUP35" s="3"/>
      <c r="NUQ35" s="3"/>
      <c r="NUR35" s="3"/>
      <c r="NUS35" s="3"/>
      <c r="NUT35" s="3"/>
      <c r="NUU35" s="3"/>
      <c r="NUV35" s="3"/>
      <c r="NUW35" s="3"/>
      <c r="NUX35" s="3"/>
      <c r="NUY35" s="3"/>
      <c r="NUZ35" s="3"/>
      <c r="NVA35" s="3"/>
      <c r="NVB35" s="3"/>
      <c r="NVC35" s="3"/>
      <c r="NVD35" s="3"/>
      <c r="NVE35" s="3"/>
      <c r="NVF35" s="3"/>
      <c r="NVG35" s="3"/>
      <c r="NVH35" s="3"/>
      <c r="NVI35" s="3"/>
      <c r="NVJ35" s="3"/>
      <c r="NVK35" s="3"/>
      <c r="NVL35" s="3"/>
      <c r="NVM35" s="3"/>
      <c r="NVN35" s="3"/>
      <c r="NVO35" s="3"/>
      <c r="NVP35" s="3"/>
      <c r="NVQ35" s="3"/>
      <c r="NVR35" s="3"/>
      <c r="NVS35" s="3"/>
      <c r="NVT35" s="3"/>
      <c r="NVU35" s="3"/>
      <c r="NVV35" s="3"/>
      <c r="NVW35" s="3"/>
      <c r="NVX35" s="3"/>
      <c r="NVY35" s="3"/>
      <c r="NVZ35" s="3"/>
      <c r="NWA35" s="3"/>
      <c r="NWB35" s="3"/>
      <c r="NWC35" s="3"/>
      <c r="NWD35" s="3"/>
      <c r="NWE35" s="3"/>
      <c r="NWF35" s="3"/>
      <c r="NWG35" s="3"/>
      <c r="NWH35" s="3"/>
      <c r="NWI35" s="3"/>
      <c r="NWJ35" s="3"/>
      <c r="NWK35" s="3"/>
      <c r="NWL35" s="3"/>
      <c r="NWM35" s="3"/>
      <c r="NWN35" s="3"/>
      <c r="NWO35" s="3"/>
      <c r="NWP35" s="3"/>
      <c r="NWQ35" s="3"/>
      <c r="NWR35" s="3"/>
      <c r="NWS35" s="3"/>
      <c r="NWT35" s="3"/>
      <c r="NWU35" s="3"/>
      <c r="NWV35" s="3"/>
      <c r="NWW35" s="3"/>
      <c r="NWX35" s="3"/>
      <c r="NWY35" s="3"/>
      <c r="NWZ35" s="3"/>
      <c r="NXA35" s="3"/>
      <c r="NXB35" s="3"/>
      <c r="NXC35" s="3"/>
      <c r="NXD35" s="3"/>
      <c r="NXE35" s="3"/>
      <c r="NXF35" s="3"/>
      <c r="NXG35" s="3"/>
      <c r="NXH35" s="3"/>
      <c r="NXI35" s="3"/>
      <c r="NXJ35" s="3"/>
      <c r="NXK35" s="3"/>
      <c r="NXL35" s="3"/>
      <c r="NXM35" s="3"/>
      <c r="NXN35" s="3"/>
      <c r="NXO35" s="3"/>
      <c r="NXP35" s="3"/>
      <c r="NXQ35" s="3"/>
      <c r="NXR35" s="3"/>
      <c r="NXS35" s="3"/>
      <c r="NXT35" s="3"/>
      <c r="NXU35" s="3"/>
      <c r="NXV35" s="3"/>
      <c r="NXW35" s="3"/>
      <c r="NXX35" s="3"/>
      <c r="NXY35" s="3"/>
      <c r="NXZ35" s="3"/>
      <c r="NYA35" s="3"/>
      <c r="NYB35" s="3"/>
      <c r="NYC35" s="3"/>
      <c r="NYD35" s="3"/>
      <c r="NYE35" s="3"/>
      <c r="NYF35" s="3"/>
      <c r="NYG35" s="3"/>
      <c r="NYH35" s="3"/>
      <c r="NYI35" s="3"/>
      <c r="NYJ35" s="3"/>
      <c r="NYK35" s="3"/>
      <c r="NYL35" s="3"/>
      <c r="NYM35" s="3"/>
      <c r="NYN35" s="3"/>
      <c r="NYO35" s="3"/>
      <c r="NYP35" s="3"/>
      <c r="NYQ35" s="3"/>
      <c r="NYR35" s="3"/>
      <c r="NYS35" s="3"/>
      <c r="NYT35" s="3"/>
      <c r="NYU35" s="3"/>
      <c r="NYV35" s="3"/>
      <c r="NYW35" s="3"/>
      <c r="NYX35" s="3"/>
      <c r="NYY35" s="3"/>
      <c r="NYZ35" s="3"/>
      <c r="NZA35" s="3"/>
      <c r="NZB35" s="3"/>
      <c r="NZC35" s="3"/>
      <c r="NZD35" s="3"/>
      <c r="NZE35" s="3"/>
      <c r="NZF35" s="3"/>
      <c r="NZG35" s="3"/>
      <c r="NZH35" s="3"/>
      <c r="NZI35" s="3"/>
      <c r="NZJ35" s="3"/>
      <c r="NZK35" s="3"/>
      <c r="NZL35" s="3"/>
      <c r="NZM35" s="3"/>
      <c r="NZN35" s="3"/>
      <c r="NZO35" s="3"/>
      <c r="NZP35" s="3"/>
      <c r="NZQ35" s="3"/>
      <c r="NZR35" s="3"/>
      <c r="NZS35" s="3"/>
      <c r="NZT35" s="3"/>
      <c r="NZU35" s="3"/>
      <c r="NZV35" s="3"/>
      <c r="NZW35" s="3"/>
      <c r="NZX35" s="3"/>
      <c r="NZY35" s="3"/>
      <c r="NZZ35" s="3"/>
      <c r="OAA35" s="3"/>
      <c r="OAB35" s="3"/>
      <c r="OAC35" s="3"/>
      <c r="OAD35" s="3"/>
      <c r="OAE35" s="3"/>
      <c r="OAF35" s="3"/>
      <c r="OAG35" s="3"/>
      <c r="OAH35" s="3"/>
      <c r="OAI35" s="3"/>
      <c r="OAJ35" s="3"/>
      <c r="OAK35" s="3"/>
      <c r="OAL35" s="3"/>
      <c r="OAM35" s="3"/>
      <c r="OAN35" s="3"/>
      <c r="OAO35" s="3"/>
      <c r="OAP35" s="3"/>
      <c r="OAQ35" s="3"/>
      <c r="OAR35" s="3"/>
      <c r="OAS35" s="3"/>
      <c r="OAT35" s="3"/>
      <c r="OAU35" s="3"/>
      <c r="OAV35" s="3"/>
      <c r="OAW35" s="3"/>
      <c r="OAX35" s="3"/>
      <c r="OAY35" s="3"/>
      <c r="OAZ35" s="3"/>
      <c r="OBA35" s="3"/>
      <c r="OBB35" s="3"/>
      <c r="OBC35" s="3"/>
      <c r="OBD35" s="3"/>
      <c r="OBE35" s="3"/>
      <c r="OBF35" s="3"/>
      <c r="OBG35" s="3"/>
      <c r="OBH35" s="3"/>
      <c r="OBI35" s="3"/>
      <c r="OBJ35" s="3"/>
      <c r="OBK35" s="3"/>
      <c r="OBL35" s="3"/>
      <c r="OBM35" s="3"/>
      <c r="OBN35" s="3"/>
      <c r="OBO35" s="3"/>
      <c r="OBP35" s="3"/>
      <c r="OBQ35" s="3"/>
      <c r="OBR35" s="3"/>
      <c r="OBS35" s="3"/>
      <c r="OBT35" s="3"/>
      <c r="OBU35" s="3"/>
      <c r="OBV35" s="3"/>
      <c r="OBW35" s="3"/>
      <c r="OBX35" s="3"/>
      <c r="OBY35" s="3"/>
      <c r="OBZ35" s="3"/>
      <c r="OCA35" s="3"/>
      <c r="OCB35" s="3"/>
      <c r="OCC35" s="3"/>
      <c r="OCD35" s="3"/>
      <c r="OCE35" s="3"/>
      <c r="OCF35" s="3"/>
      <c r="OCG35" s="3"/>
      <c r="OCH35" s="3"/>
      <c r="OCI35" s="3"/>
      <c r="OCJ35" s="3"/>
      <c r="OCK35" s="3"/>
      <c r="OCL35" s="3"/>
      <c r="OCM35" s="3"/>
      <c r="OCN35" s="3"/>
      <c r="OCO35" s="3"/>
      <c r="OCP35" s="3"/>
      <c r="OCQ35" s="3"/>
      <c r="OCR35" s="3"/>
      <c r="OCS35" s="3"/>
      <c r="OCT35" s="3"/>
      <c r="OCU35" s="3"/>
      <c r="OCV35" s="3"/>
      <c r="OCW35" s="3"/>
      <c r="OCX35" s="3"/>
      <c r="OCY35" s="3"/>
      <c r="OCZ35" s="3"/>
      <c r="ODA35" s="3"/>
      <c r="ODB35" s="3"/>
      <c r="ODC35" s="3"/>
      <c r="ODD35" s="3"/>
      <c r="ODE35" s="3"/>
      <c r="ODF35" s="3"/>
      <c r="ODG35" s="3"/>
      <c r="ODH35" s="3"/>
      <c r="ODI35" s="3"/>
      <c r="ODJ35" s="3"/>
      <c r="ODK35" s="3"/>
      <c r="ODL35" s="3"/>
      <c r="ODM35" s="3"/>
      <c r="ODN35" s="3"/>
      <c r="ODO35" s="3"/>
      <c r="ODP35" s="3"/>
      <c r="ODQ35" s="3"/>
      <c r="ODR35" s="3"/>
      <c r="ODS35" s="3"/>
      <c r="ODT35" s="3"/>
      <c r="ODU35" s="3"/>
      <c r="ODV35" s="3"/>
      <c r="ODW35" s="3"/>
      <c r="ODX35" s="3"/>
      <c r="ODY35" s="3"/>
      <c r="ODZ35" s="3"/>
      <c r="OEA35" s="3"/>
      <c r="OEB35" s="3"/>
      <c r="OEC35" s="3"/>
      <c r="OED35" s="3"/>
      <c r="OEE35" s="3"/>
      <c r="OEF35" s="3"/>
      <c r="OEG35" s="3"/>
      <c r="OEH35" s="3"/>
      <c r="OEI35" s="3"/>
      <c r="OEJ35" s="3"/>
      <c r="OEK35" s="3"/>
      <c r="OEL35" s="3"/>
      <c r="OEM35" s="3"/>
      <c r="OEN35" s="3"/>
      <c r="OEO35" s="3"/>
      <c r="OEP35" s="3"/>
      <c r="OEQ35" s="3"/>
      <c r="OER35" s="3"/>
      <c r="OES35" s="3"/>
      <c r="OET35" s="3"/>
      <c r="OEU35" s="3"/>
      <c r="OEV35" s="3"/>
      <c r="OEW35" s="3"/>
      <c r="OEX35" s="3"/>
      <c r="OEY35" s="3"/>
      <c r="OEZ35" s="3"/>
      <c r="OFA35" s="3"/>
      <c r="OFB35" s="3"/>
      <c r="OFC35" s="3"/>
      <c r="OFD35" s="3"/>
      <c r="OFE35" s="3"/>
      <c r="OFF35" s="3"/>
      <c r="OFG35" s="3"/>
      <c r="OFH35" s="3"/>
      <c r="OFI35" s="3"/>
      <c r="OFJ35" s="3"/>
      <c r="OFK35" s="3"/>
      <c r="OFL35" s="3"/>
      <c r="OFM35" s="3"/>
      <c r="OFN35" s="3"/>
      <c r="OFO35" s="3"/>
      <c r="OFP35" s="3"/>
      <c r="OFQ35" s="3"/>
      <c r="OFR35" s="3"/>
      <c r="OFS35" s="3"/>
      <c r="OFT35" s="3"/>
      <c r="OFU35" s="3"/>
      <c r="OFV35" s="3"/>
      <c r="OFW35" s="3"/>
      <c r="OFX35" s="3"/>
      <c r="OFY35" s="3"/>
      <c r="OFZ35" s="3"/>
      <c r="OGA35" s="3"/>
      <c r="OGB35" s="3"/>
      <c r="OGC35" s="3"/>
      <c r="OGD35" s="3"/>
      <c r="OGE35" s="3"/>
      <c r="OGF35" s="3"/>
      <c r="OGG35" s="3"/>
      <c r="OGH35" s="3"/>
      <c r="OGI35" s="3"/>
      <c r="OGJ35" s="3"/>
      <c r="OGK35" s="3"/>
      <c r="OGL35" s="3"/>
      <c r="OGM35" s="3"/>
      <c r="OGN35" s="3"/>
      <c r="OGO35" s="3"/>
      <c r="OGP35" s="3"/>
      <c r="OGQ35" s="3"/>
      <c r="OGR35" s="3"/>
      <c r="OGS35" s="3"/>
      <c r="OGT35" s="3"/>
      <c r="OGU35" s="3"/>
      <c r="OGV35" s="3"/>
      <c r="OGW35" s="3"/>
      <c r="OGX35" s="3"/>
      <c r="OGY35" s="3"/>
      <c r="OGZ35" s="3"/>
      <c r="OHA35" s="3"/>
      <c r="OHB35" s="3"/>
      <c r="OHC35" s="3"/>
      <c r="OHD35" s="3"/>
      <c r="OHE35" s="3"/>
      <c r="OHF35" s="3"/>
      <c r="OHG35" s="3"/>
      <c r="OHH35" s="3"/>
      <c r="OHI35" s="3"/>
      <c r="OHJ35" s="3"/>
      <c r="OHK35" s="3"/>
      <c r="OHL35" s="3"/>
      <c r="OHM35" s="3"/>
      <c r="OHN35" s="3"/>
      <c r="OHO35" s="3"/>
      <c r="OHP35" s="3"/>
      <c r="OHQ35" s="3"/>
      <c r="OHR35" s="3"/>
      <c r="OHS35" s="3"/>
      <c r="OHT35" s="3"/>
      <c r="OHU35" s="3"/>
      <c r="OHV35" s="3"/>
      <c r="OHW35" s="3"/>
      <c r="OHX35" s="3"/>
      <c r="OHY35" s="3"/>
      <c r="OHZ35" s="3"/>
      <c r="OIA35" s="3"/>
      <c r="OIB35" s="3"/>
      <c r="OIC35" s="3"/>
      <c r="OID35" s="3"/>
      <c r="OIE35" s="3"/>
      <c r="OIF35" s="3"/>
      <c r="OIG35" s="3"/>
      <c r="OIH35" s="3"/>
      <c r="OII35" s="3"/>
      <c r="OIJ35" s="3"/>
      <c r="OIK35" s="3"/>
      <c r="OIL35" s="3"/>
      <c r="OIM35" s="3"/>
      <c r="OIN35" s="3"/>
      <c r="OIO35" s="3"/>
      <c r="OIP35" s="3"/>
      <c r="OIQ35" s="3"/>
      <c r="OIR35" s="3"/>
      <c r="OIS35" s="3"/>
      <c r="OIT35" s="3"/>
      <c r="OIU35" s="3"/>
      <c r="OIV35" s="3"/>
      <c r="OIW35" s="3"/>
      <c r="OIX35" s="3"/>
      <c r="OIY35" s="3"/>
      <c r="OIZ35" s="3"/>
      <c r="OJA35" s="3"/>
      <c r="OJB35" s="3"/>
      <c r="OJC35" s="3"/>
      <c r="OJD35" s="3"/>
      <c r="OJE35" s="3"/>
      <c r="OJF35" s="3"/>
      <c r="OJG35" s="3"/>
      <c r="OJH35" s="3"/>
      <c r="OJI35" s="3"/>
      <c r="OJJ35" s="3"/>
      <c r="OJK35" s="3"/>
      <c r="OJL35" s="3"/>
      <c r="OJM35" s="3"/>
      <c r="OJN35" s="3"/>
      <c r="OJO35" s="3"/>
      <c r="OJP35" s="3"/>
      <c r="OJQ35" s="3"/>
      <c r="OJR35" s="3"/>
      <c r="OJS35" s="3"/>
      <c r="OJT35" s="3"/>
      <c r="OJU35" s="3"/>
      <c r="OJV35" s="3"/>
      <c r="OJW35" s="3"/>
      <c r="OJX35" s="3"/>
      <c r="OJY35" s="3"/>
      <c r="OJZ35" s="3"/>
      <c r="OKA35" s="3"/>
      <c r="OKB35" s="3"/>
      <c r="OKC35" s="3"/>
      <c r="OKD35" s="3"/>
      <c r="OKE35" s="3"/>
      <c r="OKF35" s="3"/>
      <c r="OKG35" s="3"/>
      <c r="OKH35" s="3"/>
      <c r="OKI35" s="3"/>
      <c r="OKJ35" s="3"/>
      <c r="OKK35" s="3"/>
      <c r="OKL35" s="3"/>
      <c r="OKM35" s="3"/>
      <c r="OKN35" s="3"/>
      <c r="OKO35" s="3"/>
      <c r="OKP35" s="3"/>
      <c r="OKQ35" s="3"/>
      <c r="OKR35" s="3"/>
      <c r="OKS35" s="3"/>
      <c r="OKT35" s="3"/>
      <c r="OKU35" s="3"/>
      <c r="OKV35" s="3"/>
      <c r="OKW35" s="3"/>
      <c r="OKX35" s="3"/>
      <c r="OKY35" s="3"/>
      <c r="OKZ35" s="3"/>
      <c r="OLA35" s="3"/>
      <c r="OLB35" s="3"/>
      <c r="OLC35" s="3"/>
      <c r="OLD35" s="3"/>
      <c r="OLE35" s="3"/>
      <c r="OLF35" s="3"/>
      <c r="OLG35" s="3"/>
      <c r="OLH35" s="3"/>
      <c r="OLI35" s="3"/>
      <c r="OLJ35" s="3"/>
      <c r="OLK35" s="3"/>
      <c r="OLL35" s="3"/>
      <c r="OLM35" s="3"/>
      <c r="OLN35" s="3"/>
      <c r="OLO35" s="3"/>
      <c r="OLP35" s="3"/>
      <c r="OLQ35" s="3"/>
      <c r="OLR35" s="3"/>
      <c r="OLS35" s="3"/>
      <c r="OLT35" s="3"/>
      <c r="OLU35" s="3"/>
      <c r="OLV35" s="3"/>
      <c r="OLW35" s="3"/>
      <c r="OLX35" s="3"/>
      <c r="OLY35" s="3"/>
      <c r="OLZ35" s="3"/>
      <c r="OMA35" s="3"/>
      <c r="OMB35" s="3"/>
      <c r="OMC35" s="3"/>
      <c r="OMD35" s="3"/>
      <c r="OME35" s="3"/>
      <c r="OMF35" s="3"/>
      <c r="OMG35" s="3"/>
      <c r="OMH35" s="3"/>
      <c r="OMI35" s="3"/>
      <c r="OMJ35" s="3"/>
      <c r="OMK35" s="3"/>
      <c r="OML35" s="3"/>
      <c r="OMM35" s="3"/>
      <c r="OMN35" s="3"/>
      <c r="OMO35" s="3"/>
      <c r="OMP35" s="3"/>
      <c r="OMQ35" s="3"/>
      <c r="OMR35" s="3"/>
      <c r="OMS35" s="3"/>
      <c r="OMT35" s="3"/>
      <c r="OMU35" s="3"/>
      <c r="OMV35" s="3"/>
      <c r="OMW35" s="3"/>
      <c r="OMX35" s="3"/>
      <c r="OMY35" s="3"/>
      <c r="OMZ35" s="3"/>
      <c r="ONA35" s="3"/>
      <c r="ONB35" s="3"/>
      <c r="ONC35" s="3"/>
      <c r="OND35" s="3"/>
      <c r="ONE35" s="3"/>
      <c r="ONF35" s="3"/>
      <c r="ONG35" s="3"/>
      <c r="ONH35" s="3"/>
      <c r="ONI35" s="3"/>
      <c r="ONJ35" s="3"/>
      <c r="ONK35" s="3"/>
      <c r="ONL35" s="3"/>
      <c r="ONM35" s="3"/>
      <c r="ONN35" s="3"/>
      <c r="ONO35" s="3"/>
      <c r="ONP35" s="3"/>
      <c r="ONQ35" s="3"/>
      <c r="ONR35" s="3"/>
      <c r="ONS35" s="3"/>
      <c r="ONT35" s="3"/>
      <c r="ONU35" s="3"/>
      <c r="ONV35" s="3"/>
      <c r="ONW35" s="3"/>
      <c r="ONX35" s="3"/>
      <c r="ONY35" s="3"/>
      <c r="ONZ35" s="3"/>
      <c r="OOA35" s="3"/>
      <c r="OOB35" s="3"/>
      <c r="OOC35" s="3"/>
      <c r="OOD35" s="3"/>
      <c r="OOE35" s="3"/>
      <c r="OOF35" s="3"/>
      <c r="OOG35" s="3"/>
      <c r="OOH35" s="3"/>
      <c r="OOI35" s="3"/>
      <c r="OOJ35" s="3"/>
      <c r="OOK35" s="3"/>
      <c r="OOL35" s="3"/>
      <c r="OOM35" s="3"/>
      <c r="OON35" s="3"/>
      <c r="OOO35" s="3"/>
      <c r="OOP35" s="3"/>
      <c r="OOQ35" s="3"/>
      <c r="OOR35" s="3"/>
      <c r="OOS35" s="3"/>
      <c r="OOT35" s="3"/>
      <c r="OOU35" s="3"/>
      <c r="OOV35" s="3"/>
      <c r="OOW35" s="3"/>
      <c r="OOX35" s="3"/>
      <c r="OOY35" s="3"/>
      <c r="OOZ35" s="3"/>
      <c r="OPA35" s="3"/>
      <c r="OPB35" s="3"/>
      <c r="OPC35" s="3"/>
      <c r="OPD35" s="3"/>
      <c r="OPE35" s="3"/>
      <c r="OPF35" s="3"/>
      <c r="OPG35" s="3"/>
      <c r="OPH35" s="3"/>
      <c r="OPI35" s="3"/>
      <c r="OPJ35" s="3"/>
      <c r="OPK35" s="3"/>
      <c r="OPL35" s="3"/>
      <c r="OPM35" s="3"/>
      <c r="OPN35" s="3"/>
      <c r="OPO35" s="3"/>
      <c r="OPP35" s="3"/>
      <c r="OPQ35" s="3"/>
      <c r="OPR35" s="3"/>
      <c r="OPS35" s="3"/>
      <c r="OPT35" s="3"/>
      <c r="OPU35" s="3"/>
      <c r="OPV35" s="3"/>
      <c r="OPW35" s="3"/>
      <c r="OPX35" s="3"/>
      <c r="OPY35" s="3"/>
      <c r="OPZ35" s="3"/>
      <c r="OQA35" s="3"/>
      <c r="OQB35" s="3"/>
      <c r="OQC35" s="3"/>
      <c r="OQD35" s="3"/>
      <c r="OQE35" s="3"/>
      <c r="OQF35" s="3"/>
      <c r="OQG35" s="3"/>
      <c r="OQH35" s="3"/>
      <c r="OQI35" s="3"/>
      <c r="OQJ35" s="3"/>
      <c r="OQK35" s="3"/>
      <c r="OQL35" s="3"/>
      <c r="OQM35" s="3"/>
      <c r="OQN35" s="3"/>
      <c r="OQO35" s="3"/>
      <c r="OQP35" s="3"/>
      <c r="OQQ35" s="3"/>
      <c r="OQR35" s="3"/>
      <c r="OQS35" s="3"/>
      <c r="OQT35" s="3"/>
      <c r="OQU35" s="3"/>
      <c r="OQV35" s="3"/>
      <c r="OQW35" s="3"/>
      <c r="OQX35" s="3"/>
      <c r="OQY35" s="3"/>
      <c r="OQZ35" s="3"/>
      <c r="ORA35" s="3"/>
      <c r="ORB35" s="3"/>
      <c r="ORC35" s="3"/>
      <c r="ORD35" s="3"/>
      <c r="ORE35" s="3"/>
      <c r="ORF35" s="3"/>
      <c r="ORG35" s="3"/>
      <c r="ORH35" s="3"/>
      <c r="ORI35" s="3"/>
      <c r="ORJ35" s="3"/>
      <c r="ORK35" s="3"/>
      <c r="ORL35" s="3"/>
      <c r="ORM35" s="3"/>
      <c r="ORN35" s="3"/>
      <c r="ORO35" s="3"/>
      <c r="ORP35" s="3"/>
      <c r="ORQ35" s="3"/>
      <c r="ORR35" s="3"/>
      <c r="ORS35" s="3"/>
      <c r="ORT35" s="3"/>
      <c r="ORU35" s="3"/>
      <c r="ORV35" s="3"/>
      <c r="ORW35" s="3"/>
      <c r="ORX35" s="3"/>
      <c r="ORY35" s="3"/>
      <c r="ORZ35" s="3"/>
      <c r="OSA35" s="3"/>
      <c r="OSB35" s="3"/>
      <c r="OSC35" s="3"/>
      <c r="OSD35" s="3"/>
      <c r="OSE35" s="3"/>
      <c r="OSF35" s="3"/>
      <c r="OSG35" s="3"/>
      <c r="OSH35" s="3"/>
      <c r="OSI35" s="3"/>
      <c r="OSJ35" s="3"/>
      <c r="OSK35" s="3"/>
      <c r="OSL35" s="3"/>
      <c r="OSM35" s="3"/>
      <c r="OSN35" s="3"/>
      <c r="OSO35" s="3"/>
      <c r="OSP35" s="3"/>
      <c r="OSQ35" s="3"/>
      <c r="OSR35" s="3"/>
      <c r="OSS35" s="3"/>
      <c r="OST35" s="3"/>
      <c r="OSU35" s="3"/>
      <c r="OSV35" s="3"/>
      <c r="OSW35" s="3"/>
      <c r="OSX35" s="3"/>
      <c r="OSY35" s="3"/>
      <c r="OSZ35" s="3"/>
      <c r="OTA35" s="3"/>
      <c r="OTB35" s="3"/>
      <c r="OTC35" s="3"/>
      <c r="OTD35" s="3"/>
      <c r="OTE35" s="3"/>
      <c r="OTF35" s="3"/>
      <c r="OTG35" s="3"/>
      <c r="OTH35" s="3"/>
      <c r="OTI35" s="3"/>
      <c r="OTJ35" s="3"/>
      <c r="OTK35" s="3"/>
      <c r="OTL35" s="3"/>
      <c r="OTM35" s="3"/>
      <c r="OTN35" s="3"/>
      <c r="OTO35" s="3"/>
      <c r="OTP35" s="3"/>
      <c r="OTQ35" s="3"/>
      <c r="OTR35" s="3"/>
      <c r="OTS35" s="3"/>
      <c r="OTT35" s="3"/>
      <c r="OTU35" s="3"/>
      <c r="OTV35" s="3"/>
      <c r="OTW35" s="3"/>
      <c r="OTX35" s="3"/>
      <c r="OTY35" s="3"/>
      <c r="OTZ35" s="3"/>
      <c r="OUA35" s="3"/>
      <c r="OUB35" s="3"/>
      <c r="OUC35" s="3"/>
      <c r="OUD35" s="3"/>
      <c r="OUE35" s="3"/>
      <c r="OUF35" s="3"/>
      <c r="OUG35" s="3"/>
      <c r="OUH35" s="3"/>
      <c r="OUI35" s="3"/>
      <c r="OUJ35" s="3"/>
      <c r="OUK35" s="3"/>
      <c r="OUL35" s="3"/>
      <c r="OUM35" s="3"/>
      <c r="OUN35" s="3"/>
      <c r="OUO35" s="3"/>
      <c r="OUP35" s="3"/>
      <c r="OUQ35" s="3"/>
      <c r="OUR35" s="3"/>
      <c r="OUS35" s="3"/>
      <c r="OUT35" s="3"/>
      <c r="OUU35" s="3"/>
      <c r="OUV35" s="3"/>
      <c r="OUW35" s="3"/>
      <c r="OUX35" s="3"/>
      <c r="OUY35" s="3"/>
      <c r="OUZ35" s="3"/>
      <c r="OVA35" s="3"/>
      <c r="OVB35" s="3"/>
      <c r="OVC35" s="3"/>
      <c r="OVD35" s="3"/>
      <c r="OVE35" s="3"/>
      <c r="OVF35" s="3"/>
      <c r="OVG35" s="3"/>
      <c r="OVH35" s="3"/>
      <c r="OVI35" s="3"/>
      <c r="OVJ35" s="3"/>
      <c r="OVK35" s="3"/>
      <c r="OVL35" s="3"/>
      <c r="OVM35" s="3"/>
      <c r="OVN35" s="3"/>
      <c r="OVO35" s="3"/>
      <c r="OVP35" s="3"/>
      <c r="OVQ35" s="3"/>
      <c r="OVR35" s="3"/>
      <c r="OVS35" s="3"/>
      <c r="OVT35" s="3"/>
      <c r="OVU35" s="3"/>
      <c r="OVV35" s="3"/>
      <c r="OVW35" s="3"/>
      <c r="OVX35" s="3"/>
      <c r="OVY35" s="3"/>
      <c r="OVZ35" s="3"/>
      <c r="OWA35" s="3"/>
      <c r="OWB35" s="3"/>
      <c r="OWC35" s="3"/>
      <c r="OWD35" s="3"/>
      <c r="OWE35" s="3"/>
      <c r="OWF35" s="3"/>
      <c r="OWG35" s="3"/>
      <c r="OWH35" s="3"/>
      <c r="OWI35" s="3"/>
      <c r="OWJ35" s="3"/>
      <c r="OWK35" s="3"/>
      <c r="OWL35" s="3"/>
      <c r="OWM35" s="3"/>
      <c r="OWN35" s="3"/>
      <c r="OWO35" s="3"/>
      <c r="OWP35" s="3"/>
      <c r="OWQ35" s="3"/>
      <c r="OWR35" s="3"/>
      <c r="OWS35" s="3"/>
      <c r="OWT35" s="3"/>
      <c r="OWU35" s="3"/>
      <c r="OWV35" s="3"/>
      <c r="OWW35" s="3"/>
      <c r="OWX35" s="3"/>
      <c r="OWY35" s="3"/>
      <c r="OWZ35" s="3"/>
      <c r="OXA35" s="3"/>
      <c r="OXB35" s="3"/>
      <c r="OXC35" s="3"/>
      <c r="OXD35" s="3"/>
      <c r="OXE35" s="3"/>
      <c r="OXF35" s="3"/>
      <c r="OXG35" s="3"/>
      <c r="OXH35" s="3"/>
      <c r="OXI35" s="3"/>
      <c r="OXJ35" s="3"/>
      <c r="OXK35" s="3"/>
      <c r="OXL35" s="3"/>
      <c r="OXM35" s="3"/>
      <c r="OXN35" s="3"/>
      <c r="OXO35" s="3"/>
      <c r="OXP35" s="3"/>
      <c r="OXQ35" s="3"/>
      <c r="OXR35" s="3"/>
      <c r="OXS35" s="3"/>
      <c r="OXT35" s="3"/>
      <c r="OXU35" s="3"/>
      <c r="OXV35" s="3"/>
      <c r="OXW35" s="3"/>
      <c r="OXX35" s="3"/>
      <c r="OXY35" s="3"/>
      <c r="OXZ35" s="3"/>
      <c r="OYA35" s="3"/>
      <c r="OYB35" s="3"/>
      <c r="OYC35" s="3"/>
      <c r="OYD35" s="3"/>
      <c r="OYE35" s="3"/>
      <c r="OYF35" s="3"/>
      <c r="OYG35" s="3"/>
      <c r="OYH35" s="3"/>
      <c r="OYI35" s="3"/>
      <c r="OYJ35" s="3"/>
      <c r="OYK35" s="3"/>
      <c r="OYL35" s="3"/>
      <c r="OYM35" s="3"/>
      <c r="OYN35" s="3"/>
      <c r="OYO35" s="3"/>
      <c r="OYP35" s="3"/>
      <c r="OYQ35" s="3"/>
      <c r="OYR35" s="3"/>
      <c r="OYS35" s="3"/>
      <c r="OYT35" s="3"/>
      <c r="OYU35" s="3"/>
      <c r="OYV35" s="3"/>
      <c r="OYW35" s="3"/>
      <c r="OYX35" s="3"/>
      <c r="OYY35" s="3"/>
      <c r="OYZ35" s="3"/>
      <c r="OZA35" s="3"/>
      <c r="OZB35" s="3"/>
      <c r="OZC35" s="3"/>
      <c r="OZD35" s="3"/>
      <c r="OZE35" s="3"/>
      <c r="OZF35" s="3"/>
      <c r="OZG35" s="3"/>
      <c r="OZH35" s="3"/>
      <c r="OZI35" s="3"/>
      <c r="OZJ35" s="3"/>
      <c r="OZK35" s="3"/>
      <c r="OZL35" s="3"/>
      <c r="OZM35" s="3"/>
      <c r="OZN35" s="3"/>
      <c r="OZO35" s="3"/>
      <c r="OZP35" s="3"/>
      <c r="OZQ35" s="3"/>
      <c r="OZR35" s="3"/>
      <c r="OZS35" s="3"/>
      <c r="OZT35" s="3"/>
      <c r="OZU35" s="3"/>
      <c r="OZV35" s="3"/>
      <c r="OZW35" s="3"/>
      <c r="OZX35" s="3"/>
      <c r="OZY35" s="3"/>
      <c r="OZZ35" s="3"/>
      <c r="PAA35" s="3"/>
      <c r="PAB35" s="3"/>
      <c r="PAC35" s="3"/>
      <c r="PAD35" s="3"/>
      <c r="PAE35" s="3"/>
      <c r="PAF35" s="3"/>
      <c r="PAG35" s="3"/>
      <c r="PAH35" s="3"/>
      <c r="PAI35" s="3"/>
      <c r="PAJ35" s="3"/>
      <c r="PAK35" s="3"/>
      <c r="PAL35" s="3"/>
      <c r="PAM35" s="3"/>
      <c r="PAN35" s="3"/>
      <c r="PAO35" s="3"/>
      <c r="PAP35" s="3"/>
      <c r="PAQ35" s="3"/>
      <c r="PAR35" s="3"/>
      <c r="PAS35" s="3"/>
      <c r="PAT35" s="3"/>
      <c r="PAU35" s="3"/>
      <c r="PAV35" s="3"/>
      <c r="PAW35" s="3"/>
      <c r="PAX35" s="3"/>
      <c r="PAY35" s="3"/>
      <c r="PAZ35" s="3"/>
      <c r="PBA35" s="3"/>
      <c r="PBB35" s="3"/>
      <c r="PBC35" s="3"/>
      <c r="PBD35" s="3"/>
      <c r="PBE35" s="3"/>
      <c r="PBF35" s="3"/>
      <c r="PBG35" s="3"/>
      <c r="PBH35" s="3"/>
      <c r="PBI35" s="3"/>
      <c r="PBJ35" s="3"/>
      <c r="PBK35" s="3"/>
      <c r="PBL35" s="3"/>
      <c r="PBM35" s="3"/>
      <c r="PBN35" s="3"/>
      <c r="PBO35" s="3"/>
      <c r="PBP35" s="3"/>
      <c r="PBQ35" s="3"/>
      <c r="PBR35" s="3"/>
      <c r="PBS35" s="3"/>
      <c r="PBT35" s="3"/>
      <c r="PBU35" s="3"/>
      <c r="PBV35" s="3"/>
      <c r="PBW35" s="3"/>
      <c r="PBX35" s="3"/>
      <c r="PBY35" s="3"/>
      <c r="PBZ35" s="3"/>
      <c r="PCA35" s="3"/>
      <c r="PCB35" s="3"/>
      <c r="PCC35" s="3"/>
      <c r="PCD35" s="3"/>
      <c r="PCE35" s="3"/>
      <c r="PCF35" s="3"/>
      <c r="PCG35" s="3"/>
      <c r="PCH35" s="3"/>
      <c r="PCI35" s="3"/>
      <c r="PCJ35" s="3"/>
      <c r="PCK35" s="3"/>
      <c r="PCL35" s="3"/>
      <c r="PCM35" s="3"/>
      <c r="PCN35" s="3"/>
      <c r="PCO35" s="3"/>
      <c r="PCP35" s="3"/>
      <c r="PCQ35" s="3"/>
      <c r="PCR35" s="3"/>
      <c r="PCS35" s="3"/>
      <c r="PCT35" s="3"/>
      <c r="PCU35" s="3"/>
      <c r="PCV35" s="3"/>
      <c r="PCW35" s="3"/>
      <c r="PCX35" s="3"/>
      <c r="PCY35" s="3"/>
      <c r="PCZ35" s="3"/>
      <c r="PDA35" s="3"/>
      <c r="PDB35" s="3"/>
      <c r="PDC35" s="3"/>
      <c r="PDD35" s="3"/>
      <c r="PDE35" s="3"/>
      <c r="PDF35" s="3"/>
      <c r="PDG35" s="3"/>
      <c r="PDH35" s="3"/>
      <c r="PDI35" s="3"/>
      <c r="PDJ35" s="3"/>
      <c r="PDK35" s="3"/>
      <c r="PDL35" s="3"/>
      <c r="PDM35" s="3"/>
      <c r="PDN35" s="3"/>
      <c r="PDO35" s="3"/>
      <c r="PDP35" s="3"/>
      <c r="PDQ35" s="3"/>
      <c r="PDR35" s="3"/>
      <c r="PDS35" s="3"/>
      <c r="PDT35" s="3"/>
      <c r="PDU35" s="3"/>
      <c r="PDV35" s="3"/>
      <c r="PDW35" s="3"/>
      <c r="PDX35" s="3"/>
      <c r="PDY35" s="3"/>
      <c r="PDZ35" s="3"/>
      <c r="PEA35" s="3"/>
      <c r="PEB35" s="3"/>
      <c r="PEC35" s="3"/>
      <c r="PED35" s="3"/>
      <c r="PEE35" s="3"/>
      <c r="PEF35" s="3"/>
      <c r="PEG35" s="3"/>
      <c r="PEH35" s="3"/>
      <c r="PEI35" s="3"/>
      <c r="PEJ35" s="3"/>
      <c r="PEK35" s="3"/>
      <c r="PEL35" s="3"/>
      <c r="PEM35" s="3"/>
      <c r="PEN35" s="3"/>
      <c r="PEO35" s="3"/>
      <c r="PEP35" s="3"/>
      <c r="PEQ35" s="3"/>
      <c r="PER35" s="3"/>
      <c r="PES35" s="3"/>
      <c r="PET35" s="3"/>
      <c r="PEU35" s="3"/>
      <c r="PEV35" s="3"/>
      <c r="PEW35" s="3"/>
      <c r="PEX35" s="3"/>
      <c r="PEY35" s="3"/>
      <c r="PEZ35" s="3"/>
      <c r="PFA35" s="3"/>
      <c r="PFB35" s="3"/>
      <c r="PFC35" s="3"/>
      <c r="PFD35" s="3"/>
      <c r="PFE35" s="3"/>
      <c r="PFF35" s="3"/>
      <c r="PFG35" s="3"/>
      <c r="PFH35" s="3"/>
      <c r="PFI35" s="3"/>
      <c r="PFJ35" s="3"/>
      <c r="PFK35" s="3"/>
      <c r="PFL35" s="3"/>
      <c r="PFM35" s="3"/>
      <c r="PFN35" s="3"/>
      <c r="PFO35" s="3"/>
      <c r="PFP35" s="3"/>
      <c r="PFQ35" s="3"/>
      <c r="PFR35" s="3"/>
      <c r="PFS35" s="3"/>
      <c r="PFT35" s="3"/>
      <c r="PFU35" s="3"/>
      <c r="PFV35" s="3"/>
      <c r="PFW35" s="3"/>
      <c r="PFX35" s="3"/>
      <c r="PFY35" s="3"/>
      <c r="PFZ35" s="3"/>
      <c r="PGA35" s="3"/>
      <c r="PGB35" s="3"/>
      <c r="PGC35" s="3"/>
      <c r="PGD35" s="3"/>
      <c r="PGE35" s="3"/>
      <c r="PGF35" s="3"/>
      <c r="PGG35" s="3"/>
      <c r="PGH35" s="3"/>
      <c r="PGI35" s="3"/>
      <c r="PGJ35" s="3"/>
      <c r="PGK35" s="3"/>
      <c r="PGL35" s="3"/>
      <c r="PGM35" s="3"/>
      <c r="PGN35" s="3"/>
      <c r="PGO35" s="3"/>
      <c r="PGP35" s="3"/>
      <c r="PGQ35" s="3"/>
      <c r="PGR35" s="3"/>
      <c r="PGS35" s="3"/>
      <c r="PGT35" s="3"/>
      <c r="PGU35" s="3"/>
      <c r="PGV35" s="3"/>
      <c r="PGW35" s="3"/>
      <c r="PGX35" s="3"/>
      <c r="PGY35" s="3"/>
      <c r="PGZ35" s="3"/>
      <c r="PHA35" s="3"/>
      <c r="PHB35" s="3"/>
      <c r="PHC35" s="3"/>
      <c r="PHD35" s="3"/>
      <c r="PHE35" s="3"/>
      <c r="PHF35" s="3"/>
      <c r="PHG35" s="3"/>
      <c r="PHH35" s="3"/>
      <c r="PHI35" s="3"/>
      <c r="PHJ35" s="3"/>
      <c r="PHK35" s="3"/>
      <c r="PHL35" s="3"/>
      <c r="PHM35" s="3"/>
      <c r="PHN35" s="3"/>
      <c r="PHO35" s="3"/>
      <c r="PHP35" s="3"/>
      <c r="PHQ35" s="3"/>
      <c r="PHR35" s="3"/>
      <c r="PHS35" s="3"/>
      <c r="PHT35" s="3"/>
      <c r="PHU35" s="3"/>
      <c r="PHV35" s="3"/>
      <c r="PHW35" s="3"/>
      <c r="PHX35" s="3"/>
      <c r="PHY35" s="3"/>
      <c r="PHZ35" s="3"/>
      <c r="PIA35" s="3"/>
      <c r="PIB35" s="3"/>
      <c r="PIC35" s="3"/>
      <c r="PID35" s="3"/>
      <c r="PIE35" s="3"/>
      <c r="PIF35" s="3"/>
      <c r="PIG35" s="3"/>
      <c r="PIH35" s="3"/>
      <c r="PII35" s="3"/>
      <c r="PIJ35" s="3"/>
      <c r="PIK35" s="3"/>
      <c r="PIL35" s="3"/>
      <c r="PIM35" s="3"/>
      <c r="PIN35" s="3"/>
      <c r="PIO35" s="3"/>
      <c r="PIP35" s="3"/>
      <c r="PIQ35" s="3"/>
      <c r="PIR35" s="3"/>
      <c r="PIS35" s="3"/>
      <c r="PIT35" s="3"/>
      <c r="PIU35" s="3"/>
      <c r="PIV35" s="3"/>
      <c r="PIW35" s="3"/>
      <c r="PIX35" s="3"/>
      <c r="PIY35" s="3"/>
      <c r="PIZ35" s="3"/>
      <c r="PJA35" s="3"/>
      <c r="PJB35" s="3"/>
      <c r="PJC35" s="3"/>
      <c r="PJD35" s="3"/>
      <c r="PJE35" s="3"/>
      <c r="PJF35" s="3"/>
      <c r="PJG35" s="3"/>
      <c r="PJH35" s="3"/>
      <c r="PJI35" s="3"/>
      <c r="PJJ35" s="3"/>
      <c r="PJK35" s="3"/>
      <c r="PJL35" s="3"/>
      <c r="PJM35" s="3"/>
      <c r="PJN35" s="3"/>
      <c r="PJO35" s="3"/>
      <c r="PJP35" s="3"/>
      <c r="PJQ35" s="3"/>
      <c r="PJR35" s="3"/>
      <c r="PJS35" s="3"/>
      <c r="PJT35" s="3"/>
      <c r="PJU35" s="3"/>
      <c r="PJV35" s="3"/>
      <c r="PJW35" s="3"/>
      <c r="PJX35" s="3"/>
      <c r="PJY35" s="3"/>
      <c r="PJZ35" s="3"/>
      <c r="PKA35" s="3"/>
      <c r="PKB35" s="3"/>
      <c r="PKC35" s="3"/>
      <c r="PKD35" s="3"/>
      <c r="PKE35" s="3"/>
      <c r="PKF35" s="3"/>
      <c r="PKG35" s="3"/>
      <c r="PKH35" s="3"/>
      <c r="PKI35" s="3"/>
      <c r="PKJ35" s="3"/>
      <c r="PKK35" s="3"/>
      <c r="PKL35" s="3"/>
      <c r="PKM35" s="3"/>
      <c r="PKN35" s="3"/>
      <c r="PKO35" s="3"/>
      <c r="PKP35" s="3"/>
      <c r="PKQ35" s="3"/>
      <c r="PKR35" s="3"/>
      <c r="PKS35" s="3"/>
      <c r="PKT35" s="3"/>
      <c r="PKU35" s="3"/>
      <c r="PKV35" s="3"/>
      <c r="PKW35" s="3"/>
      <c r="PKX35" s="3"/>
      <c r="PKY35" s="3"/>
      <c r="PKZ35" s="3"/>
      <c r="PLA35" s="3"/>
      <c r="PLB35" s="3"/>
      <c r="PLC35" s="3"/>
      <c r="PLD35" s="3"/>
      <c r="PLE35" s="3"/>
      <c r="PLF35" s="3"/>
      <c r="PLG35" s="3"/>
      <c r="PLH35" s="3"/>
      <c r="PLI35" s="3"/>
      <c r="PLJ35" s="3"/>
      <c r="PLK35" s="3"/>
      <c r="PLL35" s="3"/>
      <c r="PLM35" s="3"/>
      <c r="PLN35" s="3"/>
      <c r="PLO35" s="3"/>
      <c r="PLP35" s="3"/>
      <c r="PLQ35" s="3"/>
      <c r="PLR35" s="3"/>
      <c r="PLS35" s="3"/>
      <c r="PLT35" s="3"/>
      <c r="PLU35" s="3"/>
      <c r="PLV35" s="3"/>
      <c r="PLW35" s="3"/>
      <c r="PLX35" s="3"/>
      <c r="PLY35" s="3"/>
      <c r="PLZ35" s="3"/>
      <c r="PMA35" s="3"/>
      <c r="PMB35" s="3"/>
      <c r="PMC35" s="3"/>
      <c r="PMD35" s="3"/>
      <c r="PME35" s="3"/>
      <c r="PMF35" s="3"/>
      <c r="PMG35" s="3"/>
      <c r="PMH35" s="3"/>
      <c r="PMI35" s="3"/>
      <c r="PMJ35" s="3"/>
      <c r="PMK35" s="3"/>
      <c r="PML35" s="3"/>
      <c r="PMM35" s="3"/>
      <c r="PMN35" s="3"/>
      <c r="PMO35" s="3"/>
      <c r="PMP35" s="3"/>
      <c r="PMQ35" s="3"/>
      <c r="PMR35" s="3"/>
      <c r="PMS35" s="3"/>
      <c r="PMT35" s="3"/>
      <c r="PMU35" s="3"/>
      <c r="PMV35" s="3"/>
      <c r="PMW35" s="3"/>
      <c r="PMX35" s="3"/>
      <c r="PMY35" s="3"/>
      <c r="PMZ35" s="3"/>
      <c r="PNA35" s="3"/>
      <c r="PNB35" s="3"/>
      <c r="PNC35" s="3"/>
      <c r="PND35" s="3"/>
      <c r="PNE35" s="3"/>
      <c r="PNF35" s="3"/>
      <c r="PNG35" s="3"/>
      <c r="PNH35" s="3"/>
      <c r="PNI35" s="3"/>
      <c r="PNJ35" s="3"/>
      <c r="PNK35" s="3"/>
      <c r="PNL35" s="3"/>
      <c r="PNM35" s="3"/>
      <c r="PNN35" s="3"/>
      <c r="PNO35" s="3"/>
      <c r="PNP35" s="3"/>
      <c r="PNQ35" s="3"/>
      <c r="PNR35" s="3"/>
      <c r="PNS35" s="3"/>
      <c r="PNT35" s="3"/>
      <c r="PNU35" s="3"/>
      <c r="PNV35" s="3"/>
      <c r="PNW35" s="3"/>
      <c r="PNX35" s="3"/>
      <c r="PNY35" s="3"/>
      <c r="PNZ35" s="3"/>
      <c r="POA35" s="3"/>
      <c r="POB35" s="3"/>
      <c r="POC35" s="3"/>
      <c r="POD35" s="3"/>
      <c r="POE35" s="3"/>
      <c r="POF35" s="3"/>
      <c r="POG35" s="3"/>
      <c r="POH35" s="3"/>
      <c r="POI35" s="3"/>
      <c r="POJ35" s="3"/>
      <c r="POK35" s="3"/>
      <c r="POL35" s="3"/>
      <c r="POM35" s="3"/>
      <c r="PON35" s="3"/>
      <c r="POO35" s="3"/>
      <c r="POP35" s="3"/>
      <c r="POQ35" s="3"/>
      <c r="POR35" s="3"/>
      <c r="POS35" s="3"/>
      <c r="POT35" s="3"/>
      <c r="POU35" s="3"/>
      <c r="POV35" s="3"/>
      <c r="POW35" s="3"/>
      <c r="POX35" s="3"/>
      <c r="POY35" s="3"/>
      <c r="POZ35" s="3"/>
      <c r="PPA35" s="3"/>
      <c r="PPB35" s="3"/>
      <c r="PPC35" s="3"/>
      <c r="PPD35" s="3"/>
      <c r="PPE35" s="3"/>
      <c r="PPF35" s="3"/>
      <c r="PPG35" s="3"/>
      <c r="PPH35" s="3"/>
      <c r="PPI35" s="3"/>
      <c r="PPJ35" s="3"/>
      <c r="PPK35" s="3"/>
      <c r="PPL35" s="3"/>
      <c r="PPM35" s="3"/>
      <c r="PPN35" s="3"/>
      <c r="PPO35" s="3"/>
      <c r="PPP35" s="3"/>
      <c r="PPQ35" s="3"/>
      <c r="PPR35" s="3"/>
      <c r="PPS35" s="3"/>
      <c r="PPT35" s="3"/>
      <c r="PPU35" s="3"/>
      <c r="PPV35" s="3"/>
      <c r="PPW35" s="3"/>
      <c r="PPX35" s="3"/>
      <c r="PPY35" s="3"/>
      <c r="PPZ35" s="3"/>
      <c r="PQA35" s="3"/>
      <c r="PQB35" s="3"/>
      <c r="PQC35" s="3"/>
      <c r="PQD35" s="3"/>
      <c r="PQE35" s="3"/>
      <c r="PQF35" s="3"/>
      <c r="PQG35" s="3"/>
      <c r="PQH35" s="3"/>
      <c r="PQI35" s="3"/>
      <c r="PQJ35" s="3"/>
      <c r="PQK35" s="3"/>
      <c r="PQL35" s="3"/>
      <c r="PQM35" s="3"/>
      <c r="PQN35" s="3"/>
      <c r="PQO35" s="3"/>
      <c r="PQP35" s="3"/>
      <c r="PQQ35" s="3"/>
      <c r="PQR35" s="3"/>
      <c r="PQS35" s="3"/>
      <c r="PQT35" s="3"/>
      <c r="PQU35" s="3"/>
      <c r="PQV35" s="3"/>
      <c r="PQW35" s="3"/>
      <c r="PQX35" s="3"/>
      <c r="PQY35" s="3"/>
      <c r="PQZ35" s="3"/>
      <c r="PRA35" s="3"/>
      <c r="PRB35" s="3"/>
      <c r="PRC35" s="3"/>
      <c r="PRD35" s="3"/>
      <c r="PRE35" s="3"/>
      <c r="PRF35" s="3"/>
      <c r="PRG35" s="3"/>
      <c r="PRH35" s="3"/>
      <c r="PRI35" s="3"/>
      <c r="PRJ35" s="3"/>
      <c r="PRK35" s="3"/>
      <c r="PRL35" s="3"/>
      <c r="PRM35" s="3"/>
      <c r="PRN35" s="3"/>
      <c r="PRO35" s="3"/>
      <c r="PRP35" s="3"/>
      <c r="PRQ35" s="3"/>
      <c r="PRR35" s="3"/>
      <c r="PRS35" s="3"/>
      <c r="PRT35" s="3"/>
      <c r="PRU35" s="3"/>
      <c r="PRV35" s="3"/>
      <c r="PRW35" s="3"/>
      <c r="PRX35" s="3"/>
      <c r="PRY35" s="3"/>
      <c r="PRZ35" s="3"/>
      <c r="PSA35" s="3"/>
      <c r="PSB35" s="3"/>
      <c r="PSC35" s="3"/>
      <c r="PSD35" s="3"/>
      <c r="PSE35" s="3"/>
      <c r="PSF35" s="3"/>
      <c r="PSG35" s="3"/>
      <c r="PSH35" s="3"/>
      <c r="PSI35" s="3"/>
      <c r="PSJ35" s="3"/>
      <c r="PSK35" s="3"/>
      <c r="PSL35" s="3"/>
      <c r="PSM35" s="3"/>
      <c r="PSN35" s="3"/>
      <c r="PSO35" s="3"/>
      <c r="PSP35" s="3"/>
      <c r="PSQ35" s="3"/>
      <c r="PSR35" s="3"/>
      <c r="PSS35" s="3"/>
      <c r="PST35" s="3"/>
      <c r="PSU35" s="3"/>
      <c r="PSV35" s="3"/>
      <c r="PSW35" s="3"/>
      <c r="PSX35" s="3"/>
      <c r="PSY35" s="3"/>
      <c r="PSZ35" s="3"/>
      <c r="PTA35" s="3"/>
      <c r="PTB35" s="3"/>
      <c r="PTC35" s="3"/>
      <c r="PTD35" s="3"/>
      <c r="PTE35" s="3"/>
      <c r="PTF35" s="3"/>
      <c r="PTG35" s="3"/>
      <c r="PTH35" s="3"/>
      <c r="PTI35" s="3"/>
      <c r="PTJ35" s="3"/>
      <c r="PTK35" s="3"/>
      <c r="PTL35" s="3"/>
      <c r="PTM35" s="3"/>
      <c r="PTN35" s="3"/>
      <c r="PTO35" s="3"/>
      <c r="PTP35" s="3"/>
      <c r="PTQ35" s="3"/>
      <c r="PTR35" s="3"/>
      <c r="PTS35" s="3"/>
      <c r="PTT35" s="3"/>
      <c r="PTU35" s="3"/>
      <c r="PTV35" s="3"/>
      <c r="PTW35" s="3"/>
      <c r="PTX35" s="3"/>
      <c r="PTY35" s="3"/>
      <c r="PTZ35" s="3"/>
      <c r="PUA35" s="3"/>
      <c r="PUB35" s="3"/>
      <c r="PUC35" s="3"/>
      <c r="PUD35" s="3"/>
      <c r="PUE35" s="3"/>
      <c r="PUF35" s="3"/>
      <c r="PUG35" s="3"/>
      <c r="PUH35" s="3"/>
      <c r="PUI35" s="3"/>
      <c r="PUJ35" s="3"/>
      <c r="PUK35" s="3"/>
      <c r="PUL35" s="3"/>
      <c r="PUM35" s="3"/>
      <c r="PUN35" s="3"/>
      <c r="PUO35" s="3"/>
      <c r="PUP35" s="3"/>
      <c r="PUQ35" s="3"/>
      <c r="PUR35" s="3"/>
      <c r="PUS35" s="3"/>
      <c r="PUT35" s="3"/>
      <c r="PUU35" s="3"/>
      <c r="PUV35" s="3"/>
      <c r="PUW35" s="3"/>
      <c r="PUX35" s="3"/>
      <c r="PUY35" s="3"/>
      <c r="PUZ35" s="3"/>
      <c r="PVA35" s="3"/>
      <c r="PVB35" s="3"/>
      <c r="PVC35" s="3"/>
      <c r="PVD35" s="3"/>
      <c r="PVE35" s="3"/>
      <c r="PVF35" s="3"/>
      <c r="PVG35" s="3"/>
      <c r="PVH35" s="3"/>
      <c r="PVI35" s="3"/>
      <c r="PVJ35" s="3"/>
      <c r="PVK35" s="3"/>
      <c r="PVL35" s="3"/>
      <c r="PVM35" s="3"/>
      <c r="PVN35" s="3"/>
      <c r="PVO35" s="3"/>
      <c r="PVP35" s="3"/>
      <c r="PVQ35" s="3"/>
      <c r="PVR35" s="3"/>
      <c r="PVS35" s="3"/>
      <c r="PVT35" s="3"/>
      <c r="PVU35" s="3"/>
      <c r="PVV35" s="3"/>
      <c r="PVW35" s="3"/>
      <c r="PVX35" s="3"/>
      <c r="PVY35" s="3"/>
      <c r="PVZ35" s="3"/>
      <c r="PWA35" s="3"/>
      <c r="PWB35" s="3"/>
      <c r="PWC35" s="3"/>
      <c r="PWD35" s="3"/>
      <c r="PWE35" s="3"/>
      <c r="PWF35" s="3"/>
      <c r="PWG35" s="3"/>
      <c r="PWH35" s="3"/>
      <c r="PWI35" s="3"/>
      <c r="PWJ35" s="3"/>
      <c r="PWK35" s="3"/>
      <c r="PWL35" s="3"/>
      <c r="PWM35" s="3"/>
      <c r="PWN35" s="3"/>
      <c r="PWO35" s="3"/>
      <c r="PWP35" s="3"/>
      <c r="PWQ35" s="3"/>
      <c r="PWR35" s="3"/>
      <c r="PWS35" s="3"/>
      <c r="PWT35" s="3"/>
      <c r="PWU35" s="3"/>
      <c r="PWV35" s="3"/>
      <c r="PWW35" s="3"/>
      <c r="PWX35" s="3"/>
      <c r="PWY35" s="3"/>
      <c r="PWZ35" s="3"/>
      <c r="PXA35" s="3"/>
      <c r="PXB35" s="3"/>
      <c r="PXC35" s="3"/>
      <c r="PXD35" s="3"/>
      <c r="PXE35" s="3"/>
      <c r="PXF35" s="3"/>
      <c r="PXG35" s="3"/>
      <c r="PXH35" s="3"/>
      <c r="PXI35" s="3"/>
      <c r="PXJ35" s="3"/>
      <c r="PXK35" s="3"/>
      <c r="PXL35" s="3"/>
      <c r="PXM35" s="3"/>
      <c r="PXN35" s="3"/>
      <c r="PXO35" s="3"/>
      <c r="PXP35" s="3"/>
      <c r="PXQ35" s="3"/>
      <c r="PXR35" s="3"/>
      <c r="PXS35" s="3"/>
      <c r="PXT35" s="3"/>
      <c r="PXU35" s="3"/>
      <c r="PXV35" s="3"/>
      <c r="PXW35" s="3"/>
      <c r="PXX35" s="3"/>
      <c r="PXY35" s="3"/>
      <c r="PXZ35" s="3"/>
      <c r="PYA35" s="3"/>
      <c r="PYB35" s="3"/>
      <c r="PYC35" s="3"/>
      <c r="PYD35" s="3"/>
      <c r="PYE35" s="3"/>
      <c r="PYF35" s="3"/>
      <c r="PYG35" s="3"/>
      <c r="PYH35" s="3"/>
      <c r="PYI35" s="3"/>
      <c r="PYJ35" s="3"/>
      <c r="PYK35" s="3"/>
      <c r="PYL35" s="3"/>
      <c r="PYM35" s="3"/>
      <c r="PYN35" s="3"/>
      <c r="PYO35" s="3"/>
      <c r="PYP35" s="3"/>
      <c r="PYQ35" s="3"/>
      <c r="PYR35" s="3"/>
      <c r="PYS35" s="3"/>
      <c r="PYT35" s="3"/>
      <c r="PYU35" s="3"/>
      <c r="PYV35" s="3"/>
      <c r="PYW35" s="3"/>
      <c r="PYX35" s="3"/>
      <c r="PYY35" s="3"/>
      <c r="PYZ35" s="3"/>
      <c r="PZA35" s="3"/>
      <c r="PZB35" s="3"/>
      <c r="PZC35" s="3"/>
      <c r="PZD35" s="3"/>
      <c r="PZE35" s="3"/>
      <c r="PZF35" s="3"/>
      <c r="PZG35" s="3"/>
      <c r="PZH35" s="3"/>
      <c r="PZI35" s="3"/>
      <c r="PZJ35" s="3"/>
      <c r="PZK35" s="3"/>
      <c r="PZL35" s="3"/>
      <c r="PZM35" s="3"/>
      <c r="PZN35" s="3"/>
      <c r="PZO35" s="3"/>
      <c r="PZP35" s="3"/>
      <c r="PZQ35" s="3"/>
      <c r="PZR35" s="3"/>
      <c r="PZS35" s="3"/>
      <c r="PZT35" s="3"/>
      <c r="PZU35" s="3"/>
      <c r="PZV35" s="3"/>
      <c r="PZW35" s="3"/>
      <c r="PZX35" s="3"/>
      <c r="PZY35" s="3"/>
      <c r="PZZ35" s="3"/>
      <c r="QAA35" s="3"/>
      <c r="QAB35" s="3"/>
      <c r="QAC35" s="3"/>
      <c r="QAD35" s="3"/>
      <c r="QAE35" s="3"/>
      <c r="QAF35" s="3"/>
      <c r="QAG35" s="3"/>
      <c r="QAH35" s="3"/>
      <c r="QAI35" s="3"/>
      <c r="QAJ35" s="3"/>
      <c r="QAK35" s="3"/>
      <c r="QAL35" s="3"/>
      <c r="QAM35" s="3"/>
      <c r="QAN35" s="3"/>
      <c r="QAO35" s="3"/>
      <c r="QAP35" s="3"/>
      <c r="QAQ35" s="3"/>
      <c r="QAR35" s="3"/>
      <c r="QAS35" s="3"/>
      <c r="QAT35" s="3"/>
      <c r="QAU35" s="3"/>
      <c r="QAV35" s="3"/>
      <c r="QAW35" s="3"/>
      <c r="QAX35" s="3"/>
      <c r="QAY35" s="3"/>
      <c r="QAZ35" s="3"/>
      <c r="QBA35" s="3"/>
      <c r="QBB35" s="3"/>
      <c r="QBC35" s="3"/>
      <c r="QBD35" s="3"/>
      <c r="QBE35" s="3"/>
      <c r="QBF35" s="3"/>
      <c r="QBG35" s="3"/>
      <c r="QBH35" s="3"/>
      <c r="QBI35" s="3"/>
      <c r="QBJ35" s="3"/>
      <c r="QBK35" s="3"/>
      <c r="QBL35" s="3"/>
      <c r="QBM35" s="3"/>
      <c r="QBN35" s="3"/>
      <c r="QBO35" s="3"/>
      <c r="QBP35" s="3"/>
      <c r="QBQ35" s="3"/>
      <c r="QBR35" s="3"/>
      <c r="QBS35" s="3"/>
      <c r="QBT35" s="3"/>
      <c r="QBU35" s="3"/>
      <c r="QBV35" s="3"/>
      <c r="QBW35" s="3"/>
      <c r="QBX35" s="3"/>
      <c r="QBY35" s="3"/>
      <c r="QBZ35" s="3"/>
      <c r="QCA35" s="3"/>
      <c r="QCB35" s="3"/>
      <c r="QCC35" s="3"/>
      <c r="QCD35" s="3"/>
      <c r="QCE35" s="3"/>
      <c r="QCF35" s="3"/>
      <c r="QCG35" s="3"/>
      <c r="QCH35" s="3"/>
      <c r="QCI35" s="3"/>
      <c r="QCJ35" s="3"/>
      <c r="QCK35" s="3"/>
      <c r="QCL35" s="3"/>
      <c r="QCM35" s="3"/>
      <c r="QCN35" s="3"/>
      <c r="QCO35" s="3"/>
      <c r="QCP35" s="3"/>
      <c r="QCQ35" s="3"/>
      <c r="QCR35" s="3"/>
      <c r="QCS35" s="3"/>
      <c r="QCT35" s="3"/>
      <c r="QCU35" s="3"/>
      <c r="QCV35" s="3"/>
      <c r="QCW35" s="3"/>
      <c r="QCX35" s="3"/>
      <c r="QCY35" s="3"/>
      <c r="QCZ35" s="3"/>
      <c r="QDA35" s="3"/>
      <c r="QDB35" s="3"/>
      <c r="QDC35" s="3"/>
      <c r="QDD35" s="3"/>
      <c r="QDE35" s="3"/>
      <c r="QDF35" s="3"/>
      <c r="QDG35" s="3"/>
      <c r="QDH35" s="3"/>
      <c r="QDI35" s="3"/>
      <c r="QDJ35" s="3"/>
      <c r="QDK35" s="3"/>
      <c r="QDL35" s="3"/>
      <c r="QDM35" s="3"/>
      <c r="QDN35" s="3"/>
      <c r="QDO35" s="3"/>
      <c r="QDP35" s="3"/>
      <c r="QDQ35" s="3"/>
      <c r="QDR35" s="3"/>
      <c r="QDS35" s="3"/>
      <c r="QDT35" s="3"/>
      <c r="QDU35" s="3"/>
      <c r="QDV35" s="3"/>
      <c r="QDW35" s="3"/>
      <c r="QDX35" s="3"/>
      <c r="QDY35" s="3"/>
      <c r="QDZ35" s="3"/>
      <c r="QEA35" s="3"/>
      <c r="QEB35" s="3"/>
      <c r="QEC35" s="3"/>
      <c r="QED35" s="3"/>
      <c r="QEE35" s="3"/>
      <c r="QEF35" s="3"/>
      <c r="QEG35" s="3"/>
      <c r="QEH35" s="3"/>
      <c r="QEI35" s="3"/>
      <c r="QEJ35" s="3"/>
      <c r="QEK35" s="3"/>
      <c r="QEL35" s="3"/>
      <c r="QEM35" s="3"/>
      <c r="QEN35" s="3"/>
      <c r="QEO35" s="3"/>
      <c r="QEP35" s="3"/>
      <c r="QEQ35" s="3"/>
      <c r="QER35" s="3"/>
      <c r="QES35" s="3"/>
      <c r="QET35" s="3"/>
      <c r="QEU35" s="3"/>
      <c r="QEV35" s="3"/>
      <c r="QEW35" s="3"/>
      <c r="QEX35" s="3"/>
      <c r="QEY35" s="3"/>
      <c r="QEZ35" s="3"/>
      <c r="QFA35" s="3"/>
      <c r="QFB35" s="3"/>
      <c r="QFC35" s="3"/>
      <c r="QFD35" s="3"/>
      <c r="QFE35" s="3"/>
      <c r="QFF35" s="3"/>
      <c r="QFG35" s="3"/>
      <c r="QFH35" s="3"/>
      <c r="QFI35" s="3"/>
      <c r="QFJ35" s="3"/>
      <c r="QFK35" s="3"/>
      <c r="QFL35" s="3"/>
      <c r="QFM35" s="3"/>
      <c r="QFN35" s="3"/>
      <c r="QFO35" s="3"/>
      <c r="QFP35" s="3"/>
      <c r="QFQ35" s="3"/>
      <c r="QFR35" s="3"/>
      <c r="QFS35" s="3"/>
      <c r="QFT35" s="3"/>
      <c r="QFU35" s="3"/>
      <c r="QFV35" s="3"/>
      <c r="QFW35" s="3"/>
      <c r="QFX35" s="3"/>
      <c r="QFY35" s="3"/>
      <c r="QFZ35" s="3"/>
      <c r="QGA35" s="3"/>
      <c r="QGB35" s="3"/>
      <c r="QGC35" s="3"/>
      <c r="QGD35" s="3"/>
      <c r="QGE35" s="3"/>
      <c r="QGF35" s="3"/>
      <c r="QGG35" s="3"/>
      <c r="QGH35" s="3"/>
      <c r="QGI35" s="3"/>
      <c r="QGJ35" s="3"/>
      <c r="QGK35" s="3"/>
      <c r="QGL35" s="3"/>
      <c r="QGM35" s="3"/>
      <c r="QGN35" s="3"/>
      <c r="QGO35" s="3"/>
      <c r="QGP35" s="3"/>
      <c r="QGQ35" s="3"/>
      <c r="QGR35" s="3"/>
      <c r="QGS35" s="3"/>
      <c r="QGT35" s="3"/>
      <c r="QGU35" s="3"/>
      <c r="QGV35" s="3"/>
      <c r="QGW35" s="3"/>
      <c r="QGX35" s="3"/>
      <c r="QGY35" s="3"/>
      <c r="QGZ35" s="3"/>
      <c r="QHA35" s="3"/>
      <c r="QHB35" s="3"/>
      <c r="QHC35" s="3"/>
      <c r="QHD35" s="3"/>
      <c r="QHE35" s="3"/>
      <c r="QHF35" s="3"/>
      <c r="QHG35" s="3"/>
      <c r="QHH35" s="3"/>
      <c r="QHI35" s="3"/>
      <c r="QHJ35" s="3"/>
      <c r="QHK35" s="3"/>
      <c r="QHL35" s="3"/>
      <c r="QHM35" s="3"/>
      <c r="QHN35" s="3"/>
      <c r="QHO35" s="3"/>
      <c r="QHP35" s="3"/>
      <c r="QHQ35" s="3"/>
      <c r="QHR35" s="3"/>
      <c r="QHS35" s="3"/>
      <c r="QHT35" s="3"/>
      <c r="QHU35" s="3"/>
      <c r="QHV35" s="3"/>
      <c r="QHW35" s="3"/>
      <c r="QHX35" s="3"/>
      <c r="QHY35" s="3"/>
      <c r="QHZ35" s="3"/>
      <c r="QIA35" s="3"/>
      <c r="QIB35" s="3"/>
      <c r="QIC35" s="3"/>
      <c r="QID35" s="3"/>
      <c r="QIE35" s="3"/>
      <c r="QIF35" s="3"/>
      <c r="QIG35" s="3"/>
      <c r="QIH35" s="3"/>
      <c r="QII35" s="3"/>
      <c r="QIJ35" s="3"/>
      <c r="QIK35" s="3"/>
      <c r="QIL35" s="3"/>
      <c r="QIM35" s="3"/>
      <c r="QIN35" s="3"/>
      <c r="QIO35" s="3"/>
      <c r="QIP35" s="3"/>
      <c r="QIQ35" s="3"/>
      <c r="QIR35" s="3"/>
      <c r="QIS35" s="3"/>
      <c r="QIT35" s="3"/>
      <c r="QIU35" s="3"/>
      <c r="QIV35" s="3"/>
      <c r="QIW35" s="3"/>
      <c r="QIX35" s="3"/>
      <c r="QIY35" s="3"/>
      <c r="QIZ35" s="3"/>
      <c r="QJA35" s="3"/>
      <c r="QJB35" s="3"/>
      <c r="QJC35" s="3"/>
      <c r="QJD35" s="3"/>
      <c r="QJE35" s="3"/>
      <c r="QJF35" s="3"/>
      <c r="QJG35" s="3"/>
      <c r="QJH35" s="3"/>
      <c r="QJI35" s="3"/>
      <c r="QJJ35" s="3"/>
      <c r="QJK35" s="3"/>
      <c r="QJL35" s="3"/>
      <c r="QJM35" s="3"/>
      <c r="QJN35" s="3"/>
      <c r="QJO35" s="3"/>
      <c r="QJP35" s="3"/>
      <c r="QJQ35" s="3"/>
      <c r="QJR35" s="3"/>
      <c r="QJS35" s="3"/>
      <c r="QJT35" s="3"/>
      <c r="QJU35" s="3"/>
      <c r="QJV35" s="3"/>
      <c r="QJW35" s="3"/>
      <c r="QJX35" s="3"/>
      <c r="QJY35" s="3"/>
      <c r="QJZ35" s="3"/>
      <c r="QKA35" s="3"/>
      <c r="QKB35" s="3"/>
      <c r="QKC35" s="3"/>
      <c r="QKD35" s="3"/>
      <c r="QKE35" s="3"/>
      <c r="QKF35" s="3"/>
      <c r="QKG35" s="3"/>
      <c r="QKH35" s="3"/>
      <c r="QKI35" s="3"/>
      <c r="QKJ35" s="3"/>
      <c r="QKK35" s="3"/>
      <c r="QKL35" s="3"/>
      <c r="QKM35" s="3"/>
      <c r="QKN35" s="3"/>
      <c r="QKO35" s="3"/>
      <c r="QKP35" s="3"/>
      <c r="QKQ35" s="3"/>
      <c r="QKR35" s="3"/>
      <c r="QKS35" s="3"/>
      <c r="QKT35" s="3"/>
      <c r="QKU35" s="3"/>
      <c r="QKV35" s="3"/>
      <c r="QKW35" s="3"/>
      <c r="QKX35" s="3"/>
      <c r="QKY35" s="3"/>
      <c r="QKZ35" s="3"/>
      <c r="QLA35" s="3"/>
      <c r="QLB35" s="3"/>
      <c r="QLC35" s="3"/>
      <c r="QLD35" s="3"/>
      <c r="QLE35" s="3"/>
      <c r="QLF35" s="3"/>
      <c r="QLG35" s="3"/>
      <c r="QLH35" s="3"/>
      <c r="QLI35" s="3"/>
      <c r="QLJ35" s="3"/>
      <c r="QLK35" s="3"/>
      <c r="QLL35" s="3"/>
      <c r="QLM35" s="3"/>
      <c r="QLN35" s="3"/>
      <c r="QLO35" s="3"/>
      <c r="QLP35" s="3"/>
      <c r="QLQ35" s="3"/>
      <c r="QLR35" s="3"/>
      <c r="QLS35" s="3"/>
      <c r="QLT35" s="3"/>
      <c r="QLU35" s="3"/>
      <c r="QLV35" s="3"/>
      <c r="QLW35" s="3"/>
      <c r="QLX35" s="3"/>
      <c r="QLY35" s="3"/>
      <c r="QLZ35" s="3"/>
      <c r="QMA35" s="3"/>
      <c r="QMB35" s="3"/>
      <c r="QMC35" s="3"/>
      <c r="QMD35" s="3"/>
      <c r="QME35" s="3"/>
      <c r="QMF35" s="3"/>
      <c r="QMG35" s="3"/>
      <c r="QMH35" s="3"/>
      <c r="QMI35" s="3"/>
      <c r="QMJ35" s="3"/>
      <c r="QMK35" s="3"/>
      <c r="QML35" s="3"/>
      <c r="QMM35" s="3"/>
      <c r="QMN35" s="3"/>
      <c r="QMO35" s="3"/>
      <c r="QMP35" s="3"/>
      <c r="QMQ35" s="3"/>
      <c r="QMR35" s="3"/>
      <c r="QMS35" s="3"/>
      <c r="QMT35" s="3"/>
      <c r="QMU35" s="3"/>
      <c r="QMV35" s="3"/>
      <c r="QMW35" s="3"/>
      <c r="QMX35" s="3"/>
      <c r="QMY35" s="3"/>
      <c r="QMZ35" s="3"/>
      <c r="QNA35" s="3"/>
      <c r="QNB35" s="3"/>
      <c r="QNC35" s="3"/>
      <c r="QND35" s="3"/>
      <c r="QNE35" s="3"/>
      <c r="QNF35" s="3"/>
      <c r="QNG35" s="3"/>
      <c r="QNH35" s="3"/>
      <c r="QNI35" s="3"/>
      <c r="QNJ35" s="3"/>
      <c r="QNK35" s="3"/>
      <c r="QNL35" s="3"/>
      <c r="QNM35" s="3"/>
      <c r="QNN35" s="3"/>
      <c r="QNO35" s="3"/>
      <c r="QNP35" s="3"/>
      <c r="QNQ35" s="3"/>
      <c r="QNR35" s="3"/>
      <c r="QNS35" s="3"/>
      <c r="QNT35" s="3"/>
      <c r="QNU35" s="3"/>
      <c r="QNV35" s="3"/>
      <c r="QNW35" s="3"/>
      <c r="QNX35" s="3"/>
      <c r="QNY35" s="3"/>
      <c r="QNZ35" s="3"/>
      <c r="QOA35" s="3"/>
      <c r="QOB35" s="3"/>
      <c r="QOC35" s="3"/>
      <c r="QOD35" s="3"/>
      <c r="QOE35" s="3"/>
      <c r="QOF35" s="3"/>
      <c r="QOG35" s="3"/>
      <c r="QOH35" s="3"/>
      <c r="QOI35" s="3"/>
      <c r="QOJ35" s="3"/>
      <c r="QOK35" s="3"/>
      <c r="QOL35" s="3"/>
      <c r="QOM35" s="3"/>
      <c r="QON35" s="3"/>
      <c r="QOO35" s="3"/>
      <c r="QOP35" s="3"/>
      <c r="QOQ35" s="3"/>
      <c r="QOR35" s="3"/>
      <c r="QOS35" s="3"/>
      <c r="QOT35" s="3"/>
      <c r="QOU35" s="3"/>
      <c r="QOV35" s="3"/>
      <c r="QOW35" s="3"/>
      <c r="QOX35" s="3"/>
      <c r="QOY35" s="3"/>
      <c r="QOZ35" s="3"/>
      <c r="QPA35" s="3"/>
      <c r="QPB35" s="3"/>
      <c r="QPC35" s="3"/>
      <c r="QPD35" s="3"/>
      <c r="QPE35" s="3"/>
      <c r="QPF35" s="3"/>
      <c r="QPG35" s="3"/>
      <c r="QPH35" s="3"/>
      <c r="QPI35" s="3"/>
      <c r="QPJ35" s="3"/>
      <c r="QPK35" s="3"/>
      <c r="QPL35" s="3"/>
      <c r="QPM35" s="3"/>
      <c r="QPN35" s="3"/>
      <c r="QPO35" s="3"/>
      <c r="QPP35" s="3"/>
      <c r="QPQ35" s="3"/>
      <c r="QPR35" s="3"/>
      <c r="QPS35" s="3"/>
      <c r="QPT35" s="3"/>
      <c r="QPU35" s="3"/>
      <c r="QPV35" s="3"/>
      <c r="QPW35" s="3"/>
      <c r="QPX35" s="3"/>
      <c r="QPY35" s="3"/>
      <c r="QPZ35" s="3"/>
      <c r="QQA35" s="3"/>
      <c r="QQB35" s="3"/>
      <c r="QQC35" s="3"/>
      <c r="QQD35" s="3"/>
      <c r="QQE35" s="3"/>
      <c r="QQF35" s="3"/>
      <c r="QQG35" s="3"/>
      <c r="QQH35" s="3"/>
      <c r="QQI35" s="3"/>
      <c r="QQJ35" s="3"/>
      <c r="QQK35" s="3"/>
      <c r="QQL35" s="3"/>
      <c r="QQM35" s="3"/>
      <c r="QQN35" s="3"/>
      <c r="QQO35" s="3"/>
      <c r="QQP35" s="3"/>
      <c r="QQQ35" s="3"/>
      <c r="QQR35" s="3"/>
      <c r="QQS35" s="3"/>
      <c r="QQT35" s="3"/>
      <c r="QQU35" s="3"/>
      <c r="QQV35" s="3"/>
      <c r="QQW35" s="3"/>
      <c r="QQX35" s="3"/>
      <c r="QQY35" s="3"/>
      <c r="QQZ35" s="3"/>
      <c r="QRA35" s="3"/>
      <c r="QRB35" s="3"/>
      <c r="QRC35" s="3"/>
      <c r="QRD35" s="3"/>
      <c r="QRE35" s="3"/>
      <c r="QRF35" s="3"/>
      <c r="QRG35" s="3"/>
      <c r="QRH35" s="3"/>
      <c r="QRI35" s="3"/>
      <c r="QRJ35" s="3"/>
      <c r="QRK35" s="3"/>
      <c r="QRL35" s="3"/>
      <c r="QRM35" s="3"/>
      <c r="QRN35" s="3"/>
      <c r="QRO35" s="3"/>
      <c r="QRP35" s="3"/>
      <c r="QRQ35" s="3"/>
      <c r="QRR35" s="3"/>
      <c r="QRS35" s="3"/>
      <c r="QRT35" s="3"/>
      <c r="QRU35" s="3"/>
      <c r="QRV35" s="3"/>
      <c r="QRW35" s="3"/>
      <c r="QRX35" s="3"/>
      <c r="QRY35" s="3"/>
      <c r="QRZ35" s="3"/>
      <c r="QSA35" s="3"/>
      <c r="QSB35" s="3"/>
      <c r="QSC35" s="3"/>
      <c r="QSD35" s="3"/>
      <c r="QSE35" s="3"/>
      <c r="QSF35" s="3"/>
      <c r="QSG35" s="3"/>
      <c r="QSH35" s="3"/>
      <c r="QSI35" s="3"/>
      <c r="QSJ35" s="3"/>
      <c r="QSK35" s="3"/>
      <c r="QSL35" s="3"/>
      <c r="QSM35" s="3"/>
      <c r="QSN35" s="3"/>
      <c r="QSO35" s="3"/>
      <c r="QSP35" s="3"/>
      <c r="QSQ35" s="3"/>
      <c r="QSR35" s="3"/>
      <c r="QSS35" s="3"/>
      <c r="QST35" s="3"/>
      <c r="QSU35" s="3"/>
      <c r="QSV35" s="3"/>
      <c r="QSW35" s="3"/>
      <c r="QSX35" s="3"/>
      <c r="QSY35" s="3"/>
      <c r="QSZ35" s="3"/>
      <c r="QTA35" s="3"/>
      <c r="QTB35" s="3"/>
      <c r="QTC35" s="3"/>
      <c r="QTD35" s="3"/>
      <c r="QTE35" s="3"/>
      <c r="QTF35" s="3"/>
      <c r="QTG35" s="3"/>
      <c r="QTH35" s="3"/>
      <c r="QTI35" s="3"/>
      <c r="QTJ35" s="3"/>
      <c r="QTK35" s="3"/>
      <c r="QTL35" s="3"/>
      <c r="QTM35" s="3"/>
      <c r="QTN35" s="3"/>
      <c r="QTO35" s="3"/>
      <c r="QTP35" s="3"/>
      <c r="QTQ35" s="3"/>
      <c r="QTR35" s="3"/>
      <c r="QTS35" s="3"/>
      <c r="QTT35" s="3"/>
      <c r="QTU35" s="3"/>
      <c r="QTV35" s="3"/>
      <c r="QTW35" s="3"/>
      <c r="QTX35" s="3"/>
      <c r="QTY35" s="3"/>
      <c r="QTZ35" s="3"/>
      <c r="QUA35" s="3"/>
      <c r="QUB35" s="3"/>
      <c r="QUC35" s="3"/>
      <c r="QUD35" s="3"/>
      <c r="QUE35" s="3"/>
      <c r="QUF35" s="3"/>
      <c r="QUG35" s="3"/>
      <c r="QUH35" s="3"/>
      <c r="QUI35" s="3"/>
      <c r="QUJ35" s="3"/>
      <c r="QUK35" s="3"/>
      <c r="QUL35" s="3"/>
      <c r="QUM35" s="3"/>
      <c r="QUN35" s="3"/>
      <c r="QUO35" s="3"/>
      <c r="QUP35" s="3"/>
      <c r="QUQ35" s="3"/>
      <c r="QUR35" s="3"/>
      <c r="QUS35" s="3"/>
      <c r="QUT35" s="3"/>
      <c r="QUU35" s="3"/>
      <c r="QUV35" s="3"/>
      <c r="QUW35" s="3"/>
      <c r="QUX35" s="3"/>
      <c r="QUY35" s="3"/>
      <c r="QUZ35" s="3"/>
      <c r="QVA35" s="3"/>
      <c r="QVB35" s="3"/>
      <c r="QVC35" s="3"/>
      <c r="QVD35" s="3"/>
      <c r="QVE35" s="3"/>
      <c r="QVF35" s="3"/>
      <c r="QVG35" s="3"/>
      <c r="QVH35" s="3"/>
      <c r="QVI35" s="3"/>
      <c r="QVJ35" s="3"/>
      <c r="QVK35" s="3"/>
      <c r="QVL35" s="3"/>
      <c r="QVM35" s="3"/>
      <c r="QVN35" s="3"/>
      <c r="QVO35" s="3"/>
      <c r="QVP35" s="3"/>
      <c r="QVQ35" s="3"/>
      <c r="QVR35" s="3"/>
      <c r="QVS35" s="3"/>
      <c r="QVT35" s="3"/>
      <c r="QVU35" s="3"/>
      <c r="QVV35" s="3"/>
      <c r="QVW35" s="3"/>
      <c r="QVX35" s="3"/>
      <c r="QVY35" s="3"/>
      <c r="QVZ35" s="3"/>
      <c r="QWA35" s="3"/>
      <c r="QWB35" s="3"/>
      <c r="QWC35" s="3"/>
      <c r="QWD35" s="3"/>
      <c r="QWE35" s="3"/>
      <c r="QWF35" s="3"/>
      <c r="QWG35" s="3"/>
      <c r="QWH35" s="3"/>
      <c r="QWI35" s="3"/>
      <c r="QWJ35" s="3"/>
      <c r="QWK35" s="3"/>
      <c r="QWL35" s="3"/>
      <c r="QWM35" s="3"/>
      <c r="QWN35" s="3"/>
      <c r="QWO35" s="3"/>
      <c r="QWP35" s="3"/>
      <c r="QWQ35" s="3"/>
      <c r="QWR35" s="3"/>
      <c r="QWS35" s="3"/>
      <c r="QWT35" s="3"/>
      <c r="QWU35" s="3"/>
      <c r="QWV35" s="3"/>
      <c r="QWW35" s="3"/>
      <c r="QWX35" s="3"/>
      <c r="QWY35" s="3"/>
      <c r="QWZ35" s="3"/>
      <c r="QXA35" s="3"/>
      <c r="QXB35" s="3"/>
      <c r="QXC35" s="3"/>
      <c r="QXD35" s="3"/>
      <c r="QXE35" s="3"/>
      <c r="QXF35" s="3"/>
      <c r="QXG35" s="3"/>
      <c r="QXH35" s="3"/>
      <c r="QXI35" s="3"/>
      <c r="QXJ35" s="3"/>
      <c r="QXK35" s="3"/>
      <c r="QXL35" s="3"/>
      <c r="QXM35" s="3"/>
      <c r="QXN35" s="3"/>
      <c r="QXO35" s="3"/>
      <c r="QXP35" s="3"/>
      <c r="QXQ35" s="3"/>
      <c r="QXR35" s="3"/>
      <c r="QXS35" s="3"/>
      <c r="QXT35" s="3"/>
      <c r="QXU35" s="3"/>
      <c r="QXV35" s="3"/>
      <c r="QXW35" s="3"/>
      <c r="QXX35" s="3"/>
      <c r="QXY35" s="3"/>
      <c r="QXZ35" s="3"/>
      <c r="QYA35" s="3"/>
      <c r="QYB35" s="3"/>
      <c r="QYC35" s="3"/>
      <c r="QYD35" s="3"/>
      <c r="QYE35" s="3"/>
      <c r="QYF35" s="3"/>
      <c r="QYG35" s="3"/>
      <c r="QYH35" s="3"/>
      <c r="QYI35" s="3"/>
      <c r="QYJ35" s="3"/>
      <c r="QYK35" s="3"/>
      <c r="QYL35" s="3"/>
      <c r="QYM35" s="3"/>
      <c r="QYN35" s="3"/>
      <c r="QYO35" s="3"/>
      <c r="QYP35" s="3"/>
      <c r="QYQ35" s="3"/>
      <c r="QYR35" s="3"/>
      <c r="QYS35" s="3"/>
      <c r="QYT35" s="3"/>
      <c r="QYU35" s="3"/>
      <c r="QYV35" s="3"/>
      <c r="QYW35" s="3"/>
      <c r="QYX35" s="3"/>
      <c r="QYY35" s="3"/>
      <c r="QYZ35" s="3"/>
      <c r="QZA35" s="3"/>
      <c r="QZB35" s="3"/>
      <c r="QZC35" s="3"/>
      <c r="QZD35" s="3"/>
      <c r="QZE35" s="3"/>
      <c r="QZF35" s="3"/>
      <c r="QZG35" s="3"/>
      <c r="QZH35" s="3"/>
      <c r="QZI35" s="3"/>
      <c r="QZJ35" s="3"/>
      <c r="QZK35" s="3"/>
      <c r="QZL35" s="3"/>
      <c r="QZM35" s="3"/>
      <c r="QZN35" s="3"/>
      <c r="QZO35" s="3"/>
      <c r="QZP35" s="3"/>
      <c r="QZQ35" s="3"/>
      <c r="QZR35" s="3"/>
      <c r="QZS35" s="3"/>
      <c r="QZT35" s="3"/>
      <c r="QZU35" s="3"/>
      <c r="QZV35" s="3"/>
      <c r="QZW35" s="3"/>
      <c r="QZX35" s="3"/>
      <c r="QZY35" s="3"/>
      <c r="QZZ35" s="3"/>
      <c r="RAA35" s="3"/>
      <c r="RAB35" s="3"/>
      <c r="RAC35" s="3"/>
      <c r="RAD35" s="3"/>
      <c r="RAE35" s="3"/>
      <c r="RAF35" s="3"/>
      <c r="RAG35" s="3"/>
      <c r="RAH35" s="3"/>
      <c r="RAI35" s="3"/>
      <c r="RAJ35" s="3"/>
      <c r="RAK35" s="3"/>
      <c r="RAL35" s="3"/>
      <c r="RAM35" s="3"/>
      <c r="RAN35" s="3"/>
      <c r="RAO35" s="3"/>
      <c r="RAP35" s="3"/>
      <c r="RAQ35" s="3"/>
      <c r="RAR35" s="3"/>
      <c r="RAS35" s="3"/>
      <c r="RAT35" s="3"/>
      <c r="RAU35" s="3"/>
      <c r="RAV35" s="3"/>
      <c r="RAW35" s="3"/>
      <c r="RAX35" s="3"/>
      <c r="RAY35" s="3"/>
      <c r="RAZ35" s="3"/>
      <c r="RBA35" s="3"/>
      <c r="RBB35" s="3"/>
      <c r="RBC35" s="3"/>
      <c r="RBD35" s="3"/>
      <c r="RBE35" s="3"/>
      <c r="RBF35" s="3"/>
      <c r="RBG35" s="3"/>
      <c r="RBH35" s="3"/>
      <c r="RBI35" s="3"/>
      <c r="RBJ35" s="3"/>
      <c r="RBK35" s="3"/>
      <c r="RBL35" s="3"/>
      <c r="RBM35" s="3"/>
      <c r="RBN35" s="3"/>
      <c r="RBO35" s="3"/>
      <c r="RBP35" s="3"/>
      <c r="RBQ35" s="3"/>
      <c r="RBR35" s="3"/>
      <c r="RBS35" s="3"/>
      <c r="RBT35" s="3"/>
      <c r="RBU35" s="3"/>
      <c r="RBV35" s="3"/>
      <c r="RBW35" s="3"/>
      <c r="RBX35" s="3"/>
      <c r="RBY35" s="3"/>
      <c r="RBZ35" s="3"/>
      <c r="RCA35" s="3"/>
      <c r="RCB35" s="3"/>
      <c r="RCC35" s="3"/>
      <c r="RCD35" s="3"/>
      <c r="RCE35" s="3"/>
      <c r="RCF35" s="3"/>
      <c r="RCG35" s="3"/>
      <c r="RCH35" s="3"/>
      <c r="RCI35" s="3"/>
      <c r="RCJ35" s="3"/>
      <c r="RCK35" s="3"/>
      <c r="RCL35" s="3"/>
      <c r="RCM35" s="3"/>
      <c r="RCN35" s="3"/>
      <c r="RCO35" s="3"/>
      <c r="RCP35" s="3"/>
      <c r="RCQ35" s="3"/>
      <c r="RCR35" s="3"/>
      <c r="RCS35" s="3"/>
      <c r="RCT35" s="3"/>
      <c r="RCU35" s="3"/>
      <c r="RCV35" s="3"/>
      <c r="RCW35" s="3"/>
      <c r="RCX35" s="3"/>
      <c r="RCY35" s="3"/>
      <c r="RCZ35" s="3"/>
      <c r="RDA35" s="3"/>
      <c r="RDB35" s="3"/>
      <c r="RDC35" s="3"/>
      <c r="RDD35" s="3"/>
      <c r="RDE35" s="3"/>
      <c r="RDF35" s="3"/>
      <c r="RDG35" s="3"/>
      <c r="RDH35" s="3"/>
      <c r="RDI35" s="3"/>
      <c r="RDJ35" s="3"/>
      <c r="RDK35" s="3"/>
      <c r="RDL35" s="3"/>
      <c r="RDM35" s="3"/>
      <c r="RDN35" s="3"/>
      <c r="RDO35" s="3"/>
      <c r="RDP35" s="3"/>
      <c r="RDQ35" s="3"/>
      <c r="RDR35" s="3"/>
      <c r="RDS35" s="3"/>
      <c r="RDT35" s="3"/>
      <c r="RDU35" s="3"/>
      <c r="RDV35" s="3"/>
      <c r="RDW35" s="3"/>
      <c r="RDX35" s="3"/>
      <c r="RDY35" s="3"/>
      <c r="RDZ35" s="3"/>
      <c r="REA35" s="3"/>
      <c r="REB35" s="3"/>
      <c r="REC35" s="3"/>
      <c r="RED35" s="3"/>
      <c r="REE35" s="3"/>
      <c r="REF35" s="3"/>
      <c r="REG35" s="3"/>
      <c r="REH35" s="3"/>
      <c r="REI35" s="3"/>
      <c r="REJ35" s="3"/>
      <c r="REK35" s="3"/>
      <c r="REL35" s="3"/>
      <c r="REM35" s="3"/>
      <c r="REN35" s="3"/>
      <c r="REO35" s="3"/>
      <c r="REP35" s="3"/>
      <c r="REQ35" s="3"/>
      <c r="RER35" s="3"/>
      <c r="RES35" s="3"/>
      <c r="RET35" s="3"/>
      <c r="REU35" s="3"/>
      <c r="REV35" s="3"/>
      <c r="REW35" s="3"/>
      <c r="REX35" s="3"/>
      <c r="REY35" s="3"/>
      <c r="REZ35" s="3"/>
      <c r="RFA35" s="3"/>
      <c r="RFB35" s="3"/>
      <c r="RFC35" s="3"/>
      <c r="RFD35" s="3"/>
      <c r="RFE35" s="3"/>
      <c r="RFF35" s="3"/>
      <c r="RFG35" s="3"/>
      <c r="RFH35" s="3"/>
      <c r="RFI35" s="3"/>
      <c r="RFJ35" s="3"/>
      <c r="RFK35" s="3"/>
      <c r="RFL35" s="3"/>
      <c r="RFM35" s="3"/>
      <c r="RFN35" s="3"/>
      <c r="RFO35" s="3"/>
      <c r="RFP35" s="3"/>
      <c r="RFQ35" s="3"/>
      <c r="RFR35" s="3"/>
      <c r="RFS35" s="3"/>
      <c r="RFT35" s="3"/>
      <c r="RFU35" s="3"/>
      <c r="RFV35" s="3"/>
      <c r="RFW35" s="3"/>
      <c r="RFX35" s="3"/>
      <c r="RFY35" s="3"/>
      <c r="RFZ35" s="3"/>
      <c r="RGA35" s="3"/>
      <c r="RGB35" s="3"/>
      <c r="RGC35" s="3"/>
      <c r="RGD35" s="3"/>
      <c r="RGE35" s="3"/>
      <c r="RGF35" s="3"/>
      <c r="RGG35" s="3"/>
      <c r="RGH35" s="3"/>
      <c r="RGI35" s="3"/>
      <c r="RGJ35" s="3"/>
      <c r="RGK35" s="3"/>
      <c r="RGL35" s="3"/>
      <c r="RGM35" s="3"/>
      <c r="RGN35" s="3"/>
      <c r="RGO35" s="3"/>
      <c r="RGP35" s="3"/>
      <c r="RGQ35" s="3"/>
      <c r="RGR35" s="3"/>
      <c r="RGS35" s="3"/>
      <c r="RGT35" s="3"/>
      <c r="RGU35" s="3"/>
      <c r="RGV35" s="3"/>
      <c r="RGW35" s="3"/>
      <c r="RGX35" s="3"/>
      <c r="RGY35" s="3"/>
      <c r="RGZ35" s="3"/>
      <c r="RHA35" s="3"/>
      <c r="RHB35" s="3"/>
      <c r="RHC35" s="3"/>
      <c r="RHD35" s="3"/>
      <c r="RHE35" s="3"/>
      <c r="RHF35" s="3"/>
      <c r="RHG35" s="3"/>
      <c r="RHH35" s="3"/>
      <c r="RHI35" s="3"/>
      <c r="RHJ35" s="3"/>
      <c r="RHK35" s="3"/>
      <c r="RHL35" s="3"/>
      <c r="RHM35" s="3"/>
      <c r="RHN35" s="3"/>
      <c r="RHO35" s="3"/>
      <c r="RHP35" s="3"/>
      <c r="RHQ35" s="3"/>
      <c r="RHR35" s="3"/>
      <c r="RHS35" s="3"/>
      <c r="RHT35" s="3"/>
      <c r="RHU35" s="3"/>
      <c r="RHV35" s="3"/>
      <c r="RHW35" s="3"/>
      <c r="RHX35" s="3"/>
      <c r="RHY35" s="3"/>
      <c r="RHZ35" s="3"/>
      <c r="RIA35" s="3"/>
      <c r="RIB35" s="3"/>
      <c r="RIC35" s="3"/>
      <c r="RID35" s="3"/>
      <c r="RIE35" s="3"/>
      <c r="RIF35" s="3"/>
      <c r="RIG35" s="3"/>
      <c r="RIH35" s="3"/>
      <c r="RII35" s="3"/>
      <c r="RIJ35" s="3"/>
      <c r="RIK35" s="3"/>
      <c r="RIL35" s="3"/>
      <c r="RIM35" s="3"/>
      <c r="RIN35" s="3"/>
      <c r="RIO35" s="3"/>
      <c r="RIP35" s="3"/>
      <c r="RIQ35" s="3"/>
      <c r="RIR35" s="3"/>
      <c r="RIS35" s="3"/>
      <c r="RIT35" s="3"/>
      <c r="RIU35" s="3"/>
      <c r="RIV35" s="3"/>
      <c r="RIW35" s="3"/>
      <c r="RIX35" s="3"/>
      <c r="RIY35" s="3"/>
      <c r="RIZ35" s="3"/>
      <c r="RJA35" s="3"/>
      <c r="RJB35" s="3"/>
      <c r="RJC35" s="3"/>
      <c r="RJD35" s="3"/>
      <c r="RJE35" s="3"/>
      <c r="RJF35" s="3"/>
      <c r="RJG35" s="3"/>
      <c r="RJH35" s="3"/>
      <c r="RJI35" s="3"/>
      <c r="RJJ35" s="3"/>
      <c r="RJK35" s="3"/>
      <c r="RJL35" s="3"/>
      <c r="RJM35" s="3"/>
      <c r="RJN35" s="3"/>
      <c r="RJO35" s="3"/>
      <c r="RJP35" s="3"/>
      <c r="RJQ35" s="3"/>
      <c r="RJR35" s="3"/>
      <c r="RJS35" s="3"/>
      <c r="RJT35" s="3"/>
      <c r="RJU35" s="3"/>
      <c r="RJV35" s="3"/>
      <c r="RJW35" s="3"/>
      <c r="RJX35" s="3"/>
      <c r="RJY35" s="3"/>
      <c r="RJZ35" s="3"/>
      <c r="RKA35" s="3"/>
      <c r="RKB35" s="3"/>
      <c r="RKC35" s="3"/>
      <c r="RKD35" s="3"/>
      <c r="RKE35" s="3"/>
      <c r="RKF35" s="3"/>
      <c r="RKG35" s="3"/>
      <c r="RKH35" s="3"/>
      <c r="RKI35" s="3"/>
      <c r="RKJ35" s="3"/>
      <c r="RKK35" s="3"/>
      <c r="RKL35" s="3"/>
      <c r="RKM35" s="3"/>
      <c r="RKN35" s="3"/>
      <c r="RKO35" s="3"/>
      <c r="RKP35" s="3"/>
      <c r="RKQ35" s="3"/>
      <c r="RKR35" s="3"/>
      <c r="RKS35" s="3"/>
      <c r="RKT35" s="3"/>
      <c r="RKU35" s="3"/>
      <c r="RKV35" s="3"/>
      <c r="RKW35" s="3"/>
      <c r="RKX35" s="3"/>
      <c r="RKY35" s="3"/>
      <c r="RKZ35" s="3"/>
      <c r="RLA35" s="3"/>
      <c r="RLB35" s="3"/>
      <c r="RLC35" s="3"/>
      <c r="RLD35" s="3"/>
      <c r="RLE35" s="3"/>
      <c r="RLF35" s="3"/>
      <c r="RLG35" s="3"/>
      <c r="RLH35" s="3"/>
      <c r="RLI35" s="3"/>
      <c r="RLJ35" s="3"/>
      <c r="RLK35" s="3"/>
      <c r="RLL35" s="3"/>
      <c r="RLM35" s="3"/>
      <c r="RLN35" s="3"/>
      <c r="RLO35" s="3"/>
      <c r="RLP35" s="3"/>
      <c r="RLQ35" s="3"/>
      <c r="RLR35" s="3"/>
      <c r="RLS35" s="3"/>
      <c r="RLT35" s="3"/>
      <c r="RLU35" s="3"/>
      <c r="RLV35" s="3"/>
      <c r="RLW35" s="3"/>
      <c r="RLX35" s="3"/>
      <c r="RLY35" s="3"/>
      <c r="RLZ35" s="3"/>
      <c r="RMA35" s="3"/>
      <c r="RMB35" s="3"/>
      <c r="RMC35" s="3"/>
      <c r="RMD35" s="3"/>
      <c r="RME35" s="3"/>
      <c r="RMF35" s="3"/>
      <c r="RMG35" s="3"/>
      <c r="RMH35" s="3"/>
      <c r="RMI35" s="3"/>
      <c r="RMJ35" s="3"/>
      <c r="RMK35" s="3"/>
      <c r="RML35" s="3"/>
      <c r="RMM35" s="3"/>
      <c r="RMN35" s="3"/>
      <c r="RMO35" s="3"/>
      <c r="RMP35" s="3"/>
      <c r="RMQ35" s="3"/>
      <c r="RMR35" s="3"/>
      <c r="RMS35" s="3"/>
      <c r="RMT35" s="3"/>
      <c r="RMU35" s="3"/>
      <c r="RMV35" s="3"/>
      <c r="RMW35" s="3"/>
      <c r="RMX35" s="3"/>
      <c r="RMY35" s="3"/>
      <c r="RMZ35" s="3"/>
      <c r="RNA35" s="3"/>
      <c r="RNB35" s="3"/>
      <c r="RNC35" s="3"/>
      <c r="RND35" s="3"/>
      <c r="RNE35" s="3"/>
      <c r="RNF35" s="3"/>
      <c r="RNG35" s="3"/>
      <c r="RNH35" s="3"/>
      <c r="RNI35" s="3"/>
      <c r="RNJ35" s="3"/>
      <c r="RNK35" s="3"/>
      <c r="RNL35" s="3"/>
      <c r="RNM35" s="3"/>
      <c r="RNN35" s="3"/>
      <c r="RNO35" s="3"/>
      <c r="RNP35" s="3"/>
      <c r="RNQ35" s="3"/>
      <c r="RNR35" s="3"/>
      <c r="RNS35" s="3"/>
      <c r="RNT35" s="3"/>
      <c r="RNU35" s="3"/>
      <c r="RNV35" s="3"/>
      <c r="RNW35" s="3"/>
      <c r="RNX35" s="3"/>
      <c r="RNY35" s="3"/>
      <c r="RNZ35" s="3"/>
      <c r="ROA35" s="3"/>
      <c r="ROB35" s="3"/>
      <c r="ROC35" s="3"/>
      <c r="ROD35" s="3"/>
      <c r="ROE35" s="3"/>
      <c r="ROF35" s="3"/>
      <c r="ROG35" s="3"/>
      <c r="ROH35" s="3"/>
      <c r="ROI35" s="3"/>
      <c r="ROJ35" s="3"/>
      <c r="ROK35" s="3"/>
      <c r="ROL35" s="3"/>
      <c r="ROM35" s="3"/>
      <c r="RON35" s="3"/>
      <c r="ROO35" s="3"/>
      <c r="ROP35" s="3"/>
      <c r="ROQ35" s="3"/>
      <c r="ROR35" s="3"/>
      <c r="ROS35" s="3"/>
      <c r="ROT35" s="3"/>
      <c r="ROU35" s="3"/>
      <c r="ROV35" s="3"/>
      <c r="ROW35" s="3"/>
      <c r="ROX35" s="3"/>
      <c r="ROY35" s="3"/>
      <c r="ROZ35" s="3"/>
      <c r="RPA35" s="3"/>
      <c r="RPB35" s="3"/>
      <c r="RPC35" s="3"/>
      <c r="RPD35" s="3"/>
      <c r="RPE35" s="3"/>
      <c r="RPF35" s="3"/>
      <c r="RPG35" s="3"/>
      <c r="RPH35" s="3"/>
      <c r="RPI35" s="3"/>
      <c r="RPJ35" s="3"/>
      <c r="RPK35" s="3"/>
      <c r="RPL35" s="3"/>
      <c r="RPM35" s="3"/>
      <c r="RPN35" s="3"/>
      <c r="RPO35" s="3"/>
      <c r="RPP35" s="3"/>
      <c r="RPQ35" s="3"/>
      <c r="RPR35" s="3"/>
      <c r="RPS35" s="3"/>
      <c r="RPT35" s="3"/>
      <c r="RPU35" s="3"/>
      <c r="RPV35" s="3"/>
      <c r="RPW35" s="3"/>
      <c r="RPX35" s="3"/>
      <c r="RPY35" s="3"/>
      <c r="RPZ35" s="3"/>
      <c r="RQA35" s="3"/>
      <c r="RQB35" s="3"/>
      <c r="RQC35" s="3"/>
      <c r="RQD35" s="3"/>
      <c r="RQE35" s="3"/>
      <c r="RQF35" s="3"/>
      <c r="RQG35" s="3"/>
      <c r="RQH35" s="3"/>
      <c r="RQI35" s="3"/>
      <c r="RQJ35" s="3"/>
      <c r="RQK35" s="3"/>
      <c r="RQL35" s="3"/>
      <c r="RQM35" s="3"/>
      <c r="RQN35" s="3"/>
      <c r="RQO35" s="3"/>
      <c r="RQP35" s="3"/>
      <c r="RQQ35" s="3"/>
      <c r="RQR35" s="3"/>
      <c r="RQS35" s="3"/>
      <c r="RQT35" s="3"/>
      <c r="RQU35" s="3"/>
      <c r="RQV35" s="3"/>
      <c r="RQW35" s="3"/>
      <c r="RQX35" s="3"/>
      <c r="RQY35" s="3"/>
      <c r="RQZ35" s="3"/>
      <c r="RRA35" s="3"/>
      <c r="RRB35" s="3"/>
      <c r="RRC35" s="3"/>
      <c r="RRD35" s="3"/>
      <c r="RRE35" s="3"/>
      <c r="RRF35" s="3"/>
      <c r="RRG35" s="3"/>
      <c r="RRH35" s="3"/>
      <c r="RRI35" s="3"/>
      <c r="RRJ35" s="3"/>
      <c r="RRK35" s="3"/>
      <c r="RRL35" s="3"/>
      <c r="RRM35" s="3"/>
      <c r="RRN35" s="3"/>
      <c r="RRO35" s="3"/>
      <c r="RRP35" s="3"/>
      <c r="RRQ35" s="3"/>
      <c r="RRR35" s="3"/>
      <c r="RRS35" s="3"/>
      <c r="RRT35" s="3"/>
      <c r="RRU35" s="3"/>
      <c r="RRV35" s="3"/>
      <c r="RRW35" s="3"/>
      <c r="RRX35" s="3"/>
      <c r="RRY35" s="3"/>
      <c r="RRZ35" s="3"/>
      <c r="RSA35" s="3"/>
      <c r="RSB35" s="3"/>
      <c r="RSC35" s="3"/>
      <c r="RSD35" s="3"/>
      <c r="RSE35" s="3"/>
      <c r="RSF35" s="3"/>
      <c r="RSG35" s="3"/>
      <c r="RSH35" s="3"/>
      <c r="RSI35" s="3"/>
      <c r="RSJ35" s="3"/>
      <c r="RSK35" s="3"/>
      <c r="RSL35" s="3"/>
      <c r="RSM35" s="3"/>
      <c r="RSN35" s="3"/>
      <c r="RSO35" s="3"/>
      <c r="RSP35" s="3"/>
      <c r="RSQ35" s="3"/>
      <c r="RSR35" s="3"/>
      <c r="RSS35" s="3"/>
      <c r="RST35" s="3"/>
      <c r="RSU35" s="3"/>
      <c r="RSV35" s="3"/>
      <c r="RSW35" s="3"/>
      <c r="RSX35" s="3"/>
      <c r="RSY35" s="3"/>
      <c r="RSZ35" s="3"/>
      <c r="RTA35" s="3"/>
      <c r="RTB35" s="3"/>
      <c r="RTC35" s="3"/>
      <c r="RTD35" s="3"/>
      <c r="RTE35" s="3"/>
      <c r="RTF35" s="3"/>
      <c r="RTG35" s="3"/>
      <c r="RTH35" s="3"/>
      <c r="RTI35" s="3"/>
      <c r="RTJ35" s="3"/>
      <c r="RTK35" s="3"/>
      <c r="RTL35" s="3"/>
      <c r="RTM35" s="3"/>
      <c r="RTN35" s="3"/>
      <c r="RTO35" s="3"/>
      <c r="RTP35" s="3"/>
      <c r="RTQ35" s="3"/>
      <c r="RTR35" s="3"/>
      <c r="RTS35" s="3"/>
      <c r="RTT35" s="3"/>
      <c r="RTU35" s="3"/>
      <c r="RTV35" s="3"/>
      <c r="RTW35" s="3"/>
      <c r="RTX35" s="3"/>
      <c r="RTY35" s="3"/>
      <c r="RTZ35" s="3"/>
      <c r="RUA35" s="3"/>
      <c r="RUB35" s="3"/>
      <c r="RUC35" s="3"/>
      <c r="RUD35" s="3"/>
      <c r="RUE35" s="3"/>
      <c r="RUF35" s="3"/>
      <c r="RUG35" s="3"/>
      <c r="RUH35" s="3"/>
      <c r="RUI35" s="3"/>
      <c r="RUJ35" s="3"/>
      <c r="RUK35" s="3"/>
      <c r="RUL35" s="3"/>
      <c r="RUM35" s="3"/>
      <c r="RUN35" s="3"/>
      <c r="RUO35" s="3"/>
      <c r="RUP35" s="3"/>
      <c r="RUQ35" s="3"/>
      <c r="RUR35" s="3"/>
      <c r="RUS35" s="3"/>
      <c r="RUT35" s="3"/>
      <c r="RUU35" s="3"/>
      <c r="RUV35" s="3"/>
      <c r="RUW35" s="3"/>
      <c r="RUX35" s="3"/>
      <c r="RUY35" s="3"/>
      <c r="RUZ35" s="3"/>
      <c r="RVA35" s="3"/>
      <c r="RVB35" s="3"/>
      <c r="RVC35" s="3"/>
      <c r="RVD35" s="3"/>
      <c r="RVE35" s="3"/>
      <c r="RVF35" s="3"/>
      <c r="RVG35" s="3"/>
      <c r="RVH35" s="3"/>
      <c r="RVI35" s="3"/>
      <c r="RVJ35" s="3"/>
      <c r="RVK35" s="3"/>
      <c r="RVL35" s="3"/>
      <c r="RVM35" s="3"/>
      <c r="RVN35" s="3"/>
      <c r="RVO35" s="3"/>
      <c r="RVP35" s="3"/>
      <c r="RVQ35" s="3"/>
      <c r="RVR35" s="3"/>
      <c r="RVS35" s="3"/>
      <c r="RVT35" s="3"/>
      <c r="RVU35" s="3"/>
      <c r="RVV35" s="3"/>
      <c r="RVW35" s="3"/>
      <c r="RVX35" s="3"/>
      <c r="RVY35" s="3"/>
      <c r="RVZ35" s="3"/>
      <c r="RWA35" s="3"/>
      <c r="RWB35" s="3"/>
      <c r="RWC35" s="3"/>
      <c r="RWD35" s="3"/>
      <c r="RWE35" s="3"/>
      <c r="RWF35" s="3"/>
      <c r="RWG35" s="3"/>
      <c r="RWH35" s="3"/>
      <c r="RWI35" s="3"/>
      <c r="RWJ35" s="3"/>
      <c r="RWK35" s="3"/>
      <c r="RWL35" s="3"/>
      <c r="RWM35" s="3"/>
      <c r="RWN35" s="3"/>
      <c r="RWO35" s="3"/>
      <c r="RWP35" s="3"/>
      <c r="RWQ35" s="3"/>
      <c r="RWR35" s="3"/>
      <c r="RWS35" s="3"/>
      <c r="RWT35" s="3"/>
      <c r="RWU35" s="3"/>
      <c r="RWV35" s="3"/>
      <c r="RWW35" s="3"/>
      <c r="RWX35" s="3"/>
      <c r="RWY35" s="3"/>
      <c r="RWZ35" s="3"/>
      <c r="RXA35" s="3"/>
      <c r="RXB35" s="3"/>
      <c r="RXC35" s="3"/>
      <c r="RXD35" s="3"/>
      <c r="RXE35" s="3"/>
      <c r="RXF35" s="3"/>
      <c r="RXG35" s="3"/>
      <c r="RXH35" s="3"/>
      <c r="RXI35" s="3"/>
      <c r="RXJ35" s="3"/>
      <c r="RXK35" s="3"/>
      <c r="RXL35" s="3"/>
      <c r="RXM35" s="3"/>
      <c r="RXN35" s="3"/>
      <c r="RXO35" s="3"/>
      <c r="RXP35" s="3"/>
      <c r="RXQ35" s="3"/>
      <c r="RXR35" s="3"/>
      <c r="RXS35" s="3"/>
      <c r="RXT35" s="3"/>
      <c r="RXU35" s="3"/>
      <c r="RXV35" s="3"/>
      <c r="RXW35" s="3"/>
      <c r="RXX35" s="3"/>
      <c r="RXY35" s="3"/>
      <c r="RXZ35" s="3"/>
      <c r="RYA35" s="3"/>
      <c r="RYB35" s="3"/>
      <c r="RYC35" s="3"/>
      <c r="RYD35" s="3"/>
      <c r="RYE35" s="3"/>
      <c r="RYF35" s="3"/>
      <c r="RYG35" s="3"/>
      <c r="RYH35" s="3"/>
      <c r="RYI35" s="3"/>
      <c r="RYJ35" s="3"/>
      <c r="RYK35" s="3"/>
      <c r="RYL35" s="3"/>
      <c r="RYM35" s="3"/>
      <c r="RYN35" s="3"/>
      <c r="RYO35" s="3"/>
      <c r="RYP35" s="3"/>
      <c r="RYQ35" s="3"/>
      <c r="RYR35" s="3"/>
      <c r="RYS35" s="3"/>
      <c r="RYT35" s="3"/>
      <c r="RYU35" s="3"/>
      <c r="RYV35" s="3"/>
      <c r="RYW35" s="3"/>
      <c r="RYX35" s="3"/>
      <c r="RYY35" s="3"/>
      <c r="RYZ35" s="3"/>
      <c r="RZA35" s="3"/>
      <c r="RZB35" s="3"/>
      <c r="RZC35" s="3"/>
      <c r="RZD35" s="3"/>
      <c r="RZE35" s="3"/>
      <c r="RZF35" s="3"/>
      <c r="RZG35" s="3"/>
      <c r="RZH35" s="3"/>
      <c r="RZI35" s="3"/>
      <c r="RZJ35" s="3"/>
      <c r="RZK35" s="3"/>
      <c r="RZL35" s="3"/>
      <c r="RZM35" s="3"/>
      <c r="RZN35" s="3"/>
      <c r="RZO35" s="3"/>
      <c r="RZP35" s="3"/>
      <c r="RZQ35" s="3"/>
      <c r="RZR35" s="3"/>
      <c r="RZS35" s="3"/>
      <c r="RZT35" s="3"/>
      <c r="RZU35" s="3"/>
      <c r="RZV35" s="3"/>
      <c r="RZW35" s="3"/>
      <c r="RZX35" s="3"/>
      <c r="RZY35" s="3"/>
      <c r="RZZ35" s="3"/>
      <c r="SAA35" s="3"/>
      <c r="SAB35" s="3"/>
      <c r="SAC35" s="3"/>
      <c r="SAD35" s="3"/>
      <c r="SAE35" s="3"/>
      <c r="SAF35" s="3"/>
      <c r="SAG35" s="3"/>
      <c r="SAH35" s="3"/>
      <c r="SAI35" s="3"/>
      <c r="SAJ35" s="3"/>
      <c r="SAK35" s="3"/>
      <c r="SAL35" s="3"/>
      <c r="SAM35" s="3"/>
      <c r="SAN35" s="3"/>
      <c r="SAO35" s="3"/>
      <c r="SAP35" s="3"/>
      <c r="SAQ35" s="3"/>
      <c r="SAR35" s="3"/>
      <c r="SAS35" s="3"/>
      <c r="SAT35" s="3"/>
      <c r="SAU35" s="3"/>
      <c r="SAV35" s="3"/>
      <c r="SAW35" s="3"/>
      <c r="SAX35" s="3"/>
      <c r="SAY35" s="3"/>
      <c r="SAZ35" s="3"/>
      <c r="SBA35" s="3"/>
      <c r="SBB35" s="3"/>
      <c r="SBC35" s="3"/>
      <c r="SBD35" s="3"/>
      <c r="SBE35" s="3"/>
      <c r="SBF35" s="3"/>
      <c r="SBG35" s="3"/>
      <c r="SBH35" s="3"/>
      <c r="SBI35" s="3"/>
      <c r="SBJ35" s="3"/>
      <c r="SBK35" s="3"/>
      <c r="SBL35" s="3"/>
      <c r="SBM35" s="3"/>
      <c r="SBN35" s="3"/>
      <c r="SBO35" s="3"/>
      <c r="SBP35" s="3"/>
      <c r="SBQ35" s="3"/>
      <c r="SBR35" s="3"/>
      <c r="SBS35" s="3"/>
      <c r="SBT35" s="3"/>
      <c r="SBU35" s="3"/>
      <c r="SBV35" s="3"/>
      <c r="SBW35" s="3"/>
      <c r="SBX35" s="3"/>
      <c r="SBY35" s="3"/>
      <c r="SBZ35" s="3"/>
      <c r="SCA35" s="3"/>
      <c r="SCB35" s="3"/>
      <c r="SCC35" s="3"/>
      <c r="SCD35" s="3"/>
      <c r="SCE35" s="3"/>
      <c r="SCF35" s="3"/>
      <c r="SCG35" s="3"/>
      <c r="SCH35" s="3"/>
      <c r="SCI35" s="3"/>
      <c r="SCJ35" s="3"/>
      <c r="SCK35" s="3"/>
      <c r="SCL35" s="3"/>
      <c r="SCM35" s="3"/>
      <c r="SCN35" s="3"/>
      <c r="SCO35" s="3"/>
      <c r="SCP35" s="3"/>
      <c r="SCQ35" s="3"/>
      <c r="SCR35" s="3"/>
      <c r="SCS35" s="3"/>
      <c r="SCT35" s="3"/>
      <c r="SCU35" s="3"/>
      <c r="SCV35" s="3"/>
      <c r="SCW35" s="3"/>
      <c r="SCX35" s="3"/>
      <c r="SCY35" s="3"/>
      <c r="SCZ35" s="3"/>
      <c r="SDA35" s="3"/>
      <c r="SDB35" s="3"/>
      <c r="SDC35" s="3"/>
      <c r="SDD35" s="3"/>
      <c r="SDE35" s="3"/>
      <c r="SDF35" s="3"/>
      <c r="SDG35" s="3"/>
      <c r="SDH35" s="3"/>
      <c r="SDI35" s="3"/>
      <c r="SDJ35" s="3"/>
      <c r="SDK35" s="3"/>
      <c r="SDL35" s="3"/>
      <c r="SDM35" s="3"/>
      <c r="SDN35" s="3"/>
      <c r="SDO35" s="3"/>
      <c r="SDP35" s="3"/>
      <c r="SDQ35" s="3"/>
      <c r="SDR35" s="3"/>
      <c r="SDS35" s="3"/>
      <c r="SDT35" s="3"/>
      <c r="SDU35" s="3"/>
      <c r="SDV35" s="3"/>
      <c r="SDW35" s="3"/>
      <c r="SDX35" s="3"/>
      <c r="SDY35" s="3"/>
      <c r="SDZ35" s="3"/>
      <c r="SEA35" s="3"/>
      <c r="SEB35" s="3"/>
      <c r="SEC35" s="3"/>
      <c r="SED35" s="3"/>
      <c r="SEE35" s="3"/>
      <c r="SEF35" s="3"/>
      <c r="SEG35" s="3"/>
      <c r="SEH35" s="3"/>
      <c r="SEI35" s="3"/>
      <c r="SEJ35" s="3"/>
      <c r="SEK35" s="3"/>
      <c r="SEL35" s="3"/>
      <c r="SEM35" s="3"/>
      <c r="SEN35" s="3"/>
      <c r="SEO35" s="3"/>
      <c r="SEP35" s="3"/>
      <c r="SEQ35" s="3"/>
      <c r="SER35" s="3"/>
      <c r="SES35" s="3"/>
      <c r="SET35" s="3"/>
      <c r="SEU35" s="3"/>
      <c r="SEV35" s="3"/>
      <c r="SEW35" s="3"/>
      <c r="SEX35" s="3"/>
      <c r="SEY35" s="3"/>
      <c r="SEZ35" s="3"/>
      <c r="SFA35" s="3"/>
      <c r="SFB35" s="3"/>
      <c r="SFC35" s="3"/>
      <c r="SFD35" s="3"/>
      <c r="SFE35" s="3"/>
      <c r="SFF35" s="3"/>
      <c r="SFG35" s="3"/>
      <c r="SFH35" s="3"/>
      <c r="SFI35" s="3"/>
      <c r="SFJ35" s="3"/>
      <c r="SFK35" s="3"/>
      <c r="SFL35" s="3"/>
      <c r="SFM35" s="3"/>
      <c r="SFN35" s="3"/>
      <c r="SFO35" s="3"/>
      <c r="SFP35" s="3"/>
      <c r="SFQ35" s="3"/>
      <c r="SFR35" s="3"/>
      <c r="SFS35" s="3"/>
      <c r="SFT35" s="3"/>
      <c r="SFU35" s="3"/>
      <c r="SFV35" s="3"/>
      <c r="SFW35" s="3"/>
      <c r="SFX35" s="3"/>
      <c r="SFY35" s="3"/>
      <c r="SFZ35" s="3"/>
      <c r="SGA35" s="3"/>
      <c r="SGB35" s="3"/>
      <c r="SGC35" s="3"/>
      <c r="SGD35" s="3"/>
      <c r="SGE35" s="3"/>
      <c r="SGF35" s="3"/>
      <c r="SGG35" s="3"/>
      <c r="SGH35" s="3"/>
      <c r="SGI35" s="3"/>
      <c r="SGJ35" s="3"/>
      <c r="SGK35" s="3"/>
      <c r="SGL35" s="3"/>
      <c r="SGM35" s="3"/>
      <c r="SGN35" s="3"/>
      <c r="SGO35" s="3"/>
      <c r="SGP35" s="3"/>
      <c r="SGQ35" s="3"/>
      <c r="SGR35" s="3"/>
      <c r="SGS35" s="3"/>
      <c r="SGT35" s="3"/>
      <c r="SGU35" s="3"/>
      <c r="SGV35" s="3"/>
      <c r="SGW35" s="3"/>
      <c r="SGX35" s="3"/>
      <c r="SGY35" s="3"/>
      <c r="SGZ35" s="3"/>
      <c r="SHA35" s="3"/>
      <c r="SHB35" s="3"/>
      <c r="SHC35" s="3"/>
      <c r="SHD35" s="3"/>
      <c r="SHE35" s="3"/>
      <c r="SHF35" s="3"/>
      <c r="SHG35" s="3"/>
      <c r="SHH35" s="3"/>
      <c r="SHI35" s="3"/>
      <c r="SHJ35" s="3"/>
      <c r="SHK35" s="3"/>
      <c r="SHL35" s="3"/>
      <c r="SHM35" s="3"/>
      <c r="SHN35" s="3"/>
      <c r="SHO35" s="3"/>
      <c r="SHP35" s="3"/>
      <c r="SHQ35" s="3"/>
      <c r="SHR35" s="3"/>
      <c r="SHS35" s="3"/>
      <c r="SHT35" s="3"/>
      <c r="SHU35" s="3"/>
      <c r="SHV35" s="3"/>
      <c r="SHW35" s="3"/>
      <c r="SHX35" s="3"/>
      <c r="SHY35" s="3"/>
      <c r="SHZ35" s="3"/>
      <c r="SIA35" s="3"/>
      <c r="SIB35" s="3"/>
      <c r="SIC35" s="3"/>
      <c r="SID35" s="3"/>
      <c r="SIE35" s="3"/>
      <c r="SIF35" s="3"/>
      <c r="SIG35" s="3"/>
      <c r="SIH35" s="3"/>
      <c r="SII35" s="3"/>
      <c r="SIJ35" s="3"/>
      <c r="SIK35" s="3"/>
      <c r="SIL35" s="3"/>
      <c r="SIM35" s="3"/>
      <c r="SIN35" s="3"/>
      <c r="SIO35" s="3"/>
      <c r="SIP35" s="3"/>
      <c r="SIQ35" s="3"/>
      <c r="SIR35" s="3"/>
      <c r="SIS35" s="3"/>
      <c r="SIT35" s="3"/>
      <c r="SIU35" s="3"/>
      <c r="SIV35" s="3"/>
      <c r="SIW35" s="3"/>
      <c r="SIX35" s="3"/>
      <c r="SIY35" s="3"/>
      <c r="SIZ35" s="3"/>
      <c r="SJA35" s="3"/>
      <c r="SJB35" s="3"/>
      <c r="SJC35" s="3"/>
      <c r="SJD35" s="3"/>
      <c r="SJE35" s="3"/>
      <c r="SJF35" s="3"/>
      <c r="SJG35" s="3"/>
      <c r="SJH35" s="3"/>
      <c r="SJI35" s="3"/>
      <c r="SJJ35" s="3"/>
      <c r="SJK35" s="3"/>
      <c r="SJL35" s="3"/>
      <c r="SJM35" s="3"/>
      <c r="SJN35" s="3"/>
      <c r="SJO35" s="3"/>
      <c r="SJP35" s="3"/>
      <c r="SJQ35" s="3"/>
      <c r="SJR35" s="3"/>
      <c r="SJS35" s="3"/>
      <c r="SJT35" s="3"/>
      <c r="SJU35" s="3"/>
      <c r="SJV35" s="3"/>
      <c r="SJW35" s="3"/>
      <c r="SJX35" s="3"/>
      <c r="SJY35" s="3"/>
      <c r="SJZ35" s="3"/>
      <c r="SKA35" s="3"/>
      <c r="SKB35" s="3"/>
      <c r="SKC35" s="3"/>
      <c r="SKD35" s="3"/>
      <c r="SKE35" s="3"/>
      <c r="SKF35" s="3"/>
      <c r="SKG35" s="3"/>
      <c r="SKH35" s="3"/>
      <c r="SKI35" s="3"/>
      <c r="SKJ35" s="3"/>
      <c r="SKK35" s="3"/>
      <c r="SKL35" s="3"/>
      <c r="SKM35" s="3"/>
      <c r="SKN35" s="3"/>
      <c r="SKO35" s="3"/>
      <c r="SKP35" s="3"/>
      <c r="SKQ35" s="3"/>
      <c r="SKR35" s="3"/>
      <c r="SKS35" s="3"/>
      <c r="SKT35" s="3"/>
      <c r="SKU35" s="3"/>
      <c r="SKV35" s="3"/>
      <c r="SKW35" s="3"/>
      <c r="SKX35" s="3"/>
      <c r="SKY35" s="3"/>
      <c r="SKZ35" s="3"/>
      <c r="SLA35" s="3"/>
      <c r="SLB35" s="3"/>
      <c r="SLC35" s="3"/>
      <c r="SLD35" s="3"/>
      <c r="SLE35" s="3"/>
      <c r="SLF35" s="3"/>
      <c r="SLG35" s="3"/>
      <c r="SLH35" s="3"/>
      <c r="SLI35" s="3"/>
      <c r="SLJ35" s="3"/>
      <c r="SLK35" s="3"/>
      <c r="SLL35" s="3"/>
      <c r="SLM35" s="3"/>
      <c r="SLN35" s="3"/>
      <c r="SLO35" s="3"/>
      <c r="SLP35" s="3"/>
      <c r="SLQ35" s="3"/>
      <c r="SLR35" s="3"/>
      <c r="SLS35" s="3"/>
      <c r="SLT35" s="3"/>
      <c r="SLU35" s="3"/>
      <c r="SLV35" s="3"/>
      <c r="SLW35" s="3"/>
      <c r="SLX35" s="3"/>
      <c r="SLY35" s="3"/>
      <c r="SLZ35" s="3"/>
      <c r="SMA35" s="3"/>
      <c r="SMB35" s="3"/>
      <c r="SMC35" s="3"/>
      <c r="SMD35" s="3"/>
      <c r="SME35" s="3"/>
      <c r="SMF35" s="3"/>
      <c r="SMG35" s="3"/>
      <c r="SMH35" s="3"/>
      <c r="SMI35" s="3"/>
      <c r="SMJ35" s="3"/>
      <c r="SMK35" s="3"/>
      <c r="SML35" s="3"/>
      <c r="SMM35" s="3"/>
      <c r="SMN35" s="3"/>
      <c r="SMO35" s="3"/>
      <c r="SMP35" s="3"/>
      <c r="SMQ35" s="3"/>
      <c r="SMR35" s="3"/>
      <c r="SMS35" s="3"/>
      <c r="SMT35" s="3"/>
      <c r="SMU35" s="3"/>
      <c r="SMV35" s="3"/>
      <c r="SMW35" s="3"/>
      <c r="SMX35" s="3"/>
      <c r="SMY35" s="3"/>
      <c r="SMZ35" s="3"/>
      <c r="SNA35" s="3"/>
      <c r="SNB35" s="3"/>
      <c r="SNC35" s="3"/>
      <c r="SND35" s="3"/>
      <c r="SNE35" s="3"/>
      <c r="SNF35" s="3"/>
      <c r="SNG35" s="3"/>
      <c r="SNH35" s="3"/>
      <c r="SNI35" s="3"/>
      <c r="SNJ35" s="3"/>
      <c r="SNK35" s="3"/>
      <c r="SNL35" s="3"/>
      <c r="SNM35" s="3"/>
      <c r="SNN35" s="3"/>
      <c r="SNO35" s="3"/>
      <c r="SNP35" s="3"/>
      <c r="SNQ35" s="3"/>
      <c r="SNR35" s="3"/>
      <c r="SNS35" s="3"/>
      <c r="SNT35" s="3"/>
      <c r="SNU35" s="3"/>
      <c r="SNV35" s="3"/>
      <c r="SNW35" s="3"/>
      <c r="SNX35" s="3"/>
      <c r="SNY35" s="3"/>
      <c r="SNZ35" s="3"/>
      <c r="SOA35" s="3"/>
      <c r="SOB35" s="3"/>
      <c r="SOC35" s="3"/>
      <c r="SOD35" s="3"/>
      <c r="SOE35" s="3"/>
      <c r="SOF35" s="3"/>
      <c r="SOG35" s="3"/>
      <c r="SOH35" s="3"/>
      <c r="SOI35" s="3"/>
      <c r="SOJ35" s="3"/>
      <c r="SOK35" s="3"/>
      <c r="SOL35" s="3"/>
      <c r="SOM35" s="3"/>
      <c r="SON35" s="3"/>
      <c r="SOO35" s="3"/>
      <c r="SOP35" s="3"/>
      <c r="SOQ35" s="3"/>
      <c r="SOR35" s="3"/>
      <c r="SOS35" s="3"/>
      <c r="SOT35" s="3"/>
      <c r="SOU35" s="3"/>
      <c r="SOV35" s="3"/>
      <c r="SOW35" s="3"/>
      <c r="SOX35" s="3"/>
      <c r="SOY35" s="3"/>
      <c r="SOZ35" s="3"/>
      <c r="SPA35" s="3"/>
      <c r="SPB35" s="3"/>
      <c r="SPC35" s="3"/>
      <c r="SPD35" s="3"/>
      <c r="SPE35" s="3"/>
      <c r="SPF35" s="3"/>
      <c r="SPG35" s="3"/>
      <c r="SPH35" s="3"/>
      <c r="SPI35" s="3"/>
      <c r="SPJ35" s="3"/>
      <c r="SPK35" s="3"/>
      <c r="SPL35" s="3"/>
      <c r="SPM35" s="3"/>
      <c r="SPN35" s="3"/>
      <c r="SPO35" s="3"/>
      <c r="SPP35" s="3"/>
      <c r="SPQ35" s="3"/>
      <c r="SPR35" s="3"/>
      <c r="SPS35" s="3"/>
      <c r="SPT35" s="3"/>
      <c r="SPU35" s="3"/>
      <c r="SPV35" s="3"/>
      <c r="SPW35" s="3"/>
      <c r="SPX35" s="3"/>
      <c r="SPY35" s="3"/>
      <c r="SPZ35" s="3"/>
      <c r="SQA35" s="3"/>
      <c r="SQB35" s="3"/>
      <c r="SQC35" s="3"/>
      <c r="SQD35" s="3"/>
      <c r="SQE35" s="3"/>
      <c r="SQF35" s="3"/>
      <c r="SQG35" s="3"/>
      <c r="SQH35" s="3"/>
      <c r="SQI35" s="3"/>
      <c r="SQJ35" s="3"/>
      <c r="SQK35" s="3"/>
      <c r="SQL35" s="3"/>
      <c r="SQM35" s="3"/>
      <c r="SQN35" s="3"/>
      <c r="SQO35" s="3"/>
      <c r="SQP35" s="3"/>
      <c r="SQQ35" s="3"/>
      <c r="SQR35" s="3"/>
      <c r="SQS35" s="3"/>
      <c r="SQT35" s="3"/>
      <c r="SQU35" s="3"/>
      <c r="SQV35" s="3"/>
      <c r="SQW35" s="3"/>
      <c r="SQX35" s="3"/>
      <c r="SQY35" s="3"/>
      <c r="SQZ35" s="3"/>
      <c r="SRA35" s="3"/>
      <c r="SRB35" s="3"/>
      <c r="SRC35" s="3"/>
      <c r="SRD35" s="3"/>
      <c r="SRE35" s="3"/>
      <c r="SRF35" s="3"/>
      <c r="SRG35" s="3"/>
      <c r="SRH35" s="3"/>
      <c r="SRI35" s="3"/>
      <c r="SRJ35" s="3"/>
      <c r="SRK35" s="3"/>
      <c r="SRL35" s="3"/>
      <c r="SRM35" s="3"/>
      <c r="SRN35" s="3"/>
      <c r="SRO35" s="3"/>
      <c r="SRP35" s="3"/>
      <c r="SRQ35" s="3"/>
      <c r="SRR35" s="3"/>
      <c r="SRS35" s="3"/>
      <c r="SRT35" s="3"/>
      <c r="SRU35" s="3"/>
      <c r="SRV35" s="3"/>
      <c r="SRW35" s="3"/>
      <c r="SRX35" s="3"/>
      <c r="SRY35" s="3"/>
      <c r="SRZ35" s="3"/>
      <c r="SSA35" s="3"/>
      <c r="SSB35" s="3"/>
      <c r="SSC35" s="3"/>
      <c r="SSD35" s="3"/>
      <c r="SSE35" s="3"/>
      <c r="SSF35" s="3"/>
      <c r="SSG35" s="3"/>
      <c r="SSH35" s="3"/>
      <c r="SSI35" s="3"/>
      <c r="SSJ35" s="3"/>
      <c r="SSK35" s="3"/>
      <c r="SSL35" s="3"/>
      <c r="SSM35" s="3"/>
      <c r="SSN35" s="3"/>
      <c r="SSO35" s="3"/>
      <c r="SSP35" s="3"/>
      <c r="SSQ35" s="3"/>
      <c r="SSR35" s="3"/>
      <c r="SSS35" s="3"/>
      <c r="SST35" s="3"/>
      <c r="SSU35" s="3"/>
      <c r="SSV35" s="3"/>
      <c r="SSW35" s="3"/>
      <c r="SSX35" s="3"/>
      <c r="SSY35" s="3"/>
      <c r="SSZ35" s="3"/>
      <c r="STA35" s="3"/>
      <c r="STB35" s="3"/>
      <c r="STC35" s="3"/>
      <c r="STD35" s="3"/>
      <c r="STE35" s="3"/>
      <c r="STF35" s="3"/>
      <c r="STG35" s="3"/>
      <c r="STH35" s="3"/>
      <c r="STI35" s="3"/>
      <c r="STJ35" s="3"/>
      <c r="STK35" s="3"/>
      <c r="STL35" s="3"/>
      <c r="STM35" s="3"/>
      <c r="STN35" s="3"/>
      <c r="STO35" s="3"/>
      <c r="STP35" s="3"/>
      <c r="STQ35" s="3"/>
      <c r="STR35" s="3"/>
      <c r="STS35" s="3"/>
      <c r="STT35" s="3"/>
      <c r="STU35" s="3"/>
      <c r="STV35" s="3"/>
      <c r="STW35" s="3"/>
      <c r="STX35" s="3"/>
      <c r="STY35" s="3"/>
      <c r="STZ35" s="3"/>
      <c r="SUA35" s="3"/>
      <c r="SUB35" s="3"/>
      <c r="SUC35" s="3"/>
      <c r="SUD35" s="3"/>
      <c r="SUE35" s="3"/>
      <c r="SUF35" s="3"/>
      <c r="SUG35" s="3"/>
      <c r="SUH35" s="3"/>
      <c r="SUI35" s="3"/>
      <c r="SUJ35" s="3"/>
      <c r="SUK35" s="3"/>
      <c r="SUL35" s="3"/>
      <c r="SUM35" s="3"/>
      <c r="SUN35" s="3"/>
      <c r="SUO35" s="3"/>
      <c r="SUP35" s="3"/>
      <c r="SUQ35" s="3"/>
      <c r="SUR35" s="3"/>
      <c r="SUS35" s="3"/>
      <c r="SUT35" s="3"/>
      <c r="SUU35" s="3"/>
      <c r="SUV35" s="3"/>
      <c r="SUW35" s="3"/>
      <c r="SUX35" s="3"/>
      <c r="SUY35" s="3"/>
      <c r="SUZ35" s="3"/>
      <c r="SVA35" s="3"/>
      <c r="SVB35" s="3"/>
      <c r="SVC35" s="3"/>
      <c r="SVD35" s="3"/>
      <c r="SVE35" s="3"/>
      <c r="SVF35" s="3"/>
      <c r="SVG35" s="3"/>
      <c r="SVH35" s="3"/>
      <c r="SVI35" s="3"/>
      <c r="SVJ35" s="3"/>
      <c r="SVK35" s="3"/>
      <c r="SVL35" s="3"/>
      <c r="SVM35" s="3"/>
      <c r="SVN35" s="3"/>
      <c r="SVO35" s="3"/>
      <c r="SVP35" s="3"/>
      <c r="SVQ35" s="3"/>
      <c r="SVR35" s="3"/>
      <c r="SVS35" s="3"/>
      <c r="SVT35" s="3"/>
      <c r="SVU35" s="3"/>
      <c r="SVV35" s="3"/>
      <c r="SVW35" s="3"/>
      <c r="SVX35" s="3"/>
      <c r="SVY35" s="3"/>
      <c r="SVZ35" s="3"/>
      <c r="SWA35" s="3"/>
      <c r="SWB35" s="3"/>
      <c r="SWC35" s="3"/>
      <c r="SWD35" s="3"/>
      <c r="SWE35" s="3"/>
      <c r="SWF35" s="3"/>
      <c r="SWG35" s="3"/>
      <c r="SWH35" s="3"/>
      <c r="SWI35" s="3"/>
      <c r="SWJ35" s="3"/>
      <c r="SWK35" s="3"/>
      <c r="SWL35" s="3"/>
      <c r="SWM35" s="3"/>
      <c r="SWN35" s="3"/>
      <c r="SWO35" s="3"/>
      <c r="SWP35" s="3"/>
      <c r="SWQ35" s="3"/>
      <c r="SWR35" s="3"/>
      <c r="SWS35" s="3"/>
      <c r="SWT35" s="3"/>
      <c r="SWU35" s="3"/>
      <c r="SWV35" s="3"/>
      <c r="SWW35" s="3"/>
      <c r="SWX35" s="3"/>
      <c r="SWY35" s="3"/>
      <c r="SWZ35" s="3"/>
      <c r="SXA35" s="3"/>
      <c r="SXB35" s="3"/>
      <c r="SXC35" s="3"/>
      <c r="SXD35" s="3"/>
      <c r="SXE35" s="3"/>
      <c r="SXF35" s="3"/>
      <c r="SXG35" s="3"/>
      <c r="SXH35" s="3"/>
      <c r="SXI35" s="3"/>
      <c r="SXJ35" s="3"/>
      <c r="SXK35" s="3"/>
      <c r="SXL35" s="3"/>
      <c r="SXM35" s="3"/>
      <c r="SXN35" s="3"/>
      <c r="SXO35" s="3"/>
      <c r="SXP35" s="3"/>
      <c r="SXQ35" s="3"/>
      <c r="SXR35" s="3"/>
      <c r="SXS35" s="3"/>
      <c r="SXT35" s="3"/>
      <c r="SXU35" s="3"/>
      <c r="SXV35" s="3"/>
      <c r="SXW35" s="3"/>
      <c r="SXX35" s="3"/>
      <c r="SXY35" s="3"/>
      <c r="SXZ35" s="3"/>
      <c r="SYA35" s="3"/>
      <c r="SYB35" s="3"/>
      <c r="SYC35" s="3"/>
      <c r="SYD35" s="3"/>
      <c r="SYE35" s="3"/>
      <c r="SYF35" s="3"/>
      <c r="SYG35" s="3"/>
      <c r="SYH35" s="3"/>
      <c r="SYI35" s="3"/>
      <c r="SYJ35" s="3"/>
      <c r="SYK35" s="3"/>
      <c r="SYL35" s="3"/>
      <c r="SYM35" s="3"/>
      <c r="SYN35" s="3"/>
      <c r="SYO35" s="3"/>
      <c r="SYP35" s="3"/>
      <c r="SYQ35" s="3"/>
      <c r="SYR35" s="3"/>
      <c r="SYS35" s="3"/>
      <c r="SYT35" s="3"/>
      <c r="SYU35" s="3"/>
      <c r="SYV35" s="3"/>
      <c r="SYW35" s="3"/>
      <c r="SYX35" s="3"/>
      <c r="SYY35" s="3"/>
      <c r="SYZ35" s="3"/>
      <c r="SZA35" s="3"/>
      <c r="SZB35" s="3"/>
      <c r="SZC35" s="3"/>
      <c r="SZD35" s="3"/>
      <c r="SZE35" s="3"/>
      <c r="SZF35" s="3"/>
      <c r="SZG35" s="3"/>
      <c r="SZH35" s="3"/>
      <c r="SZI35" s="3"/>
      <c r="SZJ35" s="3"/>
      <c r="SZK35" s="3"/>
      <c r="SZL35" s="3"/>
      <c r="SZM35" s="3"/>
      <c r="SZN35" s="3"/>
      <c r="SZO35" s="3"/>
      <c r="SZP35" s="3"/>
      <c r="SZQ35" s="3"/>
      <c r="SZR35" s="3"/>
      <c r="SZS35" s="3"/>
      <c r="SZT35" s="3"/>
      <c r="SZU35" s="3"/>
      <c r="SZV35" s="3"/>
      <c r="SZW35" s="3"/>
      <c r="SZX35" s="3"/>
      <c r="SZY35" s="3"/>
      <c r="SZZ35" s="3"/>
      <c r="TAA35" s="3"/>
      <c r="TAB35" s="3"/>
      <c r="TAC35" s="3"/>
      <c r="TAD35" s="3"/>
      <c r="TAE35" s="3"/>
      <c r="TAF35" s="3"/>
      <c r="TAG35" s="3"/>
      <c r="TAH35" s="3"/>
      <c r="TAI35" s="3"/>
      <c r="TAJ35" s="3"/>
      <c r="TAK35" s="3"/>
      <c r="TAL35" s="3"/>
      <c r="TAM35" s="3"/>
      <c r="TAN35" s="3"/>
      <c r="TAO35" s="3"/>
      <c r="TAP35" s="3"/>
      <c r="TAQ35" s="3"/>
      <c r="TAR35" s="3"/>
      <c r="TAS35" s="3"/>
      <c r="TAT35" s="3"/>
      <c r="TAU35" s="3"/>
      <c r="TAV35" s="3"/>
      <c r="TAW35" s="3"/>
      <c r="TAX35" s="3"/>
      <c r="TAY35" s="3"/>
      <c r="TAZ35" s="3"/>
      <c r="TBA35" s="3"/>
      <c r="TBB35" s="3"/>
      <c r="TBC35" s="3"/>
      <c r="TBD35" s="3"/>
      <c r="TBE35" s="3"/>
      <c r="TBF35" s="3"/>
      <c r="TBG35" s="3"/>
      <c r="TBH35" s="3"/>
      <c r="TBI35" s="3"/>
      <c r="TBJ35" s="3"/>
      <c r="TBK35" s="3"/>
      <c r="TBL35" s="3"/>
      <c r="TBM35" s="3"/>
      <c r="TBN35" s="3"/>
      <c r="TBO35" s="3"/>
      <c r="TBP35" s="3"/>
      <c r="TBQ35" s="3"/>
      <c r="TBR35" s="3"/>
      <c r="TBS35" s="3"/>
      <c r="TBT35" s="3"/>
      <c r="TBU35" s="3"/>
      <c r="TBV35" s="3"/>
      <c r="TBW35" s="3"/>
      <c r="TBX35" s="3"/>
      <c r="TBY35" s="3"/>
      <c r="TBZ35" s="3"/>
      <c r="TCA35" s="3"/>
      <c r="TCB35" s="3"/>
      <c r="TCC35" s="3"/>
      <c r="TCD35" s="3"/>
      <c r="TCE35" s="3"/>
      <c r="TCF35" s="3"/>
      <c r="TCG35" s="3"/>
      <c r="TCH35" s="3"/>
      <c r="TCI35" s="3"/>
      <c r="TCJ35" s="3"/>
      <c r="TCK35" s="3"/>
      <c r="TCL35" s="3"/>
      <c r="TCM35" s="3"/>
      <c r="TCN35" s="3"/>
      <c r="TCO35" s="3"/>
      <c r="TCP35" s="3"/>
      <c r="TCQ35" s="3"/>
      <c r="TCR35" s="3"/>
      <c r="TCS35" s="3"/>
      <c r="TCT35" s="3"/>
      <c r="TCU35" s="3"/>
      <c r="TCV35" s="3"/>
      <c r="TCW35" s="3"/>
      <c r="TCX35" s="3"/>
      <c r="TCY35" s="3"/>
      <c r="TCZ35" s="3"/>
      <c r="TDA35" s="3"/>
      <c r="TDB35" s="3"/>
      <c r="TDC35" s="3"/>
      <c r="TDD35" s="3"/>
      <c r="TDE35" s="3"/>
      <c r="TDF35" s="3"/>
      <c r="TDG35" s="3"/>
      <c r="TDH35" s="3"/>
      <c r="TDI35" s="3"/>
      <c r="TDJ35" s="3"/>
      <c r="TDK35" s="3"/>
      <c r="TDL35" s="3"/>
      <c r="TDM35" s="3"/>
      <c r="TDN35" s="3"/>
      <c r="TDO35" s="3"/>
      <c r="TDP35" s="3"/>
      <c r="TDQ35" s="3"/>
      <c r="TDR35" s="3"/>
      <c r="TDS35" s="3"/>
      <c r="TDT35" s="3"/>
      <c r="TDU35" s="3"/>
      <c r="TDV35" s="3"/>
      <c r="TDW35" s="3"/>
      <c r="TDX35" s="3"/>
      <c r="TDY35" s="3"/>
      <c r="TDZ35" s="3"/>
      <c r="TEA35" s="3"/>
      <c r="TEB35" s="3"/>
      <c r="TEC35" s="3"/>
      <c r="TED35" s="3"/>
      <c r="TEE35" s="3"/>
      <c r="TEF35" s="3"/>
      <c r="TEG35" s="3"/>
      <c r="TEH35" s="3"/>
      <c r="TEI35" s="3"/>
      <c r="TEJ35" s="3"/>
      <c r="TEK35" s="3"/>
      <c r="TEL35" s="3"/>
      <c r="TEM35" s="3"/>
      <c r="TEN35" s="3"/>
      <c r="TEO35" s="3"/>
      <c r="TEP35" s="3"/>
      <c r="TEQ35" s="3"/>
      <c r="TER35" s="3"/>
      <c r="TES35" s="3"/>
      <c r="TET35" s="3"/>
      <c r="TEU35" s="3"/>
      <c r="TEV35" s="3"/>
      <c r="TEW35" s="3"/>
      <c r="TEX35" s="3"/>
      <c r="TEY35" s="3"/>
      <c r="TEZ35" s="3"/>
      <c r="TFA35" s="3"/>
      <c r="TFB35" s="3"/>
      <c r="TFC35" s="3"/>
      <c r="TFD35" s="3"/>
      <c r="TFE35" s="3"/>
      <c r="TFF35" s="3"/>
      <c r="TFG35" s="3"/>
      <c r="TFH35" s="3"/>
      <c r="TFI35" s="3"/>
      <c r="TFJ35" s="3"/>
      <c r="TFK35" s="3"/>
      <c r="TFL35" s="3"/>
      <c r="TFM35" s="3"/>
      <c r="TFN35" s="3"/>
      <c r="TFO35" s="3"/>
      <c r="TFP35" s="3"/>
      <c r="TFQ35" s="3"/>
      <c r="TFR35" s="3"/>
      <c r="TFS35" s="3"/>
      <c r="TFT35" s="3"/>
      <c r="TFU35" s="3"/>
      <c r="TFV35" s="3"/>
      <c r="TFW35" s="3"/>
      <c r="TFX35" s="3"/>
      <c r="TFY35" s="3"/>
      <c r="TFZ35" s="3"/>
      <c r="TGA35" s="3"/>
      <c r="TGB35" s="3"/>
      <c r="TGC35" s="3"/>
      <c r="TGD35" s="3"/>
      <c r="TGE35" s="3"/>
      <c r="TGF35" s="3"/>
      <c r="TGG35" s="3"/>
      <c r="TGH35" s="3"/>
      <c r="TGI35" s="3"/>
      <c r="TGJ35" s="3"/>
      <c r="TGK35" s="3"/>
      <c r="TGL35" s="3"/>
      <c r="TGM35" s="3"/>
      <c r="TGN35" s="3"/>
      <c r="TGO35" s="3"/>
      <c r="TGP35" s="3"/>
      <c r="TGQ35" s="3"/>
      <c r="TGR35" s="3"/>
      <c r="TGS35" s="3"/>
      <c r="TGT35" s="3"/>
      <c r="TGU35" s="3"/>
      <c r="TGV35" s="3"/>
      <c r="TGW35" s="3"/>
      <c r="TGX35" s="3"/>
      <c r="TGY35" s="3"/>
      <c r="TGZ35" s="3"/>
      <c r="THA35" s="3"/>
      <c r="THB35" s="3"/>
      <c r="THC35" s="3"/>
      <c r="THD35" s="3"/>
      <c r="THE35" s="3"/>
      <c r="THF35" s="3"/>
      <c r="THG35" s="3"/>
      <c r="THH35" s="3"/>
      <c r="THI35" s="3"/>
      <c r="THJ35" s="3"/>
      <c r="THK35" s="3"/>
      <c r="THL35" s="3"/>
      <c r="THM35" s="3"/>
      <c r="THN35" s="3"/>
      <c r="THO35" s="3"/>
      <c r="THP35" s="3"/>
      <c r="THQ35" s="3"/>
      <c r="THR35" s="3"/>
      <c r="THS35" s="3"/>
      <c r="THT35" s="3"/>
      <c r="THU35" s="3"/>
      <c r="THV35" s="3"/>
      <c r="THW35" s="3"/>
      <c r="THX35" s="3"/>
      <c r="THY35" s="3"/>
      <c r="THZ35" s="3"/>
      <c r="TIA35" s="3"/>
      <c r="TIB35" s="3"/>
      <c r="TIC35" s="3"/>
      <c r="TID35" s="3"/>
      <c r="TIE35" s="3"/>
      <c r="TIF35" s="3"/>
      <c r="TIG35" s="3"/>
      <c r="TIH35" s="3"/>
      <c r="TII35" s="3"/>
      <c r="TIJ35" s="3"/>
      <c r="TIK35" s="3"/>
      <c r="TIL35" s="3"/>
      <c r="TIM35" s="3"/>
      <c r="TIN35" s="3"/>
      <c r="TIO35" s="3"/>
      <c r="TIP35" s="3"/>
      <c r="TIQ35" s="3"/>
      <c r="TIR35" s="3"/>
      <c r="TIS35" s="3"/>
      <c r="TIT35" s="3"/>
      <c r="TIU35" s="3"/>
      <c r="TIV35" s="3"/>
      <c r="TIW35" s="3"/>
      <c r="TIX35" s="3"/>
      <c r="TIY35" s="3"/>
      <c r="TIZ35" s="3"/>
      <c r="TJA35" s="3"/>
      <c r="TJB35" s="3"/>
      <c r="TJC35" s="3"/>
      <c r="TJD35" s="3"/>
      <c r="TJE35" s="3"/>
      <c r="TJF35" s="3"/>
      <c r="TJG35" s="3"/>
      <c r="TJH35" s="3"/>
      <c r="TJI35" s="3"/>
      <c r="TJJ35" s="3"/>
      <c r="TJK35" s="3"/>
      <c r="TJL35" s="3"/>
      <c r="TJM35" s="3"/>
      <c r="TJN35" s="3"/>
      <c r="TJO35" s="3"/>
      <c r="TJP35" s="3"/>
      <c r="TJQ35" s="3"/>
      <c r="TJR35" s="3"/>
      <c r="TJS35" s="3"/>
      <c r="TJT35" s="3"/>
      <c r="TJU35" s="3"/>
      <c r="TJV35" s="3"/>
      <c r="TJW35" s="3"/>
      <c r="TJX35" s="3"/>
      <c r="TJY35" s="3"/>
      <c r="TJZ35" s="3"/>
      <c r="TKA35" s="3"/>
      <c r="TKB35" s="3"/>
      <c r="TKC35" s="3"/>
      <c r="TKD35" s="3"/>
      <c r="TKE35" s="3"/>
      <c r="TKF35" s="3"/>
      <c r="TKG35" s="3"/>
      <c r="TKH35" s="3"/>
      <c r="TKI35" s="3"/>
      <c r="TKJ35" s="3"/>
      <c r="TKK35" s="3"/>
      <c r="TKL35" s="3"/>
      <c r="TKM35" s="3"/>
      <c r="TKN35" s="3"/>
      <c r="TKO35" s="3"/>
      <c r="TKP35" s="3"/>
      <c r="TKQ35" s="3"/>
      <c r="TKR35" s="3"/>
      <c r="TKS35" s="3"/>
      <c r="TKT35" s="3"/>
      <c r="TKU35" s="3"/>
      <c r="TKV35" s="3"/>
      <c r="TKW35" s="3"/>
      <c r="TKX35" s="3"/>
      <c r="TKY35" s="3"/>
      <c r="TKZ35" s="3"/>
      <c r="TLA35" s="3"/>
      <c r="TLB35" s="3"/>
      <c r="TLC35" s="3"/>
      <c r="TLD35" s="3"/>
      <c r="TLE35" s="3"/>
      <c r="TLF35" s="3"/>
      <c r="TLG35" s="3"/>
      <c r="TLH35" s="3"/>
      <c r="TLI35" s="3"/>
      <c r="TLJ35" s="3"/>
      <c r="TLK35" s="3"/>
      <c r="TLL35" s="3"/>
      <c r="TLM35" s="3"/>
      <c r="TLN35" s="3"/>
      <c r="TLO35" s="3"/>
      <c r="TLP35" s="3"/>
      <c r="TLQ35" s="3"/>
      <c r="TLR35" s="3"/>
      <c r="TLS35" s="3"/>
      <c r="TLT35" s="3"/>
      <c r="TLU35" s="3"/>
      <c r="TLV35" s="3"/>
      <c r="TLW35" s="3"/>
      <c r="TLX35" s="3"/>
      <c r="TLY35" s="3"/>
      <c r="TLZ35" s="3"/>
      <c r="TMA35" s="3"/>
      <c r="TMB35" s="3"/>
      <c r="TMC35" s="3"/>
      <c r="TMD35" s="3"/>
      <c r="TME35" s="3"/>
      <c r="TMF35" s="3"/>
      <c r="TMG35" s="3"/>
      <c r="TMH35" s="3"/>
      <c r="TMI35" s="3"/>
      <c r="TMJ35" s="3"/>
      <c r="TMK35" s="3"/>
      <c r="TML35" s="3"/>
      <c r="TMM35" s="3"/>
      <c r="TMN35" s="3"/>
      <c r="TMO35" s="3"/>
      <c r="TMP35" s="3"/>
      <c r="TMQ35" s="3"/>
      <c r="TMR35" s="3"/>
      <c r="TMS35" s="3"/>
      <c r="TMT35" s="3"/>
      <c r="TMU35" s="3"/>
      <c r="TMV35" s="3"/>
      <c r="TMW35" s="3"/>
      <c r="TMX35" s="3"/>
      <c r="TMY35" s="3"/>
      <c r="TMZ35" s="3"/>
      <c r="TNA35" s="3"/>
      <c r="TNB35" s="3"/>
      <c r="TNC35" s="3"/>
      <c r="TND35" s="3"/>
      <c r="TNE35" s="3"/>
      <c r="TNF35" s="3"/>
      <c r="TNG35" s="3"/>
      <c r="TNH35" s="3"/>
      <c r="TNI35" s="3"/>
      <c r="TNJ35" s="3"/>
      <c r="TNK35" s="3"/>
      <c r="TNL35" s="3"/>
      <c r="TNM35" s="3"/>
      <c r="TNN35" s="3"/>
      <c r="TNO35" s="3"/>
      <c r="TNP35" s="3"/>
      <c r="TNQ35" s="3"/>
      <c r="TNR35" s="3"/>
      <c r="TNS35" s="3"/>
      <c r="TNT35" s="3"/>
      <c r="TNU35" s="3"/>
      <c r="TNV35" s="3"/>
      <c r="TNW35" s="3"/>
      <c r="TNX35" s="3"/>
      <c r="TNY35" s="3"/>
      <c r="TNZ35" s="3"/>
      <c r="TOA35" s="3"/>
      <c r="TOB35" s="3"/>
      <c r="TOC35" s="3"/>
      <c r="TOD35" s="3"/>
      <c r="TOE35" s="3"/>
      <c r="TOF35" s="3"/>
      <c r="TOG35" s="3"/>
      <c r="TOH35" s="3"/>
      <c r="TOI35" s="3"/>
      <c r="TOJ35" s="3"/>
      <c r="TOK35" s="3"/>
      <c r="TOL35" s="3"/>
      <c r="TOM35" s="3"/>
      <c r="TON35" s="3"/>
      <c r="TOO35" s="3"/>
      <c r="TOP35" s="3"/>
      <c r="TOQ35" s="3"/>
      <c r="TOR35" s="3"/>
      <c r="TOS35" s="3"/>
      <c r="TOT35" s="3"/>
      <c r="TOU35" s="3"/>
      <c r="TOV35" s="3"/>
      <c r="TOW35" s="3"/>
      <c r="TOX35" s="3"/>
      <c r="TOY35" s="3"/>
      <c r="TOZ35" s="3"/>
      <c r="TPA35" s="3"/>
      <c r="TPB35" s="3"/>
      <c r="TPC35" s="3"/>
      <c r="TPD35" s="3"/>
      <c r="TPE35" s="3"/>
      <c r="TPF35" s="3"/>
      <c r="TPG35" s="3"/>
      <c r="TPH35" s="3"/>
      <c r="TPI35" s="3"/>
      <c r="TPJ35" s="3"/>
      <c r="TPK35" s="3"/>
      <c r="TPL35" s="3"/>
      <c r="TPM35" s="3"/>
      <c r="TPN35" s="3"/>
      <c r="TPO35" s="3"/>
      <c r="TPP35" s="3"/>
      <c r="TPQ35" s="3"/>
      <c r="TPR35" s="3"/>
      <c r="TPS35" s="3"/>
      <c r="TPT35" s="3"/>
      <c r="TPU35" s="3"/>
      <c r="TPV35" s="3"/>
      <c r="TPW35" s="3"/>
      <c r="TPX35" s="3"/>
      <c r="TPY35" s="3"/>
      <c r="TPZ35" s="3"/>
      <c r="TQA35" s="3"/>
      <c r="TQB35" s="3"/>
      <c r="TQC35" s="3"/>
      <c r="TQD35" s="3"/>
      <c r="TQE35" s="3"/>
      <c r="TQF35" s="3"/>
      <c r="TQG35" s="3"/>
      <c r="TQH35" s="3"/>
      <c r="TQI35" s="3"/>
      <c r="TQJ35" s="3"/>
      <c r="TQK35" s="3"/>
      <c r="TQL35" s="3"/>
      <c r="TQM35" s="3"/>
      <c r="TQN35" s="3"/>
      <c r="TQO35" s="3"/>
      <c r="TQP35" s="3"/>
      <c r="TQQ35" s="3"/>
      <c r="TQR35" s="3"/>
      <c r="TQS35" s="3"/>
      <c r="TQT35" s="3"/>
      <c r="TQU35" s="3"/>
      <c r="TQV35" s="3"/>
      <c r="TQW35" s="3"/>
      <c r="TQX35" s="3"/>
      <c r="TQY35" s="3"/>
      <c r="TQZ35" s="3"/>
      <c r="TRA35" s="3"/>
      <c r="TRB35" s="3"/>
      <c r="TRC35" s="3"/>
      <c r="TRD35" s="3"/>
      <c r="TRE35" s="3"/>
      <c r="TRF35" s="3"/>
      <c r="TRG35" s="3"/>
      <c r="TRH35" s="3"/>
      <c r="TRI35" s="3"/>
      <c r="TRJ35" s="3"/>
      <c r="TRK35" s="3"/>
      <c r="TRL35" s="3"/>
      <c r="TRM35" s="3"/>
      <c r="TRN35" s="3"/>
      <c r="TRO35" s="3"/>
      <c r="TRP35" s="3"/>
      <c r="TRQ35" s="3"/>
      <c r="TRR35" s="3"/>
      <c r="TRS35" s="3"/>
      <c r="TRT35" s="3"/>
      <c r="TRU35" s="3"/>
      <c r="TRV35" s="3"/>
      <c r="TRW35" s="3"/>
      <c r="TRX35" s="3"/>
      <c r="TRY35" s="3"/>
      <c r="TRZ35" s="3"/>
      <c r="TSA35" s="3"/>
      <c r="TSB35" s="3"/>
      <c r="TSC35" s="3"/>
      <c r="TSD35" s="3"/>
      <c r="TSE35" s="3"/>
      <c r="TSF35" s="3"/>
      <c r="TSG35" s="3"/>
      <c r="TSH35" s="3"/>
      <c r="TSI35" s="3"/>
      <c r="TSJ35" s="3"/>
      <c r="TSK35" s="3"/>
      <c r="TSL35" s="3"/>
      <c r="TSM35" s="3"/>
      <c r="TSN35" s="3"/>
      <c r="TSO35" s="3"/>
      <c r="TSP35" s="3"/>
      <c r="TSQ35" s="3"/>
      <c r="TSR35" s="3"/>
      <c r="TSS35" s="3"/>
      <c r="TST35" s="3"/>
      <c r="TSU35" s="3"/>
      <c r="TSV35" s="3"/>
      <c r="TSW35" s="3"/>
      <c r="TSX35" s="3"/>
      <c r="TSY35" s="3"/>
      <c r="TSZ35" s="3"/>
      <c r="TTA35" s="3"/>
      <c r="TTB35" s="3"/>
      <c r="TTC35" s="3"/>
      <c r="TTD35" s="3"/>
      <c r="TTE35" s="3"/>
      <c r="TTF35" s="3"/>
      <c r="TTG35" s="3"/>
      <c r="TTH35" s="3"/>
      <c r="TTI35" s="3"/>
      <c r="TTJ35" s="3"/>
      <c r="TTK35" s="3"/>
      <c r="TTL35" s="3"/>
      <c r="TTM35" s="3"/>
      <c r="TTN35" s="3"/>
      <c r="TTO35" s="3"/>
      <c r="TTP35" s="3"/>
      <c r="TTQ35" s="3"/>
      <c r="TTR35" s="3"/>
      <c r="TTS35" s="3"/>
      <c r="TTT35" s="3"/>
      <c r="TTU35" s="3"/>
      <c r="TTV35" s="3"/>
      <c r="TTW35" s="3"/>
      <c r="TTX35" s="3"/>
      <c r="TTY35" s="3"/>
      <c r="TTZ35" s="3"/>
      <c r="TUA35" s="3"/>
      <c r="TUB35" s="3"/>
      <c r="TUC35" s="3"/>
      <c r="TUD35" s="3"/>
      <c r="TUE35" s="3"/>
      <c r="TUF35" s="3"/>
      <c r="TUG35" s="3"/>
      <c r="TUH35" s="3"/>
      <c r="TUI35" s="3"/>
      <c r="TUJ35" s="3"/>
      <c r="TUK35" s="3"/>
      <c r="TUL35" s="3"/>
      <c r="TUM35" s="3"/>
      <c r="TUN35" s="3"/>
      <c r="TUO35" s="3"/>
      <c r="TUP35" s="3"/>
      <c r="TUQ35" s="3"/>
      <c r="TUR35" s="3"/>
      <c r="TUS35" s="3"/>
      <c r="TUT35" s="3"/>
      <c r="TUU35" s="3"/>
      <c r="TUV35" s="3"/>
      <c r="TUW35" s="3"/>
      <c r="TUX35" s="3"/>
      <c r="TUY35" s="3"/>
      <c r="TUZ35" s="3"/>
      <c r="TVA35" s="3"/>
      <c r="TVB35" s="3"/>
      <c r="TVC35" s="3"/>
      <c r="TVD35" s="3"/>
      <c r="TVE35" s="3"/>
      <c r="TVF35" s="3"/>
      <c r="TVG35" s="3"/>
      <c r="TVH35" s="3"/>
      <c r="TVI35" s="3"/>
      <c r="TVJ35" s="3"/>
      <c r="TVK35" s="3"/>
      <c r="TVL35" s="3"/>
      <c r="TVM35" s="3"/>
      <c r="TVN35" s="3"/>
      <c r="TVO35" s="3"/>
      <c r="TVP35" s="3"/>
      <c r="TVQ35" s="3"/>
      <c r="TVR35" s="3"/>
      <c r="TVS35" s="3"/>
      <c r="TVT35" s="3"/>
      <c r="TVU35" s="3"/>
      <c r="TVV35" s="3"/>
      <c r="TVW35" s="3"/>
      <c r="TVX35" s="3"/>
      <c r="TVY35" s="3"/>
      <c r="TVZ35" s="3"/>
      <c r="TWA35" s="3"/>
      <c r="TWB35" s="3"/>
      <c r="TWC35" s="3"/>
      <c r="TWD35" s="3"/>
      <c r="TWE35" s="3"/>
      <c r="TWF35" s="3"/>
      <c r="TWG35" s="3"/>
      <c r="TWH35" s="3"/>
      <c r="TWI35" s="3"/>
      <c r="TWJ35" s="3"/>
      <c r="TWK35" s="3"/>
      <c r="TWL35" s="3"/>
      <c r="TWM35" s="3"/>
      <c r="TWN35" s="3"/>
      <c r="TWO35" s="3"/>
      <c r="TWP35" s="3"/>
      <c r="TWQ35" s="3"/>
      <c r="TWR35" s="3"/>
      <c r="TWS35" s="3"/>
      <c r="TWT35" s="3"/>
      <c r="TWU35" s="3"/>
      <c r="TWV35" s="3"/>
      <c r="TWW35" s="3"/>
      <c r="TWX35" s="3"/>
      <c r="TWY35" s="3"/>
      <c r="TWZ35" s="3"/>
      <c r="TXA35" s="3"/>
      <c r="TXB35" s="3"/>
      <c r="TXC35" s="3"/>
      <c r="TXD35" s="3"/>
      <c r="TXE35" s="3"/>
      <c r="TXF35" s="3"/>
      <c r="TXG35" s="3"/>
      <c r="TXH35" s="3"/>
      <c r="TXI35" s="3"/>
      <c r="TXJ35" s="3"/>
      <c r="TXK35" s="3"/>
      <c r="TXL35" s="3"/>
      <c r="TXM35" s="3"/>
      <c r="TXN35" s="3"/>
      <c r="TXO35" s="3"/>
      <c r="TXP35" s="3"/>
      <c r="TXQ35" s="3"/>
      <c r="TXR35" s="3"/>
      <c r="TXS35" s="3"/>
      <c r="TXT35" s="3"/>
      <c r="TXU35" s="3"/>
      <c r="TXV35" s="3"/>
      <c r="TXW35" s="3"/>
      <c r="TXX35" s="3"/>
      <c r="TXY35" s="3"/>
      <c r="TXZ35" s="3"/>
      <c r="TYA35" s="3"/>
      <c r="TYB35" s="3"/>
      <c r="TYC35" s="3"/>
      <c r="TYD35" s="3"/>
      <c r="TYE35" s="3"/>
      <c r="TYF35" s="3"/>
      <c r="TYG35" s="3"/>
      <c r="TYH35" s="3"/>
      <c r="TYI35" s="3"/>
      <c r="TYJ35" s="3"/>
      <c r="TYK35" s="3"/>
      <c r="TYL35" s="3"/>
      <c r="TYM35" s="3"/>
      <c r="TYN35" s="3"/>
      <c r="TYO35" s="3"/>
      <c r="TYP35" s="3"/>
      <c r="TYQ35" s="3"/>
      <c r="TYR35" s="3"/>
      <c r="TYS35" s="3"/>
      <c r="TYT35" s="3"/>
      <c r="TYU35" s="3"/>
      <c r="TYV35" s="3"/>
      <c r="TYW35" s="3"/>
      <c r="TYX35" s="3"/>
      <c r="TYY35" s="3"/>
      <c r="TYZ35" s="3"/>
      <c r="TZA35" s="3"/>
      <c r="TZB35" s="3"/>
      <c r="TZC35" s="3"/>
      <c r="TZD35" s="3"/>
      <c r="TZE35" s="3"/>
      <c r="TZF35" s="3"/>
      <c r="TZG35" s="3"/>
      <c r="TZH35" s="3"/>
      <c r="TZI35" s="3"/>
      <c r="TZJ35" s="3"/>
      <c r="TZK35" s="3"/>
      <c r="TZL35" s="3"/>
      <c r="TZM35" s="3"/>
      <c r="TZN35" s="3"/>
      <c r="TZO35" s="3"/>
      <c r="TZP35" s="3"/>
      <c r="TZQ35" s="3"/>
      <c r="TZR35" s="3"/>
      <c r="TZS35" s="3"/>
      <c r="TZT35" s="3"/>
      <c r="TZU35" s="3"/>
      <c r="TZV35" s="3"/>
      <c r="TZW35" s="3"/>
      <c r="TZX35" s="3"/>
      <c r="TZY35" s="3"/>
      <c r="TZZ35" s="3"/>
      <c r="UAA35" s="3"/>
      <c r="UAB35" s="3"/>
      <c r="UAC35" s="3"/>
      <c r="UAD35" s="3"/>
      <c r="UAE35" s="3"/>
      <c r="UAF35" s="3"/>
      <c r="UAG35" s="3"/>
      <c r="UAH35" s="3"/>
      <c r="UAI35" s="3"/>
      <c r="UAJ35" s="3"/>
      <c r="UAK35" s="3"/>
      <c r="UAL35" s="3"/>
      <c r="UAM35" s="3"/>
      <c r="UAN35" s="3"/>
      <c r="UAO35" s="3"/>
      <c r="UAP35" s="3"/>
      <c r="UAQ35" s="3"/>
      <c r="UAR35" s="3"/>
      <c r="UAS35" s="3"/>
      <c r="UAT35" s="3"/>
      <c r="UAU35" s="3"/>
      <c r="UAV35" s="3"/>
      <c r="UAW35" s="3"/>
      <c r="UAX35" s="3"/>
      <c r="UAY35" s="3"/>
      <c r="UAZ35" s="3"/>
      <c r="UBA35" s="3"/>
      <c r="UBB35" s="3"/>
      <c r="UBC35" s="3"/>
      <c r="UBD35" s="3"/>
      <c r="UBE35" s="3"/>
      <c r="UBF35" s="3"/>
      <c r="UBG35" s="3"/>
      <c r="UBH35" s="3"/>
      <c r="UBI35" s="3"/>
      <c r="UBJ35" s="3"/>
      <c r="UBK35" s="3"/>
      <c r="UBL35" s="3"/>
      <c r="UBM35" s="3"/>
      <c r="UBN35" s="3"/>
      <c r="UBO35" s="3"/>
      <c r="UBP35" s="3"/>
      <c r="UBQ35" s="3"/>
      <c r="UBR35" s="3"/>
      <c r="UBS35" s="3"/>
      <c r="UBT35" s="3"/>
      <c r="UBU35" s="3"/>
      <c r="UBV35" s="3"/>
      <c r="UBW35" s="3"/>
      <c r="UBX35" s="3"/>
      <c r="UBY35" s="3"/>
      <c r="UBZ35" s="3"/>
      <c r="UCA35" s="3"/>
      <c r="UCB35" s="3"/>
      <c r="UCC35" s="3"/>
      <c r="UCD35" s="3"/>
      <c r="UCE35" s="3"/>
      <c r="UCF35" s="3"/>
      <c r="UCG35" s="3"/>
      <c r="UCH35" s="3"/>
      <c r="UCI35" s="3"/>
      <c r="UCJ35" s="3"/>
      <c r="UCK35" s="3"/>
      <c r="UCL35" s="3"/>
      <c r="UCM35" s="3"/>
      <c r="UCN35" s="3"/>
      <c r="UCO35" s="3"/>
      <c r="UCP35" s="3"/>
      <c r="UCQ35" s="3"/>
      <c r="UCR35" s="3"/>
      <c r="UCS35" s="3"/>
      <c r="UCT35" s="3"/>
      <c r="UCU35" s="3"/>
      <c r="UCV35" s="3"/>
      <c r="UCW35" s="3"/>
      <c r="UCX35" s="3"/>
      <c r="UCY35" s="3"/>
      <c r="UCZ35" s="3"/>
      <c r="UDA35" s="3"/>
      <c r="UDB35" s="3"/>
      <c r="UDC35" s="3"/>
      <c r="UDD35" s="3"/>
      <c r="UDE35" s="3"/>
      <c r="UDF35" s="3"/>
      <c r="UDG35" s="3"/>
      <c r="UDH35" s="3"/>
      <c r="UDI35" s="3"/>
      <c r="UDJ35" s="3"/>
      <c r="UDK35" s="3"/>
      <c r="UDL35" s="3"/>
      <c r="UDM35" s="3"/>
      <c r="UDN35" s="3"/>
      <c r="UDO35" s="3"/>
      <c r="UDP35" s="3"/>
      <c r="UDQ35" s="3"/>
      <c r="UDR35" s="3"/>
      <c r="UDS35" s="3"/>
      <c r="UDT35" s="3"/>
      <c r="UDU35" s="3"/>
      <c r="UDV35" s="3"/>
      <c r="UDW35" s="3"/>
      <c r="UDX35" s="3"/>
      <c r="UDY35" s="3"/>
      <c r="UDZ35" s="3"/>
      <c r="UEA35" s="3"/>
      <c r="UEB35" s="3"/>
      <c r="UEC35" s="3"/>
      <c r="UED35" s="3"/>
      <c r="UEE35" s="3"/>
      <c r="UEF35" s="3"/>
      <c r="UEG35" s="3"/>
      <c r="UEH35" s="3"/>
      <c r="UEI35" s="3"/>
      <c r="UEJ35" s="3"/>
      <c r="UEK35" s="3"/>
      <c r="UEL35" s="3"/>
      <c r="UEM35" s="3"/>
      <c r="UEN35" s="3"/>
      <c r="UEO35" s="3"/>
      <c r="UEP35" s="3"/>
      <c r="UEQ35" s="3"/>
      <c r="UER35" s="3"/>
      <c r="UES35" s="3"/>
      <c r="UET35" s="3"/>
      <c r="UEU35" s="3"/>
      <c r="UEV35" s="3"/>
      <c r="UEW35" s="3"/>
      <c r="UEX35" s="3"/>
      <c r="UEY35" s="3"/>
      <c r="UEZ35" s="3"/>
      <c r="UFA35" s="3"/>
      <c r="UFB35" s="3"/>
      <c r="UFC35" s="3"/>
      <c r="UFD35" s="3"/>
      <c r="UFE35" s="3"/>
      <c r="UFF35" s="3"/>
      <c r="UFG35" s="3"/>
      <c r="UFH35" s="3"/>
      <c r="UFI35" s="3"/>
      <c r="UFJ35" s="3"/>
      <c r="UFK35" s="3"/>
      <c r="UFL35" s="3"/>
      <c r="UFM35" s="3"/>
      <c r="UFN35" s="3"/>
      <c r="UFO35" s="3"/>
      <c r="UFP35" s="3"/>
      <c r="UFQ35" s="3"/>
      <c r="UFR35" s="3"/>
      <c r="UFS35" s="3"/>
      <c r="UFT35" s="3"/>
      <c r="UFU35" s="3"/>
      <c r="UFV35" s="3"/>
      <c r="UFW35" s="3"/>
      <c r="UFX35" s="3"/>
      <c r="UFY35" s="3"/>
      <c r="UFZ35" s="3"/>
      <c r="UGA35" s="3"/>
      <c r="UGB35" s="3"/>
      <c r="UGC35" s="3"/>
      <c r="UGD35" s="3"/>
      <c r="UGE35" s="3"/>
      <c r="UGF35" s="3"/>
      <c r="UGG35" s="3"/>
      <c r="UGH35" s="3"/>
      <c r="UGI35" s="3"/>
      <c r="UGJ35" s="3"/>
      <c r="UGK35" s="3"/>
      <c r="UGL35" s="3"/>
      <c r="UGM35" s="3"/>
      <c r="UGN35" s="3"/>
      <c r="UGO35" s="3"/>
      <c r="UGP35" s="3"/>
      <c r="UGQ35" s="3"/>
      <c r="UGR35" s="3"/>
      <c r="UGS35" s="3"/>
      <c r="UGT35" s="3"/>
      <c r="UGU35" s="3"/>
      <c r="UGV35" s="3"/>
      <c r="UGW35" s="3"/>
      <c r="UGX35" s="3"/>
      <c r="UGY35" s="3"/>
      <c r="UGZ35" s="3"/>
      <c r="UHA35" s="3"/>
      <c r="UHB35" s="3"/>
      <c r="UHC35" s="3"/>
      <c r="UHD35" s="3"/>
      <c r="UHE35" s="3"/>
      <c r="UHF35" s="3"/>
      <c r="UHG35" s="3"/>
      <c r="UHH35" s="3"/>
      <c r="UHI35" s="3"/>
      <c r="UHJ35" s="3"/>
      <c r="UHK35" s="3"/>
      <c r="UHL35" s="3"/>
      <c r="UHM35" s="3"/>
      <c r="UHN35" s="3"/>
      <c r="UHO35" s="3"/>
      <c r="UHP35" s="3"/>
      <c r="UHQ35" s="3"/>
      <c r="UHR35" s="3"/>
      <c r="UHS35" s="3"/>
      <c r="UHT35" s="3"/>
      <c r="UHU35" s="3"/>
      <c r="UHV35" s="3"/>
      <c r="UHW35" s="3"/>
      <c r="UHX35" s="3"/>
      <c r="UHY35" s="3"/>
      <c r="UHZ35" s="3"/>
      <c r="UIA35" s="3"/>
      <c r="UIB35" s="3"/>
      <c r="UIC35" s="3"/>
      <c r="UID35" s="3"/>
      <c r="UIE35" s="3"/>
      <c r="UIF35" s="3"/>
      <c r="UIG35" s="3"/>
      <c r="UIH35" s="3"/>
      <c r="UII35" s="3"/>
      <c r="UIJ35" s="3"/>
      <c r="UIK35" s="3"/>
      <c r="UIL35" s="3"/>
      <c r="UIM35" s="3"/>
      <c r="UIN35" s="3"/>
      <c r="UIO35" s="3"/>
      <c r="UIP35" s="3"/>
      <c r="UIQ35" s="3"/>
      <c r="UIR35" s="3"/>
      <c r="UIS35" s="3"/>
      <c r="UIT35" s="3"/>
      <c r="UIU35" s="3"/>
      <c r="UIV35" s="3"/>
      <c r="UIW35" s="3"/>
      <c r="UIX35" s="3"/>
      <c r="UIY35" s="3"/>
      <c r="UIZ35" s="3"/>
      <c r="UJA35" s="3"/>
      <c r="UJB35" s="3"/>
      <c r="UJC35" s="3"/>
      <c r="UJD35" s="3"/>
      <c r="UJE35" s="3"/>
      <c r="UJF35" s="3"/>
      <c r="UJG35" s="3"/>
      <c r="UJH35" s="3"/>
      <c r="UJI35" s="3"/>
      <c r="UJJ35" s="3"/>
      <c r="UJK35" s="3"/>
      <c r="UJL35" s="3"/>
      <c r="UJM35" s="3"/>
      <c r="UJN35" s="3"/>
      <c r="UJO35" s="3"/>
      <c r="UJP35" s="3"/>
      <c r="UJQ35" s="3"/>
      <c r="UJR35" s="3"/>
      <c r="UJS35" s="3"/>
      <c r="UJT35" s="3"/>
      <c r="UJU35" s="3"/>
      <c r="UJV35" s="3"/>
      <c r="UJW35" s="3"/>
      <c r="UJX35" s="3"/>
      <c r="UJY35" s="3"/>
      <c r="UJZ35" s="3"/>
      <c r="UKA35" s="3"/>
      <c r="UKB35" s="3"/>
      <c r="UKC35" s="3"/>
      <c r="UKD35" s="3"/>
      <c r="UKE35" s="3"/>
      <c r="UKF35" s="3"/>
      <c r="UKG35" s="3"/>
      <c r="UKH35" s="3"/>
      <c r="UKI35" s="3"/>
      <c r="UKJ35" s="3"/>
      <c r="UKK35" s="3"/>
      <c r="UKL35" s="3"/>
      <c r="UKM35" s="3"/>
      <c r="UKN35" s="3"/>
      <c r="UKO35" s="3"/>
      <c r="UKP35" s="3"/>
      <c r="UKQ35" s="3"/>
      <c r="UKR35" s="3"/>
      <c r="UKS35" s="3"/>
      <c r="UKT35" s="3"/>
      <c r="UKU35" s="3"/>
      <c r="UKV35" s="3"/>
      <c r="UKW35" s="3"/>
      <c r="UKX35" s="3"/>
      <c r="UKY35" s="3"/>
      <c r="UKZ35" s="3"/>
      <c r="ULA35" s="3"/>
      <c r="ULB35" s="3"/>
      <c r="ULC35" s="3"/>
      <c r="ULD35" s="3"/>
      <c r="ULE35" s="3"/>
      <c r="ULF35" s="3"/>
      <c r="ULG35" s="3"/>
      <c r="ULH35" s="3"/>
      <c r="ULI35" s="3"/>
      <c r="ULJ35" s="3"/>
      <c r="ULK35" s="3"/>
      <c r="ULL35" s="3"/>
      <c r="ULM35" s="3"/>
      <c r="ULN35" s="3"/>
      <c r="ULO35" s="3"/>
      <c r="ULP35" s="3"/>
      <c r="ULQ35" s="3"/>
      <c r="ULR35" s="3"/>
      <c r="ULS35" s="3"/>
      <c r="ULT35" s="3"/>
      <c r="ULU35" s="3"/>
      <c r="ULV35" s="3"/>
      <c r="ULW35" s="3"/>
      <c r="ULX35" s="3"/>
      <c r="ULY35" s="3"/>
      <c r="ULZ35" s="3"/>
      <c r="UMA35" s="3"/>
      <c r="UMB35" s="3"/>
      <c r="UMC35" s="3"/>
      <c r="UMD35" s="3"/>
      <c r="UME35" s="3"/>
      <c r="UMF35" s="3"/>
      <c r="UMG35" s="3"/>
      <c r="UMH35" s="3"/>
      <c r="UMI35" s="3"/>
      <c r="UMJ35" s="3"/>
      <c r="UMK35" s="3"/>
      <c r="UML35" s="3"/>
      <c r="UMM35" s="3"/>
      <c r="UMN35" s="3"/>
      <c r="UMO35" s="3"/>
      <c r="UMP35" s="3"/>
      <c r="UMQ35" s="3"/>
      <c r="UMR35" s="3"/>
      <c r="UMS35" s="3"/>
      <c r="UMT35" s="3"/>
      <c r="UMU35" s="3"/>
      <c r="UMV35" s="3"/>
      <c r="UMW35" s="3"/>
      <c r="UMX35" s="3"/>
      <c r="UMY35" s="3"/>
      <c r="UMZ35" s="3"/>
      <c r="UNA35" s="3"/>
      <c r="UNB35" s="3"/>
      <c r="UNC35" s="3"/>
      <c r="UND35" s="3"/>
      <c r="UNE35" s="3"/>
      <c r="UNF35" s="3"/>
      <c r="UNG35" s="3"/>
      <c r="UNH35" s="3"/>
      <c r="UNI35" s="3"/>
      <c r="UNJ35" s="3"/>
      <c r="UNK35" s="3"/>
      <c r="UNL35" s="3"/>
      <c r="UNM35" s="3"/>
      <c r="UNN35" s="3"/>
      <c r="UNO35" s="3"/>
      <c r="UNP35" s="3"/>
      <c r="UNQ35" s="3"/>
      <c r="UNR35" s="3"/>
      <c r="UNS35" s="3"/>
      <c r="UNT35" s="3"/>
      <c r="UNU35" s="3"/>
      <c r="UNV35" s="3"/>
      <c r="UNW35" s="3"/>
      <c r="UNX35" s="3"/>
      <c r="UNY35" s="3"/>
      <c r="UNZ35" s="3"/>
      <c r="UOA35" s="3"/>
      <c r="UOB35" s="3"/>
      <c r="UOC35" s="3"/>
      <c r="UOD35" s="3"/>
      <c r="UOE35" s="3"/>
      <c r="UOF35" s="3"/>
      <c r="UOG35" s="3"/>
      <c r="UOH35" s="3"/>
      <c r="UOI35" s="3"/>
      <c r="UOJ35" s="3"/>
      <c r="UOK35" s="3"/>
      <c r="UOL35" s="3"/>
      <c r="UOM35" s="3"/>
      <c r="UON35" s="3"/>
      <c r="UOO35" s="3"/>
      <c r="UOP35" s="3"/>
      <c r="UOQ35" s="3"/>
      <c r="UOR35" s="3"/>
      <c r="UOS35" s="3"/>
      <c r="UOT35" s="3"/>
      <c r="UOU35" s="3"/>
      <c r="UOV35" s="3"/>
      <c r="UOW35" s="3"/>
      <c r="UOX35" s="3"/>
      <c r="UOY35" s="3"/>
      <c r="UOZ35" s="3"/>
      <c r="UPA35" s="3"/>
      <c r="UPB35" s="3"/>
      <c r="UPC35" s="3"/>
      <c r="UPD35" s="3"/>
      <c r="UPE35" s="3"/>
      <c r="UPF35" s="3"/>
      <c r="UPG35" s="3"/>
      <c r="UPH35" s="3"/>
      <c r="UPI35" s="3"/>
      <c r="UPJ35" s="3"/>
      <c r="UPK35" s="3"/>
      <c r="UPL35" s="3"/>
      <c r="UPM35" s="3"/>
      <c r="UPN35" s="3"/>
      <c r="UPO35" s="3"/>
      <c r="UPP35" s="3"/>
      <c r="UPQ35" s="3"/>
      <c r="UPR35" s="3"/>
      <c r="UPS35" s="3"/>
      <c r="UPT35" s="3"/>
      <c r="UPU35" s="3"/>
      <c r="UPV35" s="3"/>
      <c r="UPW35" s="3"/>
      <c r="UPX35" s="3"/>
      <c r="UPY35" s="3"/>
      <c r="UPZ35" s="3"/>
      <c r="UQA35" s="3"/>
      <c r="UQB35" s="3"/>
      <c r="UQC35" s="3"/>
      <c r="UQD35" s="3"/>
      <c r="UQE35" s="3"/>
      <c r="UQF35" s="3"/>
      <c r="UQG35" s="3"/>
      <c r="UQH35" s="3"/>
      <c r="UQI35" s="3"/>
      <c r="UQJ35" s="3"/>
      <c r="UQK35" s="3"/>
      <c r="UQL35" s="3"/>
      <c r="UQM35" s="3"/>
      <c r="UQN35" s="3"/>
      <c r="UQO35" s="3"/>
      <c r="UQP35" s="3"/>
      <c r="UQQ35" s="3"/>
      <c r="UQR35" s="3"/>
      <c r="UQS35" s="3"/>
      <c r="UQT35" s="3"/>
      <c r="UQU35" s="3"/>
      <c r="UQV35" s="3"/>
      <c r="UQW35" s="3"/>
      <c r="UQX35" s="3"/>
      <c r="UQY35" s="3"/>
      <c r="UQZ35" s="3"/>
      <c r="URA35" s="3"/>
      <c r="URB35" s="3"/>
      <c r="URC35" s="3"/>
      <c r="URD35" s="3"/>
      <c r="URE35" s="3"/>
      <c r="URF35" s="3"/>
      <c r="URG35" s="3"/>
      <c r="URH35" s="3"/>
      <c r="URI35" s="3"/>
      <c r="URJ35" s="3"/>
      <c r="URK35" s="3"/>
      <c r="URL35" s="3"/>
      <c r="URM35" s="3"/>
      <c r="URN35" s="3"/>
      <c r="URO35" s="3"/>
      <c r="URP35" s="3"/>
      <c r="URQ35" s="3"/>
      <c r="URR35" s="3"/>
      <c r="URS35" s="3"/>
      <c r="URT35" s="3"/>
      <c r="URU35" s="3"/>
      <c r="URV35" s="3"/>
      <c r="URW35" s="3"/>
      <c r="URX35" s="3"/>
      <c r="URY35" s="3"/>
      <c r="URZ35" s="3"/>
      <c r="USA35" s="3"/>
      <c r="USB35" s="3"/>
      <c r="USC35" s="3"/>
      <c r="USD35" s="3"/>
      <c r="USE35" s="3"/>
      <c r="USF35" s="3"/>
      <c r="USG35" s="3"/>
      <c r="USH35" s="3"/>
      <c r="USI35" s="3"/>
      <c r="USJ35" s="3"/>
      <c r="USK35" s="3"/>
      <c r="USL35" s="3"/>
      <c r="USM35" s="3"/>
      <c r="USN35" s="3"/>
      <c r="USO35" s="3"/>
      <c r="USP35" s="3"/>
      <c r="USQ35" s="3"/>
      <c r="USR35" s="3"/>
      <c r="USS35" s="3"/>
      <c r="UST35" s="3"/>
      <c r="USU35" s="3"/>
      <c r="USV35" s="3"/>
      <c r="USW35" s="3"/>
      <c r="USX35" s="3"/>
      <c r="USY35" s="3"/>
      <c r="USZ35" s="3"/>
      <c r="UTA35" s="3"/>
      <c r="UTB35" s="3"/>
      <c r="UTC35" s="3"/>
      <c r="UTD35" s="3"/>
      <c r="UTE35" s="3"/>
      <c r="UTF35" s="3"/>
      <c r="UTG35" s="3"/>
      <c r="UTH35" s="3"/>
      <c r="UTI35" s="3"/>
      <c r="UTJ35" s="3"/>
      <c r="UTK35" s="3"/>
      <c r="UTL35" s="3"/>
      <c r="UTM35" s="3"/>
      <c r="UTN35" s="3"/>
      <c r="UTO35" s="3"/>
      <c r="UTP35" s="3"/>
      <c r="UTQ35" s="3"/>
      <c r="UTR35" s="3"/>
      <c r="UTS35" s="3"/>
      <c r="UTT35" s="3"/>
      <c r="UTU35" s="3"/>
      <c r="UTV35" s="3"/>
      <c r="UTW35" s="3"/>
      <c r="UTX35" s="3"/>
      <c r="UTY35" s="3"/>
      <c r="UTZ35" s="3"/>
      <c r="UUA35" s="3"/>
      <c r="UUB35" s="3"/>
      <c r="UUC35" s="3"/>
      <c r="UUD35" s="3"/>
      <c r="UUE35" s="3"/>
      <c r="UUF35" s="3"/>
      <c r="UUG35" s="3"/>
      <c r="UUH35" s="3"/>
      <c r="UUI35" s="3"/>
      <c r="UUJ35" s="3"/>
      <c r="UUK35" s="3"/>
      <c r="UUL35" s="3"/>
      <c r="UUM35" s="3"/>
      <c r="UUN35" s="3"/>
      <c r="UUO35" s="3"/>
      <c r="UUP35" s="3"/>
      <c r="UUQ35" s="3"/>
      <c r="UUR35" s="3"/>
      <c r="UUS35" s="3"/>
      <c r="UUT35" s="3"/>
      <c r="UUU35" s="3"/>
      <c r="UUV35" s="3"/>
      <c r="UUW35" s="3"/>
      <c r="UUX35" s="3"/>
      <c r="UUY35" s="3"/>
      <c r="UUZ35" s="3"/>
      <c r="UVA35" s="3"/>
      <c r="UVB35" s="3"/>
      <c r="UVC35" s="3"/>
      <c r="UVD35" s="3"/>
      <c r="UVE35" s="3"/>
      <c r="UVF35" s="3"/>
      <c r="UVG35" s="3"/>
      <c r="UVH35" s="3"/>
      <c r="UVI35" s="3"/>
      <c r="UVJ35" s="3"/>
      <c r="UVK35" s="3"/>
      <c r="UVL35" s="3"/>
      <c r="UVM35" s="3"/>
      <c r="UVN35" s="3"/>
      <c r="UVO35" s="3"/>
      <c r="UVP35" s="3"/>
      <c r="UVQ35" s="3"/>
      <c r="UVR35" s="3"/>
      <c r="UVS35" s="3"/>
      <c r="UVT35" s="3"/>
      <c r="UVU35" s="3"/>
      <c r="UVV35" s="3"/>
      <c r="UVW35" s="3"/>
      <c r="UVX35" s="3"/>
      <c r="UVY35" s="3"/>
      <c r="UVZ35" s="3"/>
      <c r="UWA35" s="3"/>
      <c r="UWB35" s="3"/>
      <c r="UWC35" s="3"/>
      <c r="UWD35" s="3"/>
      <c r="UWE35" s="3"/>
      <c r="UWF35" s="3"/>
      <c r="UWG35" s="3"/>
      <c r="UWH35" s="3"/>
      <c r="UWI35" s="3"/>
      <c r="UWJ35" s="3"/>
      <c r="UWK35" s="3"/>
      <c r="UWL35" s="3"/>
      <c r="UWM35" s="3"/>
      <c r="UWN35" s="3"/>
      <c r="UWO35" s="3"/>
      <c r="UWP35" s="3"/>
      <c r="UWQ35" s="3"/>
      <c r="UWR35" s="3"/>
      <c r="UWS35" s="3"/>
      <c r="UWT35" s="3"/>
      <c r="UWU35" s="3"/>
      <c r="UWV35" s="3"/>
      <c r="UWW35" s="3"/>
      <c r="UWX35" s="3"/>
      <c r="UWY35" s="3"/>
      <c r="UWZ35" s="3"/>
      <c r="UXA35" s="3"/>
      <c r="UXB35" s="3"/>
      <c r="UXC35" s="3"/>
      <c r="UXD35" s="3"/>
      <c r="UXE35" s="3"/>
      <c r="UXF35" s="3"/>
      <c r="UXG35" s="3"/>
      <c r="UXH35" s="3"/>
      <c r="UXI35" s="3"/>
      <c r="UXJ35" s="3"/>
      <c r="UXK35" s="3"/>
      <c r="UXL35" s="3"/>
      <c r="UXM35" s="3"/>
      <c r="UXN35" s="3"/>
      <c r="UXO35" s="3"/>
      <c r="UXP35" s="3"/>
      <c r="UXQ35" s="3"/>
      <c r="UXR35" s="3"/>
      <c r="UXS35" s="3"/>
      <c r="UXT35" s="3"/>
      <c r="UXU35" s="3"/>
      <c r="UXV35" s="3"/>
      <c r="UXW35" s="3"/>
      <c r="UXX35" s="3"/>
      <c r="UXY35" s="3"/>
      <c r="UXZ35" s="3"/>
      <c r="UYA35" s="3"/>
      <c r="UYB35" s="3"/>
      <c r="UYC35" s="3"/>
      <c r="UYD35" s="3"/>
      <c r="UYE35" s="3"/>
      <c r="UYF35" s="3"/>
      <c r="UYG35" s="3"/>
      <c r="UYH35" s="3"/>
      <c r="UYI35" s="3"/>
      <c r="UYJ35" s="3"/>
      <c r="UYK35" s="3"/>
      <c r="UYL35" s="3"/>
      <c r="UYM35" s="3"/>
      <c r="UYN35" s="3"/>
      <c r="UYO35" s="3"/>
      <c r="UYP35" s="3"/>
      <c r="UYQ35" s="3"/>
      <c r="UYR35" s="3"/>
      <c r="UYS35" s="3"/>
      <c r="UYT35" s="3"/>
      <c r="UYU35" s="3"/>
      <c r="UYV35" s="3"/>
      <c r="UYW35" s="3"/>
      <c r="UYX35" s="3"/>
      <c r="UYY35" s="3"/>
      <c r="UYZ35" s="3"/>
      <c r="UZA35" s="3"/>
      <c r="UZB35" s="3"/>
      <c r="UZC35" s="3"/>
      <c r="UZD35" s="3"/>
      <c r="UZE35" s="3"/>
      <c r="UZF35" s="3"/>
      <c r="UZG35" s="3"/>
      <c r="UZH35" s="3"/>
      <c r="UZI35" s="3"/>
      <c r="UZJ35" s="3"/>
      <c r="UZK35" s="3"/>
      <c r="UZL35" s="3"/>
      <c r="UZM35" s="3"/>
      <c r="UZN35" s="3"/>
      <c r="UZO35" s="3"/>
      <c r="UZP35" s="3"/>
      <c r="UZQ35" s="3"/>
      <c r="UZR35" s="3"/>
      <c r="UZS35" s="3"/>
      <c r="UZT35" s="3"/>
      <c r="UZU35" s="3"/>
      <c r="UZV35" s="3"/>
      <c r="UZW35" s="3"/>
      <c r="UZX35" s="3"/>
      <c r="UZY35" s="3"/>
      <c r="UZZ35" s="3"/>
      <c r="VAA35" s="3"/>
      <c r="VAB35" s="3"/>
      <c r="VAC35" s="3"/>
      <c r="VAD35" s="3"/>
      <c r="VAE35" s="3"/>
      <c r="VAF35" s="3"/>
      <c r="VAG35" s="3"/>
      <c r="VAH35" s="3"/>
      <c r="VAI35" s="3"/>
      <c r="VAJ35" s="3"/>
      <c r="VAK35" s="3"/>
      <c r="VAL35" s="3"/>
      <c r="VAM35" s="3"/>
      <c r="VAN35" s="3"/>
      <c r="VAO35" s="3"/>
      <c r="VAP35" s="3"/>
      <c r="VAQ35" s="3"/>
      <c r="VAR35" s="3"/>
      <c r="VAS35" s="3"/>
      <c r="VAT35" s="3"/>
      <c r="VAU35" s="3"/>
      <c r="VAV35" s="3"/>
      <c r="VAW35" s="3"/>
      <c r="VAX35" s="3"/>
      <c r="VAY35" s="3"/>
      <c r="VAZ35" s="3"/>
      <c r="VBA35" s="3"/>
      <c r="VBB35" s="3"/>
      <c r="VBC35" s="3"/>
      <c r="VBD35" s="3"/>
      <c r="VBE35" s="3"/>
      <c r="VBF35" s="3"/>
      <c r="VBG35" s="3"/>
      <c r="VBH35" s="3"/>
      <c r="VBI35" s="3"/>
      <c r="VBJ35" s="3"/>
      <c r="VBK35" s="3"/>
      <c r="VBL35" s="3"/>
      <c r="VBM35" s="3"/>
      <c r="VBN35" s="3"/>
      <c r="VBO35" s="3"/>
      <c r="VBP35" s="3"/>
      <c r="VBQ35" s="3"/>
      <c r="VBR35" s="3"/>
      <c r="VBS35" s="3"/>
      <c r="VBT35" s="3"/>
      <c r="VBU35" s="3"/>
      <c r="VBV35" s="3"/>
      <c r="VBW35" s="3"/>
      <c r="VBX35" s="3"/>
      <c r="VBY35" s="3"/>
      <c r="VBZ35" s="3"/>
      <c r="VCA35" s="3"/>
      <c r="VCB35" s="3"/>
      <c r="VCC35" s="3"/>
      <c r="VCD35" s="3"/>
      <c r="VCE35" s="3"/>
      <c r="VCF35" s="3"/>
      <c r="VCG35" s="3"/>
      <c r="VCH35" s="3"/>
      <c r="VCI35" s="3"/>
      <c r="VCJ35" s="3"/>
      <c r="VCK35" s="3"/>
      <c r="VCL35" s="3"/>
      <c r="VCM35" s="3"/>
      <c r="VCN35" s="3"/>
      <c r="VCO35" s="3"/>
      <c r="VCP35" s="3"/>
      <c r="VCQ35" s="3"/>
      <c r="VCR35" s="3"/>
      <c r="VCS35" s="3"/>
      <c r="VCT35" s="3"/>
      <c r="VCU35" s="3"/>
      <c r="VCV35" s="3"/>
      <c r="VCW35" s="3"/>
      <c r="VCX35" s="3"/>
      <c r="VCY35" s="3"/>
      <c r="VCZ35" s="3"/>
      <c r="VDA35" s="3"/>
      <c r="VDB35" s="3"/>
      <c r="VDC35" s="3"/>
      <c r="VDD35" s="3"/>
      <c r="VDE35" s="3"/>
      <c r="VDF35" s="3"/>
      <c r="VDG35" s="3"/>
      <c r="VDH35" s="3"/>
      <c r="VDI35" s="3"/>
      <c r="VDJ35" s="3"/>
      <c r="VDK35" s="3"/>
      <c r="VDL35" s="3"/>
      <c r="VDM35" s="3"/>
      <c r="VDN35" s="3"/>
      <c r="VDO35" s="3"/>
      <c r="VDP35" s="3"/>
      <c r="VDQ35" s="3"/>
      <c r="VDR35" s="3"/>
      <c r="VDS35" s="3"/>
      <c r="VDT35" s="3"/>
      <c r="VDU35" s="3"/>
      <c r="VDV35" s="3"/>
      <c r="VDW35" s="3"/>
      <c r="VDX35" s="3"/>
      <c r="VDY35" s="3"/>
      <c r="VDZ35" s="3"/>
      <c r="VEA35" s="3"/>
      <c r="VEB35" s="3"/>
      <c r="VEC35" s="3"/>
      <c r="VED35" s="3"/>
      <c r="VEE35" s="3"/>
      <c r="VEF35" s="3"/>
      <c r="VEG35" s="3"/>
      <c r="VEH35" s="3"/>
      <c r="VEI35" s="3"/>
      <c r="VEJ35" s="3"/>
      <c r="VEK35" s="3"/>
      <c r="VEL35" s="3"/>
      <c r="VEM35" s="3"/>
      <c r="VEN35" s="3"/>
      <c r="VEO35" s="3"/>
      <c r="VEP35" s="3"/>
      <c r="VEQ35" s="3"/>
      <c r="VER35" s="3"/>
      <c r="VES35" s="3"/>
      <c r="VET35" s="3"/>
      <c r="VEU35" s="3"/>
      <c r="VEV35" s="3"/>
      <c r="VEW35" s="3"/>
      <c r="VEX35" s="3"/>
      <c r="VEY35" s="3"/>
      <c r="VEZ35" s="3"/>
      <c r="VFA35" s="3"/>
      <c r="VFB35" s="3"/>
      <c r="VFC35" s="3"/>
      <c r="VFD35" s="3"/>
      <c r="VFE35" s="3"/>
      <c r="VFF35" s="3"/>
      <c r="VFG35" s="3"/>
      <c r="VFH35" s="3"/>
      <c r="VFI35" s="3"/>
      <c r="VFJ35" s="3"/>
      <c r="VFK35" s="3"/>
      <c r="VFL35" s="3"/>
      <c r="VFM35" s="3"/>
      <c r="VFN35" s="3"/>
      <c r="VFO35" s="3"/>
      <c r="VFP35" s="3"/>
      <c r="VFQ35" s="3"/>
      <c r="VFR35" s="3"/>
      <c r="VFS35" s="3"/>
      <c r="VFT35" s="3"/>
      <c r="VFU35" s="3"/>
      <c r="VFV35" s="3"/>
      <c r="VFW35" s="3"/>
      <c r="VFX35" s="3"/>
      <c r="VFY35" s="3"/>
      <c r="VFZ35" s="3"/>
      <c r="VGA35" s="3"/>
      <c r="VGB35" s="3"/>
      <c r="VGC35" s="3"/>
      <c r="VGD35" s="3"/>
      <c r="VGE35" s="3"/>
      <c r="VGF35" s="3"/>
      <c r="VGG35" s="3"/>
      <c r="VGH35" s="3"/>
      <c r="VGI35" s="3"/>
      <c r="VGJ35" s="3"/>
      <c r="VGK35" s="3"/>
      <c r="VGL35" s="3"/>
      <c r="VGM35" s="3"/>
      <c r="VGN35" s="3"/>
      <c r="VGO35" s="3"/>
      <c r="VGP35" s="3"/>
      <c r="VGQ35" s="3"/>
      <c r="VGR35" s="3"/>
      <c r="VGS35" s="3"/>
      <c r="VGT35" s="3"/>
      <c r="VGU35" s="3"/>
      <c r="VGV35" s="3"/>
      <c r="VGW35" s="3"/>
      <c r="VGX35" s="3"/>
      <c r="VGY35" s="3"/>
      <c r="VGZ35" s="3"/>
      <c r="VHA35" s="3"/>
      <c r="VHB35" s="3"/>
      <c r="VHC35" s="3"/>
      <c r="VHD35" s="3"/>
      <c r="VHE35" s="3"/>
      <c r="VHF35" s="3"/>
      <c r="VHG35" s="3"/>
      <c r="VHH35" s="3"/>
      <c r="VHI35" s="3"/>
      <c r="VHJ35" s="3"/>
      <c r="VHK35" s="3"/>
      <c r="VHL35" s="3"/>
      <c r="VHM35" s="3"/>
      <c r="VHN35" s="3"/>
      <c r="VHO35" s="3"/>
      <c r="VHP35" s="3"/>
      <c r="VHQ35" s="3"/>
      <c r="VHR35" s="3"/>
      <c r="VHS35" s="3"/>
      <c r="VHT35" s="3"/>
      <c r="VHU35" s="3"/>
      <c r="VHV35" s="3"/>
      <c r="VHW35" s="3"/>
      <c r="VHX35" s="3"/>
      <c r="VHY35" s="3"/>
      <c r="VHZ35" s="3"/>
      <c r="VIA35" s="3"/>
      <c r="VIB35" s="3"/>
      <c r="VIC35" s="3"/>
      <c r="VID35" s="3"/>
      <c r="VIE35" s="3"/>
      <c r="VIF35" s="3"/>
      <c r="VIG35" s="3"/>
      <c r="VIH35" s="3"/>
      <c r="VII35" s="3"/>
      <c r="VIJ35" s="3"/>
      <c r="VIK35" s="3"/>
      <c r="VIL35" s="3"/>
      <c r="VIM35" s="3"/>
      <c r="VIN35" s="3"/>
      <c r="VIO35" s="3"/>
      <c r="VIP35" s="3"/>
      <c r="VIQ35" s="3"/>
      <c r="VIR35" s="3"/>
      <c r="VIS35" s="3"/>
      <c r="VIT35" s="3"/>
      <c r="VIU35" s="3"/>
      <c r="VIV35" s="3"/>
      <c r="VIW35" s="3"/>
      <c r="VIX35" s="3"/>
      <c r="VIY35" s="3"/>
      <c r="VIZ35" s="3"/>
      <c r="VJA35" s="3"/>
      <c r="VJB35" s="3"/>
      <c r="VJC35" s="3"/>
      <c r="VJD35" s="3"/>
      <c r="VJE35" s="3"/>
      <c r="VJF35" s="3"/>
      <c r="VJG35" s="3"/>
      <c r="VJH35" s="3"/>
      <c r="VJI35" s="3"/>
      <c r="VJJ35" s="3"/>
      <c r="VJK35" s="3"/>
      <c r="VJL35" s="3"/>
      <c r="VJM35" s="3"/>
      <c r="VJN35" s="3"/>
      <c r="VJO35" s="3"/>
      <c r="VJP35" s="3"/>
      <c r="VJQ35" s="3"/>
      <c r="VJR35" s="3"/>
      <c r="VJS35" s="3"/>
      <c r="VJT35" s="3"/>
      <c r="VJU35" s="3"/>
      <c r="VJV35" s="3"/>
      <c r="VJW35" s="3"/>
      <c r="VJX35" s="3"/>
      <c r="VJY35" s="3"/>
      <c r="VJZ35" s="3"/>
      <c r="VKA35" s="3"/>
      <c r="VKB35" s="3"/>
      <c r="VKC35" s="3"/>
      <c r="VKD35" s="3"/>
      <c r="VKE35" s="3"/>
      <c r="VKF35" s="3"/>
      <c r="VKG35" s="3"/>
      <c r="VKH35" s="3"/>
      <c r="VKI35" s="3"/>
      <c r="VKJ35" s="3"/>
      <c r="VKK35" s="3"/>
      <c r="VKL35" s="3"/>
      <c r="VKM35" s="3"/>
      <c r="VKN35" s="3"/>
      <c r="VKO35" s="3"/>
      <c r="VKP35" s="3"/>
      <c r="VKQ35" s="3"/>
      <c r="VKR35" s="3"/>
      <c r="VKS35" s="3"/>
      <c r="VKT35" s="3"/>
      <c r="VKU35" s="3"/>
      <c r="VKV35" s="3"/>
      <c r="VKW35" s="3"/>
      <c r="VKX35" s="3"/>
      <c r="VKY35" s="3"/>
      <c r="VKZ35" s="3"/>
      <c r="VLA35" s="3"/>
      <c r="VLB35" s="3"/>
      <c r="VLC35" s="3"/>
      <c r="VLD35" s="3"/>
      <c r="VLE35" s="3"/>
      <c r="VLF35" s="3"/>
      <c r="VLG35" s="3"/>
      <c r="VLH35" s="3"/>
      <c r="VLI35" s="3"/>
      <c r="VLJ35" s="3"/>
      <c r="VLK35" s="3"/>
      <c r="VLL35" s="3"/>
      <c r="VLM35" s="3"/>
      <c r="VLN35" s="3"/>
      <c r="VLO35" s="3"/>
      <c r="VLP35" s="3"/>
      <c r="VLQ35" s="3"/>
      <c r="VLR35" s="3"/>
      <c r="VLS35" s="3"/>
      <c r="VLT35" s="3"/>
      <c r="VLU35" s="3"/>
      <c r="VLV35" s="3"/>
      <c r="VLW35" s="3"/>
      <c r="VLX35" s="3"/>
      <c r="VLY35" s="3"/>
      <c r="VLZ35" s="3"/>
      <c r="VMA35" s="3"/>
      <c r="VMB35" s="3"/>
      <c r="VMC35" s="3"/>
      <c r="VMD35" s="3"/>
      <c r="VME35" s="3"/>
      <c r="VMF35" s="3"/>
      <c r="VMG35" s="3"/>
      <c r="VMH35" s="3"/>
      <c r="VMI35" s="3"/>
      <c r="VMJ35" s="3"/>
      <c r="VMK35" s="3"/>
      <c r="VML35" s="3"/>
      <c r="VMM35" s="3"/>
      <c r="VMN35" s="3"/>
      <c r="VMO35" s="3"/>
      <c r="VMP35" s="3"/>
      <c r="VMQ35" s="3"/>
      <c r="VMR35" s="3"/>
      <c r="VMS35" s="3"/>
      <c r="VMT35" s="3"/>
      <c r="VMU35" s="3"/>
      <c r="VMV35" s="3"/>
      <c r="VMW35" s="3"/>
      <c r="VMX35" s="3"/>
      <c r="VMY35" s="3"/>
      <c r="VMZ35" s="3"/>
      <c r="VNA35" s="3"/>
      <c r="VNB35" s="3"/>
      <c r="VNC35" s="3"/>
      <c r="VND35" s="3"/>
      <c r="VNE35" s="3"/>
      <c r="VNF35" s="3"/>
      <c r="VNG35" s="3"/>
      <c r="VNH35" s="3"/>
      <c r="VNI35" s="3"/>
      <c r="VNJ35" s="3"/>
      <c r="VNK35" s="3"/>
      <c r="VNL35" s="3"/>
      <c r="VNM35" s="3"/>
      <c r="VNN35" s="3"/>
      <c r="VNO35" s="3"/>
      <c r="VNP35" s="3"/>
      <c r="VNQ35" s="3"/>
      <c r="VNR35" s="3"/>
      <c r="VNS35" s="3"/>
      <c r="VNT35" s="3"/>
      <c r="VNU35" s="3"/>
      <c r="VNV35" s="3"/>
      <c r="VNW35" s="3"/>
      <c r="VNX35" s="3"/>
      <c r="VNY35" s="3"/>
      <c r="VNZ35" s="3"/>
      <c r="VOA35" s="3"/>
      <c r="VOB35" s="3"/>
      <c r="VOC35" s="3"/>
      <c r="VOD35" s="3"/>
      <c r="VOE35" s="3"/>
      <c r="VOF35" s="3"/>
      <c r="VOG35" s="3"/>
      <c r="VOH35" s="3"/>
      <c r="VOI35" s="3"/>
      <c r="VOJ35" s="3"/>
      <c r="VOK35" s="3"/>
      <c r="VOL35" s="3"/>
      <c r="VOM35" s="3"/>
      <c r="VON35" s="3"/>
      <c r="VOO35" s="3"/>
      <c r="VOP35" s="3"/>
      <c r="VOQ35" s="3"/>
      <c r="VOR35" s="3"/>
      <c r="VOS35" s="3"/>
      <c r="VOT35" s="3"/>
      <c r="VOU35" s="3"/>
      <c r="VOV35" s="3"/>
      <c r="VOW35" s="3"/>
      <c r="VOX35" s="3"/>
      <c r="VOY35" s="3"/>
      <c r="VOZ35" s="3"/>
      <c r="VPA35" s="3"/>
      <c r="VPB35" s="3"/>
      <c r="VPC35" s="3"/>
      <c r="VPD35" s="3"/>
      <c r="VPE35" s="3"/>
      <c r="VPF35" s="3"/>
      <c r="VPG35" s="3"/>
      <c r="VPH35" s="3"/>
      <c r="VPI35" s="3"/>
      <c r="VPJ35" s="3"/>
      <c r="VPK35" s="3"/>
      <c r="VPL35" s="3"/>
      <c r="VPM35" s="3"/>
      <c r="VPN35" s="3"/>
      <c r="VPO35" s="3"/>
      <c r="VPP35" s="3"/>
      <c r="VPQ35" s="3"/>
      <c r="VPR35" s="3"/>
      <c r="VPS35" s="3"/>
      <c r="VPT35" s="3"/>
      <c r="VPU35" s="3"/>
      <c r="VPV35" s="3"/>
      <c r="VPW35" s="3"/>
      <c r="VPX35" s="3"/>
      <c r="VPY35" s="3"/>
      <c r="VPZ35" s="3"/>
      <c r="VQA35" s="3"/>
      <c r="VQB35" s="3"/>
      <c r="VQC35" s="3"/>
      <c r="VQD35" s="3"/>
      <c r="VQE35" s="3"/>
      <c r="VQF35" s="3"/>
      <c r="VQG35" s="3"/>
      <c r="VQH35" s="3"/>
      <c r="VQI35" s="3"/>
      <c r="VQJ35" s="3"/>
      <c r="VQK35" s="3"/>
      <c r="VQL35" s="3"/>
      <c r="VQM35" s="3"/>
      <c r="VQN35" s="3"/>
      <c r="VQO35" s="3"/>
      <c r="VQP35" s="3"/>
      <c r="VQQ35" s="3"/>
      <c r="VQR35" s="3"/>
      <c r="VQS35" s="3"/>
      <c r="VQT35" s="3"/>
      <c r="VQU35" s="3"/>
      <c r="VQV35" s="3"/>
      <c r="VQW35" s="3"/>
      <c r="VQX35" s="3"/>
      <c r="VQY35" s="3"/>
      <c r="VQZ35" s="3"/>
      <c r="VRA35" s="3"/>
      <c r="VRB35" s="3"/>
      <c r="VRC35" s="3"/>
      <c r="VRD35" s="3"/>
      <c r="VRE35" s="3"/>
      <c r="VRF35" s="3"/>
      <c r="VRG35" s="3"/>
      <c r="VRH35" s="3"/>
      <c r="VRI35" s="3"/>
      <c r="VRJ35" s="3"/>
      <c r="VRK35" s="3"/>
      <c r="VRL35" s="3"/>
      <c r="VRM35" s="3"/>
      <c r="VRN35" s="3"/>
      <c r="VRO35" s="3"/>
      <c r="VRP35" s="3"/>
      <c r="VRQ35" s="3"/>
      <c r="VRR35" s="3"/>
      <c r="VRS35" s="3"/>
      <c r="VRT35" s="3"/>
      <c r="VRU35" s="3"/>
      <c r="VRV35" s="3"/>
      <c r="VRW35" s="3"/>
      <c r="VRX35" s="3"/>
      <c r="VRY35" s="3"/>
      <c r="VRZ35" s="3"/>
      <c r="VSA35" s="3"/>
      <c r="VSB35" s="3"/>
      <c r="VSC35" s="3"/>
      <c r="VSD35" s="3"/>
      <c r="VSE35" s="3"/>
      <c r="VSF35" s="3"/>
      <c r="VSG35" s="3"/>
      <c r="VSH35" s="3"/>
      <c r="VSI35" s="3"/>
      <c r="VSJ35" s="3"/>
      <c r="VSK35" s="3"/>
      <c r="VSL35" s="3"/>
      <c r="VSM35" s="3"/>
      <c r="VSN35" s="3"/>
      <c r="VSO35" s="3"/>
      <c r="VSP35" s="3"/>
      <c r="VSQ35" s="3"/>
      <c r="VSR35" s="3"/>
      <c r="VSS35" s="3"/>
      <c r="VST35" s="3"/>
      <c r="VSU35" s="3"/>
      <c r="VSV35" s="3"/>
      <c r="VSW35" s="3"/>
      <c r="VSX35" s="3"/>
      <c r="VSY35" s="3"/>
      <c r="VSZ35" s="3"/>
      <c r="VTA35" s="3"/>
      <c r="VTB35" s="3"/>
      <c r="VTC35" s="3"/>
      <c r="VTD35" s="3"/>
      <c r="VTE35" s="3"/>
      <c r="VTF35" s="3"/>
      <c r="VTG35" s="3"/>
      <c r="VTH35" s="3"/>
      <c r="VTI35" s="3"/>
      <c r="VTJ35" s="3"/>
      <c r="VTK35" s="3"/>
      <c r="VTL35" s="3"/>
      <c r="VTM35" s="3"/>
      <c r="VTN35" s="3"/>
      <c r="VTO35" s="3"/>
      <c r="VTP35" s="3"/>
      <c r="VTQ35" s="3"/>
      <c r="VTR35" s="3"/>
      <c r="VTS35" s="3"/>
      <c r="VTT35" s="3"/>
      <c r="VTU35" s="3"/>
      <c r="VTV35" s="3"/>
      <c r="VTW35" s="3"/>
      <c r="VTX35" s="3"/>
      <c r="VTY35" s="3"/>
      <c r="VTZ35" s="3"/>
      <c r="VUA35" s="3"/>
      <c r="VUB35" s="3"/>
      <c r="VUC35" s="3"/>
      <c r="VUD35" s="3"/>
      <c r="VUE35" s="3"/>
      <c r="VUF35" s="3"/>
      <c r="VUG35" s="3"/>
      <c r="VUH35" s="3"/>
      <c r="VUI35" s="3"/>
      <c r="VUJ35" s="3"/>
      <c r="VUK35" s="3"/>
      <c r="VUL35" s="3"/>
      <c r="VUM35" s="3"/>
      <c r="VUN35" s="3"/>
      <c r="VUO35" s="3"/>
      <c r="VUP35" s="3"/>
      <c r="VUQ35" s="3"/>
      <c r="VUR35" s="3"/>
      <c r="VUS35" s="3"/>
      <c r="VUT35" s="3"/>
      <c r="VUU35" s="3"/>
      <c r="VUV35" s="3"/>
      <c r="VUW35" s="3"/>
      <c r="VUX35" s="3"/>
      <c r="VUY35" s="3"/>
      <c r="VUZ35" s="3"/>
      <c r="VVA35" s="3"/>
      <c r="VVB35" s="3"/>
      <c r="VVC35" s="3"/>
      <c r="VVD35" s="3"/>
      <c r="VVE35" s="3"/>
      <c r="VVF35" s="3"/>
      <c r="VVG35" s="3"/>
      <c r="VVH35" s="3"/>
      <c r="VVI35" s="3"/>
      <c r="VVJ35" s="3"/>
      <c r="VVK35" s="3"/>
      <c r="VVL35" s="3"/>
      <c r="VVM35" s="3"/>
      <c r="VVN35" s="3"/>
      <c r="VVO35" s="3"/>
      <c r="VVP35" s="3"/>
      <c r="VVQ35" s="3"/>
      <c r="VVR35" s="3"/>
      <c r="VVS35" s="3"/>
      <c r="VVT35" s="3"/>
      <c r="VVU35" s="3"/>
      <c r="VVV35" s="3"/>
      <c r="VVW35" s="3"/>
      <c r="VVX35" s="3"/>
      <c r="VVY35" s="3"/>
      <c r="VVZ35" s="3"/>
      <c r="VWA35" s="3"/>
      <c r="VWB35" s="3"/>
      <c r="VWC35" s="3"/>
      <c r="VWD35" s="3"/>
      <c r="VWE35" s="3"/>
      <c r="VWF35" s="3"/>
      <c r="VWG35" s="3"/>
      <c r="VWH35" s="3"/>
      <c r="VWI35" s="3"/>
      <c r="VWJ35" s="3"/>
      <c r="VWK35" s="3"/>
      <c r="VWL35" s="3"/>
      <c r="VWM35" s="3"/>
      <c r="VWN35" s="3"/>
      <c r="VWO35" s="3"/>
      <c r="VWP35" s="3"/>
      <c r="VWQ35" s="3"/>
      <c r="VWR35" s="3"/>
      <c r="VWS35" s="3"/>
      <c r="VWT35" s="3"/>
      <c r="VWU35" s="3"/>
      <c r="VWV35" s="3"/>
      <c r="VWW35" s="3"/>
      <c r="VWX35" s="3"/>
      <c r="VWY35" s="3"/>
      <c r="VWZ35" s="3"/>
      <c r="VXA35" s="3"/>
      <c r="VXB35" s="3"/>
      <c r="VXC35" s="3"/>
      <c r="VXD35" s="3"/>
      <c r="VXE35" s="3"/>
      <c r="VXF35" s="3"/>
      <c r="VXG35" s="3"/>
      <c r="VXH35" s="3"/>
      <c r="VXI35" s="3"/>
      <c r="VXJ35" s="3"/>
      <c r="VXK35" s="3"/>
      <c r="VXL35" s="3"/>
      <c r="VXM35" s="3"/>
      <c r="VXN35" s="3"/>
      <c r="VXO35" s="3"/>
      <c r="VXP35" s="3"/>
      <c r="VXQ35" s="3"/>
      <c r="VXR35" s="3"/>
      <c r="VXS35" s="3"/>
      <c r="VXT35" s="3"/>
      <c r="VXU35" s="3"/>
      <c r="VXV35" s="3"/>
      <c r="VXW35" s="3"/>
      <c r="VXX35" s="3"/>
      <c r="VXY35" s="3"/>
      <c r="VXZ35" s="3"/>
      <c r="VYA35" s="3"/>
      <c r="VYB35" s="3"/>
      <c r="VYC35" s="3"/>
      <c r="VYD35" s="3"/>
      <c r="VYE35" s="3"/>
      <c r="VYF35" s="3"/>
      <c r="VYG35" s="3"/>
      <c r="VYH35" s="3"/>
      <c r="VYI35" s="3"/>
      <c r="VYJ35" s="3"/>
      <c r="VYK35" s="3"/>
      <c r="VYL35" s="3"/>
      <c r="VYM35" s="3"/>
      <c r="VYN35" s="3"/>
      <c r="VYO35" s="3"/>
      <c r="VYP35" s="3"/>
      <c r="VYQ35" s="3"/>
      <c r="VYR35" s="3"/>
      <c r="VYS35" s="3"/>
      <c r="VYT35" s="3"/>
      <c r="VYU35" s="3"/>
      <c r="VYV35" s="3"/>
      <c r="VYW35" s="3"/>
      <c r="VYX35" s="3"/>
      <c r="VYY35" s="3"/>
      <c r="VYZ35" s="3"/>
      <c r="VZA35" s="3"/>
      <c r="VZB35" s="3"/>
      <c r="VZC35" s="3"/>
      <c r="VZD35" s="3"/>
      <c r="VZE35" s="3"/>
      <c r="VZF35" s="3"/>
      <c r="VZG35" s="3"/>
      <c r="VZH35" s="3"/>
      <c r="VZI35" s="3"/>
      <c r="VZJ35" s="3"/>
      <c r="VZK35" s="3"/>
      <c r="VZL35" s="3"/>
      <c r="VZM35" s="3"/>
      <c r="VZN35" s="3"/>
      <c r="VZO35" s="3"/>
      <c r="VZP35" s="3"/>
      <c r="VZQ35" s="3"/>
      <c r="VZR35" s="3"/>
      <c r="VZS35" s="3"/>
      <c r="VZT35" s="3"/>
      <c r="VZU35" s="3"/>
      <c r="VZV35" s="3"/>
      <c r="VZW35" s="3"/>
      <c r="VZX35" s="3"/>
      <c r="VZY35" s="3"/>
      <c r="VZZ35" s="3"/>
      <c r="WAA35" s="3"/>
      <c r="WAB35" s="3"/>
      <c r="WAC35" s="3"/>
      <c r="WAD35" s="3"/>
      <c r="WAE35" s="3"/>
      <c r="WAF35" s="3"/>
      <c r="WAG35" s="3"/>
      <c r="WAH35" s="3"/>
      <c r="WAI35" s="3"/>
      <c r="WAJ35" s="3"/>
      <c r="WAK35" s="3"/>
      <c r="WAL35" s="3"/>
      <c r="WAM35" s="3"/>
      <c r="WAN35" s="3"/>
      <c r="WAO35" s="3"/>
      <c r="WAP35" s="3"/>
      <c r="WAQ35" s="3"/>
      <c r="WAR35" s="3"/>
      <c r="WAS35" s="3"/>
      <c r="WAT35" s="3"/>
      <c r="WAU35" s="3"/>
      <c r="WAV35" s="3"/>
      <c r="WAW35" s="3"/>
      <c r="WAX35" s="3"/>
      <c r="WAY35" s="3"/>
      <c r="WAZ35" s="3"/>
      <c r="WBA35" s="3"/>
      <c r="WBB35" s="3"/>
      <c r="WBC35" s="3"/>
      <c r="WBD35" s="3"/>
      <c r="WBE35" s="3"/>
      <c r="WBF35" s="3"/>
      <c r="WBG35" s="3"/>
      <c r="WBH35" s="3"/>
      <c r="WBI35" s="3"/>
      <c r="WBJ35" s="3"/>
      <c r="WBK35" s="3"/>
      <c r="WBL35" s="3"/>
      <c r="WBM35" s="3"/>
      <c r="WBN35" s="3"/>
      <c r="WBO35" s="3"/>
      <c r="WBP35" s="3"/>
      <c r="WBQ35" s="3"/>
      <c r="WBR35" s="3"/>
      <c r="WBS35" s="3"/>
      <c r="WBT35" s="3"/>
      <c r="WBU35" s="3"/>
      <c r="WBV35" s="3"/>
      <c r="WBW35" s="3"/>
      <c r="WBX35" s="3"/>
      <c r="WBY35" s="3"/>
      <c r="WBZ35" s="3"/>
      <c r="WCA35" s="3"/>
      <c r="WCB35" s="3"/>
      <c r="WCC35" s="3"/>
      <c r="WCD35" s="3"/>
      <c r="WCE35" s="3"/>
      <c r="WCF35" s="3"/>
      <c r="WCG35" s="3"/>
      <c r="WCH35" s="3"/>
      <c r="WCI35" s="3"/>
      <c r="WCJ35" s="3"/>
      <c r="WCK35" s="3"/>
      <c r="WCL35" s="3"/>
      <c r="WCM35" s="3"/>
      <c r="WCN35" s="3"/>
      <c r="WCO35" s="3"/>
      <c r="WCP35" s="3"/>
      <c r="WCQ35" s="3"/>
      <c r="WCR35" s="3"/>
      <c r="WCS35" s="3"/>
      <c r="WCT35" s="3"/>
      <c r="WCU35" s="3"/>
      <c r="WCV35" s="3"/>
      <c r="WCW35" s="3"/>
      <c r="WCX35" s="3"/>
      <c r="WCY35" s="3"/>
      <c r="WCZ35" s="3"/>
      <c r="WDA35" s="3"/>
      <c r="WDB35" s="3"/>
      <c r="WDC35" s="3"/>
      <c r="WDD35" s="3"/>
      <c r="WDE35" s="3"/>
      <c r="WDF35" s="3"/>
      <c r="WDG35" s="3"/>
      <c r="WDH35" s="3"/>
      <c r="WDI35" s="3"/>
      <c r="WDJ35" s="3"/>
      <c r="WDK35" s="3"/>
      <c r="WDL35" s="3"/>
      <c r="WDM35" s="3"/>
      <c r="WDN35" s="3"/>
      <c r="WDO35" s="3"/>
      <c r="WDP35" s="3"/>
      <c r="WDQ35" s="3"/>
      <c r="WDR35" s="3"/>
      <c r="WDS35" s="3"/>
      <c r="WDT35" s="3"/>
      <c r="WDU35" s="3"/>
      <c r="WDV35" s="3"/>
      <c r="WDW35" s="3"/>
      <c r="WDX35" s="3"/>
      <c r="WDY35" s="3"/>
      <c r="WDZ35" s="3"/>
      <c r="WEA35" s="3"/>
      <c r="WEB35" s="3"/>
      <c r="WEC35" s="3"/>
      <c r="WED35" s="3"/>
      <c r="WEE35" s="3"/>
      <c r="WEF35" s="3"/>
      <c r="WEG35" s="3"/>
      <c r="WEH35" s="3"/>
      <c r="WEI35" s="3"/>
      <c r="WEJ35" s="3"/>
      <c r="WEK35" s="3"/>
      <c r="WEL35" s="3"/>
      <c r="WEM35" s="3"/>
      <c r="WEN35" s="3"/>
      <c r="WEO35" s="3"/>
      <c r="WEP35" s="3"/>
      <c r="WEQ35" s="3"/>
      <c r="WER35" s="3"/>
      <c r="WES35" s="3"/>
      <c r="WET35" s="3"/>
      <c r="WEU35" s="3"/>
      <c r="WEV35" s="3"/>
      <c r="WEW35" s="3"/>
      <c r="WEX35" s="3"/>
      <c r="WEY35" s="3"/>
      <c r="WEZ35" s="3"/>
      <c r="WFA35" s="3"/>
      <c r="WFB35" s="3"/>
      <c r="WFC35" s="3"/>
      <c r="WFD35" s="3"/>
      <c r="WFE35" s="3"/>
      <c r="WFF35" s="3"/>
      <c r="WFG35" s="3"/>
      <c r="WFH35" s="3"/>
      <c r="WFI35" s="3"/>
      <c r="WFJ35" s="3"/>
      <c r="WFK35" s="3"/>
      <c r="WFL35" s="3"/>
      <c r="WFM35" s="3"/>
      <c r="WFN35" s="3"/>
      <c r="WFO35" s="3"/>
      <c r="WFP35" s="3"/>
      <c r="WFQ35" s="3"/>
      <c r="WFR35" s="3"/>
      <c r="WFS35" s="3"/>
      <c r="WFT35" s="3"/>
      <c r="WFU35" s="3"/>
      <c r="WFV35" s="3"/>
      <c r="WFW35" s="3"/>
      <c r="WFX35" s="3"/>
      <c r="WFY35" s="3"/>
      <c r="WFZ35" s="3"/>
      <c r="WGA35" s="3"/>
      <c r="WGB35" s="3"/>
      <c r="WGC35" s="3"/>
      <c r="WGD35" s="3"/>
      <c r="WGE35" s="3"/>
      <c r="WGF35" s="3"/>
      <c r="WGG35" s="3"/>
      <c r="WGH35" s="3"/>
      <c r="WGI35" s="3"/>
      <c r="WGJ35" s="3"/>
      <c r="WGK35" s="3"/>
      <c r="WGL35" s="3"/>
      <c r="WGM35" s="3"/>
      <c r="WGN35" s="3"/>
      <c r="WGO35" s="3"/>
      <c r="WGP35" s="3"/>
      <c r="WGQ35" s="3"/>
      <c r="WGR35" s="3"/>
      <c r="WGS35" s="3"/>
      <c r="WGT35" s="3"/>
      <c r="WGU35" s="3"/>
      <c r="WGV35" s="3"/>
      <c r="WGW35" s="3"/>
      <c r="WGX35" s="3"/>
      <c r="WGY35" s="3"/>
      <c r="WGZ35" s="3"/>
      <c r="WHA35" s="3"/>
      <c r="WHB35" s="3"/>
      <c r="WHC35" s="3"/>
      <c r="WHD35" s="3"/>
      <c r="WHE35" s="3"/>
      <c r="WHF35" s="3"/>
      <c r="WHG35" s="3"/>
      <c r="WHH35" s="3"/>
      <c r="WHI35" s="3"/>
      <c r="WHJ35" s="3"/>
      <c r="WHK35" s="3"/>
      <c r="WHL35" s="3"/>
      <c r="WHM35" s="3"/>
      <c r="WHN35" s="3"/>
      <c r="WHO35" s="3"/>
      <c r="WHP35" s="3"/>
      <c r="WHQ35" s="3"/>
      <c r="WHR35" s="3"/>
      <c r="WHS35" s="3"/>
      <c r="WHT35" s="3"/>
      <c r="WHU35" s="3"/>
      <c r="WHV35" s="3"/>
      <c r="WHW35" s="3"/>
      <c r="WHX35" s="3"/>
      <c r="WHY35" s="3"/>
      <c r="WHZ35" s="3"/>
      <c r="WIA35" s="3"/>
      <c r="WIB35" s="3"/>
      <c r="WIC35" s="3"/>
      <c r="WID35" s="3"/>
      <c r="WIE35" s="3"/>
      <c r="WIF35" s="3"/>
      <c r="WIG35" s="3"/>
      <c r="WIH35" s="3"/>
      <c r="WII35" s="3"/>
      <c r="WIJ35" s="3"/>
      <c r="WIK35" s="3"/>
      <c r="WIL35" s="3"/>
      <c r="WIM35" s="3"/>
      <c r="WIN35" s="3"/>
      <c r="WIO35" s="3"/>
      <c r="WIP35" s="3"/>
      <c r="WIQ35" s="3"/>
      <c r="WIR35" s="3"/>
      <c r="WIS35" s="3"/>
      <c r="WIT35" s="3"/>
      <c r="WIU35" s="3"/>
      <c r="WIV35" s="3"/>
      <c r="WIW35" s="3"/>
      <c r="WIX35" s="3"/>
      <c r="WIY35" s="3"/>
      <c r="WIZ35" s="3"/>
      <c r="WJA35" s="3"/>
      <c r="WJB35" s="3"/>
      <c r="WJC35" s="3"/>
      <c r="WJD35" s="3"/>
      <c r="WJE35" s="3"/>
      <c r="WJF35" s="3"/>
      <c r="WJG35" s="3"/>
      <c r="WJH35" s="3"/>
      <c r="WJI35" s="3"/>
      <c r="WJJ35" s="3"/>
      <c r="WJK35" s="3"/>
      <c r="WJL35" s="3"/>
      <c r="WJM35" s="3"/>
      <c r="WJN35" s="3"/>
      <c r="WJO35" s="3"/>
      <c r="WJP35" s="3"/>
      <c r="WJQ35" s="3"/>
      <c r="WJR35" s="3"/>
      <c r="WJS35" s="3"/>
      <c r="WJT35" s="3"/>
      <c r="WJU35" s="3"/>
      <c r="WJV35" s="3"/>
      <c r="WJW35" s="3"/>
      <c r="WJX35" s="3"/>
      <c r="WJY35" s="3"/>
      <c r="WJZ35" s="3"/>
      <c r="WKA35" s="3"/>
      <c r="WKB35" s="3"/>
      <c r="WKC35" s="3"/>
      <c r="WKD35" s="3"/>
      <c r="WKE35" s="3"/>
      <c r="WKF35" s="3"/>
      <c r="WKG35" s="3"/>
      <c r="WKH35" s="3"/>
      <c r="WKI35" s="3"/>
      <c r="WKJ35" s="3"/>
      <c r="WKK35" s="3"/>
      <c r="WKL35" s="3"/>
      <c r="WKM35" s="3"/>
      <c r="WKN35" s="3"/>
      <c r="WKO35" s="3"/>
      <c r="WKP35" s="3"/>
      <c r="WKQ35" s="3"/>
      <c r="WKR35" s="3"/>
      <c r="WKS35" s="3"/>
      <c r="WKT35" s="3"/>
      <c r="WKU35" s="3"/>
      <c r="WKV35" s="3"/>
      <c r="WKW35" s="3"/>
      <c r="WKX35" s="3"/>
      <c r="WKY35" s="3"/>
      <c r="WKZ35" s="3"/>
      <c r="WLA35" s="3"/>
      <c r="WLB35" s="3"/>
      <c r="WLC35" s="3"/>
      <c r="WLD35" s="3"/>
      <c r="WLE35" s="3"/>
      <c r="WLF35" s="3"/>
      <c r="WLG35" s="3"/>
      <c r="WLH35" s="3"/>
      <c r="WLI35" s="3"/>
      <c r="WLJ35" s="3"/>
      <c r="WLK35" s="3"/>
      <c r="WLL35" s="3"/>
      <c r="WLM35" s="3"/>
      <c r="WLN35" s="3"/>
      <c r="WLO35" s="3"/>
      <c r="WLP35" s="3"/>
      <c r="WLQ35" s="3"/>
      <c r="WLR35" s="3"/>
      <c r="WLS35" s="3"/>
      <c r="WLT35" s="3"/>
      <c r="WLU35" s="3"/>
      <c r="WLV35" s="3"/>
      <c r="WLW35" s="3"/>
      <c r="WLX35" s="3"/>
      <c r="WLY35" s="3"/>
      <c r="WLZ35" s="3"/>
      <c r="WMA35" s="3"/>
      <c r="WMB35" s="3"/>
      <c r="WMC35" s="3"/>
      <c r="WMD35" s="3"/>
      <c r="WME35" s="3"/>
      <c r="WMF35" s="3"/>
      <c r="WMG35" s="3"/>
      <c r="WMH35" s="3"/>
      <c r="WMI35" s="3"/>
      <c r="WMJ35" s="3"/>
      <c r="WMK35" s="3"/>
      <c r="WML35" s="3"/>
      <c r="WMM35" s="3"/>
      <c r="WMN35" s="3"/>
      <c r="WMO35" s="3"/>
      <c r="WMP35" s="3"/>
      <c r="WMQ35" s="3"/>
      <c r="WMR35" s="3"/>
      <c r="WMS35" s="3"/>
      <c r="WMT35" s="3"/>
      <c r="WMU35" s="3"/>
      <c r="WMV35" s="3"/>
      <c r="WMW35" s="3"/>
      <c r="WMX35" s="3"/>
      <c r="WMY35" s="3"/>
      <c r="WMZ35" s="3"/>
      <c r="WNA35" s="3"/>
      <c r="WNB35" s="3"/>
      <c r="WNC35" s="3"/>
      <c r="WND35" s="3"/>
      <c r="WNE35" s="3"/>
      <c r="WNF35" s="3"/>
      <c r="WNG35" s="3"/>
      <c r="WNH35" s="3"/>
      <c r="WNI35" s="3"/>
      <c r="WNJ35" s="3"/>
      <c r="WNK35" s="3"/>
      <c r="WNL35" s="3"/>
      <c r="WNM35" s="3"/>
      <c r="WNN35" s="3"/>
      <c r="WNO35" s="3"/>
      <c r="WNP35" s="3"/>
      <c r="WNQ35" s="3"/>
      <c r="WNR35" s="3"/>
      <c r="WNS35" s="3"/>
      <c r="WNT35" s="3"/>
      <c r="WNU35" s="3"/>
      <c r="WNV35" s="3"/>
      <c r="WNW35" s="3"/>
      <c r="WNX35" s="3"/>
      <c r="WNY35" s="3"/>
      <c r="WNZ35" s="3"/>
      <c r="WOA35" s="3"/>
      <c r="WOB35" s="3"/>
      <c r="WOC35" s="3"/>
      <c r="WOD35" s="3"/>
      <c r="WOE35" s="3"/>
      <c r="WOF35" s="3"/>
      <c r="WOG35" s="3"/>
      <c r="WOH35" s="3"/>
      <c r="WOI35" s="3"/>
      <c r="WOJ35" s="3"/>
      <c r="WOK35" s="3"/>
      <c r="WOL35" s="3"/>
      <c r="WOM35" s="3"/>
      <c r="WON35" s="3"/>
      <c r="WOO35" s="3"/>
      <c r="WOP35" s="3"/>
      <c r="WOQ35" s="3"/>
      <c r="WOR35" s="3"/>
      <c r="WOS35" s="3"/>
      <c r="WOT35" s="3"/>
      <c r="WOU35" s="3"/>
      <c r="WOV35" s="3"/>
      <c r="WOW35" s="3"/>
      <c r="WOX35" s="3"/>
      <c r="WOY35" s="3"/>
      <c r="WOZ35" s="3"/>
      <c r="WPA35" s="3"/>
      <c r="WPB35" s="3"/>
      <c r="WPC35" s="3"/>
      <c r="WPD35" s="3"/>
      <c r="WPE35" s="3"/>
      <c r="WPF35" s="3"/>
      <c r="WPG35" s="3"/>
      <c r="WPH35" s="3"/>
      <c r="WPI35" s="3"/>
      <c r="WPJ35" s="3"/>
      <c r="WPK35" s="3"/>
      <c r="WPL35" s="3"/>
      <c r="WPM35" s="3"/>
      <c r="WPN35" s="3"/>
      <c r="WPO35" s="3"/>
      <c r="WPP35" s="3"/>
      <c r="WPQ35" s="3"/>
      <c r="WPR35" s="3"/>
      <c r="WPS35" s="3"/>
      <c r="WPT35" s="3"/>
      <c r="WPU35" s="3"/>
      <c r="WPV35" s="3"/>
      <c r="WPW35" s="3"/>
      <c r="WPX35" s="3"/>
      <c r="WPY35" s="3"/>
      <c r="WPZ35" s="3"/>
      <c r="WQA35" s="3"/>
      <c r="WQB35" s="3"/>
      <c r="WQC35" s="3"/>
      <c r="WQD35" s="3"/>
      <c r="WQE35" s="3"/>
      <c r="WQF35" s="3"/>
      <c r="WQG35" s="3"/>
      <c r="WQH35" s="3"/>
      <c r="WQI35" s="3"/>
      <c r="WQJ35" s="3"/>
      <c r="WQK35" s="3"/>
      <c r="WQL35" s="3"/>
      <c r="WQM35" s="3"/>
      <c r="WQN35" s="3"/>
      <c r="WQO35" s="3"/>
      <c r="WQP35" s="3"/>
      <c r="WQQ35" s="3"/>
      <c r="WQR35" s="3"/>
      <c r="WQS35" s="3"/>
      <c r="WQT35" s="3"/>
      <c r="WQU35" s="3"/>
      <c r="WQV35" s="3"/>
      <c r="WQW35" s="3"/>
      <c r="WQX35" s="3"/>
      <c r="WQY35" s="3"/>
      <c r="WQZ35" s="3"/>
      <c r="WRA35" s="3"/>
      <c r="WRB35" s="3"/>
      <c r="WRC35" s="3"/>
      <c r="WRD35" s="3"/>
      <c r="WRE35" s="3"/>
      <c r="WRF35" s="3"/>
      <c r="WRG35" s="3"/>
      <c r="WRH35" s="3"/>
      <c r="WRI35" s="3"/>
      <c r="WRJ35" s="3"/>
      <c r="WRK35" s="3"/>
      <c r="WRL35" s="3"/>
      <c r="WRM35" s="3"/>
      <c r="WRN35" s="3"/>
      <c r="WRO35" s="3"/>
      <c r="WRP35" s="3"/>
      <c r="WRQ35" s="3"/>
      <c r="WRR35" s="3"/>
      <c r="WRS35" s="3"/>
      <c r="WRT35" s="3"/>
      <c r="WRU35" s="3"/>
      <c r="WRV35" s="3"/>
      <c r="WRW35" s="3"/>
      <c r="WRX35" s="3"/>
      <c r="WRY35" s="3"/>
      <c r="WRZ35" s="3"/>
      <c r="WSA35" s="3"/>
      <c r="WSB35" s="3"/>
      <c r="WSC35" s="3"/>
      <c r="WSD35" s="3"/>
      <c r="WSE35" s="3"/>
      <c r="WSF35" s="3"/>
      <c r="WSG35" s="3"/>
      <c r="WSH35" s="3"/>
      <c r="WSI35" s="3"/>
      <c r="WSJ35" s="3"/>
      <c r="WSK35" s="3"/>
      <c r="WSL35" s="3"/>
      <c r="WSM35" s="3"/>
      <c r="WSN35" s="3"/>
      <c r="WSO35" s="3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16384" s="1" customFormat="1">
      <c r="A36" s="3"/>
      <c r="B36" s="3"/>
      <c r="C36" s="18">
        <v>0.38506636675740202</v>
      </c>
      <c r="D36" s="19">
        <f t="shared" si="2"/>
        <v>2.3335021825498559E-2</v>
      </c>
      <c r="E36" s="19">
        <f t="shared" si="3"/>
        <v>7.354767605066378E-3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6384" s="1" customFormat="1">
      <c r="A37" s="3"/>
      <c r="B37" s="3"/>
      <c r="C37" s="18"/>
      <c r="D37" s="19">
        <f t="shared" si="2"/>
        <v>0</v>
      </c>
      <c r="E37" s="19">
        <f t="shared" si="3"/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  <c r="FAN37" s="3"/>
      <c r="FAO37" s="3"/>
      <c r="FAP37" s="3"/>
      <c r="FAQ37" s="3"/>
      <c r="FAR37" s="3"/>
      <c r="FAS37" s="3"/>
      <c r="FAT37" s="3"/>
      <c r="FAU37" s="3"/>
      <c r="FAV37" s="3"/>
      <c r="FAW37" s="3"/>
      <c r="FAX37" s="3"/>
      <c r="FAY37" s="3"/>
      <c r="FAZ37" s="3"/>
      <c r="FBA37" s="3"/>
      <c r="FBB37" s="3"/>
      <c r="FBC37" s="3"/>
      <c r="FBD37" s="3"/>
      <c r="FBE37" s="3"/>
      <c r="FBF37" s="3"/>
      <c r="FBG37" s="3"/>
      <c r="FBH37" s="3"/>
      <c r="FBI37" s="3"/>
      <c r="FBJ37" s="3"/>
      <c r="FBK37" s="3"/>
      <c r="FBL37" s="3"/>
      <c r="FBM37" s="3"/>
      <c r="FBN37" s="3"/>
      <c r="FBO37" s="3"/>
      <c r="FBP37" s="3"/>
      <c r="FBQ37" s="3"/>
      <c r="FBR37" s="3"/>
      <c r="FBS37" s="3"/>
      <c r="FBT37" s="3"/>
      <c r="FBU37" s="3"/>
      <c r="FBV37" s="3"/>
      <c r="FBW37" s="3"/>
      <c r="FBX37" s="3"/>
      <c r="FBY37" s="3"/>
      <c r="FBZ37" s="3"/>
      <c r="FCA37" s="3"/>
      <c r="FCB37" s="3"/>
      <c r="FCC37" s="3"/>
      <c r="FCD37" s="3"/>
      <c r="FCE37" s="3"/>
      <c r="FCF37" s="3"/>
      <c r="FCG37" s="3"/>
      <c r="FCH37" s="3"/>
      <c r="FCI37" s="3"/>
      <c r="FCJ37" s="3"/>
      <c r="FCK37" s="3"/>
      <c r="FCL37" s="3"/>
      <c r="FCM37" s="3"/>
      <c r="FCN37" s="3"/>
      <c r="FCO37" s="3"/>
      <c r="FCP37" s="3"/>
      <c r="FCQ37" s="3"/>
      <c r="FCR37" s="3"/>
      <c r="FCS37" s="3"/>
      <c r="FCT37" s="3"/>
      <c r="FCU37" s="3"/>
      <c r="FCV37" s="3"/>
      <c r="FCW37" s="3"/>
      <c r="FCX37" s="3"/>
      <c r="FCY37" s="3"/>
      <c r="FCZ37" s="3"/>
      <c r="FDA37" s="3"/>
      <c r="FDB37" s="3"/>
      <c r="FDC37" s="3"/>
      <c r="FDD37" s="3"/>
      <c r="FDE37" s="3"/>
      <c r="FDF37" s="3"/>
      <c r="FDG37" s="3"/>
      <c r="FDH37" s="3"/>
      <c r="FDI37" s="3"/>
      <c r="FDJ37" s="3"/>
      <c r="FDK37" s="3"/>
      <c r="FDL37" s="3"/>
      <c r="FDM37" s="3"/>
      <c r="FDN37" s="3"/>
      <c r="FDO37" s="3"/>
      <c r="FDP37" s="3"/>
      <c r="FDQ37" s="3"/>
      <c r="FDR37" s="3"/>
      <c r="FDS37" s="3"/>
      <c r="FDT37" s="3"/>
      <c r="FDU37" s="3"/>
      <c r="FDV37" s="3"/>
      <c r="FDW37" s="3"/>
      <c r="FDX37" s="3"/>
      <c r="FDY37" s="3"/>
      <c r="FDZ37" s="3"/>
      <c r="FEA37" s="3"/>
      <c r="FEB37" s="3"/>
      <c r="FEC37" s="3"/>
      <c r="FED37" s="3"/>
      <c r="FEE37" s="3"/>
      <c r="FEF37" s="3"/>
      <c r="FEG37" s="3"/>
      <c r="FEH37" s="3"/>
      <c r="FEI37" s="3"/>
      <c r="FEJ37" s="3"/>
      <c r="FEK37" s="3"/>
      <c r="FEL37" s="3"/>
      <c r="FEM37" s="3"/>
      <c r="FEN37" s="3"/>
      <c r="FEO37" s="3"/>
      <c r="FEP37" s="3"/>
      <c r="FEQ37" s="3"/>
      <c r="FER37" s="3"/>
      <c r="FES37" s="3"/>
      <c r="FET37" s="3"/>
      <c r="FEU37" s="3"/>
      <c r="FEV37" s="3"/>
      <c r="FEW37" s="3"/>
      <c r="FEX37" s="3"/>
      <c r="FEY37" s="3"/>
      <c r="FEZ37" s="3"/>
      <c r="FFA37" s="3"/>
      <c r="FFB37" s="3"/>
      <c r="FFC37" s="3"/>
      <c r="FFD37" s="3"/>
      <c r="FFE37" s="3"/>
      <c r="FFF37" s="3"/>
      <c r="FFG37" s="3"/>
      <c r="FFH37" s="3"/>
      <c r="FFI37" s="3"/>
      <c r="FFJ37" s="3"/>
      <c r="FFK37" s="3"/>
      <c r="FFL37" s="3"/>
      <c r="FFM37" s="3"/>
      <c r="FFN37" s="3"/>
      <c r="FFO37" s="3"/>
      <c r="FFP37" s="3"/>
      <c r="FFQ37" s="3"/>
      <c r="FFR37" s="3"/>
      <c r="FFS37" s="3"/>
      <c r="FFT37" s="3"/>
      <c r="FFU37" s="3"/>
      <c r="FFV37" s="3"/>
      <c r="FFW37" s="3"/>
      <c r="FFX37" s="3"/>
      <c r="FFY37" s="3"/>
      <c r="FFZ37" s="3"/>
      <c r="FGA37" s="3"/>
      <c r="FGB37" s="3"/>
      <c r="FGC37" s="3"/>
      <c r="FGD37" s="3"/>
      <c r="FGE37" s="3"/>
      <c r="FGF37" s="3"/>
      <c r="FGG37" s="3"/>
      <c r="FGH37" s="3"/>
      <c r="FGI37" s="3"/>
      <c r="FGJ37" s="3"/>
      <c r="FGK37" s="3"/>
      <c r="FGL37" s="3"/>
      <c r="FGM37" s="3"/>
      <c r="FGN37" s="3"/>
      <c r="FGO37" s="3"/>
      <c r="FGP37" s="3"/>
      <c r="FGQ37" s="3"/>
      <c r="FGR37" s="3"/>
      <c r="FGS37" s="3"/>
      <c r="FGT37" s="3"/>
      <c r="FGU37" s="3"/>
      <c r="FGV37" s="3"/>
      <c r="FGW37" s="3"/>
      <c r="FGX37" s="3"/>
      <c r="FGY37" s="3"/>
      <c r="FGZ37" s="3"/>
      <c r="FHA37" s="3"/>
      <c r="FHB37" s="3"/>
      <c r="FHC37" s="3"/>
      <c r="FHD37" s="3"/>
      <c r="FHE37" s="3"/>
      <c r="FHF37" s="3"/>
      <c r="FHG37" s="3"/>
      <c r="FHH37" s="3"/>
      <c r="FHI37" s="3"/>
      <c r="FHJ37" s="3"/>
      <c r="FHK37" s="3"/>
      <c r="FHL37" s="3"/>
      <c r="FHM37" s="3"/>
      <c r="FHN37" s="3"/>
      <c r="FHO37" s="3"/>
      <c r="FHP37" s="3"/>
      <c r="FHQ37" s="3"/>
      <c r="FHR37" s="3"/>
      <c r="FHS37" s="3"/>
      <c r="FHT37" s="3"/>
      <c r="FHU37" s="3"/>
      <c r="FHV37" s="3"/>
      <c r="FHW37" s="3"/>
      <c r="FHX37" s="3"/>
      <c r="FHY37" s="3"/>
      <c r="FHZ37" s="3"/>
      <c r="FIA37" s="3"/>
      <c r="FIB37" s="3"/>
      <c r="FIC37" s="3"/>
      <c r="FID37" s="3"/>
      <c r="FIE37" s="3"/>
      <c r="FIF37" s="3"/>
      <c r="FIG37" s="3"/>
      <c r="FIH37" s="3"/>
      <c r="FII37" s="3"/>
      <c r="FIJ37" s="3"/>
      <c r="FIK37" s="3"/>
      <c r="FIL37" s="3"/>
      <c r="FIM37" s="3"/>
      <c r="FIN37" s="3"/>
      <c r="FIO37" s="3"/>
      <c r="FIP37" s="3"/>
      <c r="FIQ37" s="3"/>
      <c r="FIR37" s="3"/>
      <c r="FIS37" s="3"/>
      <c r="FIT37" s="3"/>
      <c r="FIU37" s="3"/>
      <c r="FIV37" s="3"/>
      <c r="FIW37" s="3"/>
      <c r="FIX37" s="3"/>
      <c r="FIY37" s="3"/>
      <c r="FIZ37" s="3"/>
      <c r="FJA37" s="3"/>
      <c r="FJB37" s="3"/>
      <c r="FJC37" s="3"/>
      <c r="FJD37" s="3"/>
      <c r="FJE37" s="3"/>
      <c r="FJF37" s="3"/>
      <c r="FJG37" s="3"/>
      <c r="FJH37" s="3"/>
      <c r="FJI37" s="3"/>
      <c r="FJJ37" s="3"/>
      <c r="FJK37" s="3"/>
      <c r="FJL37" s="3"/>
      <c r="FJM37" s="3"/>
      <c r="FJN37" s="3"/>
      <c r="FJO37" s="3"/>
      <c r="FJP37" s="3"/>
      <c r="FJQ37" s="3"/>
      <c r="FJR37" s="3"/>
      <c r="FJS37" s="3"/>
      <c r="FJT37" s="3"/>
      <c r="FJU37" s="3"/>
      <c r="FJV37" s="3"/>
      <c r="FJW37" s="3"/>
      <c r="FJX37" s="3"/>
      <c r="FJY37" s="3"/>
      <c r="FJZ37" s="3"/>
      <c r="FKA37" s="3"/>
      <c r="FKB37" s="3"/>
      <c r="FKC37" s="3"/>
      <c r="FKD37" s="3"/>
      <c r="FKE37" s="3"/>
      <c r="FKF37" s="3"/>
      <c r="FKG37" s="3"/>
      <c r="FKH37" s="3"/>
      <c r="FKI37" s="3"/>
      <c r="FKJ37" s="3"/>
      <c r="FKK37" s="3"/>
      <c r="FKL37" s="3"/>
      <c r="FKM37" s="3"/>
      <c r="FKN37" s="3"/>
      <c r="FKO37" s="3"/>
      <c r="FKP37" s="3"/>
      <c r="FKQ37" s="3"/>
      <c r="FKR37" s="3"/>
      <c r="FKS37" s="3"/>
      <c r="FKT37" s="3"/>
      <c r="FKU37" s="3"/>
      <c r="FKV37" s="3"/>
      <c r="FKW37" s="3"/>
      <c r="FKX37" s="3"/>
      <c r="FKY37" s="3"/>
      <c r="FKZ37" s="3"/>
      <c r="FLA37" s="3"/>
      <c r="FLB37" s="3"/>
      <c r="FLC37" s="3"/>
      <c r="FLD37" s="3"/>
      <c r="FLE37" s="3"/>
      <c r="FLF37" s="3"/>
      <c r="FLG37" s="3"/>
      <c r="FLH37" s="3"/>
      <c r="FLI37" s="3"/>
      <c r="FLJ37" s="3"/>
      <c r="FLK37" s="3"/>
      <c r="FLL37" s="3"/>
      <c r="FLM37" s="3"/>
      <c r="FLN37" s="3"/>
      <c r="FLO37" s="3"/>
      <c r="FLP37" s="3"/>
      <c r="FLQ37" s="3"/>
      <c r="FLR37" s="3"/>
      <c r="FLS37" s="3"/>
      <c r="FLT37" s="3"/>
      <c r="FLU37" s="3"/>
      <c r="FLV37" s="3"/>
      <c r="FLW37" s="3"/>
      <c r="FLX37" s="3"/>
      <c r="FLY37" s="3"/>
      <c r="FLZ37" s="3"/>
      <c r="FMA37" s="3"/>
      <c r="FMB37" s="3"/>
      <c r="FMC37" s="3"/>
      <c r="FMD37" s="3"/>
      <c r="FME37" s="3"/>
      <c r="FMF37" s="3"/>
      <c r="FMG37" s="3"/>
      <c r="FMH37" s="3"/>
      <c r="FMI37" s="3"/>
      <c r="FMJ37" s="3"/>
      <c r="FMK37" s="3"/>
      <c r="FML37" s="3"/>
      <c r="FMM37" s="3"/>
      <c r="FMN37" s="3"/>
      <c r="FMO37" s="3"/>
      <c r="FMP37" s="3"/>
      <c r="FMQ37" s="3"/>
      <c r="FMR37" s="3"/>
      <c r="FMS37" s="3"/>
      <c r="FMT37" s="3"/>
      <c r="FMU37" s="3"/>
      <c r="FMV37" s="3"/>
      <c r="FMW37" s="3"/>
      <c r="FMX37" s="3"/>
      <c r="FMY37" s="3"/>
      <c r="FMZ37" s="3"/>
      <c r="FNA37" s="3"/>
      <c r="FNB37" s="3"/>
      <c r="FNC37" s="3"/>
      <c r="FND37" s="3"/>
      <c r="FNE37" s="3"/>
      <c r="FNF37" s="3"/>
      <c r="FNG37" s="3"/>
      <c r="FNH37" s="3"/>
      <c r="FNI37" s="3"/>
      <c r="FNJ37" s="3"/>
      <c r="FNK37" s="3"/>
      <c r="FNL37" s="3"/>
      <c r="FNM37" s="3"/>
      <c r="FNN37" s="3"/>
      <c r="FNO37" s="3"/>
      <c r="FNP37" s="3"/>
      <c r="FNQ37" s="3"/>
      <c r="FNR37" s="3"/>
      <c r="FNS37" s="3"/>
      <c r="FNT37" s="3"/>
      <c r="FNU37" s="3"/>
      <c r="FNV37" s="3"/>
      <c r="FNW37" s="3"/>
      <c r="FNX37" s="3"/>
      <c r="FNY37" s="3"/>
      <c r="FNZ37" s="3"/>
      <c r="FOA37" s="3"/>
      <c r="FOB37" s="3"/>
      <c r="FOC37" s="3"/>
      <c r="FOD37" s="3"/>
      <c r="FOE37" s="3"/>
      <c r="FOF37" s="3"/>
      <c r="FOG37" s="3"/>
      <c r="FOH37" s="3"/>
      <c r="FOI37" s="3"/>
      <c r="FOJ37" s="3"/>
      <c r="FOK37" s="3"/>
      <c r="FOL37" s="3"/>
      <c r="FOM37" s="3"/>
      <c r="FON37" s="3"/>
      <c r="FOO37" s="3"/>
      <c r="FOP37" s="3"/>
      <c r="FOQ37" s="3"/>
      <c r="FOR37" s="3"/>
      <c r="FOS37" s="3"/>
      <c r="FOT37" s="3"/>
      <c r="FOU37" s="3"/>
      <c r="FOV37" s="3"/>
      <c r="FOW37" s="3"/>
      <c r="FOX37" s="3"/>
      <c r="FOY37" s="3"/>
      <c r="FOZ37" s="3"/>
      <c r="FPA37" s="3"/>
      <c r="FPB37" s="3"/>
      <c r="FPC37" s="3"/>
      <c r="FPD37" s="3"/>
      <c r="FPE37" s="3"/>
      <c r="FPF37" s="3"/>
      <c r="FPG37" s="3"/>
      <c r="FPH37" s="3"/>
      <c r="FPI37" s="3"/>
      <c r="FPJ37" s="3"/>
      <c r="FPK37" s="3"/>
      <c r="FPL37" s="3"/>
      <c r="FPM37" s="3"/>
      <c r="FPN37" s="3"/>
      <c r="FPO37" s="3"/>
      <c r="FPP37" s="3"/>
      <c r="FPQ37" s="3"/>
      <c r="FPR37" s="3"/>
      <c r="FPS37" s="3"/>
      <c r="FPT37" s="3"/>
      <c r="FPU37" s="3"/>
      <c r="FPV37" s="3"/>
      <c r="FPW37" s="3"/>
      <c r="FPX37" s="3"/>
      <c r="FPY37" s="3"/>
      <c r="FPZ37" s="3"/>
      <c r="FQA37" s="3"/>
      <c r="FQB37" s="3"/>
      <c r="FQC37" s="3"/>
      <c r="FQD37" s="3"/>
      <c r="FQE37" s="3"/>
      <c r="FQF37" s="3"/>
      <c r="FQG37" s="3"/>
      <c r="FQH37" s="3"/>
      <c r="FQI37" s="3"/>
      <c r="FQJ37" s="3"/>
      <c r="FQK37" s="3"/>
      <c r="FQL37" s="3"/>
      <c r="FQM37" s="3"/>
      <c r="FQN37" s="3"/>
      <c r="FQO37" s="3"/>
      <c r="FQP37" s="3"/>
      <c r="FQQ37" s="3"/>
      <c r="FQR37" s="3"/>
      <c r="FQS37" s="3"/>
      <c r="FQT37" s="3"/>
      <c r="FQU37" s="3"/>
      <c r="FQV37" s="3"/>
      <c r="FQW37" s="3"/>
      <c r="FQX37" s="3"/>
      <c r="FQY37" s="3"/>
      <c r="FQZ37" s="3"/>
      <c r="FRA37" s="3"/>
      <c r="FRB37" s="3"/>
      <c r="FRC37" s="3"/>
      <c r="FRD37" s="3"/>
      <c r="FRE37" s="3"/>
      <c r="FRF37" s="3"/>
      <c r="FRG37" s="3"/>
      <c r="FRH37" s="3"/>
      <c r="FRI37" s="3"/>
      <c r="FRJ37" s="3"/>
      <c r="FRK37" s="3"/>
      <c r="FRL37" s="3"/>
      <c r="FRM37" s="3"/>
      <c r="FRN37" s="3"/>
      <c r="FRO37" s="3"/>
      <c r="FRP37" s="3"/>
      <c r="FRQ37" s="3"/>
      <c r="FRR37" s="3"/>
      <c r="FRS37" s="3"/>
      <c r="FRT37" s="3"/>
      <c r="FRU37" s="3"/>
      <c r="FRV37" s="3"/>
      <c r="FRW37" s="3"/>
      <c r="FRX37" s="3"/>
      <c r="FRY37" s="3"/>
      <c r="FRZ37" s="3"/>
      <c r="FSA37" s="3"/>
      <c r="FSB37" s="3"/>
      <c r="FSC37" s="3"/>
      <c r="FSD37" s="3"/>
      <c r="FSE37" s="3"/>
      <c r="FSF37" s="3"/>
      <c r="FSG37" s="3"/>
      <c r="FSH37" s="3"/>
      <c r="FSI37" s="3"/>
      <c r="FSJ37" s="3"/>
      <c r="FSK37" s="3"/>
      <c r="FSL37" s="3"/>
      <c r="FSM37" s="3"/>
      <c r="FSN37" s="3"/>
      <c r="FSO37" s="3"/>
      <c r="FSP37" s="3"/>
      <c r="FSQ37" s="3"/>
      <c r="FSR37" s="3"/>
      <c r="FSS37" s="3"/>
      <c r="FST37" s="3"/>
      <c r="FSU37" s="3"/>
      <c r="FSV37" s="3"/>
      <c r="FSW37" s="3"/>
      <c r="FSX37" s="3"/>
      <c r="FSY37" s="3"/>
      <c r="FSZ37" s="3"/>
      <c r="FTA37" s="3"/>
      <c r="FTB37" s="3"/>
      <c r="FTC37" s="3"/>
      <c r="FTD37" s="3"/>
      <c r="FTE37" s="3"/>
      <c r="FTF37" s="3"/>
      <c r="FTG37" s="3"/>
      <c r="FTH37" s="3"/>
      <c r="FTI37" s="3"/>
      <c r="FTJ37" s="3"/>
      <c r="FTK37" s="3"/>
      <c r="FTL37" s="3"/>
      <c r="FTM37" s="3"/>
      <c r="FTN37" s="3"/>
      <c r="FTO37" s="3"/>
      <c r="FTP37" s="3"/>
      <c r="FTQ37" s="3"/>
      <c r="FTR37" s="3"/>
      <c r="FTS37" s="3"/>
      <c r="FTT37" s="3"/>
      <c r="FTU37" s="3"/>
      <c r="FTV37" s="3"/>
      <c r="FTW37" s="3"/>
      <c r="FTX37" s="3"/>
      <c r="FTY37" s="3"/>
      <c r="FTZ37" s="3"/>
      <c r="FUA37" s="3"/>
      <c r="FUB37" s="3"/>
      <c r="FUC37" s="3"/>
      <c r="FUD37" s="3"/>
      <c r="FUE37" s="3"/>
      <c r="FUF37" s="3"/>
      <c r="FUG37" s="3"/>
      <c r="FUH37" s="3"/>
      <c r="FUI37" s="3"/>
      <c r="FUJ37" s="3"/>
      <c r="FUK37" s="3"/>
      <c r="FUL37" s="3"/>
      <c r="FUM37" s="3"/>
      <c r="FUN37" s="3"/>
      <c r="FUO37" s="3"/>
      <c r="FUP37" s="3"/>
      <c r="FUQ37" s="3"/>
      <c r="FUR37" s="3"/>
      <c r="FUS37" s="3"/>
      <c r="FUT37" s="3"/>
      <c r="FUU37" s="3"/>
      <c r="FUV37" s="3"/>
      <c r="FUW37" s="3"/>
      <c r="FUX37" s="3"/>
      <c r="FUY37" s="3"/>
      <c r="FUZ37" s="3"/>
      <c r="FVA37" s="3"/>
      <c r="FVB37" s="3"/>
      <c r="FVC37" s="3"/>
      <c r="FVD37" s="3"/>
      <c r="FVE37" s="3"/>
      <c r="FVF37" s="3"/>
      <c r="FVG37" s="3"/>
      <c r="FVH37" s="3"/>
      <c r="FVI37" s="3"/>
      <c r="FVJ37" s="3"/>
      <c r="FVK37" s="3"/>
      <c r="FVL37" s="3"/>
      <c r="FVM37" s="3"/>
      <c r="FVN37" s="3"/>
      <c r="FVO37" s="3"/>
      <c r="FVP37" s="3"/>
      <c r="FVQ37" s="3"/>
      <c r="FVR37" s="3"/>
      <c r="FVS37" s="3"/>
      <c r="FVT37" s="3"/>
      <c r="FVU37" s="3"/>
      <c r="FVV37" s="3"/>
      <c r="FVW37" s="3"/>
      <c r="FVX37" s="3"/>
      <c r="FVY37" s="3"/>
      <c r="FVZ37" s="3"/>
      <c r="FWA37" s="3"/>
      <c r="FWB37" s="3"/>
      <c r="FWC37" s="3"/>
      <c r="FWD37" s="3"/>
      <c r="FWE37" s="3"/>
      <c r="FWF37" s="3"/>
      <c r="FWG37" s="3"/>
      <c r="FWH37" s="3"/>
      <c r="FWI37" s="3"/>
      <c r="FWJ37" s="3"/>
      <c r="FWK37" s="3"/>
      <c r="FWL37" s="3"/>
      <c r="FWM37" s="3"/>
      <c r="FWN37" s="3"/>
      <c r="FWO37" s="3"/>
      <c r="FWP37" s="3"/>
      <c r="FWQ37" s="3"/>
      <c r="FWR37" s="3"/>
      <c r="FWS37" s="3"/>
      <c r="FWT37" s="3"/>
      <c r="FWU37" s="3"/>
      <c r="FWV37" s="3"/>
      <c r="FWW37" s="3"/>
      <c r="FWX37" s="3"/>
      <c r="FWY37" s="3"/>
      <c r="FWZ37" s="3"/>
      <c r="FXA37" s="3"/>
      <c r="FXB37" s="3"/>
      <c r="FXC37" s="3"/>
      <c r="FXD37" s="3"/>
      <c r="FXE37" s="3"/>
      <c r="FXF37" s="3"/>
      <c r="FXG37" s="3"/>
      <c r="FXH37" s="3"/>
      <c r="FXI37" s="3"/>
      <c r="FXJ37" s="3"/>
      <c r="FXK37" s="3"/>
      <c r="FXL37" s="3"/>
      <c r="FXM37" s="3"/>
      <c r="FXN37" s="3"/>
      <c r="FXO37" s="3"/>
      <c r="FXP37" s="3"/>
      <c r="FXQ37" s="3"/>
      <c r="FXR37" s="3"/>
      <c r="FXS37" s="3"/>
      <c r="FXT37" s="3"/>
      <c r="FXU37" s="3"/>
      <c r="FXV37" s="3"/>
      <c r="FXW37" s="3"/>
      <c r="FXX37" s="3"/>
      <c r="FXY37" s="3"/>
      <c r="FXZ37" s="3"/>
      <c r="FYA37" s="3"/>
      <c r="FYB37" s="3"/>
      <c r="FYC37" s="3"/>
      <c r="FYD37" s="3"/>
      <c r="FYE37" s="3"/>
      <c r="FYF37" s="3"/>
      <c r="FYG37" s="3"/>
      <c r="FYH37" s="3"/>
      <c r="FYI37" s="3"/>
      <c r="FYJ37" s="3"/>
      <c r="FYK37" s="3"/>
      <c r="FYL37" s="3"/>
      <c r="FYM37" s="3"/>
      <c r="FYN37" s="3"/>
      <c r="FYO37" s="3"/>
      <c r="FYP37" s="3"/>
      <c r="FYQ37" s="3"/>
      <c r="FYR37" s="3"/>
      <c r="FYS37" s="3"/>
      <c r="FYT37" s="3"/>
      <c r="FYU37" s="3"/>
      <c r="FYV37" s="3"/>
      <c r="FYW37" s="3"/>
      <c r="FYX37" s="3"/>
      <c r="FYY37" s="3"/>
      <c r="FYZ37" s="3"/>
      <c r="FZA37" s="3"/>
      <c r="FZB37" s="3"/>
      <c r="FZC37" s="3"/>
      <c r="FZD37" s="3"/>
      <c r="FZE37" s="3"/>
      <c r="FZF37" s="3"/>
      <c r="FZG37" s="3"/>
      <c r="FZH37" s="3"/>
      <c r="FZI37" s="3"/>
      <c r="FZJ37" s="3"/>
      <c r="FZK37" s="3"/>
      <c r="FZL37" s="3"/>
      <c r="FZM37" s="3"/>
      <c r="FZN37" s="3"/>
      <c r="FZO37" s="3"/>
      <c r="FZP37" s="3"/>
      <c r="FZQ37" s="3"/>
      <c r="FZR37" s="3"/>
      <c r="FZS37" s="3"/>
      <c r="FZT37" s="3"/>
      <c r="FZU37" s="3"/>
      <c r="FZV37" s="3"/>
      <c r="FZW37" s="3"/>
      <c r="FZX37" s="3"/>
      <c r="FZY37" s="3"/>
      <c r="FZZ37" s="3"/>
      <c r="GAA37" s="3"/>
      <c r="GAB37" s="3"/>
      <c r="GAC37" s="3"/>
      <c r="GAD37" s="3"/>
      <c r="GAE37" s="3"/>
      <c r="GAF37" s="3"/>
      <c r="GAG37" s="3"/>
      <c r="GAH37" s="3"/>
      <c r="GAI37" s="3"/>
      <c r="GAJ37" s="3"/>
      <c r="GAK37" s="3"/>
      <c r="GAL37" s="3"/>
      <c r="GAM37" s="3"/>
      <c r="GAN37" s="3"/>
      <c r="GAO37" s="3"/>
      <c r="GAP37" s="3"/>
      <c r="GAQ37" s="3"/>
      <c r="GAR37" s="3"/>
      <c r="GAS37" s="3"/>
      <c r="GAT37" s="3"/>
      <c r="GAU37" s="3"/>
      <c r="GAV37" s="3"/>
      <c r="GAW37" s="3"/>
      <c r="GAX37" s="3"/>
      <c r="GAY37" s="3"/>
      <c r="GAZ37" s="3"/>
      <c r="GBA37" s="3"/>
      <c r="GBB37" s="3"/>
      <c r="GBC37" s="3"/>
      <c r="GBD37" s="3"/>
      <c r="GBE37" s="3"/>
      <c r="GBF37" s="3"/>
      <c r="GBG37" s="3"/>
      <c r="GBH37" s="3"/>
      <c r="GBI37" s="3"/>
      <c r="GBJ37" s="3"/>
      <c r="GBK37" s="3"/>
      <c r="GBL37" s="3"/>
      <c r="GBM37" s="3"/>
      <c r="GBN37" s="3"/>
      <c r="GBO37" s="3"/>
      <c r="GBP37" s="3"/>
      <c r="GBQ37" s="3"/>
      <c r="GBR37" s="3"/>
      <c r="GBS37" s="3"/>
      <c r="GBT37" s="3"/>
      <c r="GBU37" s="3"/>
      <c r="GBV37" s="3"/>
      <c r="GBW37" s="3"/>
      <c r="GBX37" s="3"/>
      <c r="GBY37" s="3"/>
      <c r="GBZ37" s="3"/>
      <c r="GCA37" s="3"/>
      <c r="GCB37" s="3"/>
      <c r="GCC37" s="3"/>
      <c r="GCD37" s="3"/>
      <c r="GCE37" s="3"/>
      <c r="GCF37" s="3"/>
      <c r="GCG37" s="3"/>
      <c r="GCH37" s="3"/>
      <c r="GCI37" s="3"/>
      <c r="GCJ37" s="3"/>
      <c r="GCK37" s="3"/>
      <c r="GCL37" s="3"/>
      <c r="GCM37" s="3"/>
      <c r="GCN37" s="3"/>
      <c r="GCO37" s="3"/>
      <c r="GCP37" s="3"/>
      <c r="GCQ37" s="3"/>
      <c r="GCR37" s="3"/>
      <c r="GCS37" s="3"/>
      <c r="GCT37" s="3"/>
      <c r="GCU37" s="3"/>
      <c r="GCV37" s="3"/>
      <c r="GCW37" s="3"/>
      <c r="GCX37" s="3"/>
      <c r="GCY37" s="3"/>
      <c r="GCZ37" s="3"/>
      <c r="GDA37" s="3"/>
      <c r="GDB37" s="3"/>
      <c r="GDC37" s="3"/>
      <c r="GDD37" s="3"/>
      <c r="GDE37" s="3"/>
      <c r="GDF37" s="3"/>
      <c r="GDG37" s="3"/>
      <c r="GDH37" s="3"/>
      <c r="GDI37" s="3"/>
      <c r="GDJ37" s="3"/>
      <c r="GDK37" s="3"/>
      <c r="GDL37" s="3"/>
      <c r="GDM37" s="3"/>
      <c r="GDN37" s="3"/>
      <c r="GDO37" s="3"/>
      <c r="GDP37" s="3"/>
      <c r="GDQ37" s="3"/>
      <c r="GDR37" s="3"/>
      <c r="GDS37" s="3"/>
      <c r="GDT37" s="3"/>
      <c r="GDU37" s="3"/>
      <c r="GDV37" s="3"/>
      <c r="GDW37" s="3"/>
      <c r="GDX37" s="3"/>
      <c r="GDY37" s="3"/>
      <c r="GDZ37" s="3"/>
      <c r="GEA37" s="3"/>
      <c r="GEB37" s="3"/>
      <c r="GEC37" s="3"/>
      <c r="GED37" s="3"/>
      <c r="GEE37" s="3"/>
      <c r="GEF37" s="3"/>
      <c r="GEG37" s="3"/>
      <c r="GEH37" s="3"/>
      <c r="GEI37" s="3"/>
      <c r="GEJ37" s="3"/>
      <c r="GEK37" s="3"/>
      <c r="GEL37" s="3"/>
      <c r="GEM37" s="3"/>
      <c r="GEN37" s="3"/>
      <c r="GEO37" s="3"/>
      <c r="GEP37" s="3"/>
      <c r="GEQ37" s="3"/>
      <c r="GER37" s="3"/>
      <c r="GES37" s="3"/>
      <c r="GET37" s="3"/>
      <c r="GEU37" s="3"/>
      <c r="GEV37" s="3"/>
      <c r="GEW37" s="3"/>
      <c r="GEX37" s="3"/>
      <c r="GEY37" s="3"/>
      <c r="GEZ37" s="3"/>
      <c r="GFA37" s="3"/>
      <c r="GFB37" s="3"/>
      <c r="GFC37" s="3"/>
      <c r="GFD37" s="3"/>
      <c r="GFE37" s="3"/>
      <c r="GFF37" s="3"/>
      <c r="GFG37" s="3"/>
      <c r="GFH37" s="3"/>
      <c r="GFI37" s="3"/>
      <c r="GFJ37" s="3"/>
      <c r="GFK37" s="3"/>
      <c r="GFL37" s="3"/>
      <c r="GFM37" s="3"/>
      <c r="GFN37" s="3"/>
      <c r="GFO37" s="3"/>
      <c r="GFP37" s="3"/>
      <c r="GFQ37" s="3"/>
      <c r="GFR37" s="3"/>
      <c r="GFS37" s="3"/>
      <c r="GFT37" s="3"/>
      <c r="GFU37" s="3"/>
      <c r="GFV37" s="3"/>
      <c r="GFW37" s="3"/>
      <c r="GFX37" s="3"/>
      <c r="GFY37" s="3"/>
      <c r="GFZ37" s="3"/>
      <c r="GGA37" s="3"/>
      <c r="GGB37" s="3"/>
      <c r="GGC37" s="3"/>
      <c r="GGD37" s="3"/>
      <c r="GGE37" s="3"/>
      <c r="GGF37" s="3"/>
      <c r="GGG37" s="3"/>
      <c r="GGH37" s="3"/>
      <c r="GGI37" s="3"/>
      <c r="GGJ37" s="3"/>
      <c r="GGK37" s="3"/>
      <c r="GGL37" s="3"/>
      <c r="GGM37" s="3"/>
      <c r="GGN37" s="3"/>
      <c r="GGO37" s="3"/>
      <c r="GGP37" s="3"/>
      <c r="GGQ37" s="3"/>
      <c r="GGR37" s="3"/>
      <c r="GGS37" s="3"/>
      <c r="GGT37" s="3"/>
      <c r="GGU37" s="3"/>
      <c r="GGV37" s="3"/>
      <c r="GGW37" s="3"/>
      <c r="GGX37" s="3"/>
      <c r="GGY37" s="3"/>
      <c r="GGZ37" s="3"/>
      <c r="GHA37" s="3"/>
      <c r="GHB37" s="3"/>
      <c r="GHC37" s="3"/>
      <c r="GHD37" s="3"/>
      <c r="GHE37" s="3"/>
      <c r="GHF37" s="3"/>
      <c r="GHG37" s="3"/>
      <c r="GHH37" s="3"/>
      <c r="GHI37" s="3"/>
      <c r="GHJ37" s="3"/>
      <c r="GHK37" s="3"/>
      <c r="GHL37" s="3"/>
      <c r="GHM37" s="3"/>
      <c r="GHN37" s="3"/>
      <c r="GHO37" s="3"/>
      <c r="GHP37" s="3"/>
      <c r="GHQ37" s="3"/>
      <c r="GHR37" s="3"/>
      <c r="GHS37" s="3"/>
      <c r="GHT37" s="3"/>
      <c r="GHU37" s="3"/>
      <c r="GHV37" s="3"/>
      <c r="GHW37" s="3"/>
      <c r="GHX37" s="3"/>
      <c r="GHY37" s="3"/>
      <c r="GHZ37" s="3"/>
      <c r="GIA37" s="3"/>
      <c r="GIB37" s="3"/>
      <c r="GIC37" s="3"/>
      <c r="GID37" s="3"/>
      <c r="GIE37" s="3"/>
      <c r="GIF37" s="3"/>
      <c r="GIG37" s="3"/>
      <c r="GIH37" s="3"/>
      <c r="GII37" s="3"/>
      <c r="GIJ37" s="3"/>
      <c r="GIK37" s="3"/>
      <c r="GIL37" s="3"/>
      <c r="GIM37" s="3"/>
      <c r="GIN37" s="3"/>
      <c r="GIO37" s="3"/>
      <c r="GIP37" s="3"/>
      <c r="GIQ37" s="3"/>
      <c r="GIR37" s="3"/>
      <c r="GIS37" s="3"/>
      <c r="GIT37" s="3"/>
      <c r="GIU37" s="3"/>
      <c r="GIV37" s="3"/>
      <c r="GIW37" s="3"/>
      <c r="GIX37" s="3"/>
      <c r="GIY37" s="3"/>
      <c r="GIZ37" s="3"/>
      <c r="GJA37" s="3"/>
      <c r="GJB37" s="3"/>
      <c r="GJC37" s="3"/>
      <c r="GJD37" s="3"/>
      <c r="GJE37" s="3"/>
      <c r="GJF37" s="3"/>
      <c r="GJG37" s="3"/>
      <c r="GJH37" s="3"/>
      <c r="GJI37" s="3"/>
      <c r="GJJ37" s="3"/>
      <c r="GJK37" s="3"/>
      <c r="GJL37" s="3"/>
      <c r="GJM37" s="3"/>
      <c r="GJN37" s="3"/>
      <c r="GJO37" s="3"/>
      <c r="GJP37" s="3"/>
      <c r="GJQ37" s="3"/>
      <c r="GJR37" s="3"/>
      <c r="GJS37" s="3"/>
      <c r="GJT37" s="3"/>
      <c r="GJU37" s="3"/>
      <c r="GJV37" s="3"/>
      <c r="GJW37" s="3"/>
      <c r="GJX37" s="3"/>
      <c r="GJY37" s="3"/>
      <c r="GJZ37" s="3"/>
      <c r="GKA37" s="3"/>
      <c r="GKB37" s="3"/>
      <c r="GKC37" s="3"/>
      <c r="GKD37" s="3"/>
      <c r="GKE37" s="3"/>
      <c r="GKF37" s="3"/>
      <c r="GKG37" s="3"/>
      <c r="GKH37" s="3"/>
      <c r="GKI37" s="3"/>
      <c r="GKJ37" s="3"/>
      <c r="GKK37" s="3"/>
      <c r="GKL37" s="3"/>
      <c r="GKM37" s="3"/>
      <c r="GKN37" s="3"/>
      <c r="GKO37" s="3"/>
      <c r="GKP37" s="3"/>
      <c r="GKQ37" s="3"/>
      <c r="GKR37" s="3"/>
      <c r="GKS37" s="3"/>
      <c r="GKT37" s="3"/>
      <c r="GKU37" s="3"/>
      <c r="GKV37" s="3"/>
      <c r="GKW37" s="3"/>
      <c r="GKX37" s="3"/>
      <c r="GKY37" s="3"/>
      <c r="GKZ37" s="3"/>
      <c r="GLA37" s="3"/>
      <c r="GLB37" s="3"/>
      <c r="GLC37" s="3"/>
      <c r="GLD37" s="3"/>
      <c r="GLE37" s="3"/>
      <c r="GLF37" s="3"/>
      <c r="GLG37" s="3"/>
      <c r="GLH37" s="3"/>
      <c r="GLI37" s="3"/>
      <c r="GLJ37" s="3"/>
      <c r="GLK37" s="3"/>
      <c r="GLL37" s="3"/>
      <c r="GLM37" s="3"/>
      <c r="GLN37" s="3"/>
      <c r="GLO37" s="3"/>
      <c r="GLP37" s="3"/>
      <c r="GLQ37" s="3"/>
      <c r="GLR37" s="3"/>
      <c r="GLS37" s="3"/>
      <c r="GLT37" s="3"/>
      <c r="GLU37" s="3"/>
      <c r="GLV37" s="3"/>
      <c r="GLW37" s="3"/>
      <c r="GLX37" s="3"/>
      <c r="GLY37" s="3"/>
      <c r="GLZ37" s="3"/>
      <c r="GMA37" s="3"/>
      <c r="GMB37" s="3"/>
      <c r="GMC37" s="3"/>
      <c r="GMD37" s="3"/>
      <c r="GME37" s="3"/>
      <c r="GMF37" s="3"/>
      <c r="GMG37" s="3"/>
      <c r="GMH37" s="3"/>
      <c r="GMI37" s="3"/>
      <c r="GMJ37" s="3"/>
      <c r="GMK37" s="3"/>
      <c r="GML37" s="3"/>
      <c r="GMM37" s="3"/>
      <c r="GMN37" s="3"/>
      <c r="GMO37" s="3"/>
      <c r="GMP37" s="3"/>
      <c r="GMQ37" s="3"/>
      <c r="GMR37" s="3"/>
      <c r="GMS37" s="3"/>
      <c r="GMT37" s="3"/>
      <c r="GMU37" s="3"/>
      <c r="GMV37" s="3"/>
      <c r="GMW37" s="3"/>
      <c r="GMX37" s="3"/>
      <c r="GMY37" s="3"/>
      <c r="GMZ37" s="3"/>
      <c r="GNA37" s="3"/>
      <c r="GNB37" s="3"/>
      <c r="GNC37" s="3"/>
      <c r="GND37" s="3"/>
      <c r="GNE37" s="3"/>
      <c r="GNF37" s="3"/>
      <c r="GNG37" s="3"/>
      <c r="GNH37" s="3"/>
      <c r="GNI37" s="3"/>
      <c r="GNJ37" s="3"/>
      <c r="GNK37" s="3"/>
      <c r="GNL37" s="3"/>
      <c r="GNM37" s="3"/>
      <c r="GNN37" s="3"/>
      <c r="GNO37" s="3"/>
      <c r="GNP37" s="3"/>
      <c r="GNQ37" s="3"/>
      <c r="GNR37" s="3"/>
      <c r="GNS37" s="3"/>
      <c r="GNT37" s="3"/>
      <c r="GNU37" s="3"/>
      <c r="GNV37" s="3"/>
      <c r="GNW37" s="3"/>
      <c r="GNX37" s="3"/>
      <c r="GNY37" s="3"/>
      <c r="GNZ37" s="3"/>
      <c r="GOA37" s="3"/>
      <c r="GOB37" s="3"/>
      <c r="GOC37" s="3"/>
      <c r="GOD37" s="3"/>
      <c r="GOE37" s="3"/>
      <c r="GOF37" s="3"/>
      <c r="GOG37" s="3"/>
      <c r="GOH37" s="3"/>
      <c r="GOI37" s="3"/>
      <c r="GOJ37" s="3"/>
      <c r="GOK37" s="3"/>
      <c r="GOL37" s="3"/>
      <c r="GOM37" s="3"/>
      <c r="GON37" s="3"/>
      <c r="GOO37" s="3"/>
      <c r="GOP37" s="3"/>
      <c r="GOQ37" s="3"/>
      <c r="GOR37" s="3"/>
      <c r="GOS37" s="3"/>
      <c r="GOT37" s="3"/>
      <c r="GOU37" s="3"/>
      <c r="GOV37" s="3"/>
      <c r="GOW37" s="3"/>
      <c r="GOX37" s="3"/>
      <c r="GOY37" s="3"/>
      <c r="GOZ37" s="3"/>
      <c r="GPA37" s="3"/>
      <c r="GPB37" s="3"/>
      <c r="GPC37" s="3"/>
      <c r="GPD37" s="3"/>
      <c r="GPE37" s="3"/>
      <c r="GPF37" s="3"/>
      <c r="GPG37" s="3"/>
      <c r="GPH37" s="3"/>
      <c r="GPI37" s="3"/>
      <c r="GPJ37" s="3"/>
      <c r="GPK37" s="3"/>
      <c r="GPL37" s="3"/>
      <c r="GPM37" s="3"/>
      <c r="GPN37" s="3"/>
      <c r="GPO37" s="3"/>
      <c r="GPP37" s="3"/>
      <c r="GPQ37" s="3"/>
      <c r="GPR37" s="3"/>
      <c r="GPS37" s="3"/>
      <c r="GPT37" s="3"/>
      <c r="GPU37" s="3"/>
      <c r="GPV37" s="3"/>
      <c r="GPW37" s="3"/>
      <c r="GPX37" s="3"/>
      <c r="GPY37" s="3"/>
      <c r="GPZ37" s="3"/>
      <c r="GQA37" s="3"/>
      <c r="GQB37" s="3"/>
      <c r="GQC37" s="3"/>
      <c r="GQD37" s="3"/>
      <c r="GQE37" s="3"/>
      <c r="GQF37" s="3"/>
      <c r="GQG37" s="3"/>
      <c r="GQH37" s="3"/>
      <c r="GQI37" s="3"/>
      <c r="GQJ37" s="3"/>
      <c r="GQK37" s="3"/>
      <c r="GQL37" s="3"/>
      <c r="GQM37" s="3"/>
      <c r="GQN37" s="3"/>
      <c r="GQO37" s="3"/>
      <c r="GQP37" s="3"/>
      <c r="GQQ37" s="3"/>
      <c r="GQR37" s="3"/>
      <c r="GQS37" s="3"/>
      <c r="GQT37" s="3"/>
      <c r="GQU37" s="3"/>
      <c r="GQV37" s="3"/>
      <c r="GQW37" s="3"/>
      <c r="GQX37" s="3"/>
      <c r="GQY37" s="3"/>
      <c r="GQZ37" s="3"/>
      <c r="GRA37" s="3"/>
      <c r="GRB37" s="3"/>
      <c r="GRC37" s="3"/>
      <c r="GRD37" s="3"/>
      <c r="GRE37" s="3"/>
      <c r="GRF37" s="3"/>
      <c r="GRG37" s="3"/>
      <c r="GRH37" s="3"/>
      <c r="GRI37" s="3"/>
      <c r="GRJ37" s="3"/>
      <c r="GRK37" s="3"/>
      <c r="GRL37" s="3"/>
      <c r="GRM37" s="3"/>
      <c r="GRN37" s="3"/>
      <c r="GRO37" s="3"/>
      <c r="GRP37" s="3"/>
      <c r="GRQ37" s="3"/>
      <c r="GRR37" s="3"/>
      <c r="GRS37" s="3"/>
      <c r="GRT37" s="3"/>
      <c r="GRU37" s="3"/>
      <c r="GRV37" s="3"/>
      <c r="GRW37" s="3"/>
      <c r="GRX37" s="3"/>
      <c r="GRY37" s="3"/>
      <c r="GRZ37" s="3"/>
      <c r="GSA37" s="3"/>
      <c r="GSB37" s="3"/>
      <c r="GSC37" s="3"/>
      <c r="GSD37" s="3"/>
      <c r="GSE37" s="3"/>
      <c r="GSF37" s="3"/>
      <c r="GSG37" s="3"/>
      <c r="GSH37" s="3"/>
      <c r="GSI37" s="3"/>
      <c r="GSJ37" s="3"/>
      <c r="GSK37" s="3"/>
      <c r="GSL37" s="3"/>
      <c r="GSM37" s="3"/>
      <c r="GSN37" s="3"/>
      <c r="GSO37" s="3"/>
      <c r="GSP37" s="3"/>
      <c r="GSQ37" s="3"/>
      <c r="GSR37" s="3"/>
      <c r="GSS37" s="3"/>
      <c r="GST37" s="3"/>
      <c r="GSU37" s="3"/>
      <c r="GSV37" s="3"/>
      <c r="GSW37" s="3"/>
      <c r="GSX37" s="3"/>
      <c r="GSY37" s="3"/>
      <c r="GSZ37" s="3"/>
      <c r="GTA37" s="3"/>
      <c r="GTB37" s="3"/>
      <c r="GTC37" s="3"/>
      <c r="GTD37" s="3"/>
      <c r="GTE37" s="3"/>
      <c r="GTF37" s="3"/>
      <c r="GTG37" s="3"/>
      <c r="GTH37" s="3"/>
      <c r="GTI37" s="3"/>
      <c r="GTJ37" s="3"/>
      <c r="GTK37" s="3"/>
      <c r="GTL37" s="3"/>
      <c r="GTM37" s="3"/>
      <c r="GTN37" s="3"/>
      <c r="GTO37" s="3"/>
      <c r="GTP37" s="3"/>
      <c r="GTQ37" s="3"/>
      <c r="GTR37" s="3"/>
      <c r="GTS37" s="3"/>
      <c r="GTT37" s="3"/>
      <c r="GTU37" s="3"/>
      <c r="GTV37" s="3"/>
      <c r="GTW37" s="3"/>
      <c r="GTX37" s="3"/>
      <c r="GTY37" s="3"/>
      <c r="GTZ37" s="3"/>
      <c r="GUA37" s="3"/>
      <c r="GUB37" s="3"/>
      <c r="GUC37" s="3"/>
      <c r="GUD37" s="3"/>
      <c r="GUE37" s="3"/>
      <c r="GUF37" s="3"/>
      <c r="GUG37" s="3"/>
      <c r="GUH37" s="3"/>
      <c r="GUI37" s="3"/>
      <c r="GUJ37" s="3"/>
      <c r="GUK37" s="3"/>
      <c r="GUL37" s="3"/>
      <c r="GUM37" s="3"/>
      <c r="GUN37" s="3"/>
      <c r="GUO37" s="3"/>
      <c r="GUP37" s="3"/>
      <c r="GUQ37" s="3"/>
      <c r="GUR37" s="3"/>
      <c r="GUS37" s="3"/>
      <c r="GUT37" s="3"/>
      <c r="GUU37" s="3"/>
      <c r="GUV37" s="3"/>
      <c r="GUW37" s="3"/>
      <c r="GUX37" s="3"/>
      <c r="GUY37" s="3"/>
      <c r="GUZ37" s="3"/>
      <c r="GVA37" s="3"/>
      <c r="GVB37" s="3"/>
      <c r="GVC37" s="3"/>
      <c r="GVD37" s="3"/>
      <c r="GVE37" s="3"/>
      <c r="GVF37" s="3"/>
      <c r="GVG37" s="3"/>
      <c r="GVH37" s="3"/>
      <c r="GVI37" s="3"/>
      <c r="GVJ37" s="3"/>
      <c r="GVK37" s="3"/>
      <c r="GVL37" s="3"/>
      <c r="GVM37" s="3"/>
      <c r="GVN37" s="3"/>
      <c r="GVO37" s="3"/>
      <c r="GVP37" s="3"/>
      <c r="GVQ37" s="3"/>
      <c r="GVR37" s="3"/>
      <c r="GVS37" s="3"/>
      <c r="GVT37" s="3"/>
      <c r="GVU37" s="3"/>
      <c r="GVV37" s="3"/>
      <c r="GVW37" s="3"/>
      <c r="GVX37" s="3"/>
      <c r="GVY37" s="3"/>
      <c r="GVZ37" s="3"/>
      <c r="GWA37" s="3"/>
      <c r="GWB37" s="3"/>
      <c r="GWC37" s="3"/>
      <c r="GWD37" s="3"/>
      <c r="GWE37" s="3"/>
      <c r="GWF37" s="3"/>
      <c r="GWG37" s="3"/>
      <c r="GWH37" s="3"/>
      <c r="GWI37" s="3"/>
      <c r="GWJ37" s="3"/>
      <c r="GWK37" s="3"/>
      <c r="GWL37" s="3"/>
      <c r="GWM37" s="3"/>
      <c r="GWN37" s="3"/>
      <c r="GWO37" s="3"/>
      <c r="GWP37" s="3"/>
      <c r="GWQ37" s="3"/>
      <c r="GWR37" s="3"/>
      <c r="GWS37" s="3"/>
      <c r="GWT37" s="3"/>
      <c r="GWU37" s="3"/>
      <c r="GWV37" s="3"/>
      <c r="GWW37" s="3"/>
      <c r="GWX37" s="3"/>
      <c r="GWY37" s="3"/>
      <c r="GWZ37" s="3"/>
      <c r="GXA37" s="3"/>
      <c r="GXB37" s="3"/>
      <c r="GXC37" s="3"/>
      <c r="GXD37" s="3"/>
      <c r="GXE37" s="3"/>
      <c r="GXF37" s="3"/>
      <c r="GXG37" s="3"/>
      <c r="GXH37" s="3"/>
      <c r="GXI37" s="3"/>
      <c r="GXJ37" s="3"/>
      <c r="GXK37" s="3"/>
      <c r="GXL37" s="3"/>
      <c r="GXM37" s="3"/>
      <c r="GXN37" s="3"/>
      <c r="GXO37" s="3"/>
      <c r="GXP37" s="3"/>
      <c r="GXQ37" s="3"/>
      <c r="GXR37" s="3"/>
      <c r="GXS37" s="3"/>
      <c r="GXT37" s="3"/>
      <c r="GXU37" s="3"/>
      <c r="GXV37" s="3"/>
      <c r="GXW37" s="3"/>
      <c r="GXX37" s="3"/>
      <c r="GXY37" s="3"/>
      <c r="GXZ37" s="3"/>
      <c r="GYA37" s="3"/>
      <c r="GYB37" s="3"/>
      <c r="GYC37" s="3"/>
      <c r="GYD37" s="3"/>
      <c r="GYE37" s="3"/>
      <c r="GYF37" s="3"/>
      <c r="GYG37" s="3"/>
      <c r="GYH37" s="3"/>
      <c r="GYI37" s="3"/>
      <c r="GYJ37" s="3"/>
      <c r="GYK37" s="3"/>
      <c r="GYL37" s="3"/>
      <c r="GYM37" s="3"/>
      <c r="GYN37" s="3"/>
      <c r="GYO37" s="3"/>
      <c r="GYP37" s="3"/>
      <c r="GYQ37" s="3"/>
      <c r="GYR37" s="3"/>
      <c r="GYS37" s="3"/>
      <c r="GYT37" s="3"/>
      <c r="GYU37" s="3"/>
      <c r="GYV37" s="3"/>
      <c r="GYW37" s="3"/>
      <c r="GYX37" s="3"/>
      <c r="GYY37" s="3"/>
      <c r="GYZ37" s="3"/>
      <c r="GZA37" s="3"/>
      <c r="GZB37" s="3"/>
      <c r="GZC37" s="3"/>
      <c r="GZD37" s="3"/>
      <c r="GZE37" s="3"/>
      <c r="GZF37" s="3"/>
      <c r="GZG37" s="3"/>
      <c r="GZH37" s="3"/>
      <c r="GZI37" s="3"/>
      <c r="GZJ37" s="3"/>
      <c r="GZK37" s="3"/>
      <c r="GZL37" s="3"/>
      <c r="GZM37" s="3"/>
      <c r="GZN37" s="3"/>
      <c r="GZO37" s="3"/>
      <c r="GZP37" s="3"/>
      <c r="GZQ37" s="3"/>
      <c r="GZR37" s="3"/>
      <c r="GZS37" s="3"/>
      <c r="GZT37" s="3"/>
      <c r="GZU37" s="3"/>
      <c r="GZV37" s="3"/>
      <c r="GZW37" s="3"/>
      <c r="GZX37" s="3"/>
      <c r="GZY37" s="3"/>
      <c r="GZZ37" s="3"/>
      <c r="HAA37" s="3"/>
      <c r="HAB37" s="3"/>
      <c r="HAC37" s="3"/>
      <c r="HAD37" s="3"/>
      <c r="HAE37" s="3"/>
      <c r="HAF37" s="3"/>
      <c r="HAG37" s="3"/>
      <c r="HAH37" s="3"/>
      <c r="HAI37" s="3"/>
      <c r="HAJ37" s="3"/>
      <c r="HAK37" s="3"/>
      <c r="HAL37" s="3"/>
      <c r="HAM37" s="3"/>
      <c r="HAN37" s="3"/>
      <c r="HAO37" s="3"/>
      <c r="HAP37" s="3"/>
      <c r="HAQ37" s="3"/>
      <c r="HAR37" s="3"/>
      <c r="HAS37" s="3"/>
      <c r="HAT37" s="3"/>
      <c r="HAU37" s="3"/>
      <c r="HAV37" s="3"/>
      <c r="HAW37" s="3"/>
      <c r="HAX37" s="3"/>
      <c r="HAY37" s="3"/>
      <c r="HAZ37" s="3"/>
      <c r="HBA37" s="3"/>
      <c r="HBB37" s="3"/>
      <c r="HBC37" s="3"/>
      <c r="HBD37" s="3"/>
      <c r="HBE37" s="3"/>
      <c r="HBF37" s="3"/>
      <c r="HBG37" s="3"/>
      <c r="HBH37" s="3"/>
      <c r="HBI37" s="3"/>
      <c r="HBJ37" s="3"/>
      <c r="HBK37" s="3"/>
      <c r="HBL37" s="3"/>
      <c r="HBM37" s="3"/>
      <c r="HBN37" s="3"/>
      <c r="HBO37" s="3"/>
      <c r="HBP37" s="3"/>
      <c r="HBQ37" s="3"/>
      <c r="HBR37" s="3"/>
      <c r="HBS37" s="3"/>
      <c r="HBT37" s="3"/>
      <c r="HBU37" s="3"/>
      <c r="HBV37" s="3"/>
      <c r="HBW37" s="3"/>
      <c r="HBX37" s="3"/>
      <c r="HBY37" s="3"/>
      <c r="HBZ37" s="3"/>
      <c r="HCA37" s="3"/>
      <c r="HCB37" s="3"/>
      <c r="HCC37" s="3"/>
      <c r="HCD37" s="3"/>
      <c r="HCE37" s="3"/>
      <c r="HCF37" s="3"/>
      <c r="HCG37" s="3"/>
      <c r="HCH37" s="3"/>
      <c r="HCI37" s="3"/>
      <c r="HCJ37" s="3"/>
      <c r="HCK37" s="3"/>
      <c r="HCL37" s="3"/>
      <c r="HCM37" s="3"/>
      <c r="HCN37" s="3"/>
      <c r="HCO37" s="3"/>
      <c r="HCP37" s="3"/>
      <c r="HCQ37" s="3"/>
      <c r="HCR37" s="3"/>
      <c r="HCS37" s="3"/>
      <c r="HCT37" s="3"/>
      <c r="HCU37" s="3"/>
      <c r="HCV37" s="3"/>
      <c r="HCW37" s="3"/>
      <c r="HCX37" s="3"/>
      <c r="HCY37" s="3"/>
      <c r="HCZ37" s="3"/>
      <c r="HDA37" s="3"/>
      <c r="HDB37" s="3"/>
      <c r="HDC37" s="3"/>
      <c r="HDD37" s="3"/>
      <c r="HDE37" s="3"/>
      <c r="HDF37" s="3"/>
      <c r="HDG37" s="3"/>
      <c r="HDH37" s="3"/>
      <c r="HDI37" s="3"/>
      <c r="HDJ37" s="3"/>
      <c r="HDK37" s="3"/>
      <c r="HDL37" s="3"/>
      <c r="HDM37" s="3"/>
      <c r="HDN37" s="3"/>
      <c r="HDO37" s="3"/>
      <c r="HDP37" s="3"/>
      <c r="HDQ37" s="3"/>
      <c r="HDR37" s="3"/>
      <c r="HDS37" s="3"/>
      <c r="HDT37" s="3"/>
      <c r="HDU37" s="3"/>
      <c r="HDV37" s="3"/>
      <c r="HDW37" s="3"/>
      <c r="HDX37" s="3"/>
      <c r="HDY37" s="3"/>
      <c r="HDZ37" s="3"/>
      <c r="HEA37" s="3"/>
      <c r="HEB37" s="3"/>
      <c r="HEC37" s="3"/>
      <c r="HED37" s="3"/>
      <c r="HEE37" s="3"/>
      <c r="HEF37" s="3"/>
      <c r="HEG37" s="3"/>
      <c r="HEH37" s="3"/>
      <c r="HEI37" s="3"/>
      <c r="HEJ37" s="3"/>
      <c r="HEK37" s="3"/>
      <c r="HEL37" s="3"/>
      <c r="HEM37" s="3"/>
      <c r="HEN37" s="3"/>
      <c r="HEO37" s="3"/>
      <c r="HEP37" s="3"/>
      <c r="HEQ37" s="3"/>
      <c r="HER37" s="3"/>
      <c r="HES37" s="3"/>
      <c r="HET37" s="3"/>
      <c r="HEU37" s="3"/>
      <c r="HEV37" s="3"/>
      <c r="HEW37" s="3"/>
      <c r="HEX37" s="3"/>
      <c r="HEY37" s="3"/>
      <c r="HEZ37" s="3"/>
      <c r="HFA37" s="3"/>
      <c r="HFB37" s="3"/>
      <c r="HFC37" s="3"/>
      <c r="HFD37" s="3"/>
      <c r="HFE37" s="3"/>
      <c r="HFF37" s="3"/>
      <c r="HFG37" s="3"/>
      <c r="HFH37" s="3"/>
      <c r="HFI37" s="3"/>
      <c r="HFJ37" s="3"/>
      <c r="HFK37" s="3"/>
      <c r="HFL37" s="3"/>
      <c r="HFM37" s="3"/>
      <c r="HFN37" s="3"/>
      <c r="HFO37" s="3"/>
      <c r="HFP37" s="3"/>
      <c r="HFQ37" s="3"/>
      <c r="HFR37" s="3"/>
      <c r="HFS37" s="3"/>
      <c r="HFT37" s="3"/>
      <c r="HFU37" s="3"/>
      <c r="HFV37" s="3"/>
      <c r="HFW37" s="3"/>
      <c r="HFX37" s="3"/>
      <c r="HFY37" s="3"/>
      <c r="HFZ37" s="3"/>
      <c r="HGA37" s="3"/>
      <c r="HGB37" s="3"/>
      <c r="HGC37" s="3"/>
      <c r="HGD37" s="3"/>
      <c r="HGE37" s="3"/>
      <c r="HGF37" s="3"/>
      <c r="HGG37" s="3"/>
      <c r="HGH37" s="3"/>
      <c r="HGI37" s="3"/>
      <c r="HGJ37" s="3"/>
      <c r="HGK37" s="3"/>
      <c r="HGL37" s="3"/>
      <c r="HGM37" s="3"/>
      <c r="HGN37" s="3"/>
      <c r="HGO37" s="3"/>
      <c r="HGP37" s="3"/>
      <c r="HGQ37" s="3"/>
      <c r="HGR37" s="3"/>
      <c r="HGS37" s="3"/>
      <c r="HGT37" s="3"/>
      <c r="HGU37" s="3"/>
      <c r="HGV37" s="3"/>
      <c r="HGW37" s="3"/>
      <c r="HGX37" s="3"/>
      <c r="HGY37" s="3"/>
      <c r="HGZ37" s="3"/>
      <c r="HHA37" s="3"/>
      <c r="HHB37" s="3"/>
      <c r="HHC37" s="3"/>
      <c r="HHD37" s="3"/>
      <c r="HHE37" s="3"/>
      <c r="HHF37" s="3"/>
      <c r="HHG37" s="3"/>
      <c r="HHH37" s="3"/>
      <c r="HHI37" s="3"/>
      <c r="HHJ37" s="3"/>
      <c r="HHK37" s="3"/>
      <c r="HHL37" s="3"/>
      <c r="HHM37" s="3"/>
      <c r="HHN37" s="3"/>
      <c r="HHO37" s="3"/>
      <c r="HHP37" s="3"/>
      <c r="HHQ37" s="3"/>
      <c r="HHR37" s="3"/>
      <c r="HHS37" s="3"/>
      <c r="HHT37" s="3"/>
      <c r="HHU37" s="3"/>
      <c r="HHV37" s="3"/>
      <c r="HHW37" s="3"/>
      <c r="HHX37" s="3"/>
      <c r="HHY37" s="3"/>
      <c r="HHZ37" s="3"/>
      <c r="HIA37" s="3"/>
      <c r="HIB37" s="3"/>
      <c r="HIC37" s="3"/>
      <c r="HID37" s="3"/>
      <c r="HIE37" s="3"/>
      <c r="HIF37" s="3"/>
      <c r="HIG37" s="3"/>
      <c r="HIH37" s="3"/>
      <c r="HII37" s="3"/>
      <c r="HIJ37" s="3"/>
      <c r="HIK37" s="3"/>
      <c r="HIL37" s="3"/>
      <c r="HIM37" s="3"/>
      <c r="HIN37" s="3"/>
      <c r="HIO37" s="3"/>
      <c r="HIP37" s="3"/>
      <c r="HIQ37" s="3"/>
      <c r="HIR37" s="3"/>
      <c r="HIS37" s="3"/>
      <c r="HIT37" s="3"/>
      <c r="HIU37" s="3"/>
      <c r="HIV37" s="3"/>
      <c r="HIW37" s="3"/>
      <c r="HIX37" s="3"/>
      <c r="HIY37" s="3"/>
      <c r="HIZ37" s="3"/>
      <c r="HJA37" s="3"/>
      <c r="HJB37" s="3"/>
      <c r="HJC37" s="3"/>
      <c r="HJD37" s="3"/>
      <c r="HJE37" s="3"/>
      <c r="HJF37" s="3"/>
      <c r="HJG37" s="3"/>
      <c r="HJH37" s="3"/>
      <c r="HJI37" s="3"/>
      <c r="HJJ37" s="3"/>
      <c r="HJK37" s="3"/>
      <c r="HJL37" s="3"/>
      <c r="HJM37" s="3"/>
      <c r="HJN37" s="3"/>
      <c r="HJO37" s="3"/>
      <c r="HJP37" s="3"/>
      <c r="HJQ37" s="3"/>
      <c r="HJR37" s="3"/>
      <c r="HJS37" s="3"/>
      <c r="HJT37" s="3"/>
      <c r="HJU37" s="3"/>
      <c r="HJV37" s="3"/>
      <c r="HJW37" s="3"/>
      <c r="HJX37" s="3"/>
      <c r="HJY37" s="3"/>
      <c r="HJZ37" s="3"/>
      <c r="HKA37" s="3"/>
      <c r="HKB37" s="3"/>
      <c r="HKC37" s="3"/>
      <c r="HKD37" s="3"/>
      <c r="HKE37" s="3"/>
      <c r="HKF37" s="3"/>
      <c r="HKG37" s="3"/>
      <c r="HKH37" s="3"/>
      <c r="HKI37" s="3"/>
      <c r="HKJ37" s="3"/>
      <c r="HKK37" s="3"/>
      <c r="HKL37" s="3"/>
      <c r="HKM37" s="3"/>
      <c r="HKN37" s="3"/>
      <c r="HKO37" s="3"/>
      <c r="HKP37" s="3"/>
      <c r="HKQ37" s="3"/>
      <c r="HKR37" s="3"/>
      <c r="HKS37" s="3"/>
      <c r="HKT37" s="3"/>
      <c r="HKU37" s="3"/>
      <c r="HKV37" s="3"/>
      <c r="HKW37" s="3"/>
      <c r="HKX37" s="3"/>
      <c r="HKY37" s="3"/>
      <c r="HKZ37" s="3"/>
      <c r="HLA37" s="3"/>
      <c r="HLB37" s="3"/>
      <c r="HLC37" s="3"/>
      <c r="HLD37" s="3"/>
      <c r="HLE37" s="3"/>
      <c r="HLF37" s="3"/>
      <c r="HLG37" s="3"/>
      <c r="HLH37" s="3"/>
      <c r="HLI37" s="3"/>
      <c r="HLJ37" s="3"/>
      <c r="HLK37" s="3"/>
      <c r="HLL37" s="3"/>
      <c r="HLM37" s="3"/>
      <c r="HLN37" s="3"/>
      <c r="HLO37" s="3"/>
      <c r="HLP37" s="3"/>
      <c r="HLQ37" s="3"/>
      <c r="HLR37" s="3"/>
      <c r="HLS37" s="3"/>
      <c r="HLT37" s="3"/>
      <c r="HLU37" s="3"/>
      <c r="HLV37" s="3"/>
      <c r="HLW37" s="3"/>
      <c r="HLX37" s="3"/>
      <c r="HLY37" s="3"/>
      <c r="HLZ37" s="3"/>
      <c r="HMA37" s="3"/>
      <c r="HMB37" s="3"/>
      <c r="HMC37" s="3"/>
      <c r="HMD37" s="3"/>
      <c r="HME37" s="3"/>
      <c r="HMF37" s="3"/>
      <c r="HMG37" s="3"/>
      <c r="HMH37" s="3"/>
      <c r="HMI37" s="3"/>
      <c r="HMJ37" s="3"/>
      <c r="HMK37" s="3"/>
      <c r="HML37" s="3"/>
      <c r="HMM37" s="3"/>
      <c r="HMN37" s="3"/>
      <c r="HMO37" s="3"/>
      <c r="HMP37" s="3"/>
      <c r="HMQ37" s="3"/>
      <c r="HMR37" s="3"/>
      <c r="HMS37" s="3"/>
      <c r="HMT37" s="3"/>
      <c r="HMU37" s="3"/>
      <c r="HMV37" s="3"/>
      <c r="HMW37" s="3"/>
      <c r="HMX37" s="3"/>
      <c r="HMY37" s="3"/>
      <c r="HMZ37" s="3"/>
      <c r="HNA37" s="3"/>
      <c r="HNB37" s="3"/>
      <c r="HNC37" s="3"/>
      <c r="HND37" s="3"/>
      <c r="HNE37" s="3"/>
      <c r="HNF37" s="3"/>
      <c r="HNG37" s="3"/>
      <c r="HNH37" s="3"/>
      <c r="HNI37" s="3"/>
      <c r="HNJ37" s="3"/>
      <c r="HNK37" s="3"/>
      <c r="HNL37" s="3"/>
      <c r="HNM37" s="3"/>
      <c r="HNN37" s="3"/>
      <c r="HNO37" s="3"/>
      <c r="HNP37" s="3"/>
      <c r="HNQ37" s="3"/>
      <c r="HNR37" s="3"/>
      <c r="HNS37" s="3"/>
      <c r="HNT37" s="3"/>
      <c r="HNU37" s="3"/>
      <c r="HNV37" s="3"/>
      <c r="HNW37" s="3"/>
      <c r="HNX37" s="3"/>
      <c r="HNY37" s="3"/>
      <c r="HNZ37" s="3"/>
      <c r="HOA37" s="3"/>
      <c r="HOB37" s="3"/>
      <c r="HOC37" s="3"/>
      <c r="HOD37" s="3"/>
      <c r="HOE37" s="3"/>
      <c r="HOF37" s="3"/>
      <c r="HOG37" s="3"/>
      <c r="HOH37" s="3"/>
      <c r="HOI37" s="3"/>
      <c r="HOJ37" s="3"/>
      <c r="HOK37" s="3"/>
      <c r="HOL37" s="3"/>
      <c r="HOM37" s="3"/>
      <c r="HON37" s="3"/>
      <c r="HOO37" s="3"/>
      <c r="HOP37" s="3"/>
      <c r="HOQ37" s="3"/>
      <c r="HOR37" s="3"/>
      <c r="HOS37" s="3"/>
      <c r="HOT37" s="3"/>
      <c r="HOU37" s="3"/>
      <c r="HOV37" s="3"/>
      <c r="HOW37" s="3"/>
      <c r="HOX37" s="3"/>
      <c r="HOY37" s="3"/>
      <c r="HOZ37" s="3"/>
      <c r="HPA37" s="3"/>
      <c r="HPB37" s="3"/>
      <c r="HPC37" s="3"/>
      <c r="HPD37" s="3"/>
      <c r="HPE37" s="3"/>
      <c r="HPF37" s="3"/>
      <c r="HPG37" s="3"/>
      <c r="HPH37" s="3"/>
      <c r="HPI37" s="3"/>
      <c r="HPJ37" s="3"/>
      <c r="HPK37" s="3"/>
      <c r="HPL37" s="3"/>
      <c r="HPM37" s="3"/>
      <c r="HPN37" s="3"/>
      <c r="HPO37" s="3"/>
      <c r="HPP37" s="3"/>
      <c r="HPQ37" s="3"/>
      <c r="HPR37" s="3"/>
      <c r="HPS37" s="3"/>
      <c r="HPT37" s="3"/>
      <c r="HPU37" s="3"/>
      <c r="HPV37" s="3"/>
      <c r="HPW37" s="3"/>
      <c r="HPX37" s="3"/>
      <c r="HPY37" s="3"/>
      <c r="HPZ37" s="3"/>
      <c r="HQA37" s="3"/>
      <c r="HQB37" s="3"/>
      <c r="HQC37" s="3"/>
      <c r="HQD37" s="3"/>
      <c r="HQE37" s="3"/>
      <c r="HQF37" s="3"/>
      <c r="HQG37" s="3"/>
      <c r="HQH37" s="3"/>
      <c r="HQI37" s="3"/>
      <c r="HQJ37" s="3"/>
      <c r="HQK37" s="3"/>
      <c r="HQL37" s="3"/>
      <c r="HQM37" s="3"/>
      <c r="HQN37" s="3"/>
      <c r="HQO37" s="3"/>
      <c r="HQP37" s="3"/>
      <c r="HQQ37" s="3"/>
      <c r="HQR37" s="3"/>
      <c r="HQS37" s="3"/>
      <c r="HQT37" s="3"/>
      <c r="HQU37" s="3"/>
      <c r="HQV37" s="3"/>
      <c r="HQW37" s="3"/>
      <c r="HQX37" s="3"/>
      <c r="HQY37" s="3"/>
      <c r="HQZ37" s="3"/>
      <c r="HRA37" s="3"/>
      <c r="HRB37" s="3"/>
      <c r="HRC37" s="3"/>
      <c r="HRD37" s="3"/>
      <c r="HRE37" s="3"/>
      <c r="HRF37" s="3"/>
      <c r="HRG37" s="3"/>
      <c r="HRH37" s="3"/>
      <c r="HRI37" s="3"/>
      <c r="HRJ37" s="3"/>
      <c r="HRK37" s="3"/>
      <c r="HRL37" s="3"/>
      <c r="HRM37" s="3"/>
      <c r="HRN37" s="3"/>
      <c r="HRO37" s="3"/>
      <c r="HRP37" s="3"/>
      <c r="HRQ37" s="3"/>
      <c r="HRR37" s="3"/>
      <c r="HRS37" s="3"/>
      <c r="HRT37" s="3"/>
      <c r="HRU37" s="3"/>
      <c r="HRV37" s="3"/>
      <c r="HRW37" s="3"/>
      <c r="HRX37" s="3"/>
      <c r="HRY37" s="3"/>
      <c r="HRZ37" s="3"/>
      <c r="HSA37" s="3"/>
      <c r="HSB37" s="3"/>
      <c r="HSC37" s="3"/>
      <c r="HSD37" s="3"/>
      <c r="HSE37" s="3"/>
      <c r="HSF37" s="3"/>
      <c r="HSG37" s="3"/>
      <c r="HSH37" s="3"/>
      <c r="HSI37" s="3"/>
      <c r="HSJ37" s="3"/>
      <c r="HSK37" s="3"/>
      <c r="HSL37" s="3"/>
      <c r="HSM37" s="3"/>
      <c r="HSN37" s="3"/>
      <c r="HSO37" s="3"/>
      <c r="HSP37" s="3"/>
      <c r="HSQ37" s="3"/>
      <c r="HSR37" s="3"/>
      <c r="HSS37" s="3"/>
      <c r="HST37" s="3"/>
      <c r="HSU37" s="3"/>
      <c r="HSV37" s="3"/>
      <c r="HSW37" s="3"/>
      <c r="HSX37" s="3"/>
      <c r="HSY37" s="3"/>
      <c r="HSZ37" s="3"/>
      <c r="HTA37" s="3"/>
      <c r="HTB37" s="3"/>
      <c r="HTC37" s="3"/>
      <c r="HTD37" s="3"/>
      <c r="HTE37" s="3"/>
      <c r="HTF37" s="3"/>
      <c r="HTG37" s="3"/>
      <c r="HTH37" s="3"/>
      <c r="HTI37" s="3"/>
      <c r="HTJ37" s="3"/>
      <c r="HTK37" s="3"/>
      <c r="HTL37" s="3"/>
      <c r="HTM37" s="3"/>
      <c r="HTN37" s="3"/>
      <c r="HTO37" s="3"/>
      <c r="HTP37" s="3"/>
      <c r="HTQ37" s="3"/>
      <c r="HTR37" s="3"/>
      <c r="HTS37" s="3"/>
      <c r="HTT37" s="3"/>
      <c r="HTU37" s="3"/>
      <c r="HTV37" s="3"/>
      <c r="HTW37" s="3"/>
      <c r="HTX37" s="3"/>
      <c r="HTY37" s="3"/>
      <c r="HTZ37" s="3"/>
      <c r="HUA37" s="3"/>
      <c r="HUB37" s="3"/>
      <c r="HUC37" s="3"/>
      <c r="HUD37" s="3"/>
      <c r="HUE37" s="3"/>
      <c r="HUF37" s="3"/>
      <c r="HUG37" s="3"/>
      <c r="HUH37" s="3"/>
      <c r="HUI37" s="3"/>
      <c r="HUJ37" s="3"/>
      <c r="HUK37" s="3"/>
      <c r="HUL37" s="3"/>
      <c r="HUM37" s="3"/>
      <c r="HUN37" s="3"/>
      <c r="HUO37" s="3"/>
      <c r="HUP37" s="3"/>
      <c r="HUQ37" s="3"/>
      <c r="HUR37" s="3"/>
      <c r="HUS37" s="3"/>
      <c r="HUT37" s="3"/>
      <c r="HUU37" s="3"/>
      <c r="HUV37" s="3"/>
      <c r="HUW37" s="3"/>
      <c r="HUX37" s="3"/>
      <c r="HUY37" s="3"/>
      <c r="HUZ37" s="3"/>
      <c r="HVA37" s="3"/>
      <c r="HVB37" s="3"/>
      <c r="HVC37" s="3"/>
      <c r="HVD37" s="3"/>
      <c r="HVE37" s="3"/>
      <c r="HVF37" s="3"/>
      <c r="HVG37" s="3"/>
      <c r="HVH37" s="3"/>
      <c r="HVI37" s="3"/>
      <c r="HVJ37" s="3"/>
      <c r="HVK37" s="3"/>
      <c r="HVL37" s="3"/>
      <c r="HVM37" s="3"/>
      <c r="HVN37" s="3"/>
      <c r="HVO37" s="3"/>
      <c r="HVP37" s="3"/>
      <c r="HVQ37" s="3"/>
      <c r="HVR37" s="3"/>
      <c r="HVS37" s="3"/>
      <c r="HVT37" s="3"/>
      <c r="HVU37" s="3"/>
      <c r="HVV37" s="3"/>
      <c r="HVW37" s="3"/>
      <c r="HVX37" s="3"/>
      <c r="HVY37" s="3"/>
      <c r="HVZ37" s="3"/>
      <c r="HWA37" s="3"/>
      <c r="HWB37" s="3"/>
      <c r="HWC37" s="3"/>
      <c r="HWD37" s="3"/>
      <c r="HWE37" s="3"/>
      <c r="HWF37" s="3"/>
      <c r="HWG37" s="3"/>
      <c r="HWH37" s="3"/>
      <c r="HWI37" s="3"/>
      <c r="HWJ37" s="3"/>
      <c r="HWK37" s="3"/>
      <c r="HWL37" s="3"/>
      <c r="HWM37" s="3"/>
      <c r="HWN37" s="3"/>
      <c r="HWO37" s="3"/>
      <c r="HWP37" s="3"/>
      <c r="HWQ37" s="3"/>
      <c r="HWR37" s="3"/>
      <c r="HWS37" s="3"/>
      <c r="HWT37" s="3"/>
      <c r="HWU37" s="3"/>
      <c r="HWV37" s="3"/>
      <c r="HWW37" s="3"/>
      <c r="HWX37" s="3"/>
      <c r="HWY37" s="3"/>
      <c r="HWZ37" s="3"/>
      <c r="HXA37" s="3"/>
      <c r="HXB37" s="3"/>
      <c r="HXC37" s="3"/>
      <c r="HXD37" s="3"/>
      <c r="HXE37" s="3"/>
      <c r="HXF37" s="3"/>
      <c r="HXG37" s="3"/>
      <c r="HXH37" s="3"/>
      <c r="HXI37" s="3"/>
      <c r="HXJ37" s="3"/>
      <c r="HXK37" s="3"/>
      <c r="HXL37" s="3"/>
      <c r="HXM37" s="3"/>
      <c r="HXN37" s="3"/>
      <c r="HXO37" s="3"/>
      <c r="HXP37" s="3"/>
      <c r="HXQ37" s="3"/>
      <c r="HXR37" s="3"/>
      <c r="HXS37" s="3"/>
      <c r="HXT37" s="3"/>
      <c r="HXU37" s="3"/>
      <c r="HXV37" s="3"/>
      <c r="HXW37" s="3"/>
      <c r="HXX37" s="3"/>
      <c r="HXY37" s="3"/>
      <c r="HXZ37" s="3"/>
      <c r="HYA37" s="3"/>
      <c r="HYB37" s="3"/>
      <c r="HYC37" s="3"/>
      <c r="HYD37" s="3"/>
      <c r="HYE37" s="3"/>
      <c r="HYF37" s="3"/>
      <c r="HYG37" s="3"/>
      <c r="HYH37" s="3"/>
      <c r="HYI37" s="3"/>
      <c r="HYJ37" s="3"/>
      <c r="HYK37" s="3"/>
      <c r="HYL37" s="3"/>
      <c r="HYM37" s="3"/>
      <c r="HYN37" s="3"/>
      <c r="HYO37" s="3"/>
      <c r="HYP37" s="3"/>
      <c r="HYQ37" s="3"/>
      <c r="HYR37" s="3"/>
      <c r="HYS37" s="3"/>
      <c r="HYT37" s="3"/>
      <c r="HYU37" s="3"/>
      <c r="HYV37" s="3"/>
      <c r="HYW37" s="3"/>
      <c r="HYX37" s="3"/>
      <c r="HYY37" s="3"/>
      <c r="HYZ37" s="3"/>
      <c r="HZA37" s="3"/>
      <c r="HZB37" s="3"/>
      <c r="HZC37" s="3"/>
      <c r="HZD37" s="3"/>
      <c r="HZE37" s="3"/>
      <c r="HZF37" s="3"/>
      <c r="HZG37" s="3"/>
      <c r="HZH37" s="3"/>
      <c r="HZI37" s="3"/>
      <c r="HZJ37" s="3"/>
      <c r="HZK37" s="3"/>
      <c r="HZL37" s="3"/>
      <c r="HZM37" s="3"/>
      <c r="HZN37" s="3"/>
      <c r="HZO37" s="3"/>
      <c r="HZP37" s="3"/>
      <c r="HZQ37" s="3"/>
      <c r="HZR37" s="3"/>
      <c r="HZS37" s="3"/>
      <c r="HZT37" s="3"/>
      <c r="HZU37" s="3"/>
      <c r="HZV37" s="3"/>
      <c r="HZW37" s="3"/>
      <c r="HZX37" s="3"/>
      <c r="HZY37" s="3"/>
      <c r="HZZ37" s="3"/>
      <c r="IAA37" s="3"/>
      <c r="IAB37" s="3"/>
      <c r="IAC37" s="3"/>
      <c r="IAD37" s="3"/>
      <c r="IAE37" s="3"/>
      <c r="IAF37" s="3"/>
      <c r="IAG37" s="3"/>
      <c r="IAH37" s="3"/>
      <c r="IAI37" s="3"/>
      <c r="IAJ37" s="3"/>
      <c r="IAK37" s="3"/>
      <c r="IAL37" s="3"/>
      <c r="IAM37" s="3"/>
      <c r="IAN37" s="3"/>
      <c r="IAO37" s="3"/>
      <c r="IAP37" s="3"/>
      <c r="IAQ37" s="3"/>
      <c r="IAR37" s="3"/>
      <c r="IAS37" s="3"/>
      <c r="IAT37" s="3"/>
      <c r="IAU37" s="3"/>
      <c r="IAV37" s="3"/>
      <c r="IAW37" s="3"/>
      <c r="IAX37" s="3"/>
      <c r="IAY37" s="3"/>
      <c r="IAZ37" s="3"/>
      <c r="IBA37" s="3"/>
      <c r="IBB37" s="3"/>
      <c r="IBC37" s="3"/>
      <c r="IBD37" s="3"/>
      <c r="IBE37" s="3"/>
      <c r="IBF37" s="3"/>
      <c r="IBG37" s="3"/>
      <c r="IBH37" s="3"/>
      <c r="IBI37" s="3"/>
      <c r="IBJ37" s="3"/>
      <c r="IBK37" s="3"/>
      <c r="IBL37" s="3"/>
      <c r="IBM37" s="3"/>
      <c r="IBN37" s="3"/>
      <c r="IBO37" s="3"/>
      <c r="IBP37" s="3"/>
      <c r="IBQ37" s="3"/>
      <c r="IBR37" s="3"/>
      <c r="IBS37" s="3"/>
      <c r="IBT37" s="3"/>
      <c r="IBU37" s="3"/>
      <c r="IBV37" s="3"/>
      <c r="IBW37" s="3"/>
      <c r="IBX37" s="3"/>
      <c r="IBY37" s="3"/>
      <c r="IBZ37" s="3"/>
      <c r="ICA37" s="3"/>
      <c r="ICB37" s="3"/>
      <c r="ICC37" s="3"/>
      <c r="ICD37" s="3"/>
      <c r="ICE37" s="3"/>
      <c r="ICF37" s="3"/>
      <c r="ICG37" s="3"/>
      <c r="ICH37" s="3"/>
      <c r="ICI37" s="3"/>
      <c r="ICJ37" s="3"/>
      <c r="ICK37" s="3"/>
      <c r="ICL37" s="3"/>
      <c r="ICM37" s="3"/>
      <c r="ICN37" s="3"/>
      <c r="ICO37" s="3"/>
      <c r="ICP37" s="3"/>
      <c r="ICQ37" s="3"/>
      <c r="ICR37" s="3"/>
      <c r="ICS37" s="3"/>
      <c r="ICT37" s="3"/>
      <c r="ICU37" s="3"/>
      <c r="ICV37" s="3"/>
      <c r="ICW37" s="3"/>
      <c r="ICX37" s="3"/>
      <c r="ICY37" s="3"/>
      <c r="ICZ37" s="3"/>
      <c r="IDA37" s="3"/>
      <c r="IDB37" s="3"/>
      <c r="IDC37" s="3"/>
      <c r="IDD37" s="3"/>
      <c r="IDE37" s="3"/>
      <c r="IDF37" s="3"/>
      <c r="IDG37" s="3"/>
      <c r="IDH37" s="3"/>
      <c r="IDI37" s="3"/>
      <c r="IDJ37" s="3"/>
      <c r="IDK37" s="3"/>
      <c r="IDL37" s="3"/>
      <c r="IDM37" s="3"/>
      <c r="IDN37" s="3"/>
      <c r="IDO37" s="3"/>
      <c r="IDP37" s="3"/>
      <c r="IDQ37" s="3"/>
      <c r="IDR37" s="3"/>
      <c r="IDS37" s="3"/>
      <c r="IDT37" s="3"/>
      <c r="IDU37" s="3"/>
      <c r="IDV37" s="3"/>
      <c r="IDW37" s="3"/>
      <c r="IDX37" s="3"/>
      <c r="IDY37" s="3"/>
      <c r="IDZ37" s="3"/>
      <c r="IEA37" s="3"/>
      <c r="IEB37" s="3"/>
      <c r="IEC37" s="3"/>
      <c r="IED37" s="3"/>
      <c r="IEE37" s="3"/>
      <c r="IEF37" s="3"/>
      <c r="IEG37" s="3"/>
      <c r="IEH37" s="3"/>
      <c r="IEI37" s="3"/>
      <c r="IEJ37" s="3"/>
      <c r="IEK37" s="3"/>
      <c r="IEL37" s="3"/>
      <c r="IEM37" s="3"/>
      <c r="IEN37" s="3"/>
      <c r="IEO37" s="3"/>
      <c r="IEP37" s="3"/>
      <c r="IEQ37" s="3"/>
      <c r="IER37" s="3"/>
      <c r="IES37" s="3"/>
      <c r="IET37" s="3"/>
      <c r="IEU37" s="3"/>
      <c r="IEV37" s="3"/>
      <c r="IEW37" s="3"/>
      <c r="IEX37" s="3"/>
      <c r="IEY37" s="3"/>
      <c r="IEZ37" s="3"/>
      <c r="IFA37" s="3"/>
      <c r="IFB37" s="3"/>
      <c r="IFC37" s="3"/>
      <c r="IFD37" s="3"/>
      <c r="IFE37" s="3"/>
      <c r="IFF37" s="3"/>
      <c r="IFG37" s="3"/>
      <c r="IFH37" s="3"/>
      <c r="IFI37" s="3"/>
      <c r="IFJ37" s="3"/>
      <c r="IFK37" s="3"/>
      <c r="IFL37" s="3"/>
      <c r="IFM37" s="3"/>
      <c r="IFN37" s="3"/>
      <c r="IFO37" s="3"/>
      <c r="IFP37" s="3"/>
      <c r="IFQ37" s="3"/>
      <c r="IFR37" s="3"/>
      <c r="IFS37" s="3"/>
      <c r="IFT37" s="3"/>
      <c r="IFU37" s="3"/>
      <c r="IFV37" s="3"/>
      <c r="IFW37" s="3"/>
      <c r="IFX37" s="3"/>
      <c r="IFY37" s="3"/>
      <c r="IFZ37" s="3"/>
      <c r="IGA37" s="3"/>
      <c r="IGB37" s="3"/>
      <c r="IGC37" s="3"/>
      <c r="IGD37" s="3"/>
      <c r="IGE37" s="3"/>
      <c r="IGF37" s="3"/>
      <c r="IGG37" s="3"/>
      <c r="IGH37" s="3"/>
      <c r="IGI37" s="3"/>
      <c r="IGJ37" s="3"/>
      <c r="IGK37" s="3"/>
      <c r="IGL37" s="3"/>
      <c r="IGM37" s="3"/>
      <c r="IGN37" s="3"/>
      <c r="IGO37" s="3"/>
      <c r="IGP37" s="3"/>
      <c r="IGQ37" s="3"/>
      <c r="IGR37" s="3"/>
      <c r="IGS37" s="3"/>
      <c r="IGT37" s="3"/>
      <c r="IGU37" s="3"/>
      <c r="IGV37" s="3"/>
      <c r="IGW37" s="3"/>
      <c r="IGX37" s="3"/>
      <c r="IGY37" s="3"/>
      <c r="IGZ37" s="3"/>
      <c r="IHA37" s="3"/>
      <c r="IHB37" s="3"/>
      <c r="IHC37" s="3"/>
      <c r="IHD37" s="3"/>
      <c r="IHE37" s="3"/>
      <c r="IHF37" s="3"/>
      <c r="IHG37" s="3"/>
      <c r="IHH37" s="3"/>
      <c r="IHI37" s="3"/>
      <c r="IHJ37" s="3"/>
      <c r="IHK37" s="3"/>
      <c r="IHL37" s="3"/>
      <c r="IHM37" s="3"/>
      <c r="IHN37" s="3"/>
      <c r="IHO37" s="3"/>
      <c r="IHP37" s="3"/>
      <c r="IHQ37" s="3"/>
      <c r="IHR37" s="3"/>
      <c r="IHS37" s="3"/>
      <c r="IHT37" s="3"/>
      <c r="IHU37" s="3"/>
      <c r="IHV37" s="3"/>
      <c r="IHW37" s="3"/>
      <c r="IHX37" s="3"/>
      <c r="IHY37" s="3"/>
      <c r="IHZ37" s="3"/>
      <c r="IIA37" s="3"/>
      <c r="IIB37" s="3"/>
      <c r="IIC37" s="3"/>
      <c r="IID37" s="3"/>
      <c r="IIE37" s="3"/>
      <c r="IIF37" s="3"/>
      <c r="IIG37" s="3"/>
      <c r="IIH37" s="3"/>
      <c r="III37" s="3"/>
      <c r="IIJ37" s="3"/>
      <c r="IIK37" s="3"/>
      <c r="IIL37" s="3"/>
      <c r="IIM37" s="3"/>
      <c r="IIN37" s="3"/>
      <c r="IIO37" s="3"/>
      <c r="IIP37" s="3"/>
      <c r="IIQ37" s="3"/>
      <c r="IIR37" s="3"/>
      <c r="IIS37" s="3"/>
      <c r="IIT37" s="3"/>
      <c r="IIU37" s="3"/>
      <c r="IIV37" s="3"/>
      <c r="IIW37" s="3"/>
      <c r="IIX37" s="3"/>
      <c r="IIY37" s="3"/>
      <c r="IIZ37" s="3"/>
      <c r="IJA37" s="3"/>
      <c r="IJB37" s="3"/>
      <c r="IJC37" s="3"/>
      <c r="IJD37" s="3"/>
      <c r="IJE37" s="3"/>
      <c r="IJF37" s="3"/>
      <c r="IJG37" s="3"/>
      <c r="IJH37" s="3"/>
      <c r="IJI37" s="3"/>
      <c r="IJJ37" s="3"/>
      <c r="IJK37" s="3"/>
      <c r="IJL37" s="3"/>
      <c r="IJM37" s="3"/>
      <c r="IJN37" s="3"/>
      <c r="IJO37" s="3"/>
      <c r="IJP37" s="3"/>
      <c r="IJQ37" s="3"/>
      <c r="IJR37" s="3"/>
      <c r="IJS37" s="3"/>
      <c r="IJT37" s="3"/>
      <c r="IJU37" s="3"/>
      <c r="IJV37" s="3"/>
      <c r="IJW37" s="3"/>
      <c r="IJX37" s="3"/>
      <c r="IJY37" s="3"/>
      <c r="IJZ37" s="3"/>
      <c r="IKA37" s="3"/>
      <c r="IKB37" s="3"/>
      <c r="IKC37" s="3"/>
      <c r="IKD37" s="3"/>
      <c r="IKE37" s="3"/>
      <c r="IKF37" s="3"/>
      <c r="IKG37" s="3"/>
      <c r="IKH37" s="3"/>
      <c r="IKI37" s="3"/>
      <c r="IKJ37" s="3"/>
      <c r="IKK37" s="3"/>
      <c r="IKL37" s="3"/>
      <c r="IKM37" s="3"/>
      <c r="IKN37" s="3"/>
      <c r="IKO37" s="3"/>
      <c r="IKP37" s="3"/>
      <c r="IKQ37" s="3"/>
      <c r="IKR37" s="3"/>
      <c r="IKS37" s="3"/>
      <c r="IKT37" s="3"/>
      <c r="IKU37" s="3"/>
      <c r="IKV37" s="3"/>
      <c r="IKW37" s="3"/>
      <c r="IKX37" s="3"/>
      <c r="IKY37" s="3"/>
      <c r="IKZ37" s="3"/>
      <c r="ILA37" s="3"/>
      <c r="ILB37" s="3"/>
      <c r="ILC37" s="3"/>
      <c r="ILD37" s="3"/>
      <c r="ILE37" s="3"/>
      <c r="ILF37" s="3"/>
      <c r="ILG37" s="3"/>
      <c r="ILH37" s="3"/>
      <c r="ILI37" s="3"/>
      <c r="ILJ37" s="3"/>
      <c r="ILK37" s="3"/>
      <c r="ILL37" s="3"/>
      <c r="ILM37" s="3"/>
      <c r="ILN37" s="3"/>
      <c r="ILO37" s="3"/>
      <c r="ILP37" s="3"/>
      <c r="ILQ37" s="3"/>
      <c r="ILR37" s="3"/>
      <c r="ILS37" s="3"/>
      <c r="ILT37" s="3"/>
      <c r="ILU37" s="3"/>
      <c r="ILV37" s="3"/>
      <c r="ILW37" s="3"/>
      <c r="ILX37" s="3"/>
      <c r="ILY37" s="3"/>
      <c r="ILZ37" s="3"/>
      <c r="IMA37" s="3"/>
      <c r="IMB37" s="3"/>
      <c r="IMC37" s="3"/>
      <c r="IMD37" s="3"/>
      <c r="IME37" s="3"/>
      <c r="IMF37" s="3"/>
      <c r="IMG37" s="3"/>
      <c r="IMH37" s="3"/>
      <c r="IMI37" s="3"/>
      <c r="IMJ37" s="3"/>
      <c r="IMK37" s="3"/>
      <c r="IML37" s="3"/>
      <c r="IMM37" s="3"/>
      <c r="IMN37" s="3"/>
      <c r="IMO37" s="3"/>
      <c r="IMP37" s="3"/>
      <c r="IMQ37" s="3"/>
      <c r="IMR37" s="3"/>
      <c r="IMS37" s="3"/>
      <c r="IMT37" s="3"/>
      <c r="IMU37" s="3"/>
      <c r="IMV37" s="3"/>
      <c r="IMW37" s="3"/>
      <c r="IMX37" s="3"/>
      <c r="IMY37" s="3"/>
      <c r="IMZ37" s="3"/>
      <c r="INA37" s="3"/>
      <c r="INB37" s="3"/>
      <c r="INC37" s="3"/>
      <c r="IND37" s="3"/>
      <c r="INE37" s="3"/>
      <c r="INF37" s="3"/>
      <c r="ING37" s="3"/>
      <c r="INH37" s="3"/>
      <c r="INI37" s="3"/>
      <c r="INJ37" s="3"/>
      <c r="INK37" s="3"/>
      <c r="INL37" s="3"/>
      <c r="INM37" s="3"/>
      <c r="INN37" s="3"/>
      <c r="INO37" s="3"/>
      <c r="INP37" s="3"/>
      <c r="INQ37" s="3"/>
      <c r="INR37" s="3"/>
      <c r="INS37" s="3"/>
      <c r="INT37" s="3"/>
      <c r="INU37" s="3"/>
      <c r="INV37" s="3"/>
      <c r="INW37" s="3"/>
      <c r="INX37" s="3"/>
      <c r="INY37" s="3"/>
      <c r="INZ37" s="3"/>
      <c r="IOA37" s="3"/>
      <c r="IOB37" s="3"/>
      <c r="IOC37" s="3"/>
      <c r="IOD37" s="3"/>
      <c r="IOE37" s="3"/>
      <c r="IOF37" s="3"/>
      <c r="IOG37" s="3"/>
      <c r="IOH37" s="3"/>
      <c r="IOI37" s="3"/>
      <c r="IOJ37" s="3"/>
      <c r="IOK37" s="3"/>
      <c r="IOL37" s="3"/>
      <c r="IOM37" s="3"/>
      <c r="ION37" s="3"/>
      <c r="IOO37" s="3"/>
      <c r="IOP37" s="3"/>
      <c r="IOQ37" s="3"/>
      <c r="IOR37" s="3"/>
      <c r="IOS37" s="3"/>
      <c r="IOT37" s="3"/>
      <c r="IOU37" s="3"/>
      <c r="IOV37" s="3"/>
      <c r="IOW37" s="3"/>
      <c r="IOX37" s="3"/>
      <c r="IOY37" s="3"/>
      <c r="IOZ37" s="3"/>
      <c r="IPA37" s="3"/>
      <c r="IPB37" s="3"/>
      <c r="IPC37" s="3"/>
      <c r="IPD37" s="3"/>
      <c r="IPE37" s="3"/>
      <c r="IPF37" s="3"/>
      <c r="IPG37" s="3"/>
      <c r="IPH37" s="3"/>
      <c r="IPI37" s="3"/>
      <c r="IPJ37" s="3"/>
      <c r="IPK37" s="3"/>
      <c r="IPL37" s="3"/>
      <c r="IPM37" s="3"/>
      <c r="IPN37" s="3"/>
      <c r="IPO37" s="3"/>
      <c r="IPP37" s="3"/>
      <c r="IPQ37" s="3"/>
      <c r="IPR37" s="3"/>
      <c r="IPS37" s="3"/>
      <c r="IPT37" s="3"/>
      <c r="IPU37" s="3"/>
      <c r="IPV37" s="3"/>
      <c r="IPW37" s="3"/>
      <c r="IPX37" s="3"/>
      <c r="IPY37" s="3"/>
      <c r="IPZ37" s="3"/>
      <c r="IQA37" s="3"/>
      <c r="IQB37" s="3"/>
      <c r="IQC37" s="3"/>
      <c r="IQD37" s="3"/>
      <c r="IQE37" s="3"/>
      <c r="IQF37" s="3"/>
      <c r="IQG37" s="3"/>
      <c r="IQH37" s="3"/>
      <c r="IQI37" s="3"/>
      <c r="IQJ37" s="3"/>
      <c r="IQK37" s="3"/>
      <c r="IQL37" s="3"/>
      <c r="IQM37" s="3"/>
      <c r="IQN37" s="3"/>
      <c r="IQO37" s="3"/>
      <c r="IQP37" s="3"/>
      <c r="IQQ37" s="3"/>
      <c r="IQR37" s="3"/>
      <c r="IQS37" s="3"/>
      <c r="IQT37" s="3"/>
      <c r="IQU37" s="3"/>
      <c r="IQV37" s="3"/>
      <c r="IQW37" s="3"/>
      <c r="IQX37" s="3"/>
      <c r="IQY37" s="3"/>
      <c r="IQZ37" s="3"/>
      <c r="IRA37" s="3"/>
      <c r="IRB37" s="3"/>
      <c r="IRC37" s="3"/>
      <c r="IRD37" s="3"/>
      <c r="IRE37" s="3"/>
      <c r="IRF37" s="3"/>
      <c r="IRG37" s="3"/>
      <c r="IRH37" s="3"/>
      <c r="IRI37" s="3"/>
      <c r="IRJ37" s="3"/>
      <c r="IRK37" s="3"/>
      <c r="IRL37" s="3"/>
      <c r="IRM37" s="3"/>
      <c r="IRN37" s="3"/>
      <c r="IRO37" s="3"/>
      <c r="IRP37" s="3"/>
      <c r="IRQ37" s="3"/>
      <c r="IRR37" s="3"/>
      <c r="IRS37" s="3"/>
      <c r="IRT37" s="3"/>
      <c r="IRU37" s="3"/>
      <c r="IRV37" s="3"/>
      <c r="IRW37" s="3"/>
      <c r="IRX37" s="3"/>
      <c r="IRY37" s="3"/>
      <c r="IRZ37" s="3"/>
      <c r="ISA37" s="3"/>
      <c r="ISB37" s="3"/>
      <c r="ISC37" s="3"/>
      <c r="ISD37" s="3"/>
      <c r="ISE37" s="3"/>
      <c r="ISF37" s="3"/>
      <c r="ISG37" s="3"/>
      <c r="ISH37" s="3"/>
      <c r="ISI37" s="3"/>
      <c r="ISJ37" s="3"/>
      <c r="ISK37" s="3"/>
      <c r="ISL37" s="3"/>
      <c r="ISM37" s="3"/>
      <c r="ISN37" s="3"/>
      <c r="ISO37" s="3"/>
      <c r="ISP37" s="3"/>
      <c r="ISQ37" s="3"/>
      <c r="ISR37" s="3"/>
      <c r="ISS37" s="3"/>
      <c r="IST37" s="3"/>
      <c r="ISU37" s="3"/>
      <c r="ISV37" s="3"/>
      <c r="ISW37" s="3"/>
      <c r="ISX37" s="3"/>
      <c r="ISY37" s="3"/>
      <c r="ISZ37" s="3"/>
      <c r="ITA37" s="3"/>
      <c r="ITB37" s="3"/>
      <c r="ITC37" s="3"/>
      <c r="ITD37" s="3"/>
      <c r="ITE37" s="3"/>
      <c r="ITF37" s="3"/>
      <c r="ITG37" s="3"/>
      <c r="ITH37" s="3"/>
      <c r="ITI37" s="3"/>
      <c r="ITJ37" s="3"/>
      <c r="ITK37" s="3"/>
      <c r="ITL37" s="3"/>
      <c r="ITM37" s="3"/>
      <c r="ITN37" s="3"/>
      <c r="ITO37" s="3"/>
      <c r="ITP37" s="3"/>
      <c r="ITQ37" s="3"/>
      <c r="ITR37" s="3"/>
      <c r="ITS37" s="3"/>
      <c r="ITT37" s="3"/>
      <c r="ITU37" s="3"/>
      <c r="ITV37" s="3"/>
      <c r="ITW37" s="3"/>
      <c r="ITX37" s="3"/>
      <c r="ITY37" s="3"/>
      <c r="ITZ37" s="3"/>
      <c r="IUA37" s="3"/>
      <c r="IUB37" s="3"/>
      <c r="IUC37" s="3"/>
      <c r="IUD37" s="3"/>
      <c r="IUE37" s="3"/>
      <c r="IUF37" s="3"/>
      <c r="IUG37" s="3"/>
      <c r="IUH37" s="3"/>
      <c r="IUI37" s="3"/>
      <c r="IUJ37" s="3"/>
      <c r="IUK37" s="3"/>
      <c r="IUL37" s="3"/>
      <c r="IUM37" s="3"/>
      <c r="IUN37" s="3"/>
      <c r="IUO37" s="3"/>
      <c r="IUP37" s="3"/>
      <c r="IUQ37" s="3"/>
      <c r="IUR37" s="3"/>
      <c r="IUS37" s="3"/>
      <c r="IUT37" s="3"/>
      <c r="IUU37" s="3"/>
      <c r="IUV37" s="3"/>
      <c r="IUW37" s="3"/>
      <c r="IUX37" s="3"/>
      <c r="IUY37" s="3"/>
      <c r="IUZ37" s="3"/>
      <c r="IVA37" s="3"/>
      <c r="IVB37" s="3"/>
      <c r="IVC37" s="3"/>
      <c r="IVD37" s="3"/>
      <c r="IVE37" s="3"/>
      <c r="IVF37" s="3"/>
      <c r="IVG37" s="3"/>
      <c r="IVH37" s="3"/>
      <c r="IVI37" s="3"/>
      <c r="IVJ37" s="3"/>
      <c r="IVK37" s="3"/>
      <c r="IVL37" s="3"/>
      <c r="IVM37" s="3"/>
      <c r="IVN37" s="3"/>
      <c r="IVO37" s="3"/>
      <c r="IVP37" s="3"/>
      <c r="IVQ37" s="3"/>
      <c r="IVR37" s="3"/>
      <c r="IVS37" s="3"/>
      <c r="IVT37" s="3"/>
      <c r="IVU37" s="3"/>
      <c r="IVV37" s="3"/>
      <c r="IVW37" s="3"/>
      <c r="IVX37" s="3"/>
      <c r="IVY37" s="3"/>
      <c r="IVZ37" s="3"/>
      <c r="IWA37" s="3"/>
      <c r="IWB37" s="3"/>
      <c r="IWC37" s="3"/>
      <c r="IWD37" s="3"/>
      <c r="IWE37" s="3"/>
      <c r="IWF37" s="3"/>
      <c r="IWG37" s="3"/>
      <c r="IWH37" s="3"/>
      <c r="IWI37" s="3"/>
      <c r="IWJ37" s="3"/>
      <c r="IWK37" s="3"/>
      <c r="IWL37" s="3"/>
      <c r="IWM37" s="3"/>
      <c r="IWN37" s="3"/>
      <c r="IWO37" s="3"/>
      <c r="IWP37" s="3"/>
      <c r="IWQ37" s="3"/>
      <c r="IWR37" s="3"/>
      <c r="IWS37" s="3"/>
      <c r="IWT37" s="3"/>
      <c r="IWU37" s="3"/>
      <c r="IWV37" s="3"/>
      <c r="IWW37" s="3"/>
      <c r="IWX37" s="3"/>
      <c r="IWY37" s="3"/>
      <c r="IWZ37" s="3"/>
      <c r="IXA37" s="3"/>
      <c r="IXB37" s="3"/>
      <c r="IXC37" s="3"/>
      <c r="IXD37" s="3"/>
      <c r="IXE37" s="3"/>
      <c r="IXF37" s="3"/>
      <c r="IXG37" s="3"/>
      <c r="IXH37" s="3"/>
      <c r="IXI37" s="3"/>
      <c r="IXJ37" s="3"/>
      <c r="IXK37" s="3"/>
      <c r="IXL37" s="3"/>
      <c r="IXM37" s="3"/>
      <c r="IXN37" s="3"/>
      <c r="IXO37" s="3"/>
      <c r="IXP37" s="3"/>
      <c r="IXQ37" s="3"/>
      <c r="IXR37" s="3"/>
      <c r="IXS37" s="3"/>
      <c r="IXT37" s="3"/>
      <c r="IXU37" s="3"/>
      <c r="IXV37" s="3"/>
      <c r="IXW37" s="3"/>
      <c r="IXX37" s="3"/>
      <c r="IXY37" s="3"/>
      <c r="IXZ37" s="3"/>
      <c r="IYA37" s="3"/>
      <c r="IYB37" s="3"/>
      <c r="IYC37" s="3"/>
      <c r="IYD37" s="3"/>
      <c r="IYE37" s="3"/>
      <c r="IYF37" s="3"/>
      <c r="IYG37" s="3"/>
      <c r="IYH37" s="3"/>
      <c r="IYI37" s="3"/>
      <c r="IYJ37" s="3"/>
      <c r="IYK37" s="3"/>
      <c r="IYL37" s="3"/>
      <c r="IYM37" s="3"/>
      <c r="IYN37" s="3"/>
      <c r="IYO37" s="3"/>
      <c r="IYP37" s="3"/>
      <c r="IYQ37" s="3"/>
      <c r="IYR37" s="3"/>
      <c r="IYS37" s="3"/>
      <c r="IYT37" s="3"/>
      <c r="IYU37" s="3"/>
      <c r="IYV37" s="3"/>
      <c r="IYW37" s="3"/>
      <c r="IYX37" s="3"/>
      <c r="IYY37" s="3"/>
      <c r="IYZ37" s="3"/>
      <c r="IZA37" s="3"/>
      <c r="IZB37" s="3"/>
      <c r="IZC37" s="3"/>
      <c r="IZD37" s="3"/>
      <c r="IZE37" s="3"/>
      <c r="IZF37" s="3"/>
      <c r="IZG37" s="3"/>
      <c r="IZH37" s="3"/>
      <c r="IZI37" s="3"/>
      <c r="IZJ37" s="3"/>
      <c r="IZK37" s="3"/>
      <c r="IZL37" s="3"/>
      <c r="IZM37" s="3"/>
      <c r="IZN37" s="3"/>
      <c r="IZO37" s="3"/>
      <c r="IZP37" s="3"/>
      <c r="IZQ37" s="3"/>
      <c r="IZR37" s="3"/>
      <c r="IZS37" s="3"/>
      <c r="IZT37" s="3"/>
      <c r="IZU37" s="3"/>
      <c r="IZV37" s="3"/>
      <c r="IZW37" s="3"/>
      <c r="IZX37" s="3"/>
      <c r="IZY37" s="3"/>
      <c r="IZZ37" s="3"/>
      <c r="JAA37" s="3"/>
      <c r="JAB37" s="3"/>
      <c r="JAC37" s="3"/>
      <c r="JAD37" s="3"/>
      <c r="JAE37" s="3"/>
      <c r="JAF37" s="3"/>
      <c r="JAG37" s="3"/>
      <c r="JAH37" s="3"/>
      <c r="JAI37" s="3"/>
      <c r="JAJ37" s="3"/>
      <c r="JAK37" s="3"/>
      <c r="JAL37" s="3"/>
      <c r="JAM37" s="3"/>
      <c r="JAN37" s="3"/>
      <c r="JAO37" s="3"/>
      <c r="JAP37" s="3"/>
      <c r="JAQ37" s="3"/>
      <c r="JAR37" s="3"/>
      <c r="JAS37" s="3"/>
      <c r="JAT37" s="3"/>
      <c r="JAU37" s="3"/>
      <c r="JAV37" s="3"/>
      <c r="JAW37" s="3"/>
      <c r="JAX37" s="3"/>
      <c r="JAY37" s="3"/>
      <c r="JAZ37" s="3"/>
      <c r="JBA37" s="3"/>
      <c r="JBB37" s="3"/>
      <c r="JBC37" s="3"/>
      <c r="JBD37" s="3"/>
      <c r="JBE37" s="3"/>
      <c r="JBF37" s="3"/>
      <c r="JBG37" s="3"/>
      <c r="JBH37" s="3"/>
      <c r="JBI37" s="3"/>
      <c r="JBJ37" s="3"/>
      <c r="JBK37" s="3"/>
      <c r="JBL37" s="3"/>
      <c r="JBM37" s="3"/>
      <c r="JBN37" s="3"/>
      <c r="JBO37" s="3"/>
      <c r="JBP37" s="3"/>
      <c r="JBQ37" s="3"/>
      <c r="JBR37" s="3"/>
      <c r="JBS37" s="3"/>
      <c r="JBT37" s="3"/>
      <c r="JBU37" s="3"/>
      <c r="JBV37" s="3"/>
      <c r="JBW37" s="3"/>
      <c r="JBX37" s="3"/>
      <c r="JBY37" s="3"/>
      <c r="JBZ37" s="3"/>
      <c r="JCA37" s="3"/>
      <c r="JCB37" s="3"/>
      <c r="JCC37" s="3"/>
      <c r="JCD37" s="3"/>
      <c r="JCE37" s="3"/>
      <c r="JCF37" s="3"/>
      <c r="JCG37" s="3"/>
      <c r="JCH37" s="3"/>
      <c r="JCI37" s="3"/>
      <c r="JCJ37" s="3"/>
      <c r="JCK37" s="3"/>
      <c r="JCL37" s="3"/>
      <c r="JCM37" s="3"/>
      <c r="JCN37" s="3"/>
      <c r="JCO37" s="3"/>
      <c r="JCP37" s="3"/>
      <c r="JCQ37" s="3"/>
      <c r="JCR37" s="3"/>
      <c r="JCS37" s="3"/>
      <c r="JCT37" s="3"/>
      <c r="JCU37" s="3"/>
      <c r="JCV37" s="3"/>
      <c r="JCW37" s="3"/>
      <c r="JCX37" s="3"/>
      <c r="JCY37" s="3"/>
      <c r="JCZ37" s="3"/>
      <c r="JDA37" s="3"/>
      <c r="JDB37" s="3"/>
      <c r="JDC37" s="3"/>
      <c r="JDD37" s="3"/>
      <c r="JDE37" s="3"/>
      <c r="JDF37" s="3"/>
      <c r="JDG37" s="3"/>
      <c r="JDH37" s="3"/>
      <c r="JDI37" s="3"/>
      <c r="JDJ37" s="3"/>
      <c r="JDK37" s="3"/>
      <c r="JDL37" s="3"/>
      <c r="JDM37" s="3"/>
      <c r="JDN37" s="3"/>
      <c r="JDO37" s="3"/>
      <c r="JDP37" s="3"/>
      <c r="JDQ37" s="3"/>
      <c r="JDR37" s="3"/>
      <c r="JDS37" s="3"/>
      <c r="JDT37" s="3"/>
      <c r="JDU37" s="3"/>
      <c r="JDV37" s="3"/>
      <c r="JDW37" s="3"/>
      <c r="JDX37" s="3"/>
      <c r="JDY37" s="3"/>
      <c r="JDZ37" s="3"/>
      <c r="JEA37" s="3"/>
      <c r="JEB37" s="3"/>
      <c r="JEC37" s="3"/>
      <c r="JED37" s="3"/>
      <c r="JEE37" s="3"/>
      <c r="JEF37" s="3"/>
      <c r="JEG37" s="3"/>
      <c r="JEH37" s="3"/>
      <c r="JEI37" s="3"/>
      <c r="JEJ37" s="3"/>
      <c r="JEK37" s="3"/>
      <c r="JEL37" s="3"/>
      <c r="JEM37" s="3"/>
      <c r="JEN37" s="3"/>
      <c r="JEO37" s="3"/>
      <c r="JEP37" s="3"/>
      <c r="JEQ37" s="3"/>
      <c r="JER37" s="3"/>
      <c r="JES37" s="3"/>
      <c r="JET37" s="3"/>
      <c r="JEU37" s="3"/>
      <c r="JEV37" s="3"/>
      <c r="JEW37" s="3"/>
      <c r="JEX37" s="3"/>
      <c r="JEY37" s="3"/>
      <c r="JEZ37" s="3"/>
      <c r="JFA37" s="3"/>
      <c r="JFB37" s="3"/>
      <c r="JFC37" s="3"/>
      <c r="JFD37" s="3"/>
      <c r="JFE37" s="3"/>
      <c r="JFF37" s="3"/>
      <c r="JFG37" s="3"/>
      <c r="JFH37" s="3"/>
      <c r="JFI37" s="3"/>
      <c r="JFJ37" s="3"/>
      <c r="JFK37" s="3"/>
      <c r="JFL37" s="3"/>
      <c r="JFM37" s="3"/>
      <c r="JFN37" s="3"/>
      <c r="JFO37" s="3"/>
      <c r="JFP37" s="3"/>
      <c r="JFQ37" s="3"/>
      <c r="JFR37" s="3"/>
      <c r="JFS37" s="3"/>
      <c r="JFT37" s="3"/>
      <c r="JFU37" s="3"/>
      <c r="JFV37" s="3"/>
      <c r="JFW37" s="3"/>
      <c r="JFX37" s="3"/>
      <c r="JFY37" s="3"/>
      <c r="JFZ37" s="3"/>
      <c r="JGA37" s="3"/>
      <c r="JGB37" s="3"/>
      <c r="JGC37" s="3"/>
      <c r="JGD37" s="3"/>
      <c r="JGE37" s="3"/>
      <c r="JGF37" s="3"/>
      <c r="JGG37" s="3"/>
      <c r="JGH37" s="3"/>
      <c r="JGI37" s="3"/>
      <c r="JGJ37" s="3"/>
      <c r="JGK37" s="3"/>
      <c r="JGL37" s="3"/>
      <c r="JGM37" s="3"/>
      <c r="JGN37" s="3"/>
      <c r="JGO37" s="3"/>
      <c r="JGP37" s="3"/>
      <c r="JGQ37" s="3"/>
      <c r="JGR37" s="3"/>
      <c r="JGS37" s="3"/>
      <c r="JGT37" s="3"/>
      <c r="JGU37" s="3"/>
      <c r="JGV37" s="3"/>
      <c r="JGW37" s="3"/>
      <c r="JGX37" s="3"/>
      <c r="JGY37" s="3"/>
      <c r="JGZ37" s="3"/>
      <c r="JHA37" s="3"/>
      <c r="JHB37" s="3"/>
      <c r="JHC37" s="3"/>
      <c r="JHD37" s="3"/>
      <c r="JHE37" s="3"/>
      <c r="JHF37" s="3"/>
      <c r="JHG37" s="3"/>
      <c r="JHH37" s="3"/>
      <c r="JHI37" s="3"/>
      <c r="JHJ37" s="3"/>
      <c r="JHK37" s="3"/>
      <c r="JHL37" s="3"/>
      <c r="JHM37" s="3"/>
      <c r="JHN37" s="3"/>
      <c r="JHO37" s="3"/>
      <c r="JHP37" s="3"/>
      <c r="JHQ37" s="3"/>
      <c r="JHR37" s="3"/>
      <c r="JHS37" s="3"/>
      <c r="JHT37" s="3"/>
      <c r="JHU37" s="3"/>
      <c r="JHV37" s="3"/>
      <c r="JHW37" s="3"/>
      <c r="JHX37" s="3"/>
      <c r="JHY37" s="3"/>
      <c r="JHZ37" s="3"/>
      <c r="JIA37" s="3"/>
      <c r="JIB37" s="3"/>
      <c r="JIC37" s="3"/>
      <c r="JID37" s="3"/>
      <c r="JIE37" s="3"/>
      <c r="JIF37" s="3"/>
      <c r="JIG37" s="3"/>
      <c r="JIH37" s="3"/>
      <c r="JII37" s="3"/>
      <c r="JIJ37" s="3"/>
      <c r="JIK37" s="3"/>
      <c r="JIL37" s="3"/>
      <c r="JIM37" s="3"/>
      <c r="JIN37" s="3"/>
      <c r="JIO37" s="3"/>
      <c r="JIP37" s="3"/>
      <c r="JIQ37" s="3"/>
      <c r="JIR37" s="3"/>
      <c r="JIS37" s="3"/>
      <c r="JIT37" s="3"/>
      <c r="JIU37" s="3"/>
      <c r="JIV37" s="3"/>
      <c r="JIW37" s="3"/>
      <c r="JIX37" s="3"/>
      <c r="JIY37" s="3"/>
      <c r="JIZ37" s="3"/>
      <c r="JJA37" s="3"/>
      <c r="JJB37" s="3"/>
      <c r="JJC37" s="3"/>
      <c r="JJD37" s="3"/>
      <c r="JJE37" s="3"/>
      <c r="JJF37" s="3"/>
      <c r="JJG37" s="3"/>
      <c r="JJH37" s="3"/>
      <c r="JJI37" s="3"/>
      <c r="JJJ37" s="3"/>
      <c r="JJK37" s="3"/>
      <c r="JJL37" s="3"/>
      <c r="JJM37" s="3"/>
      <c r="JJN37" s="3"/>
      <c r="JJO37" s="3"/>
      <c r="JJP37" s="3"/>
      <c r="JJQ37" s="3"/>
      <c r="JJR37" s="3"/>
      <c r="JJS37" s="3"/>
      <c r="JJT37" s="3"/>
      <c r="JJU37" s="3"/>
      <c r="JJV37" s="3"/>
      <c r="JJW37" s="3"/>
      <c r="JJX37" s="3"/>
      <c r="JJY37" s="3"/>
      <c r="JJZ37" s="3"/>
      <c r="JKA37" s="3"/>
      <c r="JKB37" s="3"/>
      <c r="JKC37" s="3"/>
      <c r="JKD37" s="3"/>
      <c r="JKE37" s="3"/>
      <c r="JKF37" s="3"/>
      <c r="JKG37" s="3"/>
      <c r="JKH37" s="3"/>
      <c r="JKI37" s="3"/>
      <c r="JKJ37" s="3"/>
      <c r="JKK37" s="3"/>
      <c r="JKL37" s="3"/>
      <c r="JKM37" s="3"/>
      <c r="JKN37" s="3"/>
      <c r="JKO37" s="3"/>
      <c r="JKP37" s="3"/>
      <c r="JKQ37" s="3"/>
      <c r="JKR37" s="3"/>
      <c r="JKS37" s="3"/>
      <c r="JKT37" s="3"/>
      <c r="JKU37" s="3"/>
      <c r="JKV37" s="3"/>
      <c r="JKW37" s="3"/>
      <c r="JKX37" s="3"/>
      <c r="JKY37" s="3"/>
      <c r="JKZ37" s="3"/>
      <c r="JLA37" s="3"/>
      <c r="JLB37" s="3"/>
      <c r="JLC37" s="3"/>
      <c r="JLD37" s="3"/>
      <c r="JLE37" s="3"/>
      <c r="JLF37" s="3"/>
      <c r="JLG37" s="3"/>
      <c r="JLH37" s="3"/>
      <c r="JLI37" s="3"/>
      <c r="JLJ37" s="3"/>
      <c r="JLK37" s="3"/>
      <c r="JLL37" s="3"/>
      <c r="JLM37" s="3"/>
      <c r="JLN37" s="3"/>
      <c r="JLO37" s="3"/>
      <c r="JLP37" s="3"/>
      <c r="JLQ37" s="3"/>
      <c r="JLR37" s="3"/>
      <c r="JLS37" s="3"/>
      <c r="JLT37" s="3"/>
      <c r="JLU37" s="3"/>
      <c r="JLV37" s="3"/>
      <c r="JLW37" s="3"/>
      <c r="JLX37" s="3"/>
      <c r="JLY37" s="3"/>
      <c r="JLZ37" s="3"/>
      <c r="JMA37" s="3"/>
      <c r="JMB37" s="3"/>
      <c r="JMC37" s="3"/>
      <c r="JMD37" s="3"/>
      <c r="JME37" s="3"/>
      <c r="JMF37" s="3"/>
      <c r="JMG37" s="3"/>
      <c r="JMH37" s="3"/>
      <c r="JMI37" s="3"/>
      <c r="JMJ37" s="3"/>
      <c r="JMK37" s="3"/>
      <c r="JML37" s="3"/>
      <c r="JMM37" s="3"/>
      <c r="JMN37" s="3"/>
      <c r="JMO37" s="3"/>
      <c r="JMP37" s="3"/>
      <c r="JMQ37" s="3"/>
      <c r="JMR37" s="3"/>
      <c r="JMS37" s="3"/>
      <c r="JMT37" s="3"/>
      <c r="JMU37" s="3"/>
      <c r="JMV37" s="3"/>
      <c r="JMW37" s="3"/>
      <c r="JMX37" s="3"/>
      <c r="JMY37" s="3"/>
      <c r="JMZ37" s="3"/>
      <c r="JNA37" s="3"/>
      <c r="JNB37" s="3"/>
      <c r="JNC37" s="3"/>
      <c r="JND37" s="3"/>
      <c r="JNE37" s="3"/>
      <c r="JNF37" s="3"/>
      <c r="JNG37" s="3"/>
      <c r="JNH37" s="3"/>
      <c r="JNI37" s="3"/>
      <c r="JNJ37" s="3"/>
      <c r="JNK37" s="3"/>
      <c r="JNL37" s="3"/>
      <c r="JNM37" s="3"/>
      <c r="JNN37" s="3"/>
      <c r="JNO37" s="3"/>
      <c r="JNP37" s="3"/>
      <c r="JNQ37" s="3"/>
      <c r="JNR37" s="3"/>
      <c r="JNS37" s="3"/>
      <c r="JNT37" s="3"/>
      <c r="JNU37" s="3"/>
      <c r="JNV37" s="3"/>
      <c r="JNW37" s="3"/>
      <c r="JNX37" s="3"/>
      <c r="JNY37" s="3"/>
      <c r="JNZ37" s="3"/>
      <c r="JOA37" s="3"/>
      <c r="JOB37" s="3"/>
      <c r="JOC37" s="3"/>
      <c r="JOD37" s="3"/>
      <c r="JOE37" s="3"/>
      <c r="JOF37" s="3"/>
      <c r="JOG37" s="3"/>
      <c r="JOH37" s="3"/>
      <c r="JOI37" s="3"/>
      <c r="JOJ37" s="3"/>
      <c r="JOK37" s="3"/>
      <c r="JOL37" s="3"/>
      <c r="JOM37" s="3"/>
      <c r="JON37" s="3"/>
      <c r="JOO37" s="3"/>
      <c r="JOP37" s="3"/>
      <c r="JOQ37" s="3"/>
      <c r="JOR37" s="3"/>
      <c r="JOS37" s="3"/>
      <c r="JOT37" s="3"/>
      <c r="JOU37" s="3"/>
      <c r="JOV37" s="3"/>
      <c r="JOW37" s="3"/>
      <c r="JOX37" s="3"/>
      <c r="JOY37" s="3"/>
      <c r="JOZ37" s="3"/>
      <c r="JPA37" s="3"/>
      <c r="JPB37" s="3"/>
      <c r="JPC37" s="3"/>
      <c r="JPD37" s="3"/>
      <c r="JPE37" s="3"/>
      <c r="JPF37" s="3"/>
      <c r="JPG37" s="3"/>
      <c r="JPH37" s="3"/>
      <c r="JPI37" s="3"/>
      <c r="JPJ37" s="3"/>
      <c r="JPK37" s="3"/>
      <c r="JPL37" s="3"/>
      <c r="JPM37" s="3"/>
      <c r="JPN37" s="3"/>
      <c r="JPO37" s="3"/>
      <c r="JPP37" s="3"/>
      <c r="JPQ37" s="3"/>
      <c r="JPR37" s="3"/>
      <c r="JPS37" s="3"/>
      <c r="JPT37" s="3"/>
      <c r="JPU37" s="3"/>
      <c r="JPV37" s="3"/>
      <c r="JPW37" s="3"/>
      <c r="JPX37" s="3"/>
      <c r="JPY37" s="3"/>
      <c r="JPZ37" s="3"/>
      <c r="JQA37" s="3"/>
      <c r="JQB37" s="3"/>
      <c r="JQC37" s="3"/>
      <c r="JQD37" s="3"/>
      <c r="JQE37" s="3"/>
      <c r="JQF37" s="3"/>
      <c r="JQG37" s="3"/>
      <c r="JQH37" s="3"/>
      <c r="JQI37" s="3"/>
      <c r="JQJ37" s="3"/>
      <c r="JQK37" s="3"/>
      <c r="JQL37" s="3"/>
      <c r="JQM37" s="3"/>
      <c r="JQN37" s="3"/>
      <c r="JQO37" s="3"/>
      <c r="JQP37" s="3"/>
      <c r="JQQ37" s="3"/>
      <c r="JQR37" s="3"/>
      <c r="JQS37" s="3"/>
      <c r="JQT37" s="3"/>
      <c r="JQU37" s="3"/>
      <c r="JQV37" s="3"/>
      <c r="JQW37" s="3"/>
      <c r="JQX37" s="3"/>
      <c r="JQY37" s="3"/>
      <c r="JQZ37" s="3"/>
      <c r="JRA37" s="3"/>
      <c r="JRB37" s="3"/>
      <c r="JRC37" s="3"/>
      <c r="JRD37" s="3"/>
      <c r="JRE37" s="3"/>
      <c r="JRF37" s="3"/>
      <c r="JRG37" s="3"/>
      <c r="JRH37" s="3"/>
      <c r="JRI37" s="3"/>
      <c r="JRJ37" s="3"/>
      <c r="JRK37" s="3"/>
      <c r="JRL37" s="3"/>
      <c r="JRM37" s="3"/>
      <c r="JRN37" s="3"/>
      <c r="JRO37" s="3"/>
      <c r="JRP37" s="3"/>
      <c r="JRQ37" s="3"/>
      <c r="JRR37" s="3"/>
      <c r="JRS37" s="3"/>
      <c r="JRT37" s="3"/>
      <c r="JRU37" s="3"/>
      <c r="JRV37" s="3"/>
      <c r="JRW37" s="3"/>
      <c r="JRX37" s="3"/>
      <c r="JRY37" s="3"/>
      <c r="JRZ37" s="3"/>
      <c r="JSA37" s="3"/>
      <c r="JSB37" s="3"/>
      <c r="JSC37" s="3"/>
      <c r="JSD37" s="3"/>
      <c r="JSE37" s="3"/>
      <c r="JSF37" s="3"/>
      <c r="JSG37" s="3"/>
      <c r="JSH37" s="3"/>
      <c r="JSI37" s="3"/>
      <c r="JSJ37" s="3"/>
      <c r="JSK37" s="3"/>
      <c r="JSL37" s="3"/>
      <c r="JSM37" s="3"/>
      <c r="JSN37" s="3"/>
      <c r="JSO37" s="3"/>
      <c r="JSP37" s="3"/>
      <c r="JSQ37" s="3"/>
      <c r="JSR37" s="3"/>
      <c r="JSS37" s="3"/>
      <c r="JST37" s="3"/>
      <c r="JSU37" s="3"/>
      <c r="JSV37" s="3"/>
      <c r="JSW37" s="3"/>
      <c r="JSX37" s="3"/>
      <c r="JSY37" s="3"/>
      <c r="JSZ37" s="3"/>
      <c r="JTA37" s="3"/>
      <c r="JTB37" s="3"/>
      <c r="JTC37" s="3"/>
      <c r="JTD37" s="3"/>
      <c r="JTE37" s="3"/>
      <c r="JTF37" s="3"/>
      <c r="JTG37" s="3"/>
      <c r="JTH37" s="3"/>
      <c r="JTI37" s="3"/>
      <c r="JTJ37" s="3"/>
      <c r="JTK37" s="3"/>
      <c r="JTL37" s="3"/>
      <c r="JTM37" s="3"/>
      <c r="JTN37" s="3"/>
      <c r="JTO37" s="3"/>
      <c r="JTP37" s="3"/>
      <c r="JTQ37" s="3"/>
      <c r="JTR37" s="3"/>
      <c r="JTS37" s="3"/>
      <c r="JTT37" s="3"/>
      <c r="JTU37" s="3"/>
      <c r="JTV37" s="3"/>
      <c r="JTW37" s="3"/>
      <c r="JTX37" s="3"/>
      <c r="JTY37" s="3"/>
      <c r="JTZ37" s="3"/>
      <c r="JUA37" s="3"/>
      <c r="JUB37" s="3"/>
      <c r="JUC37" s="3"/>
      <c r="JUD37" s="3"/>
      <c r="JUE37" s="3"/>
      <c r="JUF37" s="3"/>
      <c r="JUG37" s="3"/>
      <c r="JUH37" s="3"/>
      <c r="JUI37" s="3"/>
      <c r="JUJ37" s="3"/>
      <c r="JUK37" s="3"/>
      <c r="JUL37" s="3"/>
      <c r="JUM37" s="3"/>
      <c r="JUN37" s="3"/>
      <c r="JUO37" s="3"/>
      <c r="JUP37" s="3"/>
      <c r="JUQ37" s="3"/>
      <c r="JUR37" s="3"/>
      <c r="JUS37" s="3"/>
      <c r="JUT37" s="3"/>
      <c r="JUU37" s="3"/>
      <c r="JUV37" s="3"/>
      <c r="JUW37" s="3"/>
      <c r="JUX37" s="3"/>
      <c r="JUY37" s="3"/>
      <c r="JUZ37" s="3"/>
      <c r="JVA37" s="3"/>
      <c r="JVB37" s="3"/>
      <c r="JVC37" s="3"/>
      <c r="JVD37" s="3"/>
      <c r="JVE37" s="3"/>
      <c r="JVF37" s="3"/>
      <c r="JVG37" s="3"/>
      <c r="JVH37" s="3"/>
      <c r="JVI37" s="3"/>
      <c r="JVJ37" s="3"/>
      <c r="JVK37" s="3"/>
      <c r="JVL37" s="3"/>
      <c r="JVM37" s="3"/>
      <c r="JVN37" s="3"/>
      <c r="JVO37" s="3"/>
      <c r="JVP37" s="3"/>
      <c r="JVQ37" s="3"/>
      <c r="JVR37" s="3"/>
      <c r="JVS37" s="3"/>
      <c r="JVT37" s="3"/>
      <c r="JVU37" s="3"/>
      <c r="JVV37" s="3"/>
      <c r="JVW37" s="3"/>
      <c r="JVX37" s="3"/>
      <c r="JVY37" s="3"/>
      <c r="JVZ37" s="3"/>
      <c r="JWA37" s="3"/>
      <c r="JWB37" s="3"/>
      <c r="JWC37" s="3"/>
      <c r="JWD37" s="3"/>
      <c r="JWE37" s="3"/>
      <c r="JWF37" s="3"/>
      <c r="JWG37" s="3"/>
      <c r="JWH37" s="3"/>
      <c r="JWI37" s="3"/>
      <c r="JWJ37" s="3"/>
      <c r="JWK37" s="3"/>
      <c r="JWL37" s="3"/>
      <c r="JWM37" s="3"/>
      <c r="JWN37" s="3"/>
      <c r="JWO37" s="3"/>
      <c r="JWP37" s="3"/>
      <c r="JWQ37" s="3"/>
      <c r="JWR37" s="3"/>
      <c r="JWS37" s="3"/>
      <c r="JWT37" s="3"/>
      <c r="JWU37" s="3"/>
      <c r="JWV37" s="3"/>
      <c r="JWW37" s="3"/>
      <c r="JWX37" s="3"/>
      <c r="JWY37" s="3"/>
      <c r="JWZ37" s="3"/>
      <c r="JXA37" s="3"/>
      <c r="JXB37" s="3"/>
      <c r="JXC37" s="3"/>
      <c r="JXD37" s="3"/>
      <c r="JXE37" s="3"/>
      <c r="JXF37" s="3"/>
      <c r="JXG37" s="3"/>
      <c r="JXH37" s="3"/>
      <c r="JXI37" s="3"/>
      <c r="JXJ37" s="3"/>
      <c r="JXK37" s="3"/>
      <c r="JXL37" s="3"/>
      <c r="JXM37" s="3"/>
      <c r="JXN37" s="3"/>
      <c r="JXO37" s="3"/>
      <c r="JXP37" s="3"/>
      <c r="JXQ37" s="3"/>
      <c r="JXR37" s="3"/>
      <c r="JXS37" s="3"/>
      <c r="JXT37" s="3"/>
      <c r="JXU37" s="3"/>
      <c r="JXV37" s="3"/>
      <c r="JXW37" s="3"/>
      <c r="JXX37" s="3"/>
      <c r="JXY37" s="3"/>
      <c r="JXZ37" s="3"/>
      <c r="JYA37" s="3"/>
      <c r="JYB37" s="3"/>
      <c r="JYC37" s="3"/>
      <c r="JYD37" s="3"/>
      <c r="JYE37" s="3"/>
      <c r="JYF37" s="3"/>
      <c r="JYG37" s="3"/>
      <c r="JYH37" s="3"/>
      <c r="JYI37" s="3"/>
      <c r="JYJ37" s="3"/>
      <c r="JYK37" s="3"/>
      <c r="JYL37" s="3"/>
      <c r="JYM37" s="3"/>
      <c r="JYN37" s="3"/>
      <c r="JYO37" s="3"/>
      <c r="JYP37" s="3"/>
      <c r="JYQ37" s="3"/>
      <c r="JYR37" s="3"/>
      <c r="JYS37" s="3"/>
      <c r="JYT37" s="3"/>
      <c r="JYU37" s="3"/>
      <c r="JYV37" s="3"/>
      <c r="JYW37" s="3"/>
      <c r="JYX37" s="3"/>
      <c r="JYY37" s="3"/>
      <c r="JYZ37" s="3"/>
      <c r="JZA37" s="3"/>
      <c r="JZB37" s="3"/>
      <c r="JZC37" s="3"/>
      <c r="JZD37" s="3"/>
      <c r="JZE37" s="3"/>
      <c r="JZF37" s="3"/>
      <c r="JZG37" s="3"/>
      <c r="JZH37" s="3"/>
      <c r="JZI37" s="3"/>
      <c r="JZJ37" s="3"/>
      <c r="JZK37" s="3"/>
      <c r="JZL37" s="3"/>
      <c r="JZM37" s="3"/>
      <c r="JZN37" s="3"/>
      <c r="JZO37" s="3"/>
      <c r="JZP37" s="3"/>
      <c r="JZQ37" s="3"/>
      <c r="JZR37" s="3"/>
      <c r="JZS37" s="3"/>
      <c r="JZT37" s="3"/>
      <c r="JZU37" s="3"/>
      <c r="JZV37" s="3"/>
      <c r="JZW37" s="3"/>
      <c r="JZX37" s="3"/>
      <c r="JZY37" s="3"/>
      <c r="JZZ37" s="3"/>
      <c r="KAA37" s="3"/>
      <c r="KAB37" s="3"/>
      <c r="KAC37" s="3"/>
      <c r="KAD37" s="3"/>
      <c r="KAE37" s="3"/>
      <c r="KAF37" s="3"/>
      <c r="KAG37" s="3"/>
      <c r="KAH37" s="3"/>
      <c r="KAI37" s="3"/>
      <c r="KAJ37" s="3"/>
      <c r="KAK37" s="3"/>
      <c r="KAL37" s="3"/>
      <c r="KAM37" s="3"/>
      <c r="KAN37" s="3"/>
      <c r="KAO37" s="3"/>
      <c r="KAP37" s="3"/>
      <c r="KAQ37" s="3"/>
      <c r="KAR37" s="3"/>
      <c r="KAS37" s="3"/>
      <c r="KAT37" s="3"/>
      <c r="KAU37" s="3"/>
      <c r="KAV37" s="3"/>
      <c r="KAW37" s="3"/>
      <c r="KAX37" s="3"/>
      <c r="KAY37" s="3"/>
      <c r="KAZ37" s="3"/>
      <c r="KBA37" s="3"/>
      <c r="KBB37" s="3"/>
      <c r="KBC37" s="3"/>
      <c r="KBD37" s="3"/>
      <c r="KBE37" s="3"/>
      <c r="KBF37" s="3"/>
      <c r="KBG37" s="3"/>
      <c r="KBH37" s="3"/>
      <c r="KBI37" s="3"/>
      <c r="KBJ37" s="3"/>
      <c r="KBK37" s="3"/>
      <c r="KBL37" s="3"/>
      <c r="KBM37" s="3"/>
      <c r="KBN37" s="3"/>
      <c r="KBO37" s="3"/>
      <c r="KBP37" s="3"/>
      <c r="KBQ37" s="3"/>
      <c r="KBR37" s="3"/>
      <c r="KBS37" s="3"/>
      <c r="KBT37" s="3"/>
      <c r="KBU37" s="3"/>
      <c r="KBV37" s="3"/>
      <c r="KBW37" s="3"/>
      <c r="KBX37" s="3"/>
      <c r="KBY37" s="3"/>
      <c r="KBZ37" s="3"/>
      <c r="KCA37" s="3"/>
      <c r="KCB37" s="3"/>
      <c r="KCC37" s="3"/>
      <c r="KCD37" s="3"/>
      <c r="KCE37" s="3"/>
      <c r="KCF37" s="3"/>
      <c r="KCG37" s="3"/>
      <c r="KCH37" s="3"/>
      <c r="KCI37" s="3"/>
      <c r="KCJ37" s="3"/>
      <c r="KCK37" s="3"/>
      <c r="KCL37" s="3"/>
      <c r="KCM37" s="3"/>
      <c r="KCN37" s="3"/>
      <c r="KCO37" s="3"/>
      <c r="KCP37" s="3"/>
      <c r="KCQ37" s="3"/>
      <c r="KCR37" s="3"/>
      <c r="KCS37" s="3"/>
      <c r="KCT37" s="3"/>
      <c r="KCU37" s="3"/>
      <c r="KCV37" s="3"/>
      <c r="KCW37" s="3"/>
      <c r="KCX37" s="3"/>
      <c r="KCY37" s="3"/>
      <c r="KCZ37" s="3"/>
      <c r="KDA37" s="3"/>
      <c r="KDB37" s="3"/>
      <c r="KDC37" s="3"/>
      <c r="KDD37" s="3"/>
      <c r="KDE37" s="3"/>
      <c r="KDF37" s="3"/>
      <c r="KDG37" s="3"/>
      <c r="KDH37" s="3"/>
      <c r="KDI37" s="3"/>
      <c r="KDJ37" s="3"/>
      <c r="KDK37" s="3"/>
      <c r="KDL37" s="3"/>
      <c r="KDM37" s="3"/>
      <c r="KDN37" s="3"/>
      <c r="KDO37" s="3"/>
      <c r="KDP37" s="3"/>
      <c r="KDQ37" s="3"/>
      <c r="KDR37" s="3"/>
      <c r="KDS37" s="3"/>
      <c r="KDT37" s="3"/>
      <c r="KDU37" s="3"/>
      <c r="KDV37" s="3"/>
      <c r="KDW37" s="3"/>
      <c r="KDX37" s="3"/>
      <c r="KDY37" s="3"/>
      <c r="KDZ37" s="3"/>
      <c r="KEA37" s="3"/>
      <c r="KEB37" s="3"/>
      <c r="KEC37" s="3"/>
      <c r="KED37" s="3"/>
      <c r="KEE37" s="3"/>
      <c r="KEF37" s="3"/>
      <c r="KEG37" s="3"/>
      <c r="KEH37" s="3"/>
      <c r="KEI37" s="3"/>
      <c r="KEJ37" s="3"/>
      <c r="KEK37" s="3"/>
      <c r="KEL37" s="3"/>
      <c r="KEM37" s="3"/>
      <c r="KEN37" s="3"/>
      <c r="KEO37" s="3"/>
      <c r="KEP37" s="3"/>
      <c r="KEQ37" s="3"/>
      <c r="KER37" s="3"/>
      <c r="KES37" s="3"/>
      <c r="KET37" s="3"/>
      <c r="KEU37" s="3"/>
      <c r="KEV37" s="3"/>
      <c r="KEW37" s="3"/>
      <c r="KEX37" s="3"/>
      <c r="KEY37" s="3"/>
      <c r="KEZ37" s="3"/>
      <c r="KFA37" s="3"/>
      <c r="KFB37" s="3"/>
      <c r="KFC37" s="3"/>
      <c r="KFD37" s="3"/>
      <c r="KFE37" s="3"/>
      <c r="KFF37" s="3"/>
      <c r="KFG37" s="3"/>
      <c r="KFH37" s="3"/>
      <c r="KFI37" s="3"/>
      <c r="KFJ37" s="3"/>
      <c r="KFK37" s="3"/>
      <c r="KFL37" s="3"/>
      <c r="KFM37" s="3"/>
      <c r="KFN37" s="3"/>
      <c r="KFO37" s="3"/>
      <c r="KFP37" s="3"/>
      <c r="KFQ37" s="3"/>
      <c r="KFR37" s="3"/>
      <c r="KFS37" s="3"/>
      <c r="KFT37" s="3"/>
      <c r="KFU37" s="3"/>
      <c r="KFV37" s="3"/>
      <c r="KFW37" s="3"/>
      <c r="KFX37" s="3"/>
      <c r="KFY37" s="3"/>
      <c r="KFZ37" s="3"/>
      <c r="KGA37" s="3"/>
      <c r="KGB37" s="3"/>
      <c r="KGC37" s="3"/>
      <c r="KGD37" s="3"/>
      <c r="KGE37" s="3"/>
      <c r="KGF37" s="3"/>
      <c r="KGG37" s="3"/>
      <c r="KGH37" s="3"/>
      <c r="KGI37" s="3"/>
      <c r="KGJ37" s="3"/>
      <c r="KGK37" s="3"/>
      <c r="KGL37" s="3"/>
      <c r="KGM37" s="3"/>
      <c r="KGN37" s="3"/>
      <c r="KGO37" s="3"/>
      <c r="KGP37" s="3"/>
      <c r="KGQ37" s="3"/>
      <c r="KGR37" s="3"/>
      <c r="KGS37" s="3"/>
      <c r="KGT37" s="3"/>
      <c r="KGU37" s="3"/>
      <c r="KGV37" s="3"/>
      <c r="KGW37" s="3"/>
      <c r="KGX37" s="3"/>
      <c r="KGY37" s="3"/>
      <c r="KGZ37" s="3"/>
      <c r="KHA37" s="3"/>
      <c r="KHB37" s="3"/>
      <c r="KHC37" s="3"/>
      <c r="KHD37" s="3"/>
      <c r="KHE37" s="3"/>
      <c r="KHF37" s="3"/>
      <c r="KHG37" s="3"/>
      <c r="KHH37" s="3"/>
      <c r="KHI37" s="3"/>
      <c r="KHJ37" s="3"/>
      <c r="KHK37" s="3"/>
      <c r="KHL37" s="3"/>
      <c r="KHM37" s="3"/>
      <c r="KHN37" s="3"/>
      <c r="KHO37" s="3"/>
      <c r="KHP37" s="3"/>
      <c r="KHQ37" s="3"/>
      <c r="KHR37" s="3"/>
      <c r="KHS37" s="3"/>
      <c r="KHT37" s="3"/>
      <c r="KHU37" s="3"/>
      <c r="KHV37" s="3"/>
      <c r="KHW37" s="3"/>
      <c r="KHX37" s="3"/>
      <c r="KHY37" s="3"/>
      <c r="KHZ37" s="3"/>
      <c r="KIA37" s="3"/>
      <c r="KIB37" s="3"/>
      <c r="KIC37" s="3"/>
      <c r="KID37" s="3"/>
      <c r="KIE37" s="3"/>
      <c r="KIF37" s="3"/>
      <c r="KIG37" s="3"/>
      <c r="KIH37" s="3"/>
      <c r="KII37" s="3"/>
      <c r="KIJ37" s="3"/>
      <c r="KIK37" s="3"/>
      <c r="KIL37" s="3"/>
      <c r="KIM37" s="3"/>
      <c r="KIN37" s="3"/>
      <c r="KIO37" s="3"/>
      <c r="KIP37" s="3"/>
      <c r="KIQ37" s="3"/>
      <c r="KIR37" s="3"/>
      <c r="KIS37" s="3"/>
      <c r="KIT37" s="3"/>
      <c r="KIU37" s="3"/>
      <c r="KIV37" s="3"/>
      <c r="KIW37" s="3"/>
      <c r="KIX37" s="3"/>
      <c r="KIY37" s="3"/>
      <c r="KIZ37" s="3"/>
      <c r="KJA37" s="3"/>
      <c r="KJB37" s="3"/>
      <c r="KJC37" s="3"/>
      <c r="KJD37" s="3"/>
      <c r="KJE37" s="3"/>
      <c r="KJF37" s="3"/>
      <c r="KJG37" s="3"/>
      <c r="KJH37" s="3"/>
      <c r="KJI37" s="3"/>
      <c r="KJJ37" s="3"/>
      <c r="KJK37" s="3"/>
      <c r="KJL37" s="3"/>
      <c r="KJM37" s="3"/>
      <c r="KJN37" s="3"/>
      <c r="KJO37" s="3"/>
      <c r="KJP37" s="3"/>
      <c r="KJQ37" s="3"/>
      <c r="KJR37" s="3"/>
      <c r="KJS37" s="3"/>
      <c r="KJT37" s="3"/>
      <c r="KJU37" s="3"/>
      <c r="KJV37" s="3"/>
      <c r="KJW37" s="3"/>
      <c r="KJX37" s="3"/>
      <c r="KJY37" s="3"/>
      <c r="KJZ37" s="3"/>
      <c r="KKA37" s="3"/>
      <c r="KKB37" s="3"/>
      <c r="KKC37" s="3"/>
      <c r="KKD37" s="3"/>
      <c r="KKE37" s="3"/>
      <c r="KKF37" s="3"/>
      <c r="KKG37" s="3"/>
      <c r="KKH37" s="3"/>
      <c r="KKI37" s="3"/>
      <c r="KKJ37" s="3"/>
      <c r="KKK37" s="3"/>
      <c r="KKL37" s="3"/>
      <c r="KKM37" s="3"/>
      <c r="KKN37" s="3"/>
      <c r="KKO37" s="3"/>
      <c r="KKP37" s="3"/>
      <c r="KKQ37" s="3"/>
      <c r="KKR37" s="3"/>
      <c r="KKS37" s="3"/>
      <c r="KKT37" s="3"/>
      <c r="KKU37" s="3"/>
      <c r="KKV37" s="3"/>
      <c r="KKW37" s="3"/>
      <c r="KKX37" s="3"/>
      <c r="KKY37" s="3"/>
      <c r="KKZ37" s="3"/>
      <c r="KLA37" s="3"/>
      <c r="KLB37" s="3"/>
      <c r="KLC37" s="3"/>
      <c r="KLD37" s="3"/>
      <c r="KLE37" s="3"/>
      <c r="KLF37" s="3"/>
      <c r="KLG37" s="3"/>
      <c r="KLH37" s="3"/>
      <c r="KLI37" s="3"/>
      <c r="KLJ37" s="3"/>
      <c r="KLK37" s="3"/>
      <c r="KLL37" s="3"/>
      <c r="KLM37" s="3"/>
      <c r="KLN37" s="3"/>
      <c r="KLO37" s="3"/>
      <c r="KLP37" s="3"/>
      <c r="KLQ37" s="3"/>
      <c r="KLR37" s="3"/>
      <c r="KLS37" s="3"/>
      <c r="KLT37" s="3"/>
      <c r="KLU37" s="3"/>
      <c r="KLV37" s="3"/>
      <c r="KLW37" s="3"/>
      <c r="KLX37" s="3"/>
      <c r="KLY37" s="3"/>
      <c r="KLZ37" s="3"/>
      <c r="KMA37" s="3"/>
      <c r="KMB37" s="3"/>
      <c r="KMC37" s="3"/>
      <c r="KMD37" s="3"/>
      <c r="KME37" s="3"/>
      <c r="KMF37" s="3"/>
      <c r="KMG37" s="3"/>
      <c r="KMH37" s="3"/>
      <c r="KMI37" s="3"/>
      <c r="KMJ37" s="3"/>
      <c r="KMK37" s="3"/>
      <c r="KML37" s="3"/>
      <c r="KMM37" s="3"/>
      <c r="KMN37" s="3"/>
      <c r="KMO37" s="3"/>
      <c r="KMP37" s="3"/>
      <c r="KMQ37" s="3"/>
      <c r="KMR37" s="3"/>
      <c r="KMS37" s="3"/>
      <c r="KMT37" s="3"/>
      <c r="KMU37" s="3"/>
      <c r="KMV37" s="3"/>
      <c r="KMW37" s="3"/>
      <c r="KMX37" s="3"/>
      <c r="KMY37" s="3"/>
      <c r="KMZ37" s="3"/>
      <c r="KNA37" s="3"/>
      <c r="KNB37" s="3"/>
      <c r="KNC37" s="3"/>
      <c r="KND37" s="3"/>
      <c r="KNE37" s="3"/>
      <c r="KNF37" s="3"/>
      <c r="KNG37" s="3"/>
      <c r="KNH37" s="3"/>
      <c r="KNI37" s="3"/>
      <c r="KNJ37" s="3"/>
      <c r="KNK37" s="3"/>
      <c r="KNL37" s="3"/>
      <c r="KNM37" s="3"/>
      <c r="KNN37" s="3"/>
      <c r="KNO37" s="3"/>
      <c r="KNP37" s="3"/>
      <c r="KNQ37" s="3"/>
      <c r="KNR37" s="3"/>
      <c r="KNS37" s="3"/>
      <c r="KNT37" s="3"/>
      <c r="KNU37" s="3"/>
      <c r="KNV37" s="3"/>
      <c r="KNW37" s="3"/>
      <c r="KNX37" s="3"/>
      <c r="KNY37" s="3"/>
      <c r="KNZ37" s="3"/>
      <c r="KOA37" s="3"/>
      <c r="KOB37" s="3"/>
      <c r="KOC37" s="3"/>
      <c r="KOD37" s="3"/>
      <c r="KOE37" s="3"/>
      <c r="KOF37" s="3"/>
      <c r="KOG37" s="3"/>
      <c r="KOH37" s="3"/>
      <c r="KOI37" s="3"/>
      <c r="KOJ37" s="3"/>
      <c r="KOK37" s="3"/>
      <c r="KOL37" s="3"/>
      <c r="KOM37" s="3"/>
      <c r="KON37" s="3"/>
      <c r="KOO37" s="3"/>
      <c r="KOP37" s="3"/>
      <c r="KOQ37" s="3"/>
      <c r="KOR37" s="3"/>
      <c r="KOS37" s="3"/>
      <c r="KOT37" s="3"/>
      <c r="KOU37" s="3"/>
      <c r="KOV37" s="3"/>
      <c r="KOW37" s="3"/>
      <c r="KOX37" s="3"/>
      <c r="KOY37" s="3"/>
      <c r="KOZ37" s="3"/>
      <c r="KPA37" s="3"/>
      <c r="KPB37" s="3"/>
      <c r="KPC37" s="3"/>
      <c r="KPD37" s="3"/>
      <c r="KPE37" s="3"/>
      <c r="KPF37" s="3"/>
      <c r="KPG37" s="3"/>
      <c r="KPH37" s="3"/>
      <c r="KPI37" s="3"/>
      <c r="KPJ37" s="3"/>
      <c r="KPK37" s="3"/>
      <c r="KPL37" s="3"/>
      <c r="KPM37" s="3"/>
      <c r="KPN37" s="3"/>
      <c r="KPO37" s="3"/>
      <c r="KPP37" s="3"/>
      <c r="KPQ37" s="3"/>
      <c r="KPR37" s="3"/>
      <c r="KPS37" s="3"/>
      <c r="KPT37" s="3"/>
      <c r="KPU37" s="3"/>
      <c r="KPV37" s="3"/>
      <c r="KPW37" s="3"/>
      <c r="KPX37" s="3"/>
      <c r="KPY37" s="3"/>
      <c r="KPZ37" s="3"/>
      <c r="KQA37" s="3"/>
      <c r="KQB37" s="3"/>
      <c r="KQC37" s="3"/>
      <c r="KQD37" s="3"/>
      <c r="KQE37" s="3"/>
      <c r="KQF37" s="3"/>
      <c r="KQG37" s="3"/>
      <c r="KQH37" s="3"/>
      <c r="KQI37" s="3"/>
      <c r="KQJ37" s="3"/>
      <c r="KQK37" s="3"/>
      <c r="KQL37" s="3"/>
      <c r="KQM37" s="3"/>
      <c r="KQN37" s="3"/>
      <c r="KQO37" s="3"/>
      <c r="KQP37" s="3"/>
      <c r="KQQ37" s="3"/>
      <c r="KQR37" s="3"/>
      <c r="KQS37" s="3"/>
      <c r="KQT37" s="3"/>
      <c r="KQU37" s="3"/>
      <c r="KQV37" s="3"/>
      <c r="KQW37" s="3"/>
      <c r="KQX37" s="3"/>
      <c r="KQY37" s="3"/>
      <c r="KQZ37" s="3"/>
      <c r="KRA37" s="3"/>
      <c r="KRB37" s="3"/>
      <c r="KRC37" s="3"/>
      <c r="KRD37" s="3"/>
      <c r="KRE37" s="3"/>
      <c r="KRF37" s="3"/>
      <c r="KRG37" s="3"/>
      <c r="KRH37" s="3"/>
      <c r="KRI37" s="3"/>
      <c r="KRJ37" s="3"/>
      <c r="KRK37" s="3"/>
      <c r="KRL37" s="3"/>
      <c r="KRM37" s="3"/>
      <c r="KRN37" s="3"/>
      <c r="KRO37" s="3"/>
      <c r="KRP37" s="3"/>
      <c r="KRQ37" s="3"/>
      <c r="KRR37" s="3"/>
      <c r="KRS37" s="3"/>
      <c r="KRT37" s="3"/>
      <c r="KRU37" s="3"/>
      <c r="KRV37" s="3"/>
      <c r="KRW37" s="3"/>
      <c r="KRX37" s="3"/>
      <c r="KRY37" s="3"/>
      <c r="KRZ37" s="3"/>
      <c r="KSA37" s="3"/>
      <c r="KSB37" s="3"/>
      <c r="KSC37" s="3"/>
      <c r="KSD37" s="3"/>
      <c r="KSE37" s="3"/>
      <c r="KSF37" s="3"/>
      <c r="KSG37" s="3"/>
      <c r="KSH37" s="3"/>
      <c r="KSI37" s="3"/>
      <c r="KSJ37" s="3"/>
      <c r="KSK37" s="3"/>
      <c r="KSL37" s="3"/>
      <c r="KSM37" s="3"/>
      <c r="KSN37" s="3"/>
      <c r="KSO37" s="3"/>
      <c r="KSP37" s="3"/>
      <c r="KSQ37" s="3"/>
      <c r="KSR37" s="3"/>
      <c r="KSS37" s="3"/>
      <c r="KST37" s="3"/>
      <c r="KSU37" s="3"/>
      <c r="KSV37" s="3"/>
      <c r="KSW37" s="3"/>
      <c r="KSX37" s="3"/>
      <c r="KSY37" s="3"/>
      <c r="KSZ37" s="3"/>
      <c r="KTA37" s="3"/>
      <c r="KTB37" s="3"/>
      <c r="KTC37" s="3"/>
      <c r="KTD37" s="3"/>
      <c r="KTE37" s="3"/>
      <c r="KTF37" s="3"/>
      <c r="KTG37" s="3"/>
      <c r="KTH37" s="3"/>
      <c r="KTI37" s="3"/>
      <c r="KTJ37" s="3"/>
      <c r="KTK37" s="3"/>
      <c r="KTL37" s="3"/>
      <c r="KTM37" s="3"/>
      <c r="KTN37" s="3"/>
      <c r="KTO37" s="3"/>
      <c r="KTP37" s="3"/>
      <c r="KTQ37" s="3"/>
      <c r="KTR37" s="3"/>
      <c r="KTS37" s="3"/>
      <c r="KTT37" s="3"/>
      <c r="KTU37" s="3"/>
      <c r="KTV37" s="3"/>
      <c r="KTW37" s="3"/>
      <c r="KTX37" s="3"/>
      <c r="KTY37" s="3"/>
      <c r="KTZ37" s="3"/>
      <c r="KUA37" s="3"/>
      <c r="KUB37" s="3"/>
      <c r="KUC37" s="3"/>
      <c r="KUD37" s="3"/>
      <c r="KUE37" s="3"/>
      <c r="KUF37" s="3"/>
      <c r="KUG37" s="3"/>
      <c r="KUH37" s="3"/>
      <c r="KUI37" s="3"/>
      <c r="KUJ37" s="3"/>
      <c r="KUK37" s="3"/>
      <c r="KUL37" s="3"/>
      <c r="KUM37" s="3"/>
      <c r="KUN37" s="3"/>
      <c r="KUO37" s="3"/>
      <c r="KUP37" s="3"/>
      <c r="KUQ37" s="3"/>
      <c r="KUR37" s="3"/>
      <c r="KUS37" s="3"/>
      <c r="KUT37" s="3"/>
      <c r="KUU37" s="3"/>
      <c r="KUV37" s="3"/>
      <c r="KUW37" s="3"/>
      <c r="KUX37" s="3"/>
      <c r="KUY37" s="3"/>
      <c r="KUZ37" s="3"/>
      <c r="KVA37" s="3"/>
      <c r="KVB37" s="3"/>
      <c r="KVC37" s="3"/>
      <c r="KVD37" s="3"/>
      <c r="KVE37" s="3"/>
      <c r="KVF37" s="3"/>
      <c r="KVG37" s="3"/>
      <c r="KVH37" s="3"/>
      <c r="KVI37" s="3"/>
      <c r="KVJ37" s="3"/>
      <c r="KVK37" s="3"/>
      <c r="KVL37" s="3"/>
      <c r="KVM37" s="3"/>
      <c r="KVN37" s="3"/>
      <c r="KVO37" s="3"/>
      <c r="KVP37" s="3"/>
      <c r="KVQ37" s="3"/>
      <c r="KVR37" s="3"/>
      <c r="KVS37" s="3"/>
      <c r="KVT37" s="3"/>
      <c r="KVU37" s="3"/>
      <c r="KVV37" s="3"/>
      <c r="KVW37" s="3"/>
      <c r="KVX37" s="3"/>
      <c r="KVY37" s="3"/>
      <c r="KVZ37" s="3"/>
      <c r="KWA37" s="3"/>
      <c r="KWB37" s="3"/>
      <c r="KWC37" s="3"/>
      <c r="KWD37" s="3"/>
      <c r="KWE37" s="3"/>
      <c r="KWF37" s="3"/>
      <c r="KWG37" s="3"/>
      <c r="KWH37" s="3"/>
      <c r="KWI37" s="3"/>
      <c r="KWJ37" s="3"/>
      <c r="KWK37" s="3"/>
      <c r="KWL37" s="3"/>
      <c r="KWM37" s="3"/>
      <c r="KWN37" s="3"/>
      <c r="KWO37" s="3"/>
      <c r="KWP37" s="3"/>
      <c r="KWQ37" s="3"/>
      <c r="KWR37" s="3"/>
      <c r="KWS37" s="3"/>
      <c r="KWT37" s="3"/>
      <c r="KWU37" s="3"/>
      <c r="KWV37" s="3"/>
      <c r="KWW37" s="3"/>
      <c r="KWX37" s="3"/>
      <c r="KWY37" s="3"/>
      <c r="KWZ37" s="3"/>
      <c r="KXA37" s="3"/>
      <c r="KXB37" s="3"/>
      <c r="KXC37" s="3"/>
      <c r="KXD37" s="3"/>
      <c r="KXE37" s="3"/>
      <c r="KXF37" s="3"/>
      <c r="KXG37" s="3"/>
      <c r="KXH37" s="3"/>
      <c r="KXI37" s="3"/>
      <c r="KXJ37" s="3"/>
      <c r="KXK37" s="3"/>
      <c r="KXL37" s="3"/>
      <c r="KXM37" s="3"/>
      <c r="KXN37" s="3"/>
      <c r="KXO37" s="3"/>
      <c r="KXP37" s="3"/>
      <c r="KXQ37" s="3"/>
      <c r="KXR37" s="3"/>
      <c r="KXS37" s="3"/>
      <c r="KXT37" s="3"/>
      <c r="KXU37" s="3"/>
      <c r="KXV37" s="3"/>
      <c r="KXW37" s="3"/>
      <c r="KXX37" s="3"/>
      <c r="KXY37" s="3"/>
      <c r="KXZ37" s="3"/>
      <c r="KYA37" s="3"/>
      <c r="KYB37" s="3"/>
      <c r="KYC37" s="3"/>
      <c r="KYD37" s="3"/>
      <c r="KYE37" s="3"/>
      <c r="KYF37" s="3"/>
      <c r="KYG37" s="3"/>
      <c r="KYH37" s="3"/>
      <c r="KYI37" s="3"/>
      <c r="KYJ37" s="3"/>
      <c r="KYK37" s="3"/>
      <c r="KYL37" s="3"/>
      <c r="KYM37" s="3"/>
      <c r="KYN37" s="3"/>
      <c r="KYO37" s="3"/>
      <c r="KYP37" s="3"/>
      <c r="KYQ37" s="3"/>
      <c r="KYR37" s="3"/>
      <c r="KYS37" s="3"/>
      <c r="KYT37" s="3"/>
      <c r="KYU37" s="3"/>
      <c r="KYV37" s="3"/>
      <c r="KYW37" s="3"/>
      <c r="KYX37" s="3"/>
      <c r="KYY37" s="3"/>
      <c r="KYZ37" s="3"/>
      <c r="KZA37" s="3"/>
      <c r="KZB37" s="3"/>
      <c r="KZC37" s="3"/>
      <c r="KZD37" s="3"/>
      <c r="KZE37" s="3"/>
      <c r="KZF37" s="3"/>
      <c r="KZG37" s="3"/>
      <c r="KZH37" s="3"/>
      <c r="KZI37" s="3"/>
      <c r="KZJ37" s="3"/>
      <c r="KZK37" s="3"/>
      <c r="KZL37" s="3"/>
      <c r="KZM37" s="3"/>
      <c r="KZN37" s="3"/>
      <c r="KZO37" s="3"/>
      <c r="KZP37" s="3"/>
      <c r="KZQ37" s="3"/>
      <c r="KZR37" s="3"/>
      <c r="KZS37" s="3"/>
      <c r="KZT37" s="3"/>
      <c r="KZU37" s="3"/>
      <c r="KZV37" s="3"/>
      <c r="KZW37" s="3"/>
      <c r="KZX37" s="3"/>
      <c r="KZY37" s="3"/>
      <c r="KZZ37" s="3"/>
      <c r="LAA37" s="3"/>
      <c r="LAB37" s="3"/>
      <c r="LAC37" s="3"/>
      <c r="LAD37" s="3"/>
      <c r="LAE37" s="3"/>
      <c r="LAF37" s="3"/>
      <c r="LAG37" s="3"/>
      <c r="LAH37" s="3"/>
      <c r="LAI37" s="3"/>
      <c r="LAJ37" s="3"/>
      <c r="LAK37" s="3"/>
      <c r="LAL37" s="3"/>
      <c r="LAM37" s="3"/>
      <c r="LAN37" s="3"/>
      <c r="LAO37" s="3"/>
      <c r="LAP37" s="3"/>
      <c r="LAQ37" s="3"/>
      <c r="LAR37" s="3"/>
      <c r="LAS37" s="3"/>
      <c r="LAT37" s="3"/>
      <c r="LAU37" s="3"/>
      <c r="LAV37" s="3"/>
      <c r="LAW37" s="3"/>
      <c r="LAX37" s="3"/>
      <c r="LAY37" s="3"/>
      <c r="LAZ37" s="3"/>
      <c r="LBA37" s="3"/>
      <c r="LBB37" s="3"/>
      <c r="LBC37" s="3"/>
      <c r="LBD37" s="3"/>
      <c r="LBE37" s="3"/>
      <c r="LBF37" s="3"/>
      <c r="LBG37" s="3"/>
      <c r="LBH37" s="3"/>
      <c r="LBI37" s="3"/>
      <c r="LBJ37" s="3"/>
      <c r="LBK37" s="3"/>
      <c r="LBL37" s="3"/>
      <c r="LBM37" s="3"/>
      <c r="LBN37" s="3"/>
      <c r="LBO37" s="3"/>
      <c r="LBP37" s="3"/>
      <c r="LBQ37" s="3"/>
      <c r="LBR37" s="3"/>
      <c r="LBS37" s="3"/>
      <c r="LBT37" s="3"/>
      <c r="LBU37" s="3"/>
      <c r="LBV37" s="3"/>
      <c r="LBW37" s="3"/>
      <c r="LBX37" s="3"/>
      <c r="LBY37" s="3"/>
      <c r="LBZ37" s="3"/>
      <c r="LCA37" s="3"/>
      <c r="LCB37" s="3"/>
      <c r="LCC37" s="3"/>
      <c r="LCD37" s="3"/>
      <c r="LCE37" s="3"/>
      <c r="LCF37" s="3"/>
      <c r="LCG37" s="3"/>
      <c r="LCH37" s="3"/>
      <c r="LCI37" s="3"/>
      <c r="LCJ37" s="3"/>
      <c r="LCK37" s="3"/>
      <c r="LCL37" s="3"/>
      <c r="LCM37" s="3"/>
      <c r="LCN37" s="3"/>
      <c r="LCO37" s="3"/>
      <c r="LCP37" s="3"/>
      <c r="LCQ37" s="3"/>
      <c r="LCR37" s="3"/>
      <c r="LCS37" s="3"/>
      <c r="LCT37" s="3"/>
      <c r="LCU37" s="3"/>
      <c r="LCV37" s="3"/>
      <c r="LCW37" s="3"/>
      <c r="LCX37" s="3"/>
      <c r="LCY37" s="3"/>
      <c r="LCZ37" s="3"/>
      <c r="LDA37" s="3"/>
      <c r="LDB37" s="3"/>
      <c r="LDC37" s="3"/>
      <c r="LDD37" s="3"/>
      <c r="LDE37" s="3"/>
      <c r="LDF37" s="3"/>
      <c r="LDG37" s="3"/>
      <c r="LDH37" s="3"/>
      <c r="LDI37" s="3"/>
      <c r="LDJ37" s="3"/>
      <c r="LDK37" s="3"/>
      <c r="LDL37" s="3"/>
      <c r="LDM37" s="3"/>
      <c r="LDN37" s="3"/>
      <c r="LDO37" s="3"/>
      <c r="LDP37" s="3"/>
      <c r="LDQ37" s="3"/>
      <c r="LDR37" s="3"/>
      <c r="LDS37" s="3"/>
      <c r="LDT37" s="3"/>
      <c r="LDU37" s="3"/>
      <c r="LDV37" s="3"/>
      <c r="LDW37" s="3"/>
      <c r="LDX37" s="3"/>
      <c r="LDY37" s="3"/>
      <c r="LDZ37" s="3"/>
      <c r="LEA37" s="3"/>
      <c r="LEB37" s="3"/>
      <c r="LEC37" s="3"/>
      <c r="LED37" s="3"/>
      <c r="LEE37" s="3"/>
      <c r="LEF37" s="3"/>
      <c r="LEG37" s="3"/>
      <c r="LEH37" s="3"/>
      <c r="LEI37" s="3"/>
      <c r="LEJ37" s="3"/>
      <c r="LEK37" s="3"/>
      <c r="LEL37" s="3"/>
      <c r="LEM37" s="3"/>
      <c r="LEN37" s="3"/>
      <c r="LEO37" s="3"/>
      <c r="LEP37" s="3"/>
      <c r="LEQ37" s="3"/>
      <c r="LER37" s="3"/>
      <c r="LES37" s="3"/>
      <c r="LET37" s="3"/>
      <c r="LEU37" s="3"/>
      <c r="LEV37" s="3"/>
      <c r="LEW37" s="3"/>
      <c r="LEX37" s="3"/>
      <c r="LEY37" s="3"/>
      <c r="LEZ37" s="3"/>
      <c r="LFA37" s="3"/>
      <c r="LFB37" s="3"/>
      <c r="LFC37" s="3"/>
      <c r="LFD37" s="3"/>
      <c r="LFE37" s="3"/>
      <c r="LFF37" s="3"/>
      <c r="LFG37" s="3"/>
      <c r="LFH37" s="3"/>
      <c r="LFI37" s="3"/>
      <c r="LFJ37" s="3"/>
      <c r="LFK37" s="3"/>
      <c r="LFL37" s="3"/>
      <c r="LFM37" s="3"/>
      <c r="LFN37" s="3"/>
      <c r="LFO37" s="3"/>
      <c r="LFP37" s="3"/>
      <c r="LFQ37" s="3"/>
      <c r="LFR37" s="3"/>
      <c r="LFS37" s="3"/>
      <c r="LFT37" s="3"/>
      <c r="LFU37" s="3"/>
      <c r="LFV37" s="3"/>
      <c r="LFW37" s="3"/>
      <c r="LFX37" s="3"/>
      <c r="LFY37" s="3"/>
      <c r="LFZ37" s="3"/>
      <c r="LGA37" s="3"/>
      <c r="LGB37" s="3"/>
      <c r="LGC37" s="3"/>
      <c r="LGD37" s="3"/>
      <c r="LGE37" s="3"/>
      <c r="LGF37" s="3"/>
      <c r="LGG37" s="3"/>
      <c r="LGH37" s="3"/>
      <c r="LGI37" s="3"/>
      <c r="LGJ37" s="3"/>
      <c r="LGK37" s="3"/>
      <c r="LGL37" s="3"/>
      <c r="LGM37" s="3"/>
      <c r="LGN37" s="3"/>
      <c r="LGO37" s="3"/>
      <c r="LGP37" s="3"/>
      <c r="LGQ37" s="3"/>
      <c r="LGR37" s="3"/>
      <c r="LGS37" s="3"/>
      <c r="LGT37" s="3"/>
      <c r="LGU37" s="3"/>
      <c r="LGV37" s="3"/>
      <c r="LGW37" s="3"/>
      <c r="LGX37" s="3"/>
      <c r="LGY37" s="3"/>
      <c r="LGZ37" s="3"/>
      <c r="LHA37" s="3"/>
      <c r="LHB37" s="3"/>
      <c r="LHC37" s="3"/>
      <c r="LHD37" s="3"/>
      <c r="LHE37" s="3"/>
      <c r="LHF37" s="3"/>
      <c r="LHG37" s="3"/>
      <c r="LHH37" s="3"/>
      <c r="LHI37" s="3"/>
      <c r="LHJ37" s="3"/>
      <c r="LHK37" s="3"/>
      <c r="LHL37" s="3"/>
      <c r="LHM37" s="3"/>
      <c r="LHN37" s="3"/>
      <c r="LHO37" s="3"/>
      <c r="LHP37" s="3"/>
      <c r="LHQ37" s="3"/>
      <c r="LHR37" s="3"/>
      <c r="LHS37" s="3"/>
      <c r="LHT37" s="3"/>
      <c r="LHU37" s="3"/>
      <c r="LHV37" s="3"/>
      <c r="LHW37" s="3"/>
      <c r="LHX37" s="3"/>
      <c r="LHY37" s="3"/>
      <c r="LHZ37" s="3"/>
      <c r="LIA37" s="3"/>
      <c r="LIB37" s="3"/>
      <c r="LIC37" s="3"/>
      <c r="LID37" s="3"/>
      <c r="LIE37" s="3"/>
      <c r="LIF37" s="3"/>
      <c r="LIG37" s="3"/>
      <c r="LIH37" s="3"/>
      <c r="LII37" s="3"/>
      <c r="LIJ37" s="3"/>
      <c r="LIK37" s="3"/>
      <c r="LIL37" s="3"/>
      <c r="LIM37" s="3"/>
      <c r="LIN37" s="3"/>
      <c r="LIO37" s="3"/>
      <c r="LIP37" s="3"/>
      <c r="LIQ37" s="3"/>
      <c r="LIR37" s="3"/>
      <c r="LIS37" s="3"/>
      <c r="LIT37" s="3"/>
      <c r="LIU37" s="3"/>
      <c r="LIV37" s="3"/>
      <c r="LIW37" s="3"/>
      <c r="LIX37" s="3"/>
      <c r="LIY37" s="3"/>
      <c r="LIZ37" s="3"/>
      <c r="LJA37" s="3"/>
      <c r="LJB37" s="3"/>
      <c r="LJC37" s="3"/>
      <c r="LJD37" s="3"/>
      <c r="LJE37" s="3"/>
      <c r="LJF37" s="3"/>
      <c r="LJG37" s="3"/>
      <c r="LJH37" s="3"/>
      <c r="LJI37" s="3"/>
      <c r="LJJ37" s="3"/>
      <c r="LJK37" s="3"/>
      <c r="LJL37" s="3"/>
      <c r="LJM37" s="3"/>
      <c r="LJN37" s="3"/>
      <c r="LJO37" s="3"/>
      <c r="LJP37" s="3"/>
      <c r="LJQ37" s="3"/>
      <c r="LJR37" s="3"/>
      <c r="LJS37" s="3"/>
      <c r="LJT37" s="3"/>
      <c r="LJU37" s="3"/>
      <c r="LJV37" s="3"/>
      <c r="LJW37" s="3"/>
      <c r="LJX37" s="3"/>
      <c r="LJY37" s="3"/>
      <c r="LJZ37" s="3"/>
      <c r="LKA37" s="3"/>
      <c r="LKB37" s="3"/>
      <c r="LKC37" s="3"/>
      <c r="LKD37" s="3"/>
      <c r="LKE37" s="3"/>
      <c r="LKF37" s="3"/>
      <c r="LKG37" s="3"/>
      <c r="LKH37" s="3"/>
      <c r="LKI37" s="3"/>
      <c r="LKJ37" s="3"/>
      <c r="LKK37" s="3"/>
      <c r="LKL37" s="3"/>
      <c r="LKM37" s="3"/>
      <c r="LKN37" s="3"/>
      <c r="LKO37" s="3"/>
      <c r="LKP37" s="3"/>
      <c r="LKQ37" s="3"/>
      <c r="LKR37" s="3"/>
      <c r="LKS37" s="3"/>
      <c r="LKT37" s="3"/>
      <c r="LKU37" s="3"/>
      <c r="LKV37" s="3"/>
      <c r="LKW37" s="3"/>
      <c r="LKX37" s="3"/>
      <c r="LKY37" s="3"/>
      <c r="LKZ37" s="3"/>
      <c r="LLA37" s="3"/>
      <c r="LLB37" s="3"/>
      <c r="LLC37" s="3"/>
      <c r="LLD37" s="3"/>
      <c r="LLE37" s="3"/>
      <c r="LLF37" s="3"/>
      <c r="LLG37" s="3"/>
      <c r="LLH37" s="3"/>
      <c r="LLI37" s="3"/>
      <c r="LLJ37" s="3"/>
      <c r="LLK37" s="3"/>
      <c r="LLL37" s="3"/>
      <c r="LLM37" s="3"/>
      <c r="LLN37" s="3"/>
      <c r="LLO37" s="3"/>
      <c r="LLP37" s="3"/>
      <c r="LLQ37" s="3"/>
      <c r="LLR37" s="3"/>
      <c r="LLS37" s="3"/>
      <c r="LLT37" s="3"/>
      <c r="LLU37" s="3"/>
      <c r="LLV37" s="3"/>
      <c r="LLW37" s="3"/>
      <c r="LLX37" s="3"/>
      <c r="LLY37" s="3"/>
      <c r="LLZ37" s="3"/>
      <c r="LMA37" s="3"/>
      <c r="LMB37" s="3"/>
      <c r="LMC37" s="3"/>
      <c r="LMD37" s="3"/>
      <c r="LME37" s="3"/>
      <c r="LMF37" s="3"/>
      <c r="LMG37" s="3"/>
      <c r="LMH37" s="3"/>
      <c r="LMI37" s="3"/>
      <c r="LMJ37" s="3"/>
      <c r="LMK37" s="3"/>
      <c r="LML37" s="3"/>
      <c r="LMM37" s="3"/>
      <c r="LMN37" s="3"/>
      <c r="LMO37" s="3"/>
      <c r="LMP37" s="3"/>
      <c r="LMQ37" s="3"/>
      <c r="LMR37" s="3"/>
      <c r="LMS37" s="3"/>
      <c r="LMT37" s="3"/>
      <c r="LMU37" s="3"/>
      <c r="LMV37" s="3"/>
      <c r="LMW37" s="3"/>
      <c r="LMX37" s="3"/>
      <c r="LMY37" s="3"/>
      <c r="LMZ37" s="3"/>
      <c r="LNA37" s="3"/>
      <c r="LNB37" s="3"/>
      <c r="LNC37" s="3"/>
      <c r="LND37" s="3"/>
      <c r="LNE37" s="3"/>
      <c r="LNF37" s="3"/>
      <c r="LNG37" s="3"/>
      <c r="LNH37" s="3"/>
      <c r="LNI37" s="3"/>
      <c r="LNJ37" s="3"/>
      <c r="LNK37" s="3"/>
      <c r="LNL37" s="3"/>
      <c r="LNM37" s="3"/>
      <c r="LNN37" s="3"/>
      <c r="LNO37" s="3"/>
      <c r="LNP37" s="3"/>
      <c r="LNQ37" s="3"/>
      <c r="LNR37" s="3"/>
      <c r="LNS37" s="3"/>
      <c r="LNT37" s="3"/>
      <c r="LNU37" s="3"/>
      <c r="LNV37" s="3"/>
      <c r="LNW37" s="3"/>
      <c r="LNX37" s="3"/>
      <c r="LNY37" s="3"/>
      <c r="LNZ37" s="3"/>
      <c r="LOA37" s="3"/>
      <c r="LOB37" s="3"/>
      <c r="LOC37" s="3"/>
      <c r="LOD37" s="3"/>
      <c r="LOE37" s="3"/>
      <c r="LOF37" s="3"/>
      <c r="LOG37" s="3"/>
      <c r="LOH37" s="3"/>
      <c r="LOI37" s="3"/>
      <c r="LOJ37" s="3"/>
      <c r="LOK37" s="3"/>
      <c r="LOL37" s="3"/>
      <c r="LOM37" s="3"/>
      <c r="LON37" s="3"/>
      <c r="LOO37" s="3"/>
      <c r="LOP37" s="3"/>
      <c r="LOQ37" s="3"/>
      <c r="LOR37" s="3"/>
      <c r="LOS37" s="3"/>
      <c r="LOT37" s="3"/>
      <c r="LOU37" s="3"/>
      <c r="LOV37" s="3"/>
      <c r="LOW37" s="3"/>
      <c r="LOX37" s="3"/>
      <c r="LOY37" s="3"/>
      <c r="LOZ37" s="3"/>
      <c r="LPA37" s="3"/>
      <c r="LPB37" s="3"/>
      <c r="LPC37" s="3"/>
      <c r="LPD37" s="3"/>
      <c r="LPE37" s="3"/>
      <c r="LPF37" s="3"/>
      <c r="LPG37" s="3"/>
      <c r="LPH37" s="3"/>
      <c r="LPI37" s="3"/>
      <c r="LPJ37" s="3"/>
      <c r="LPK37" s="3"/>
      <c r="LPL37" s="3"/>
      <c r="LPM37" s="3"/>
      <c r="LPN37" s="3"/>
      <c r="LPO37" s="3"/>
      <c r="LPP37" s="3"/>
      <c r="LPQ37" s="3"/>
      <c r="LPR37" s="3"/>
      <c r="LPS37" s="3"/>
      <c r="LPT37" s="3"/>
      <c r="LPU37" s="3"/>
      <c r="LPV37" s="3"/>
      <c r="LPW37" s="3"/>
      <c r="LPX37" s="3"/>
      <c r="LPY37" s="3"/>
      <c r="LPZ37" s="3"/>
      <c r="LQA37" s="3"/>
      <c r="LQB37" s="3"/>
      <c r="LQC37" s="3"/>
      <c r="LQD37" s="3"/>
      <c r="LQE37" s="3"/>
      <c r="LQF37" s="3"/>
      <c r="LQG37" s="3"/>
      <c r="LQH37" s="3"/>
      <c r="LQI37" s="3"/>
      <c r="LQJ37" s="3"/>
      <c r="LQK37" s="3"/>
      <c r="LQL37" s="3"/>
      <c r="LQM37" s="3"/>
      <c r="LQN37" s="3"/>
      <c r="LQO37" s="3"/>
      <c r="LQP37" s="3"/>
      <c r="LQQ37" s="3"/>
      <c r="LQR37" s="3"/>
      <c r="LQS37" s="3"/>
      <c r="LQT37" s="3"/>
      <c r="LQU37" s="3"/>
      <c r="LQV37" s="3"/>
      <c r="LQW37" s="3"/>
      <c r="LQX37" s="3"/>
      <c r="LQY37" s="3"/>
      <c r="LQZ37" s="3"/>
      <c r="LRA37" s="3"/>
      <c r="LRB37" s="3"/>
      <c r="LRC37" s="3"/>
      <c r="LRD37" s="3"/>
      <c r="LRE37" s="3"/>
      <c r="LRF37" s="3"/>
      <c r="LRG37" s="3"/>
      <c r="LRH37" s="3"/>
      <c r="LRI37" s="3"/>
      <c r="LRJ37" s="3"/>
      <c r="LRK37" s="3"/>
      <c r="LRL37" s="3"/>
      <c r="LRM37" s="3"/>
      <c r="LRN37" s="3"/>
      <c r="LRO37" s="3"/>
      <c r="LRP37" s="3"/>
      <c r="LRQ37" s="3"/>
      <c r="LRR37" s="3"/>
      <c r="LRS37" s="3"/>
      <c r="LRT37" s="3"/>
      <c r="LRU37" s="3"/>
      <c r="LRV37" s="3"/>
      <c r="LRW37" s="3"/>
      <c r="LRX37" s="3"/>
      <c r="LRY37" s="3"/>
      <c r="LRZ37" s="3"/>
      <c r="LSA37" s="3"/>
      <c r="LSB37" s="3"/>
      <c r="LSC37" s="3"/>
      <c r="LSD37" s="3"/>
      <c r="LSE37" s="3"/>
      <c r="LSF37" s="3"/>
      <c r="LSG37" s="3"/>
      <c r="LSH37" s="3"/>
      <c r="LSI37" s="3"/>
      <c r="LSJ37" s="3"/>
      <c r="LSK37" s="3"/>
      <c r="LSL37" s="3"/>
      <c r="LSM37" s="3"/>
      <c r="LSN37" s="3"/>
      <c r="LSO37" s="3"/>
      <c r="LSP37" s="3"/>
      <c r="LSQ37" s="3"/>
      <c r="LSR37" s="3"/>
      <c r="LSS37" s="3"/>
      <c r="LST37" s="3"/>
      <c r="LSU37" s="3"/>
      <c r="LSV37" s="3"/>
      <c r="LSW37" s="3"/>
      <c r="LSX37" s="3"/>
      <c r="LSY37" s="3"/>
      <c r="LSZ37" s="3"/>
      <c r="LTA37" s="3"/>
      <c r="LTB37" s="3"/>
      <c r="LTC37" s="3"/>
      <c r="LTD37" s="3"/>
      <c r="LTE37" s="3"/>
      <c r="LTF37" s="3"/>
      <c r="LTG37" s="3"/>
      <c r="LTH37" s="3"/>
      <c r="LTI37" s="3"/>
      <c r="LTJ37" s="3"/>
      <c r="LTK37" s="3"/>
      <c r="LTL37" s="3"/>
      <c r="LTM37" s="3"/>
      <c r="LTN37" s="3"/>
      <c r="LTO37" s="3"/>
      <c r="LTP37" s="3"/>
      <c r="LTQ37" s="3"/>
      <c r="LTR37" s="3"/>
      <c r="LTS37" s="3"/>
      <c r="LTT37" s="3"/>
      <c r="LTU37" s="3"/>
      <c r="LTV37" s="3"/>
      <c r="LTW37" s="3"/>
      <c r="LTX37" s="3"/>
      <c r="LTY37" s="3"/>
      <c r="LTZ37" s="3"/>
      <c r="LUA37" s="3"/>
      <c r="LUB37" s="3"/>
      <c r="LUC37" s="3"/>
      <c r="LUD37" s="3"/>
      <c r="LUE37" s="3"/>
      <c r="LUF37" s="3"/>
      <c r="LUG37" s="3"/>
      <c r="LUH37" s="3"/>
      <c r="LUI37" s="3"/>
      <c r="LUJ37" s="3"/>
      <c r="LUK37" s="3"/>
      <c r="LUL37" s="3"/>
      <c r="LUM37" s="3"/>
      <c r="LUN37" s="3"/>
      <c r="LUO37" s="3"/>
      <c r="LUP37" s="3"/>
      <c r="LUQ37" s="3"/>
      <c r="LUR37" s="3"/>
      <c r="LUS37" s="3"/>
      <c r="LUT37" s="3"/>
      <c r="LUU37" s="3"/>
      <c r="LUV37" s="3"/>
      <c r="LUW37" s="3"/>
      <c r="LUX37" s="3"/>
      <c r="LUY37" s="3"/>
      <c r="LUZ37" s="3"/>
      <c r="LVA37" s="3"/>
      <c r="LVB37" s="3"/>
      <c r="LVC37" s="3"/>
      <c r="LVD37" s="3"/>
      <c r="LVE37" s="3"/>
      <c r="LVF37" s="3"/>
      <c r="LVG37" s="3"/>
      <c r="LVH37" s="3"/>
      <c r="LVI37" s="3"/>
      <c r="LVJ37" s="3"/>
      <c r="LVK37" s="3"/>
      <c r="LVL37" s="3"/>
      <c r="LVM37" s="3"/>
      <c r="LVN37" s="3"/>
      <c r="LVO37" s="3"/>
      <c r="LVP37" s="3"/>
      <c r="LVQ37" s="3"/>
      <c r="LVR37" s="3"/>
      <c r="LVS37" s="3"/>
      <c r="LVT37" s="3"/>
      <c r="LVU37" s="3"/>
      <c r="LVV37" s="3"/>
      <c r="LVW37" s="3"/>
      <c r="LVX37" s="3"/>
      <c r="LVY37" s="3"/>
      <c r="LVZ37" s="3"/>
      <c r="LWA37" s="3"/>
      <c r="LWB37" s="3"/>
      <c r="LWC37" s="3"/>
      <c r="LWD37" s="3"/>
      <c r="LWE37" s="3"/>
      <c r="LWF37" s="3"/>
      <c r="LWG37" s="3"/>
      <c r="LWH37" s="3"/>
      <c r="LWI37" s="3"/>
      <c r="LWJ37" s="3"/>
      <c r="LWK37" s="3"/>
      <c r="LWL37" s="3"/>
      <c r="LWM37" s="3"/>
      <c r="LWN37" s="3"/>
      <c r="LWO37" s="3"/>
      <c r="LWP37" s="3"/>
      <c r="LWQ37" s="3"/>
      <c r="LWR37" s="3"/>
      <c r="LWS37" s="3"/>
      <c r="LWT37" s="3"/>
      <c r="LWU37" s="3"/>
      <c r="LWV37" s="3"/>
      <c r="LWW37" s="3"/>
      <c r="LWX37" s="3"/>
      <c r="LWY37" s="3"/>
      <c r="LWZ37" s="3"/>
      <c r="LXA37" s="3"/>
      <c r="LXB37" s="3"/>
      <c r="LXC37" s="3"/>
      <c r="LXD37" s="3"/>
      <c r="LXE37" s="3"/>
      <c r="LXF37" s="3"/>
      <c r="LXG37" s="3"/>
      <c r="LXH37" s="3"/>
      <c r="LXI37" s="3"/>
      <c r="LXJ37" s="3"/>
      <c r="LXK37" s="3"/>
      <c r="LXL37" s="3"/>
      <c r="LXM37" s="3"/>
      <c r="LXN37" s="3"/>
      <c r="LXO37" s="3"/>
      <c r="LXP37" s="3"/>
      <c r="LXQ37" s="3"/>
      <c r="LXR37" s="3"/>
      <c r="LXS37" s="3"/>
      <c r="LXT37" s="3"/>
      <c r="LXU37" s="3"/>
      <c r="LXV37" s="3"/>
      <c r="LXW37" s="3"/>
      <c r="LXX37" s="3"/>
      <c r="LXY37" s="3"/>
      <c r="LXZ37" s="3"/>
      <c r="LYA37" s="3"/>
      <c r="LYB37" s="3"/>
      <c r="LYC37" s="3"/>
      <c r="LYD37" s="3"/>
      <c r="LYE37" s="3"/>
      <c r="LYF37" s="3"/>
      <c r="LYG37" s="3"/>
      <c r="LYH37" s="3"/>
      <c r="LYI37" s="3"/>
      <c r="LYJ37" s="3"/>
      <c r="LYK37" s="3"/>
      <c r="LYL37" s="3"/>
      <c r="LYM37" s="3"/>
      <c r="LYN37" s="3"/>
      <c r="LYO37" s="3"/>
      <c r="LYP37" s="3"/>
      <c r="LYQ37" s="3"/>
      <c r="LYR37" s="3"/>
      <c r="LYS37" s="3"/>
      <c r="LYT37" s="3"/>
      <c r="LYU37" s="3"/>
      <c r="LYV37" s="3"/>
      <c r="LYW37" s="3"/>
      <c r="LYX37" s="3"/>
      <c r="LYY37" s="3"/>
      <c r="LYZ37" s="3"/>
      <c r="LZA37" s="3"/>
      <c r="LZB37" s="3"/>
      <c r="LZC37" s="3"/>
      <c r="LZD37" s="3"/>
      <c r="LZE37" s="3"/>
      <c r="LZF37" s="3"/>
      <c r="LZG37" s="3"/>
      <c r="LZH37" s="3"/>
      <c r="LZI37" s="3"/>
      <c r="LZJ37" s="3"/>
      <c r="LZK37" s="3"/>
      <c r="LZL37" s="3"/>
      <c r="LZM37" s="3"/>
      <c r="LZN37" s="3"/>
      <c r="LZO37" s="3"/>
      <c r="LZP37" s="3"/>
      <c r="LZQ37" s="3"/>
      <c r="LZR37" s="3"/>
      <c r="LZS37" s="3"/>
      <c r="LZT37" s="3"/>
      <c r="LZU37" s="3"/>
      <c r="LZV37" s="3"/>
      <c r="LZW37" s="3"/>
      <c r="LZX37" s="3"/>
      <c r="LZY37" s="3"/>
      <c r="LZZ37" s="3"/>
      <c r="MAA37" s="3"/>
      <c r="MAB37" s="3"/>
      <c r="MAC37" s="3"/>
      <c r="MAD37" s="3"/>
      <c r="MAE37" s="3"/>
      <c r="MAF37" s="3"/>
      <c r="MAG37" s="3"/>
      <c r="MAH37" s="3"/>
      <c r="MAI37" s="3"/>
      <c r="MAJ37" s="3"/>
      <c r="MAK37" s="3"/>
      <c r="MAL37" s="3"/>
      <c r="MAM37" s="3"/>
      <c r="MAN37" s="3"/>
      <c r="MAO37" s="3"/>
      <c r="MAP37" s="3"/>
      <c r="MAQ37" s="3"/>
      <c r="MAR37" s="3"/>
      <c r="MAS37" s="3"/>
      <c r="MAT37" s="3"/>
      <c r="MAU37" s="3"/>
      <c r="MAV37" s="3"/>
      <c r="MAW37" s="3"/>
      <c r="MAX37" s="3"/>
      <c r="MAY37" s="3"/>
      <c r="MAZ37" s="3"/>
      <c r="MBA37" s="3"/>
      <c r="MBB37" s="3"/>
      <c r="MBC37" s="3"/>
      <c r="MBD37" s="3"/>
      <c r="MBE37" s="3"/>
      <c r="MBF37" s="3"/>
      <c r="MBG37" s="3"/>
      <c r="MBH37" s="3"/>
      <c r="MBI37" s="3"/>
      <c r="MBJ37" s="3"/>
      <c r="MBK37" s="3"/>
      <c r="MBL37" s="3"/>
      <c r="MBM37" s="3"/>
      <c r="MBN37" s="3"/>
      <c r="MBO37" s="3"/>
      <c r="MBP37" s="3"/>
      <c r="MBQ37" s="3"/>
      <c r="MBR37" s="3"/>
      <c r="MBS37" s="3"/>
      <c r="MBT37" s="3"/>
      <c r="MBU37" s="3"/>
      <c r="MBV37" s="3"/>
      <c r="MBW37" s="3"/>
      <c r="MBX37" s="3"/>
      <c r="MBY37" s="3"/>
      <c r="MBZ37" s="3"/>
      <c r="MCA37" s="3"/>
      <c r="MCB37" s="3"/>
      <c r="MCC37" s="3"/>
      <c r="MCD37" s="3"/>
      <c r="MCE37" s="3"/>
      <c r="MCF37" s="3"/>
      <c r="MCG37" s="3"/>
      <c r="MCH37" s="3"/>
      <c r="MCI37" s="3"/>
      <c r="MCJ37" s="3"/>
      <c r="MCK37" s="3"/>
      <c r="MCL37" s="3"/>
      <c r="MCM37" s="3"/>
      <c r="MCN37" s="3"/>
      <c r="MCO37" s="3"/>
      <c r="MCP37" s="3"/>
      <c r="MCQ37" s="3"/>
      <c r="MCR37" s="3"/>
      <c r="MCS37" s="3"/>
      <c r="MCT37" s="3"/>
      <c r="MCU37" s="3"/>
      <c r="MCV37" s="3"/>
      <c r="MCW37" s="3"/>
      <c r="MCX37" s="3"/>
      <c r="MCY37" s="3"/>
      <c r="MCZ37" s="3"/>
      <c r="MDA37" s="3"/>
      <c r="MDB37" s="3"/>
      <c r="MDC37" s="3"/>
      <c r="MDD37" s="3"/>
      <c r="MDE37" s="3"/>
      <c r="MDF37" s="3"/>
      <c r="MDG37" s="3"/>
      <c r="MDH37" s="3"/>
      <c r="MDI37" s="3"/>
      <c r="MDJ37" s="3"/>
      <c r="MDK37" s="3"/>
      <c r="MDL37" s="3"/>
      <c r="MDM37" s="3"/>
      <c r="MDN37" s="3"/>
      <c r="MDO37" s="3"/>
      <c r="MDP37" s="3"/>
      <c r="MDQ37" s="3"/>
      <c r="MDR37" s="3"/>
      <c r="MDS37" s="3"/>
      <c r="MDT37" s="3"/>
      <c r="MDU37" s="3"/>
      <c r="MDV37" s="3"/>
      <c r="MDW37" s="3"/>
      <c r="MDX37" s="3"/>
      <c r="MDY37" s="3"/>
      <c r="MDZ37" s="3"/>
      <c r="MEA37" s="3"/>
      <c r="MEB37" s="3"/>
      <c r="MEC37" s="3"/>
      <c r="MED37" s="3"/>
      <c r="MEE37" s="3"/>
      <c r="MEF37" s="3"/>
      <c r="MEG37" s="3"/>
      <c r="MEH37" s="3"/>
      <c r="MEI37" s="3"/>
      <c r="MEJ37" s="3"/>
      <c r="MEK37" s="3"/>
      <c r="MEL37" s="3"/>
      <c r="MEM37" s="3"/>
      <c r="MEN37" s="3"/>
      <c r="MEO37" s="3"/>
      <c r="MEP37" s="3"/>
      <c r="MEQ37" s="3"/>
      <c r="MER37" s="3"/>
      <c r="MES37" s="3"/>
      <c r="MET37" s="3"/>
      <c r="MEU37" s="3"/>
      <c r="MEV37" s="3"/>
      <c r="MEW37" s="3"/>
      <c r="MEX37" s="3"/>
      <c r="MEY37" s="3"/>
      <c r="MEZ37" s="3"/>
      <c r="MFA37" s="3"/>
      <c r="MFB37" s="3"/>
      <c r="MFC37" s="3"/>
      <c r="MFD37" s="3"/>
      <c r="MFE37" s="3"/>
      <c r="MFF37" s="3"/>
      <c r="MFG37" s="3"/>
      <c r="MFH37" s="3"/>
      <c r="MFI37" s="3"/>
      <c r="MFJ37" s="3"/>
      <c r="MFK37" s="3"/>
      <c r="MFL37" s="3"/>
      <c r="MFM37" s="3"/>
      <c r="MFN37" s="3"/>
      <c r="MFO37" s="3"/>
      <c r="MFP37" s="3"/>
      <c r="MFQ37" s="3"/>
      <c r="MFR37" s="3"/>
      <c r="MFS37" s="3"/>
      <c r="MFT37" s="3"/>
      <c r="MFU37" s="3"/>
      <c r="MFV37" s="3"/>
      <c r="MFW37" s="3"/>
      <c r="MFX37" s="3"/>
      <c r="MFY37" s="3"/>
      <c r="MFZ37" s="3"/>
      <c r="MGA37" s="3"/>
      <c r="MGB37" s="3"/>
      <c r="MGC37" s="3"/>
      <c r="MGD37" s="3"/>
      <c r="MGE37" s="3"/>
      <c r="MGF37" s="3"/>
      <c r="MGG37" s="3"/>
      <c r="MGH37" s="3"/>
      <c r="MGI37" s="3"/>
      <c r="MGJ37" s="3"/>
      <c r="MGK37" s="3"/>
      <c r="MGL37" s="3"/>
      <c r="MGM37" s="3"/>
      <c r="MGN37" s="3"/>
      <c r="MGO37" s="3"/>
      <c r="MGP37" s="3"/>
      <c r="MGQ37" s="3"/>
      <c r="MGR37" s="3"/>
      <c r="MGS37" s="3"/>
      <c r="MGT37" s="3"/>
      <c r="MGU37" s="3"/>
      <c r="MGV37" s="3"/>
      <c r="MGW37" s="3"/>
      <c r="MGX37" s="3"/>
      <c r="MGY37" s="3"/>
      <c r="MGZ37" s="3"/>
      <c r="MHA37" s="3"/>
      <c r="MHB37" s="3"/>
      <c r="MHC37" s="3"/>
      <c r="MHD37" s="3"/>
      <c r="MHE37" s="3"/>
      <c r="MHF37" s="3"/>
      <c r="MHG37" s="3"/>
      <c r="MHH37" s="3"/>
      <c r="MHI37" s="3"/>
      <c r="MHJ37" s="3"/>
      <c r="MHK37" s="3"/>
      <c r="MHL37" s="3"/>
      <c r="MHM37" s="3"/>
      <c r="MHN37" s="3"/>
      <c r="MHO37" s="3"/>
      <c r="MHP37" s="3"/>
      <c r="MHQ37" s="3"/>
      <c r="MHR37" s="3"/>
      <c r="MHS37" s="3"/>
      <c r="MHT37" s="3"/>
      <c r="MHU37" s="3"/>
      <c r="MHV37" s="3"/>
      <c r="MHW37" s="3"/>
      <c r="MHX37" s="3"/>
      <c r="MHY37" s="3"/>
      <c r="MHZ37" s="3"/>
      <c r="MIA37" s="3"/>
      <c r="MIB37" s="3"/>
      <c r="MIC37" s="3"/>
      <c r="MID37" s="3"/>
      <c r="MIE37" s="3"/>
      <c r="MIF37" s="3"/>
      <c r="MIG37" s="3"/>
      <c r="MIH37" s="3"/>
      <c r="MII37" s="3"/>
      <c r="MIJ37" s="3"/>
      <c r="MIK37" s="3"/>
      <c r="MIL37" s="3"/>
      <c r="MIM37" s="3"/>
      <c r="MIN37" s="3"/>
      <c r="MIO37" s="3"/>
      <c r="MIP37" s="3"/>
      <c r="MIQ37" s="3"/>
      <c r="MIR37" s="3"/>
      <c r="MIS37" s="3"/>
      <c r="MIT37" s="3"/>
      <c r="MIU37" s="3"/>
      <c r="MIV37" s="3"/>
      <c r="MIW37" s="3"/>
      <c r="MIX37" s="3"/>
      <c r="MIY37" s="3"/>
      <c r="MIZ37" s="3"/>
      <c r="MJA37" s="3"/>
      <c r="MJB37" s="3"/>
      <c r="MJC37" s="3"/>
      <c r="MJD37" s="3"/>
      <c r="MJE37" s="3"/>
      <c r="MJF37" s="3"/>
      <c r="MJG37" s="3"/>
      <c r="MJH37" s="3"/>
      <c r="MJI37" s="3"/>
      <c r="MJJ37" s="3"/>
      <c r="MJK37" s="3"/>
      <c r="MJL37" s="3"/>
      <c r="MJM37" s="3"/>
      <c r="MJN37" s="3"/>
      <c r="MJO37" s="3"/>
      <c r="MJP37" s="3"/>
      <c r="MJQ37" s="3"/>
      <c r="MJR37" s="3"/>
      <c r="MJS37" s="3"/>
      <c r="MJT37" s="3"/>
      <c r="MJU37" s="3"/>
      <c r="MJV37" s="3"/>
      <c r="MJW37" s="3"/>
      <c r="MJX37" s="3"/>
      <c r="MJY37" s="3"/>
      <c r="MJZ37" s="3"/>
      <c r="MKA37" s="3"/>
      <c r="MKB37" s="3"/>
      <c r="MKC37" s="3"/>
      <c r="MKD37" s="3"/>
      <c r="MKE37" s="3"/>
      <c r="MKF37" s="3"/>
      <c r="MKG37" s="3"/>
      <c r="MKH37" s="3"/>
      <c r="MKI37" s="3"/>
      <c r="MKJ37" s="3"/>
      <c r="MKK37" s="3"/>
      <c r="MKL37" s="3"/>
      <c r="MKM37" s="3"/>
      <c r="MKN37" s="3"/>
      <c r="MKO37" s="3"/>
      <c r="MKP37" s="3"/>
      <c r="MKQ37" s="3"/>
      <c r="MKR37" s="3"/>
      <c r="MKS37" s="3"/>
      <c r="MKT37" s="3"/>
      <c r="MKU37" s="3"/>
      <c r="MKV37" s="3"/>
      <c r="MKW37" s="3"/>
      <c r="MKX37" s="3"/>
      <c r="MKY37" s="3"/>
      <c r="MKZ37" s="3"/>
      <c r="MLA37" s="3"/>
      <c r="MLB37" s="3"/>
      <c r="MLC37" s="3"/>
      <c r="MLD37" s="3"/>
      <c r="MLE37" s="3"/>
      <c r="MLF37" s="3"/>
      <c r="MLG37" s="3"/>
      <c r="MLH37" s="3"/>
      <c r="MLI37" s="3"/>
      <c r="MLJ37" s="3"/>
      <c r="MLK37" s="3"/>
      <c r="MLL37" s="3"/>
      <c r="MLM37" s="3"/>
      <c r="MLN37" s="3"/>
      <c r="MLO37" s="3"/>
      <c r="MLP37" s="3"/>
      <c r="MLQ37" s="3"/>
      <c r="MLR37" s="3"/>
      <c r="MLS37" s="3"/>
      <c r="MLT37" s="3"/>
      <c r="MLU37" s="3"/>
      <c r="MLV37" s="3"/>
      <c r="MLW37" s="3"/>
      <c r="MLX37" s="3"/>
      <c r="MLY37" s="3"/>
      <c r="MLZ37" s="3"/>
      <c r="MMA37" s="3"/>
      <c r="MMB37" s="3"/>
      <c r="MMC37" s="3"/>
      <c r="MMD37" s="3"/>
      <c r="MME37" s="3"/>
      <c r="MMF37" s="3"/>
      <c r="MMG37" s="3"/>
      <c r="MMH37" s="3"/>
      <c r="MMI37" s="3"/>
      <c r="MMJ37" s="3"/>
      <c r="MMK37" s="3"/>
      <c r="MML37" s="3"/>
      <c r="MMM37" s="3"/>
      <c r="MMN37" s="3"/>
      <c r="MMO37" s="3"/>
      <c r="MMP37" s="3"/>
      <c r="MMQ37" s="3"/>
      <c r="MMR37" s="3"/>
      <c r="MMS37" s="3"/>
      <c r="MMT37" s="3"/>
      <c r="MMU37" s="3"/>
      <c r="MMV37" s="3"/>
      <c r="MMW37" s="3"/>
      <c r="MMX37" s="3"/>
      <c r="MMY37" s="3"/>
      <c r="MMZ37" s="3"/>
      <c r="MNA37" s="3"/>
      <c r="MNB37" s="3"/>
      <c r="MNC37" s="3"/>
      <c r="MND37" s="3"/>
      <c r="MNE37" s="3"/>
      <c r="MNF37" s="3"/>
      <c r="MNG37" s="3"/>
      <c r="MNH37" s="3"/>
      <c r="MNI37" s="3"/>
      <c r="MNJ37" s="3"/>
      <c r="MNK37" s="3"/>
      <c r="MNL37" s="3"/>
      <c r="MNM37" s="3"/>
      <c r="MNN37" s="3"/>
      <c r="MNO37" s="3"/>
      <c r="MNP37" s="3"/>
      <c r="MNQ37" s="3"/>
      <c r="MNR37" s="3"/>
      <c r="MNS37" s="3"/>
      <c r="MNT37" s="3"/>
      <c r="MNU37" s="3"/>
      <c r="MNV37" s="3"/>
      <c r="MNW37" s="3"/>
      <c r="MNX37" s="3"/>
      <c r="MNY37" s="3"/>
      <c r="MNZ37" s="3"/>
      <c r="MOA37" s="3"/>
      <c r="MOB37" s="3"/>
      <c r="MOC37" s="3"/>
      <c r="MOD37" s="3"/>
      <c r="MOE37" s="3"/>
      <c r="MOF37" s="3"/>
      <c r="MOG37" s="3"/>
      <c r="MOH37" s="3"/>
      <c r="MOI37" s="3"/>
      <c r="MOJ37" s="3"/>
      <c r="MOK37" s="3"/>
      <c r="MOL37" s="3"/>
      <c r="MOM37" s="3"/>
      <c r="MON37" s="3"/>
      <c r="MOO37" s="3"/>
      <c r="MOP37" s="3"/>
      <c r="MOQ37" s="3"/>
      <c r="MOR37" s="3"/>
      <c r="MOS37" s="3"/>
      <c r="MOT37" s="3"/>
      <c r="MOU37" s="3"/>
      <c r="MOV37" s="3"/>
      <c r="MOW37" s="3"/>
      <c r="MOX37" s="3"/>
      <c r="MOY37" s="3"/>
      <c r="MOZ37" s="3"/>
      <c r="MPA37" s="3"/>
      <c r="MPB37" s="3"/>
      <c r="MPC37" s="3"/>
      <c r="MPD37" s="3"/>
      <c r="MPE37" s="3"/>
      <c r="MPF37" s="3"/>
      <c r="MPG37" s="3"/>
      <c r="MPH37" s="3"/>
      <c r="MPI37" s="3"/>
      <c r="MPJ37" s="3"/>
      <c r="MPK37" s="3"/>
      <c r="MPL37" s="3"/>
      <c r="MPM37" s="3"/>
      <c r="MPN37" s="3"/>
      <c r="MPO37" s="3"/>
      <c r="MPP37" s="3"/>
      <c r="MPQ37" s="3"/>
      <c r="MPR37" s="3"/>
      <c r="MPS37" s="3"/>
      <c r="MPT37" s="3"/>
      <c r="MPU37" s="3"/>
      <c r="MPV37" s="3"/>
      <c r="MPW37" s="3"/>
      <c r="MPX37" s="3"/>
      <c r="MPY37" s="3"/>
      <c r="MPZ37" s="3"/>
      <c r="MQA37" s="3"/>
      <c r="MQB37" s="3"/>
      <c r="MQC37" s="3"/>
      <c r="MQD37" s="3"/>
      <c r="MQE37" s="3"/>
      <c r="MQF37" s="3"/>
      <c r="MQG37" s="3"/>
      <c r="MQH37" s="3"/>
      <c r="MQI37" s="3"/>
      <c r="MQJ37" s="3"/>
      <c r="MQK37" s="3"/>
      <c r="MQL37" s="3"/>
      <c r="MQM37" s="3"/>
      <c r="MQN37" s="3"/>
      <c r="MQO37" s="3"/>
      <c r="MQP37" s="3"/>
      <c r="MQQ37" s="3"/>
      <c r="MQR37" s="3"/>
      <c r="MQS37" s="3"/>
      <c r="MQT37" s="3"/>
      <c r="MQU37" s="3"/>
      <c r="MQV37" s="3"/>
      <c r="MQW37" s="3"/>
      <c r="MQX37" s="3"/>
      <c r="MQY37" s="3"/>
      <c r="MQZ37" s="3"/>
      <c r="MRA37" s="3"/>
      <c r="MRB37" s="3"/>
      <c r="MRC37" s="3"/>
      <c r="MRD37" s="3"/>
      <c r="MRE37" s="3"/>
      <c r="MRF37" s="3"/>
      <c r="MRG37" s="3"/>
      <c r="MRH37" s="3"/>
      <c r="MRI37" s="3"/>
      <c r="MRJ37" s="3"/>
      <c r="MRK37" s="3"/>
      <c r="MRL37" s="3"/>
      <c r="MRM37" s="3"/>
      <c r="MRN37" s="3"/>
      <c r="MRO37" s="3"/>
      <c r="MRP37" s="3"/>
      <c r="MRQ37" s="3"/>
      <c r="MRR37" s="3"/>
      <c r="MRS37" s="3"/>
      <c r="MRT37" s="3"/>
      <c r="MRU37" s="3"/>
      <c r="MRV37" s="3"/>
      <c r="MRW37" s="3"/>
      <c r="MRX37" s="3"/>
      <c r="MRY37" s="3"/>
      <c r="MRZ37" s="3"/>
      <c r="MSA37" s="3"/>
      <c r="MSB37" s="3"/>
      <c r="MSC37" s="3"/>
      <c r="MSD37" s="3"/>
      <c r="MSE37" s="3"/>
      <c r="MSF37" s="3"/>
      <c r="MSG37" s="3"/>
      <c r="MSH37" s="3"/>
      <c r="MSI37" s="3"/>
      <c r="MSJ37" s="3"/>
      <c r="MSK37" s="3"/>
      <c r="MSL37" s="3"/>
      <c r="MSM37" s="3"/>
      <c r="MSN37" s="3"/>
      <c r="MSO37" s="3"/>
      <c r="MSP37" s="3"/>
      <c r="MSQ37" s="3"/>
      <c r="MSR37" s="3"/>
      <c r="MSS37" s="3"/>
      <c r="MST37" s="3"/>
      <c r="MSU37" s="3"/>
      <c r="MSV37" s="3"/>
      <c r="MSW37" s="3"/>
      <c r="MSX37" s="3"/>
      <c r="MSY37" s="3"/>
      <c r="MSZ37" s="3"/>
      <c r="MTA37" s="3"/>
      <c r="MTB37" s="3"/>
      <c r="MTC37" s="3"/>
      <c r="MTD37" s="3"/>
      <c r="MTE37" s="3"/>
      <c r="MTF37" s="3"/>
      <c r="MTG37" s="3"/>
      <c r="MTH37" s="3"/>
      <c r="MTI37" s="3"/>
      <c r="MTJ37" s="3"/>
      <c r="MTK37" s="3"/>
      <c r="MTL37" s="3"/>
      <c r="MTM37" s="3"/>
      <c r="MTN37" s="3"/>
      <c r="MTO37" s="3"/>
      <c r="MTP37" s="3"/>
      <c r="MTQ37" s="3"/>
      <c r="MTR37" s="3"/>
      <c r="MTS37" s="3"/>
      <c r="MTT37" s="3"/>
      <c r="MTU37" s="3"/>
      <c r="MTV37" s="3"/>
      <c r="MTW37" s="3"/>
      <c r="MTX37" s="3"/>
      <c r="MTY37" s="3"/>
      <c r="MTZ37" s="3"/>
      <c r="MUA37" s="3"/>
      <c r="MUB37" s="3"/>
      <c r="MUC37" s="3"/>
      <c r="MUD37" s="3"/>
      <c r="MUE37" s="3"/>
      <c r="MUF37" s="3"/>
      <c r="MUG37" s="3"/>
      <c r="MUH37" s="3"/>
      <c r="MUI37" s="3"/>
      <c r="MUJ37" s="3"/>
      <c r="MUK37" s="3"/>
      <c r="MUL37" s="3"/>
      <c r="MUM37" s="3"/>
      <c r="MUN37" s="3"/>
      <c r="MUO37" s="3"/>
      <c r="MUP37" s="3"/>
      <c r="MUQ37" s="3"/>
      <c r="MUR37" s="3"/>
      <c r="MUS37" s="3"/>
      <c r="MUT37" s="3"/>
      <c r="MUU37" s="3"/>
      <c r="MUV37" s="3"/>
      <c r="MUW37" s="3"/>
      <c r="MUX37" s="3"/>
      <c r="MUY37" s="3"/>
      <c r="MUZ37" s="3"/>
      <c r="MVA37" s="3"/>
      <c r="MVB37" s="3"/>
      <c r="MVC37" s="3"/>
      <c r="MVD37" s="3"/>
      <c r="MVE37" s="3"/>
      <c r="MVF37" s="3"/>
      <c r="MVG37" s="3"/>
      <c r="MVH37" s="3"/>
      <c r="MVI37" s="3"/>
      <c r="MVJ37" s="3"/>
      <c r="MVK37" s="3"/>
      <c r="MVL37" s="3"/>
      <c r="MVM37" s="3"/>
      <c r="MVN37" s="3"/>
      <c r="MVO37" s="3"/>
      <c r="MVP37" s="3"/>
      <c r="MVQ37" s="3"/>
      <c r="MVR37" s="3"/>
      <c r="MVS37" s="3"/>
      <c r="MVT37" s="3"/>
      <c r="MVU37" s="3"/>
      <c r="MVV37" s="3"/>
      <c r="MVW37" s="3"/>
      <c r="MVX37" s="3"/>
      <c r="MVY37" s="3"/>
      <c r="MVZ37" s="3"/>
      <c r="MWA37" s="3"/>
      <c r="MWB37" s="3"/>
      <c r="MWC37" s="3"/>
      <c r="MWD37" s="3"/>
      <c r="MWE37" s="3"/>
      <c r="MWF37" s="3"/>
      <c r="MWG37" s="3"/>
      <c r="MWH37" s="3"/>
      <c r="MWI37" s="3"/>
      <c r="MWJ37" s="3"/>
      <c r="MWK37" s="3"/>
      <c r="MWL37" s="3"/>
      <c r="MWM37" s="3"/>
      <c r="MWN37" s="3"/>
      <c r="MWO37" s="3"/>
      <c r="MWP37" s="3"/>
      <c r="MWQ37" s="3"/>
      <c r="MWR37" s="3"/>
      <c r="MWS37" s="3"/>
      <c r="MWT37" s="3"/>
      <c r="MWU37" s="3"/>
      <c r="MWV37" s="3"/>
      <c r="MWW37" s="3"/>
      <c r="MWX37" s="3"/>
      <c r="MWY37" s="3"/>
      <c r="MWZ37" s="3"/>
      <c r="MXA37" s="3"/>
      <c r="MXB37" s="3"/>
      <c r="MXC37" s="3"/>
      <c r="MXD37" s="3"/>
      <c r="MXE37" s="3"/>
      <c r="MXF37" s="3"/>
      <c r="MXG37" s="3"/>
      <c r="MXH37" s="3"/>
      <c r="MXI37" s="3"/>
      <c r="MXJ37" s="3"/>
      <c r="MXK37" s="3"/>
      <c r="MXL37" s="3"/>
      <c r="MXM37" s="3"/>
      <c r="MXN37" s="3"/>
      <c r="MXO37" s="3"/>
      <c r="MXP37" s="3"/>
      <c r="MXQ37" s="3"/>
      <c r="MXR37" s="3"/>
      <c r="MXS37" s="3"/>
      <c r="MXT37" s="3"/>
      <c r="MXU37" s="3"/>
      <c r="MXV37" s="3"/>
      <c r="MXW37" s="3"/>
      <c r="MXX37" s="3"/>
      <c r="MXY37" s="3"/>
      <c r="MXZ37" s="3"/>
      <c r="MYA37" s="3"/>
      <c r="MYB37" s="3"/>
      <c r="MYC37" s="3"/>
      <c r="MYD37" s="3"/>
      <c r="MYE37" s="3"/>
      <c r="MYF37" s="3"/>
      <c r="MYG37" s="3"/>
      <c r="MYH37" s="3"/>
      <c r="MYI37" s="3"/>
      <c r="MYJ37" s="3"/>
      <c r="MYK37" s="3"/>
      <c r="MYL37" s="3"/>
      <c r="MYM37" s="3"/>
      <c r="MYN37" s="3"/>
      <c r="MYO37" s="3"/>
      <c r="MYP37" s="3"/>
      <c r="MYQ37" s="3"/>
      <c r="MYR37" s="3"/>
      <c r="MYS37" s="3"/>
      <c r="MYT37" s="3"/>
      <c r="MYU37" s="3"/>
      <c r="MYV37" s="3"/>
      <c r="MYW37" s="3"/>
      <c r="MYX37" s="3"/>
      <c r="MYY37" s="3"/>
      <c r="MYZ37" s="3"/>
      <c r="MZA37" s="3"/>
      <c r="MZB37" s="3"/>
      <c r="MZC37" s="3"/>
      <c r="MZD37" s="3"/>
      <c r="MZE37" s="3"/>
      <c r="MZF37" s="3"/>
      <c r="MZG37" s="3"/>
      <c r="MZH37" s="3"/>
      <c r="MZI37" s="3"/>
      <c r="MZJ37" s="3"/>
      <c r="MZK37" s="3"/>
      <c r="MZL37" s="3"/>
      <c r="MZM37" s="3"/>
      <c r="MZN37" s="3"/>
      <c r="MZO37" s="3"/>
      <c r="MZP37" s="3"/>
      <c r="MZQ37" s="3"/>
      <c r="MZR37" s="3"/>
      <c r="MZS37" s="3"/>
      <c r="MZT37" s="3"/>
      <c r="MZU37" s="3"/>
      <c r="MZV37" s="3"/>
      <c r="MZW37" s="3"/>
      <c r="MZX37" s="3"/>
      <c r="MZY37" s="3"/>
      <c r="MZZ37" s="3"/>
      <c r="NAA37" s="3"/>
      <c r="NAB37" s="3"/>
      <c r="NAC37" s="3"/>
      <c r="NAD37" s="3"/>
      <c r="NAE37" s="3"/>
      <c r="NAF37" s="3"/>
      <c r="NAG37" s="3"/>
      <c r="NAH37" s="3"/>
      <c r="NAI37" s="3"/>
      <c r="NAJ37" s="3"/>
      <c r="NAK37" s="3"/>
      <c r="NAL37" s="3"/>
      <c r="NAM37" s="3"/>
      <c r="NAN37" s="3"/>
      <c r="NAO37" s="3"/>
      <c r="NAP37" s="3"/>
      <c r="NAQ37" s="3"/>
      <c r="NAR37" s="3"/>
      <c r="NAS37" s="3"/>
      <c r="NAT37" s="3"/>
      <c r="NAU37" s="3"/>
      <c r="NAV37" s="3"/>
      <c r="NAW37" s="3"/>
      <c r="NAX37" s="3"/>
      <c r="NAY37" s="3"/>
      <c r="NAZ37" s="3"/>
      <c r="NBA37" s="3"/>
      <c r="NBB37" s="3"/>
      <c r="NBC37" s="3"/>
      <c r="NBD37" s="3"/>
      <c r="NBE37" s="3"/>
      <c r="NBF37" s="3"/>
      <c r="NBG37" s="3"/>
      <c r="NBH37" s="3"/>
      <c r="NBI37" s="3"/>
      <c r="NBJ37" s="3"/>
      <c r="NBK37" s="3"/>
      <c r="NBL37" s="3"/>
      <c r="NBM37" s="3"/>
      <c r="NBN37" s="3"/>
      <c r="NBO37" s="3"/>
      <c r="NBP37" s="3"/>
      <c r="NBQ37" s="3"/>
      <c r="NBR37" s="3"/>
      <c r="NBS37" s="3"/>
      <c r="NBT37" s="3"/>
      <c r="NBU37" s="3"/>
      <c r="NBV37" s="3"/>
      <c r="NBW37" s="3"/>
      <c r="NBX37" s="3"/>
      <c r="NBY37" s="3"/>
      <c r="NBZ37" s="3"/>
      <c r="NCA37" s="3"/>
      <c r="NCB37" s="3"/>
      <c r="NCC37" s="3"/>
      <c r="NCD37" s="3"/>
      <c r="NCE37" s="3"/>
      <c r="NCF37" s="3"/>
      <c r="NCG37" s="3"/>
      <c r="NCH37" s="3"/>
      <c r="NCI37" s="3"/>
      <c r="NCJ37" s="3"/>
      <c r="NCK37" s="3"/>
      <c r="NCL37" s="3"/>
      <c r="NCM37" s="3"/>
      <c r="NCN37" s="3"/>
      <c r="NCO37" s="3"/>
      <c r="NCP37" s="3"/>
      <c r="NCQ37" s="3"/>
      <c r="NCR37" s="3"/>
      <c r="NCS37" s="3"/>
      <c r="NCT37" s="3"/>
      <c r="NCU37" s="3"/>
      <c r="NCV37" s="3"/>
      <c r="NCW37" s="3"/>
      <c r="NCX37" s="3"/>
      <c r="NCY37" s="3"/>
      <c r="NCZ37" s="3"/>
      <c r="NDA37" s="3"/>
      <c r="NDB37" s="3"/>
      <c r="NDC37" s="3"/>
      <c r="NDD37" s="3"/>
      <c r="NDE37" s="3"/>
      <c r="NDF37" s="3"/>
      <c r="NDG37" s="3"/>
      <c r="NDH37" s="3"/>
      <c r="NDI37" s="3"/>
      <c r="NDJ37" s="3"/>
      <c r="NDK37" s="3"/>
      <c r="NDL37" s="3"/>
      <c r="NDM37" s="3"/>
      <c r="NDN37" s="3"/>
      <c r="NDO37" s="3"/>
      <c r="NDP37" s="3"/>
      <c r="NDQ37" s="3"/>
      <c r="NDR37" s="3"/>
      <c r="NDS37" s="3"/>
      <c r="NDT37" s="3"/>
      <c r="NDU37" s="3"/>
      <c r="NDV37" s="3"/>
      <c r="NDW37" s="3"/>
      <c r="NDX37" s="3"/>
      <c r="NDY37" s="3"/>
      <c r="NDZ37" s="3"/>
      <c r="NEA37" s="3"/>
      <c r="NEB37" s="3"/>
      <c r="NEC37" s="3"/>
      <c r="NED37" s="3"/>
      <c r="NEE37" s="3"/>
      <c r="NEF37" s="3"/>
      <c r="NEG37" s="3"/>
      <c r="NEH37" s="3"/>
      <c r="NEI37" s="3"/>
      <c r="NEJ37" s="3"/>
      <c r="NEK37" s="3"/>
      <c r="NEL37" s="3"/>
      <c r="NEM37" s="3"/>
      <c r="NEN37" s="3"/>
      <c r="NEO37" s="3"/>
      <c r="NEP37" s="3"/>
      <c r="NEQ37" s="3"/>
      <c r="NER37" s="3"/>
      <c r="NES37" s="3"/>
      <c r="NET37" s="3"/>
      <c r="NEU37" s="3"/>
      <c r="NEV37" s="3"/>
      <c r="NEW37" s="3"/>
      <c r="NEX37" s="3"/>
      <c r="NEY37" s="3"/>
      <c r="NEZ37" s="3"/>
      <c r="NFA37" s="3"/>
      <c r="NFB37" s="3"/>
      <c r="NFC37" s="3"/>
      <c r="NFD37" s="3"/>
      <c r="NFE37" s="3"/>
      <c r="NFF37" s="3"/>
      <c r="NFG37" s="3"/>
      <c r="NFH37" s="3"/>
      <c r="NFI37" s="3"/>
      <c r="NFJ37" s="3"/>
      <c r="NFK37" s="3"/>
      <c r="NFL37" s="3"/>
      <c r="NFM37" s="3"/>
      <c r="NFN37" s="3"/>
      <c r="NFO37" s="3"/>
      <c r="NFP37" s="3"/>
      <c r="NFQ37" s="3"/>
      <c r="NFR37" s="3"/>
      <c r="NFS37" s="3"/>
      <c r="NFT37" s="3"/>
      <c r="NFU37" s="3"/>
      <c r="NFV37" s="3"/>
      <c r="NFW37" s="3"/>
      <c r="NFX37" s="3"/>
      <c r="NFY37" s="3"/>
      <c r="NFZ37" s="3"/>
      <c r="NGA37" s="3"/>
      <c r="NGB37" s="3"/>
      <c r="NGC37" s="3"/>
      <c r="NGD37" s="3"/>
      <c r="NGE37" s="3"/>
      <c r="NGF37" s="3"/>
      <c r="NGG37" s="3"/>
      <c r="NGH37" s="3"/>
      <c r="NGI37" s="3"/>
      <c r="NGJ37" s="3"/>
      <c r="NGK37" s="3"/>
      <c r="NGL37" s="3"/>
      <c r="NGM37" s="3"/>
      <c r="NGN37" s="3"/>
      <c r="NGO37" s="3"/>
      <c r="NGP37" s="3"/>
      <c r="NGQ37" s="3"/>
      <c r="NGR37" s="3"/>
      <c r="NGS37" s="3"/>
      <c r="NGT37" s="3"/>
      <c r="NGU37" s="3"/>
      <c r="NGV37" s="3"/>
      <c r="NGW37" s="3"/>
      <c r="NGX37" s="3"/>
      <c r="NGY37" s="3"/>
      <c r="NGZ37" s="3"/>
      <c r="NHA37" s="3"/>
      <c r="NHB37" s="3"/>
      <c r="NHC37" s="3"/>
      <c r="NHD37" s="3"/>
      <c r="NHE37" s="3"/>
      <c r="NHF37" s="3"/>
      <c r="NHG37" s="3"/>
      <c r="NHH37" s="3"/>
      <c r="NHI37" s="3"/>
      <c r="NHJ37" s="3"/>
      <c r="NHK37" s="3"/>
      <c r="NHL37" s="3"/>
      <c r="NHM37" s="3"/>
      <c r="NHN37" s="3"/>
      <c r="NHO37" s="3"/>
      <c r="NHP37" s="3"/>
      <c r="NHQ37" s="3"/>
      <c r="NHR37" s="3"/>
      <c r="NHS37" s="3"/>
      <c r="NHT37" s="3"/>
      <c r="NHU37" s="3"/>
      <c r="NHV37" s="3"/>
      <c r="NHW37" s="3"/>
      <c r="NHX37" s="3"/>
      <c r="NHY37" s="3"/>
      <c r="NHZ37" s="3"/>
      <c r="NIA37" s="3"/>
      <c r="NIB37" s="3"/>
      <c r="NIC37" s="3"/>
      <c r="NID37" s="3"/>
      <c r="NIE37" s="3"/>
      <c r="NIF37" s="3"/>
      <c r="NIG37" s="3"/>
      <c r="NIH37" s="3"/>
      <c r="NII37" s="3"/>
      <c r="NIJ37" s="3"/>
      <c r="NIK37" s="3"/>
      <c r="NIL37" s="3"/>
      <c r="NIM37" s="3"/>
      <c r="NIN37" s="3"/>
      <c r="NIO37" s="3"/>
      <c r="NIP37" s="3"/>
      <c r="NIQ37" s="3"/>
      <c r="NIR37" s="3"/>
      <c r="NIS37" s="3"/>
      <c r="NIT37" s="3"/>
      <c r="NIU37" s="3"/>
      <c r="NIV37" s="3"/>
      <c r="NIW37" s="3"/>
      <c r="NIX37" s="3"/>
      <c r="NIY37" s="3"/>
      <c r="NIZ37" s="3"/>
      <c r="NJA37" s="3"/>
      <c r="NJB37" s="3"/>
      <c r="NJC37" s="3"/>
      <c r="NJD37" s="3"/>
      <c r="NJE37" s="3"/>
      <c r="NJF37" s="3"/>
      <c r="NJG37" s="3"/>
      <c r="NJH37" s="3"/>
      <c r="NJI37" s="3"/>
      <c r="NJJ37" s="3"/>
      <c r="NJK37" s="3"/>
      <c r="NJL37" s="3"/>
      <c r="NJM37" s="3"/>
      <c r="NJN37" s="3"/>
      <c r="NJO37" s="3"/>
      <c r="NJP37" s="3"/>
      <c r="NJQ37" s="3"/>
      <c r="NJR37" s="3"/>
      <c r="NJS37" s="3"/>
      <c r="NJT37" s="3"/>
      <c r="NJU37" s="3"/>
      <c r="NJV37" s="3"/>
      <c r="NJW37" s="3"/>
      <c r="NJX37" s="3"/>
      <c r="NJY37" s="3"/>
      <c r="NJZ37" s="3"/>
      <c r="NKA37" s="3"/>
      <c r="NKB37" s="3"/>
      <c r="NKC37" s="3"/>
      <c r="NKD37" s="3"/>
      <c r="NKE37" s="3"/>
      <c r="NKF37" s="3"/>
      <c r="NKG37" s="3"/>
      <c r="NKH37" s="3"/>
      <c r="NKI37" s="3"/>
      <c r="NKJ37" s="3"/>
      <c r="NKK37" s="3"/>
      <c r="NKL37" s="3"/>
      <c r="NKM37" s="3"/>
      <c r="NKN37" s="3"/>
      <c r="NKO37" s="3"/>
      <c r="NKP37" s="3"/>
      <c r="NKQ37" s="3"/>
      <c r="NKR37" s="3"/>
      <c r="NKS37" s="3"/>
      <c r="NKT37" s="3"/>
      <c r="NKU37" s="3"/>
      <c r="NKV37" s="3"/>
      <c r="NKW37" s="3"/>
      <c r="NKX37" s="3"/>
      <c r="NKY37" s="3"/>
      <c r="NKZ37" s="3"/>
      <c r="NLA37" s="3"/>
      <c r="NLB37" s="3"/>
      <c r="NLC37" s="3"/>
      <c r="NLD37" s="3"/>
      <c r="NLE37" s="3"/>
      <c r="NLF37" s="3"/>
      <c r="NLG37" s="3"/>
      <c r="NLH37" s="3"/>
      <c r="NLI37" s="3"/>
      <c r="NLJ37" s="3"/>
      <c r="NLK37" s="3"/>
      <c r="NLL37" s="3"/>
      <c r="NLM37" s="3"/>
      <c r="NLN37" s="3"/>
      <c r="NLO37" s="3"/>
      <c r="NLP37" s="3"/>
      <c r="NLQ37" s="3"/>
      <c r="NLR37" s="3"/>
      <c r="NLS37" s="3"/>
      <c r="NLT37" s="3"/>
      <c r="NLU37" s="3"/>
      <c r="NLV37" s="3"/>
      <c r="NLW37" s="3"/>
      <c r="NLX37" s="3"/>
      <c r="NLY37" s="3"/>
      <c r="NLZ37" s="3"/>
      <c r="NMA37" s="3"/>
      <c r="NMB37" s="3"/>
      <c r="NMC37" s="3"/>
      <c r="NMD37" s="3"/>
      <c r="NME37" s="3"/>
      <c r="NMF37" s="3"/>
      <c r="NMG37" s="3"/>
      <c r="NMH37" s="3"/>
      <c r="NMI37" s="3"/>
      <c r="NMJ37" s="3"/>
      <c r="NMK37" s="3"/>
      <c r="NML37" s="3"/>
      <c r="NMM37" s="3"/>
      <c r="NMN37" s="3"/>
      <c r="NMO37" s="3"/>
      <c r="NMP37" s="3"/>
      <c r="NMQ37" s="3"/>
      <c r="NMR37" s="3"/>
      <c r="NMS37" s="3"/>
      <c r="NMT37" s="3"/>
      <c r="NMU37" s="3"/>
      <c r="NMV37" s="3"/>
      <c r="NMW37" s="3"/>
      <c r="NMX37" s="3"/>
      <c r="NMY37" s="3"/>
      <c r="NMZ37" s="3"/>
      <c r="NNA37" s="3"/>
      <c r="NNB37" s="3"/>
      <c r="NNC37" s="3"/>
      <c r="NND37" s="3"/>
      <c r="NNE37" s="3"/>
      <c r="NNF37" s="3"/>
      <c r="NNG37" s="3"/>
      <c r="NNH37" s="3"/>
      <c r="NNI37" s="3"/>
      <c r="NNJ37" s="3"/>
      <c r="NNK37" s="3"/>
      <c r="NNL37" s="3"/>
      <c r="NNM37" s="3"/>
      <c r="NNN37" s="3"/>
      <c r="NNO37" s="3"/>
      <c r="NNP37" s="3"/>
      <c r="NNQ37" s="3"/>
      <c r="NNR37" s="3"/>
      <c r="NNS37" s="3"/>
      <c r="NNT37" s="3"/>
      <c r="NNU37" s="3"/>
      <c r="NNV37" s="3"/>
      <c r="NNW37" s="3"/>
      <c r="NNX37" s="3"/>
      <c r="NNY37" s="3"/>
      <c r="NNZ37" s="3"/>
      <c r="NOA37" s="3"/>
      <c r="NOB37" s="3"/>
      <c r="NOC37" s="3"/>
      <c r="NOD37" s="3"/>
      <c r="NOE37" s="3"/>
      <c r="NOF37" s="3"/>
      <c r="NOG37" s="3"/>
      <c r="NOH37" s="3"/>
      <c r="NOI37" s="3"/>
      <c r="NOJ37" s="3"/>
      <c r="NOK37" s="3"/>
      <c r="NOL37" s="3"/>
      <c r="NOM37" s="3"/>
      <c r="NON37" s="3"/>
      <c r="NOO37" s="3"/>
      <c r="NOP37" s="3"/>
      <c r="NOQ37" s="3"/>
      <c r="NOR37" s="3"/>
      <c r="NOS37" s="3"/>
      <c r="NOT37" s="3"/>
      <c r="NOU37" s="3"/>
      <c r="NOV37" s="3"/>
      <c r="NOW37" s="3"/>
      <c r="NOX37" s="3"/>
      <c r="NOY37" s="3"/>
      <c r="NOZ37" s="3"/>
      <c r="NPA37" s="3"/>
      <c r="NPB37" s="3"/>
      <c r="NPC37" s="3"/>
      <c r="NPD37" s="3"/>
      <c r="NPE37" s="3"/>
      <c r="NPF37" s="3"/>
      <c r="NPG37" s="3"/>
      <c r="NPH37" s="3"/>
      <c r="NPI37" s="3"/>
      <c r="NPJ37" s="3"/>
      <c r="NPK37" s="3"/>
      <c r="NPL37" s="3"/>
      <c r="NPM37" s="3"/>
      <c r="NPN37" s="3"/>
      <c r="NPO37" s="3"/>
      <c r="NPP37" s="3"/>
      <c r="NPQ37" s="3"/>
      <c r="NPR37" s="3"/>
      <c r="NPS37" s="3"/>
      <c r="NPT37" s="3"/>
      <c r="NPU37" s="3"/>
      <c r="NPV37" s="3"/>
      <c r="NPW37" s="3"/>
      <c r="NPX37" s="3"/>
      <c r="NPY37" s="3"/>
      <c r="NPZ37" s="3"/>
      <c r="NQA37" s="3"/>
      <c r="NQB37" s="3"/>
      <c r="NQC37" s="3"/>
      <c r="NQD37" s="3"/>
      <c r="NQE37" s="3"/>
      <c r="NQF37" s="3"/>
      <c r="NQG37" s="3"/>
      <c r="NQH37" s="3"/>
      <c r="NQI37" s="3"/>
      <c r="NQJ37" s="3"/>
      <c r="NQK37" s="3"/>
      <c r="NQL37" s="3"/>
      <c r="NQM37" s="3"/>
      <c r="NQN37" s="3"/>
      <c r="NQO37" s="3"/>
      <c r="NQP37" s="3"/>
      <c r="NQQ37" s="3"/>
      <c r="NQR37" s="3"/>
      <c r="NQS37" s="3"/>
      <c r="NQT37" s="3"/>
      <c r="NQU37" s="3"/>
      <c r="NQV37" s="3"/>
      <c r="NQW37" s="3"/>
      <c r="NQX37" s="3"/>
      <c r="NQY37" s="3"/>
      <c r="NQZ37" s="3"/>
      <c r="NRA37" s="3"/>
      <c r="NRB37" s="3"/>
      <c r="NRC37" s="3"/>
      <c r="NRD37" s="3"/>
      <c r="NRE37" s="3"/>
      <c r="NRF37" s="3"/>
      <c r="NRG37" s="3"/>
      <c r="NRH37" s="3"/>
      <c r="NRI37" s="3"/>
      <c r="NRJ37" s="3"/>
      <c r="NRK37" s="3"/>
      <c r="NRL37" s="3"/>
      <c r="NRM37" s="3"/>
      <c r="NRN37" s="3"/>
      <c r="NRO37" s="3"/>
      <c r="NRP37" s="3"/>
      <c r="NRQ37" s="3"/>
      <c r="NRR37" s="3"/>
      <c r="NRS37" s="3"/>
      <c r="NRT37" s="3"/>
      <c r="NRU37" s="3"/>
      <c r="NRV37" s="3"/>
      <c r="NRW37" s="3"/>
      <c r="NRX37" s="3"/>
      <c r="NRY37" s="3"/>
      <c r="NRZ37" s="3"/>
      <c r="NSA37" s="3"/>
      <c r="NSB37" s="3"/>
      <c r="NSC37" s="3"/>
      <c r="NSD37" s="3"/>
      <c r="NSE37" s="3"/>
      <c r="NSF37" s="3"/>
      <c r="NSG37" s="3"/>
      <c r="NSH37" s="3"/>
      <c r="NSI37" s="3"/>
      <c r="NSJ37" s="3"/>
      <c r="NSK37" s="3"/>
      <c r="NSL37" s="3"/>
      <c r="NSM37" s="3"/>
      <c r="NSN37" s="3"/>
      <c r="NSO37" s="3"/>
      <c r="NSP37" s="3"/>
      <c r="NSQ37" s="3"/>
      <c r="NSR37" s="3"/>
      <c r="NSS37" s="3"/>
      <c r="NST37" s="3"/>
      <c r="NSU37" s="3"/>
      <c r="NSV37" s="3"/>
      <c r="NSW37" s="3"/>
      <c r="NSX37" s="3"/>
      <c r="NSY37" s="3"/>
      <c r="NSZ37" s="3"/>
      <c r="NTA37" s="3"/>
      <c r="NTB37" s="3"/>
      <c r="NTC37" s="3"/>
      <c r="NTD37" s="3"/>
      <c r="NTE37" s="3"/>
      <c r="NTF37" s="3"/>
      <c r="NTG37" s="3"/>
      <c r="NTH37" s="3"/>
      <c r="NTI37" s="3"/>
      <c r="NTJ37" s="3"/>
      <c r="NTK37" s="3"/>
      <c r="NTL37" s="3"/>
      <c r="NTM37" s="3"/>
      <c r="NTN37" s="3"/>
      <c r="NTO37" s="3"/>
      <c r="NTP37" s="3"/>
      <c r="NTQ37" s="3"/>
      <c r="NTR37" s="3"/>
      <c r="NTS37" s="3"/>
      <c r="NTT37" s="3"/>
      <c r="NTU37" s="3"/>
      <c r="NTV37" s="3"/>
      <c r="NTW37" s="3"/>
      <c r="NTX37" s="3"/>
      <c r="NTY37" s="3"/>
      <c r="NTZ37" s="3"/>
      <c r="NUA37" s="3"/>
      <c r="NUB37" s="3"/>
      <c r="NUC37" s="3"/>
      <c r="NUD37" s="3"/>
      <c r="NUE37" s="3"/>
      <c r="NUF37" s="3"/>
      <c r="NUG37" s="3"/>
      <c r="NUH37" s="3"/>
      <c r="NUI37" s="3"/>
      <c r="NUJ37" s="3"/>
      <c r="NUK37" s="3"/>
      <c r="NUL37" s="3"/>
      <c r="NUM37" s="3"/>
      <c r="NUN37" s="3"/>
      <c r="NUO37" s="3"/>
      <c r="NUP37" s="3"/>
      <c r="NUQ37" s="3"/>
      <c r="NUR37" s="3"/>
      <c r="NUS37" s="3"/>
      <c r="NUT37" s="3"/>
      <c r="NUU37" s="3"/>
      <c r="NUV37" s="3"/>
      <c r="NUW37" s="3"/>
      <c r="NUX37" s="3"/>
      <c r="NUY37" s="3"/>
      <c r="NUZ37" s="3"/>
      <c r="NVA37" s="3"/>
      <c r="NVB37" s="3"/>
      <c r="NVC37" s="3"/>
      <c r="NVD37" s="3"/>
      <c r="NVE37" s="3"/>
      <c r="NVF37" s="3"/>
      <c r="NVG37" s="3"/>
      <c r="NVH37" s="3"/>
      <c r="NVI37" s="3"/>
      <c r="NVJ37" s="3"/>
      <c r="NVK37" s="3"/>
      <c r="NVL37" s="3"/>
      <c r="NVM37" s="3"/>
      <c r="NVN37" s="3"/>
      <c r="NVO37" s="3"/>
      <c r="NVP37" s="3"/>
      <c r="NVQ37" s="3"/>
      <c r="NVR37" s="3"/>
      <c r="NVS37" s="3"/>
      <c r="NVT37" s="3"/>
      <c r="NVU37" s="3"/>
      <c r="NVV37" s="3"/>
      <c r="NVW37" s="3"/>
      <c r="NVX37" s="3"/>
      <c r="NVY37" s="3"/>
      <c r="NVZ37" s="3"/>
      <c r="NWA37" s="3"/>
      <c r="NWB37" s="3"/>
      <c r="NWC37" s="3"/>
      <c r="NWD37" s="3"/>
      <c r="NWE37" s="3"/>
      <c r="NWF37" s="3"/>
      <c r="NWG37" s="3"/>
      <c r="NWH37" s="3"/>
      <c r="NWI37" s="3"/>
      <c r="NWJ37" s="3"/>
      <c r="NWK37" s="3"/>
      <c r="NWL37" s="3"/>
      <c r="NWM37" s="3"/>
      <c r="NWN37" s="3"/>
      <c r="NWO37" s="3"/>
      <c r="NWP37" s="3"/>
      <c r="NWQ37" s="3"/>
      <c r="NWR37" s="3"/>
      <c r="NWS37" s="3"/>
      <c r="NWT37" s="3"/>
      <c r="NWU37" s="3"/>
      <c r="NWV37" s="3"/>
      <c r="NWW37" s="3"/>
      <c r="NWX37" s="3"/>
      <c r="NWY37" s="3"/>
      <c r="NWZ37" s="3"/>
      <c r="NXA37" s="3"/>
      <c r="NXB37" s="3"/>
      <c r="NXC37" s="3"/>
      <c r="NXD37" s="3"/>
      <c r="NXE37" s="3"/>
      <c r="NXF37" s="3"/>
      <c r="NXG37" s="3"/>
      <c r="NXH37" s="3"/>
      <c r="NXI37" s="3"/>
      <c r="NXJ37" s="3"/>
      <c r="NXK37" s="3"/>
      <c r="NXL37" s="3"/>
      <c r="NXM37" s="3"/>
      <c r="NXN37" s="3"/>
      <c r="NXO37" s="3"/>
      <c r="NXP37" s="3"/>
      <c r="NXQ37" s="3"/>
      <c r="NXR37" s="3"/>
      <c r="NXS37" s="3"/>
      <c r="NXT37" s="3"/>
      <c r="NXU37" s="3"/>
      <c r="NXV37" s="3"/>
      <c r="NXW37" s="3"/>
      <c r="NXX37" s="3"/>
      <c r="NXY37" s="3"/>
      <c r="NXZ37" s="3"/>
      <c r="NYA37" s="3"/>
      <c r="NYB37" s="3"/>
      <c r="NYC37" s="3"/>
      <c r="NYD37" s="3"/>
      <c r="NYE37" s="3"/>
      <c r="NYF37" s="3"/>
      <c r="NYG37" s="3"/>
      <c r="NYH37" s="3"/>
      <c r="NYI37" s="3"/>
      <c r="NYJ37" s="3"/>
      <c r="NYK37" s="3"/>
      <c r="NYL37" s="3"/>
      <c r="NYM37" s="3"/>
      <c r="NYN37" s="3"/>
      <c r="NYO37" s="3"/>
      <c r="NYP37" s="3"/>
      <c r="NYQ37" s="3"/>
      <c r="NYR37" s="3"/>
      <c r="NYS37" s="3"/>
      <c r="NYT37" s="3"/>
      <c r="NYU37" s="3"/>
      <c r="NYV37" s="3"/>
      <c r="NYW37" s="3"/>
      <c r="NYX37" s="3"/>
      <c r="NYY37" s="3"/>
      <c r="NYZ37" s="3"/>
      <c r="NZA37" s="3"/>
      <c r="NZB37" s="3"/>
      <c r="NZC37" s="3"/>
      <c r="NZD37" s="3"/>
      <c r="NZE37" s="3"/>
      <c r="NZF37" s="3"/>
      <c r="NZG37" s="3"/>
      <c r="NZH37" s="3"/>
      <c r="NZI37" s="3"/>
      <c r="NZJ37" s="3"/>
      <c r="NZK37" s="3"/>
      <c r="NZL37" s="3"/>
      <c r="NZM37" s="3"/>
      <c r="NZN37" s="3"/>
      <c r="NZO37" s="3"/>
      <c r="NZP37" s="3"/>
      <c r="NZQ37" s="3"/>
      <c r="NZR37" s="3"/>
      <c r="NZS37" s="3"/>
      <c r="NZT37" s="3"/>
      <c r="NZU37" s="3"/>
      <c r="NZV37" s="3"/>
      <c r="NZW37" s="3"/>
      <c r="NZX37" s="3"/>
      <c r="NZY37" s="3"/>
      <c r="NZZ37" s="3"/>
      <c r="OAA37" s="3"/>
      <c r="OAB37" s="3"/>
      <c r="OAC37" s="3"/>
      <c r="OAD37" s="3"/>
      <c r="OAE37" s="3"/>
      <c r="OAF37" s="3"/>
      <c r="OAG37" s="3"/>
      <c r="OAH37" s="3"/>
      <c r="OAI37" s="3"/>
      <c r="OAJ37" s="3"/>
      <c r="OAK37" s="3"/>
      <c r="OAL37" s="3"/>
      <c r="OAM37" s="3"/>
      <c r="OAN37" s="3"/>
      <c r="OAO37" s="3"/>
      <c r="OAP37" s="3"/>
      <c r="OAQ37" s="3"/>
      <c r="OAR37" s="3"/>
      <c r="OAS37" s="3"/>
      <c r="OAT37" s="3"/>
      <c r="OAU37" s="3"/>
      <c r="OAV37" s="3"/>
      <c r="OAW37" s="3"/>
      <c r="OAX37" s="3"/>
      <c r="OAY37" s="3"/>
      <c r="OAZ37" s="3"/>
      <c r="OBA37" s="3"/>
      <c r="OBB37" s="3"/>
      <c r="OBC37" s="3"/>
      <c r="OBD37" s="3"/>
      <c r="OBE37" s="3"/>
      <c r="OBF37" s="3"/>
      <c r="OBG37" s="3"/>
      <c r="OBH37" s="3"/>
      <c r="OBI37" s="3"/>
      <c r="OBJ37" s="3"/>
      <c r="OBK37" s="3"/>
      <c r="OBL37" s="3"/>
      <c r="OBM37" s="3"/>
      <c r="OBN37" s="3"/>
      <c r="OBO37" s="3"/>
      <c r="OBP37" s="3"/>
      <c r="OBQ37" s="3"/>
      <c r="OBR37" s="3"/>
      <c r="OBS37" s="3"/>
      <c r="OBT37" s="3"/>
      <c r="OBU37" s="3"/>
      <c r="OBV37" s="3"/>
      <c r="OBW37" s="3"/>
      <c r="OBX37" s="3"/>
      <c r="OBY37" s="3"/>
      <c r="OBZ37" s="3"/>
      <c r="OCA37" s="3"/>
      <c r="OCB37" s="3"/>
      <c r="OCC37" s="3"/>
      <c r="OCD37" s="3"/>
      <c r="OCE37" s="3"/>
      <c r="OCF37" s="3"/>
      <c r="OCG37" s="3"/>
      <c r="OCH37" s="3"/>
      <c r="OCI37" s="3"/>
      <c r="OCJ37" s="3"/>
      <c r="OCK37" s="3"/>
      <c r="OCL37" s="3"/>
      <c r="OCM37" s="3"/>
      <c r="OCN37" s="3"/>
      <c r="OCO37" s="3"/>
      <c r="OCP37" s="3"/>
      <c r="OCQ37" s="3"/>
      <c r="OCR37" s="3"/>
      <c r="OCS37" s="3"/>
      <c r="OCT37" s="3"/>
      <c r="OCU37" s="3"/>
      <c r="OCV37" s="3"/>
      <c r="OCW37" s="3"/>
      <c r="OCX37" s="3"/>
      <c r="OCY37" s="3"/>
      <c r="OCZ37" s="3"/>
      <c r="ODA37" s="3"/>
      <c r="ODB37" s="3"/>
      <c r="ODC37" s="3"/>
      <c r="ODD37" s="3"/>
      <c r="ODE37" s="3"/>
      <c r="ODF37" s="3"/>
      <c r="ODG37" s="3"/>
      <c r="ODH37" s="3"/>
      <c r="ODI37" s="3"/>
      <c r="ODJ37" s="3"/>
      <c r="ODK37" s="3"/>
      <c r="ODL37" s="3"/>
      <c r="ODM37" s="3"/>
      <c r="ODN37" s="3"/>
      <c r="ODO37" s="3"/>
      <c r="ODP37" s="3"/>
      <c r="ODQ37" s="3"/>
      <c r="ODR37" s="3"/>
      <c r="ODS37" s="3"/>
      <c r="ODT37" s="3"/>
      <c r="ODU37" s="3"/>
      <c r="ODV37" s="3"/>
      <c r="ODW37" s="3"/>
      <c r="ODX37" s="3"/>
      <c r="ODY37" s="3"/>
      <c r="ODZ37" s="3"/>
      <c r="OEA37" s="3"/>
      <c r="OEB37" s="3"/>
      <c r="OEC37" s="3"/>
      <c r="OED37" s="3"/>
      <c r="OEE37" s="3"/>
      <c r="OEF37" s="3"/>
      <c r="OEG37" s="3"/>
      <c r="OEH37" s="3"/>
      <c r="OEI37" s="3"/>
      <c r="OEJ37" s="3"/>
      <c r="OEK37" s="3"/>
      <c r="OEL37" s="3"/>
      <c r="OEM37" s="3"/>
      <c r="OEN37" s="3"/>
      <c r="OEO37" s="3"/>
      <c r="OEP37" s="3"/>
      <c r="OEQ37" s="3"/>
      <c r="OER37" s="3"/>
      <c r="OES37" s="3"/>
      <c r="OET37" s="3"/>
      <c r="OEU37" s="3"/>
      <c r="OEV37" s="3"/>
      <c r="OEW37" s="3"/>
      <c r="OEX37" s="3"/>
      <c r="OEY37" s="3"/>
      <c r="OEZ37" s="3"/>
      <c r="OFA37" s="3"/>
      <c r="OFB37" s="3"/>
      <c r="OFC37" s="3"/>
      <c r="OFD37" s="3"/>
      <c r="OFE37" s="3"/>
      <c r="OFF37" s="3"/>
      <c r="OFG37" s="3"/>
      <c r="OFH37" s="3"/>
      <c r="OFI37" s="3"/>
      <c r="OFJ37" s="3"/>
      <c r="OFK37" s="3"/>
      <c r="OFL37" s="3"/>
      <c r="OFM37" s="3"/>
      <c r="OFN37" s="3"/>
      <c r="OFO37" s="3"/>
      <c r="OFP37" s="3"/>
      <c r="OFQ37" s="3"/>
      <c r="OFR37" s="3"/>
      <c r="OFS37" s="3"/>
      <c r="OFT37" s="3"/>
      <c r="OFU37" s="3"/>
      <c r="OFV37" s="3"/>
      <c r="OFW37" s="3"/>
      <c r="OFX37" s="3"/>
      <c r="OFY37" s="3"/>
      <c r="OFZ37" s="3"/>
      <c r="OGA37" s="3"/>
      <c r="OGB37" s="3"/>
      <c r="OGC37" s="3"/>
      <c r="OGD37" s="3"/>
      <c r="OGE37" s="3"/>
      <c r="OGF37" s="3"/>
      <c r="OGG37" s="3"/>
      <c r="OGH37" s="3"/>
      <c r="OGI37" s="3"/>
      <c r="OGJ37" s="3"/>
      <c r="OGK37" s="3"/>
      <c r="OGL37" s="3"/>
      <c r="OGM37" s="3"/>
      <c r="OGN37" s="3"/>
      <c r="OGO37" s="3"/>
      <c r="OGP37" s="3"/>
      <c r="OGQ37" s="3"/>
      <c r="OGR37" s="3"/>
      <c r="OGS37" s="3"/>
      <c r="OGT37" s="3"/>
      <c r="OGU37" s="3"/>
      <c r="OGV37" s="3"/>
      <c r="OGW37" s="3"/>
      <c r="OGX37" s="3"/>
      <c r="OGY37" s="3"/>
      <c r="OGZ37" s="3"/>
      <c r="OHA37" s="3"/>
      <c r="OHB37" s="3"/>
      <c r="OHC37" s="3"/>
      <c r="OHD37" s="3"/>
      <c r="OHE37" s="3"/>
      <c r="OHF37" s="3"/>
      <c r="OHG37" s="3"/>
      <c r="OHH37" s="3"/>
      <c r="OHI37" s="3"/>
      <c r="OHJ37" s="3"/>
      <c r="OHK37" s="3"/>
      <c r="OHL37" s="3"/>
      <c r="OHM37" s="3"/>
      <c r="OHN37" s="3"/>
      <c r="OHO37" s="3"/>
      <c r="OHP37" s="3"/>
      <c r="OHQ37" s="3"/>
      <c r="OHR37" s="3"/>
      <c r="OHS37" s="3"/>
      <c r="OHT37" s="3"/>
      <c r="OHU37" s="3"/>
      <c r="OHV37" s="3"/>
      <c r="OHW37" s="3"/>
      <c r="OHX37" s="3"/>
      <c r="OHY37" s="3"/>
      <c r="OHZ37" s="3"/>
      <c r="OIA37" s="3"/>
      <c r="OIB37" s="3"/>
      <c r="OIC37" s="3"/>
      <c r="OID37" s="3"/>
      <c r="OIE37" s="3"/>
      <c r="OIF37" s="3"/>
      <c r="OIG37" s="3"/>
      <c r="OIH37" s="3"/>
      <c r="OII37" s="3"/>
      <c r="OIJ37" s="3"/>
      <c r="OIK37" s="3"/>
      <c r="OIL37" s="3"/>
      <c r="OIM37" s="3"/>
      <c r="OIN37" s="3"/>
      <c r="OIO37" s="3"/>
      <c r="OIP37" s="3"/>
      <c r="OIQ37" s="3"/>
      <c r="OIR37" s="3"/>
      <c r="OIS37" s="3"/>
      <c r="OIT37" s="3"/>
      <c r="OIU37" s="3"/>
      <c r="OIV37" s="3"/>
      <c r="OIW37" s="3"/>
      <c r="OIX37" s="3"/>
      <c r="OIY37" s="3"/>
      <c r="OIZ37" s="3"/>
      <c r="OJA37" s="3"/>
      <c r="OJB37" s="3"/>
      <c r="OJC37" s="3"/>
      <c r="OJD37" s="3"/>
      <c r="OJE37" s="3"/>
      <c r="OJF37" s="3"/>
      <c r="OJG37" s="3"/>
      <c r="OJH37" s="3"/>
      <c r="OJI37" s="3"/>
      <c r="OJJ37" s="3"/>
      <c r="OJK37" s="3"/>
      <c r="OJL37" s="3"/>
      <c r="OJM37" s="3"/>
      <c r="OJN37" s="3"/>
      <c r="OJO37" s="3"/>
      <c r="OJP37" s="3"/>
      <c r="OJQ37" s="3"/>
      <c r="OJR37" s="3"/>
      <c r="OJS37" s="3"/>
      <c r="OJT37" s="3"/>
      <c r="OJU37" s="3"/>
      <c r="OJV37" s="3"/>
      <c r="OJW37" s="3"/>
      <c r="OJX37" s="3"/>
      <c r="OJY37" s="3"/>
      <c r="OJZ37" s="3"/>
      <c r="OKA37" s="3"/>
      <c r="OKB37" s="3"/>
      <c r="OKC37" s="3"/>
      <c r="OKD37" s="3"/>
      <c r="OKE37" s="3"/>
      <c r="OKF37" s="3"/>
      <c r="OKG37" s="3"/>
      <c r="OKH37" s="3"/>
      <c r="OKI37" s="3"/>
      <c r="OKJ37" s="3"/>
      <c r="OKK37" s="3"/>
      <c r="OKL37" s="3"/>
      <c r="OKM37" s="3"/>
      <c r="OKN37" s="3"/>
      <c r="OKO37" s="3"/>
      <c r="OKP37" s="3"/>
      <c r="OKQ37" s="3"/>
      <c r="OKR37" s="3"/>
      <c r="OKS37" s="3"/>
      <c r="OKT37" s="3"/>
      <c r="OKU37" s="3"/>
      <c r="OKV37" s="3"/>
      <c r="OKW37" s="3"/>
      <c r="OKX37" s="3"/>
      <c r="OKY37" s="3"/>
      <c r="OKZ37" s="3"/>
      <c r="OLA37" s="3"/>
      <c r="OLB37" s="3"/>
      <c r="OLC37" s="3"/>
      <c r="OLD37" s="3"/>
      <c r="OLE37" s="3"/>
      <c r="OLF37" s="3"/>
      <c r="OLG37" s="3"/>
      <c r="OLH37" s="3"/>
      <c r="OLI37" s="3"/>
      <c r="OLJ37" s="3"/>
      <c r="OLK37" s="3"/>
      <c r="OLL37" s="3"/>
      <c r="OLM37" s="3"/>
      <c r="OLN37" s="3"/>
      <c r="OLO37" s="3"/>
      <c r="OLP37" s="3"/>
      <c r="OLQ37" s="3"/>
      <c r="OLR37" s="3"/>
      <c r="OLS37" s="3"/>
      <c r="OLT37" s="3"/>
      <c r="OLU37" s="3"/>
      <c r="OLV37" s="3"/>
      <c r="OLW37" s="3"/>
      <c r="OLX37" s="3"/>
      <c r="OLY37" s="3"/>
      <c r="OLZ37" s="3"/>
      <c r="OMA37" s="3"/>
      <c r="OMB37" s="3"/>
      <c r="OMC37" s="3"/>
      <c r="OMD37" s="3"/>
      <c r="OME37" s="3"/>
      <c r="OMF37" s="3"/>
      <c r="OMG37" s="3"/>
      <c r="OMH37" s="3"/>
      <c r="OMI37" s="3"/>
      <c r="OMJ37" s="3"/>
      <c r="OMK37" s="3"/>
      <c r="OML37" s="3"/>
      <c r="OMM37" s="3"/>
      <c r="OMN37" s="3"/>
      <c r="OMO37" s="3"/>
      <c r="OMP37" s="3"/>
      <c r="OMQ37" s="3"/>
      <c r="OMR37" s="3"/>
      <c r="OMS37" s="3"/>
      <c r="OMT37" s="3"/>
      <c r="OMU37" s="3"/>
      <c r="OMV37" s="3"/>
      <c r="OMW37" s="3"/>
      <c r="OMX37" s="3"/>
      <c r="OMY37" s="3"/>
      <c r="OMZ37" s="3"/>
      <c r="ONA37" s="3"/>
      <c r="ONB37" s="3"/>
      <c r="ONC37" s="3"/>
      <c r="OND37" s="3"/>
      <c r="ONE37" s="3"/>
      <c r="ONF37" s="3"/>
      <c r="ONG37" s="3"/>
      <c r="ONH37" s="3"/>
      <c r="ONI37" s="3"/>
      <c r="ONJ37" s="3"/>
      <c r="ONK37" s="3"/>
      <c r="ONL37" s="3"/>
      <c r="ONM37" s="3"/>
      <c r="ONN37" s="3"/>
      <c r="ONO37" s="3"/>
      <c r="ONP37" s="3"/>
      <c r="ONQ37" s="3"/>
      <c r="ONR37" s="3"/>
      <c r="ONS37" s="3"/>
      <c r="ONT37" s="3"/>
      <c r="ONU37" s="3"/>
      <c r="ONV37" s="3"/>
      <c r="ONW37" s="3"/>
      <c r="ONX37" s="3"/>
      <c r="ONY37" s="3"/>
      <c r="ONZ37" s="3"/>
      <c r="OOA37" s="3"/>
      <c r="OOB37" s="3"/>
      <c r="OOC37" s="3"/>
      <c r="OOD37" s="3"/>
      <c r="OOE37" s="3"/>
      <c r="OOF37" s="3"/>
      <c r="OOG37" s="3"/>
      <c r="OOH37" s="3"/>
      <c r="OOI37" s="3"/>
      <c r="OOJ37" s="3"/>
      <c r="OOK37" s="3"/>
      <c r="OOL37" s="3"/>
      <c r="OOM37" s="3"/>
      <c r="OON37" s="3"/>
      <c r="OOO37" s="3"/>
      <c r="OOP37" s="3"/>
      <c r="OOQ37" s="3"/>
      <c r="OOR37" s="3"/>
      <c r="OOS37" s="3"/>
      <c r="OOT37" s="3"/>
      <c r="OOU37" s="3"/>
      <c r="OOV37" s="3"/>
      <c r="OOW37" s="3"/>
      <c r="OOX37" s="3"/>
      <c r="OOY37" s="3"/>
      <c r="OOZ37" s="3"/>
      <c r="OPA37" s="3"/>
      <c r="OPB37" s="3"/>
      <c r="OPC37" s="3"/>
      <c r="OPD37" s="3"/>
      <c r="OPE37" s="3"/>
      <c r="OPF37" s="3"/>
      <c r="OPG37" s="3"/>
      <c r="OPH37" s="3"/>
      <c r="OPI37" s="3"/>
      <c r="OPJ37" s="3"/>
      <c r="OPK37" s="3"/>
      <c r="OPL37" s="3"/>
      <c r="OPM37" s="3"/>
      <c r="OPN37" s="3"/>
      <c r="OPO37" s="3"/>
      <c r="OPP37" s="3"/>
      <c r="OPQ37" s="3"/>
      <c r="OPR37" s="3"/>
      <c r="OPS37" s="3"/>
      <c r="OPT37" s="3"/>
      <c r="OPU37" s="3"/>
      <c r="OPV37" s="3"/>
      <c r="OPW37" s="3"/>
      <c r="OPX37" s="3"/>
      <c r="OPY37" s="3"/>
      <c r="OPZ37" s="3"/>
      <c r="OQA37" s="3"/>
      <c r="OQB37" s="3"/>
      <c r="OQC37" s="3"/>
      <c r="OQD37" s="3"/>
      <c r="OQE37" s="3"/>
      <c r="OQF37" s="3"/>
      <c r="OQG37" s="3"/>
      <c r="OQH37" s="3"/>
      <c r="OQI37" s="3"/>
      <c r="OQJ37" s="3"/>
      <c r="OQK37" s="3"/>
      <c r="OQL37" s="3"/>
      <c r="OQM37" s="3"/>
      <c r="OQN37" s="3"/>
      <c r="OQO37" s="3"/>
      <c r="OQP37" s="3"/>
      <c r="OQQ37" s="3"/>
      <c r="OQR37" s="3"/>
      <c r="OQS37" s="3"/>
      <c r="OQT37" s="3"/>
      <c r="OQU37" s="3"/>
      <c r="OQV37" s="3"/>
      <c r="OQW37" s="3"/>
      <c r="OQX37" s="3"/>
      <c r="OQY37" s="3"/>
      <c r="OQZ37" s="3"/>
      <c r="ORA37" s="3"/>
      <c r="ORB37" s="3"/>
      <c r="ORC37" s="3"/>
      <c r="ORD37" s="3"/>
      <c r="ORE37" s="3"/>
      <c r="ORF37" s="3"/>
      <c r="ORG37" s="3"/>
      <c r="ORH37" s="3"/>
      <c r="ORI37" s="3"/>
      <c r="ORJ37" s="3"/>
      <c r="ORK37" s="3"/>
      <c r="ORL37" s="3"/>
      <c r="ORM37" s="3"/>
      <c r="ORN37" s="3"/>
      <c r="ORO37" s="3"/>
      <c r="ORP37" s="3"/>
      <c r="ORQ37" s="3"/>
      <c r="ORR37" s="3"/>
      <c r="ORS37" s="3"/>
      <c r="ORT37" s="3"/>
      <c r="ORU37" s="3"/>
      <c r="ORV37" s="3"/>
      <c r="ORW37" s="3"/>
      <c r="ORX37" s="3"/>
      <c r="ORY37" s="3"/>
      <c r="ORZ37" s="3"/>
      <c r="OSA37" s="3"/>
      <c r="OSB37" s="3"/>
      <c r="OSC37" s="3"/>
      <c r="OSD37" s="3"/>
      <c r="OSE37" s="3"/>
      <c r="OSF37" s="3"/>
      <c r="OSG37" s="3"/>
      <c r="OSH37" s="3"/>
      <c r="OSI37" s="3"/>
      <c r="OSJ37" s="3"/>
      <c r="OSK37" s="3"/>
      <c r="OSL37" s="3"/>
      <c r="OSM37" s="3"/>
      <c r="OSN37" s="3"/>
      <c r="OSO37" s="3"/>
      <c r="OSP37" s="3"/>
      <c r="OSQ37" s="3"/>
      <c r="OSR37" s="3"/>
      <c r="OSS37" s="3"/>
      <c r="OST37" s="3"/>
      <c r="OSU37" s="3"/>
      <c r="OSV37" s="3"/>
      <c r="OSW37" s="3"/>
      <c r="OSX37" s="3"/>
      <c r="OSY37" s="3"/>
      <c r="OSZ37" s="3"/>
      <c r="OTA37" s="3"/>
      <c r="OTB37" s="3"/>
      <c r="OTC37" s="3"/>
      <c r="OTD37" s="3"/>
      <c r="OTE37" s="3"/>
      <c r="OTF37" s="3"/>
      <c r="OTG37" s="3"/>
      <c r="OTH37" s="3"/>
      <c r="OTI37" s="3"/>
      <c r="OTJ37" s="3"/>
      <c r="OTK37" s="3"/>
      <c r="OTL37" s="3"/>
      <c r="OTM37" s="3"/>
      <c r="OTN37" s="3"/>
      <c r="OTO37" s="3"/>
      <c r="OTP37" s="3"/>
      <c r="OTQ37" s="3"/>
      <c r="OTR37" s="3"/>
      <c r="OTS37" s="3"/>
      <c r="OTT37" s="3"/>
      <c r="OTU37" s="3"/>
      <c r="OTV37" s="3"/>
      <c r="OTW37" s="3"/>
      <c r="OTX37" s="3"/>
      <c r="OTY37" s="3"/>
      <c r="OTZ37" s="3"/>
      <c r="OUA37" s="3"/>
      <c r="OUB37" s="3"/>
      <c r="OUC37" s="3"/>
      <c r="OUD37" s="3"/>
      <c r="OUE37" s="3"/>
      <c r="OUF37" s="3"/>
      <c r="OUG37" s="3"/>
      <c r="OUH37" s="3"/>
      <c r="OUI37" s="3"/>
      <c r="OUJ37" s="3"/>
      <c r="OUK37" s="3"/>
      <c r="OUL37" s="3"/>
      <c r="OUM37" s="3"/>
      <c r="OUN37" s="3"/>
      <c r="OUO37" s="3"/>
      <c r="OUP37" s="3"/>
      <c r="OUQ37" s="3"/>
      <c r="OUR37" s="3"/>
      <c r="OUS37" s="3"/>
      <c r="OUT37" s="3"/>
      <c r="OUU37" s="3"/>
      <c r="OUV37" s="3"/>
      <c r="OUW37" s="3"/>
      <c r="OUX37" s="3"/>
      <c r="OUY37" s="3"/>
      <c r="OUZ37" s="3"/>
      <c r="OVA37" s="3"/>
      <c r="OVB37" s="3"/>
      <c r="OVC37" s="3"/>
      <c r="OVD37" s="3"/>
      <c r="OVE37" s="3"/>
      <c r="OVF37" s="3"/>
      <c r="OVG37" s="3"/>
      <c r="OVH37" s="3"/>
      <c r="OVI37" s="3"/>
      <c r="OVJ37" s="3"/>
      <c r="OVK37" s="3"/>
      <c r="OVL37" s="3"/>
      <c r="OVM37" s="3"/>
      <c r="OVN37" s="3"/>
      <c r="OVO37" s="3"/>
      <c r="OVP37" s="3"/>
      <c r="OVQ37" s="3"/>
      <c r="OVR37" s="3"/>
      <c r="OVS37" s="3"/>
      <c r="OVT37" s="3"/>
      <c r="OVU37" s="3"/>
      <c r="OVV37" s="3"/>
      <c r="OVW37" s="3"/>
      <c r="OVX37" s="3"/>
      <c r="OVY37" s="3"/>
      <c r="OVZ37" s="3"/>
      <c r="OWA37" s="3"/>
      <c r="OWB37" s="3"/>
      <c r="OWC37" s="3"/>
      <c r="OWD37" s="3"/>
      <c r="OWE37" s="3"/>
      <c r="OWF37" s="3"/>
      <c r="OWG37" s="3"/>
      <c r="OWH37" s="3"/>
      <c r="OWI37" s="3"/>
      <c r="OWJ37" s="3"/>
      <c r="OWK37" s="3"/>
      <c r="OWL37" s="3"/>
      <c r="OWM37" s="3"/>
      <c r="OWN37" s="3"/>
      <c r="OWO37" s="3"/>
      <c r="OWP37" s="3"/>
      <c r="OWQ37" s="3"/>
      <c r="OWR37" s="3"/>
      <c r="OWS37" s="3"/>
      <c r="OWT37" s="3"/>
      <c r="OWU37" s="3"/>
      <c r="OWV37" s="3"/>
      <c r="OWW37" s="3"/>
      <c r="OWX37" s="3"/>
      <c r="OWY37" s="3"/>
      <c r="OWZ37" s="3"/>
      <c r="OXA37" s="3"/>
      <c r="OXB37" s="3"/>
      <c r="OXC37" s="3"/>
      <c r="OXD37" s="3"/>
      <c r="OXE37" s="3"/>
      <c r="OXF37" s="3"/>
      <c r="OXG37" s="3"/>
      <c r="OXH37" s="3"/>
      <c r="OXI37" s="3"/>
      <c r="OXJ37" s="3"/>
      <c r="OXK37" s="3"/>
      <c r="OXL37" s="3"/>
      <c r="OXM37" s="3"/>
      <c r="OXN37" s="3"/>
      <c r="OXO37" s="3"/>
      <c r="OXP37" s="3"/>
      <c r="OXQ37" s="3"/>
      <c r="OXR37" s="3"/>
      <c r="OXS37" s="3"/>
      <c r="OXT37" s="3"/>
      <c r="OXU37" s="3"/>
      <c r="OXV37" s="3"/>
      <c r="OXW37" s="3"/>
      <c r="OXX37" s="3"/>
      <c r="OXY37" s="3"/>
      <c r="OXZ37" s="3"/>
      <c r="OYA37" s="3"/>
      <c r="OYB37" s="3"/>
      <c r="OYC37" s="3"/>
      <c r="OYD37" s="3"/>
      <c r="OYE37" s="3"/>
      <c r="OYF37" s="3"/>
      <c r="OYG37" s="3"/>
      <c r="OYH37" s="3"/>
      <c r="OYI37" s="3"/>
      <c r="OYJ37" s="3"/>
      <c r="OYK37" s="3"/>
      <c r="OYL37" s="3"/>
      <c r="OYM37" s="3"/>
      <c r="OYN37" s="3"/>
      <c r="OYO37" s="3"/>
      <c r="OYP37" s="3"/>
      <c r="OYQ37" s="3"/>
      <c r="OYR37" s="3"/>
      <c r="OYS37" s="3"/>
      <c r="OYT37" s="3"/>
      <c r="OYU37" s="3"/>
      <c r="OYV37" s="3"/>
      <c r="OYW37" s="3"/>
      <c r="OYX37" s="3"/>
      <c r="OYY37" s="3"/>
      <c r="OYZ37" s="3"/>
      <c r="OZA37" s="3"/>
      <c r="OZB37" s="3"/>
      <c r="OZC37" s="3"/>
      <c r="OZD37" s="3"/>
      <c r="OZE37" s="3"/>
      <c r="OZF37" s="3"/>
      <c r="OZG37" s="3"/>
      <c r="OZH37" s="3"/>
      <c r="OZI37" s="3"/>
      <c r="OZJ37" s="3"/>
      <c r="OZK37" s="3"/>
      <c r="OZL37" s="3"/>
      <c r="OZM37" s="3"/>
      <c r="OZN37" s="3"/>
      <c r="OZO37" s="3"/>
      <c r="OZP37" s="3"/>
      <c r="OZQ37" s="3"/>
      <c r="OZR37" s="3"/>
      <c r="OZS37" s="3"/>
      <c r="OZT37" s="3"/>
      <c r="OZU37" s="3"/>
      <c r="OZV37" s="3"/>
      <c r="OZW37" s="3"/>
      <c r="OZX37" s="3"/>
      <c r="OZY37" s="3"/>
      <c r="OZZ37" s="3"/>
      <c r="PAA37" s="3"/>
      <c r="PAB37" s="3"/>
      <c r="PAC37" s="3"/>
      <c r="PAD37" s="3"/>
      <c r="PAE37" s="3"/>
      <c r="PAF37" s="3"/>
      <c r="PAG37" s="3"/>
      <c r="PAH37" s="3"/>
      <c r="PAI37" s="3"/>
      <c r="PAJ37" s="3"/>
      <c r="PAK37" s="3"/>
      <c r="PAL37" s="3"/>
      <c r="PAM37" s="3"/>
      <c r="PAN37" s="3"/>
      <c r="PAO37" s="3"/>
      <c r="PAP37" s="3"/>
      <c r="PAQ37" s="3"/>
      <c r="PAR37" s="3"/>
      <c r="PAS37" s="3"/>
      <c r="PAT37" s="3"/>
      <c r="PAU37" s="3"/>
      <c r="PAV37" s="3"/>
      <c r="PAW37" s="3"/>
      <c r="PAX37" s="3"/>
      <c r="PAY37" s="3"/>
      <c r="PAZ37" s="3"/>
      <c r="PBA37" s="3"/>
      <c r="PBB37" s="3"/>
      <c r="PBC37" s="3"/>
      <c r="PBD37" s="3"/>
      <c r="PBE37" s="3"/>
      <c r="PBF37" s="3"/>
      <c r="PBG37" s="3"/>
      <c r="PBH37" s="3"/>
      <c r="PBI37" s="3"/>
      <c r="PBJ37" s="3"/>
      <c r="PBK37" s="3"/>
      <c r="PBL37" s="3"/>
      <c r="PBM37" s="3"/>
      <c r="PBN37" s="3"/>
      <c r="PBO37" s="3"/>
      <c r="PBP37" s="3"/>
      <c r="PBQ37" s="3"/>
      <c r="PBR37" s="3"/>
      <c r="PBS37" s="3"/>
      <c r="PBT37" s="3"/>
      <c r="PBU37" s="3"/>
      <c r="PBV37" s="3"/>
      <c r="PBW37" s="3"/>
      <c r="PBX37" s="3"/>
      <c r="PBY37" s="3"/>
      <c r="PBZ37" s="3"/>
      <c r="PCA37" s="3"/>
      <c r="PCB37" s="3"/>
      <c r="PCC37" s="3"/>
      <c r="PCD37" s="3"/>
      <c r="PCE37" s="3"/>
      <c r="PCF37" s="3"/>
      <c r="PCG37" s="3"/>
      <c r="PCH37" s="3"/>
      <c r="PCI37" s="3"/>
      <c r="PCJ37" s="3"/>
      <c r="PCK37" s="3"/>
      <c r="PCL37" s="3"/>
      <c r="PCM37" s="3"/>
      <c r="PCN37" s="3"/>
      <c r="PCO37" s="3"/>
      <c r="PCP37" s="3"/>
      <c r="PCQ37" s="3"/>
      <c r="PCR37" s="3"/>
      <c r="PCS37" s="3"/>
      <c r="PCT37" s="3"/>
      <c r="PCU37" s="3"/>
      <c r="PCV37" s="3"/>
      <c r="PCW37" s="3"/>
      <c r="PCX37" s="3"/>
      <c r="PCY37" s="3"/>
      <c r="PCZ37" s="3"/>
      <c r="PDA37" s="3"/>
      <c r="PDB37" s="3"/>
      <c r="PDC37" s="3"/>
      <c r="PDD37" s="3"/>
      <c r="PDE37" s="3"/>
      <c r="PDF37" s="3"/>
      <c r="PDG37" s="3"/>
      <c r="PDH37" s="3"/>
      <c r="PDI37" s="3"/>
      <c r="PDJ37" s="3"/>
      <c r="PDK37" s="3"/>
      <c r="PDL37" s="3"/>
      <c r="PDM37" s="3"/>
      <c r="PDN37" s="3"/>
      <c r="PDO37" s="3"/>
      <c r="PDP37" s="3"/>
      <c r="PDQ37" s="3"/>
      <c r="PDR37" s="3"/>
      <c r="PDS37" s="3"/>
      <c r="PDT37" s="3"/>
      <c r="PDU37" s="3"/>
      <c r="PDV37" s="3"/>
      <c r="PDW37" s="3"/>
      <c r="PDX37" s="3"/>
      <c r="PDY37" s="3"/>
      <c r="PDZ37" s="3"/>
      <c r="PEA37" s="3"/>
      <c r="PEB37" s="3"/>
      <c r="PEC37" s="3"/>
      <c r="PED37" s="3"/>
      <c r="PEE37" s="3"/>
      <c r="PEF37" s="3"/>
      <c r="PEG37" s="3"/>
      <c r="PEH37" s="3"/>
      <c r="PEI37" s="3"/>
      <c r="PEJ37" s="3"/>
      <c r="PEK37" s="3"/>
      <c r="PEL37" s="3"/>
      <c r="PEM37" s="3"/>
      <c r="PEN37" s="3"/>
      <c r="PEO37" s="3"/>
      <c r="PEP37" s="3"/>
      <c r="PEQ37" s="3"/>
      <c r="PER37" s="3"/>
      <c r="PES37" s="3"/>
      <c r="PET37" s="3"/>
      <c r="PEU37" s="3"/>
      <c r="PEV37" s="3"/>
      <c r="PEW37" s="3"/>
      <c r="PEX37" s="3"/>
      <c r="PEY37" s="3"/>
      <c r="PEZ37" s="3"/>
      <c r="PFA37" s="3"/>
      <c r="PFB37" s="3"/>
      <c r="PFC37" s="3"/>
      <c r="PFD37" s="3"/>
      <c r="PFE37" s="3"/>
      <c r="PFF37" s="3"/>
      <c r="PFG37" s="3"/>
      <c r="PFH37" s="3"/>
      <c r="PFI37" s="3"/>
      <c r="PFJ37" s="3"/>
      <c r="PFK37" s="3"/>
      <c r="PFL37" s="3"/>
      <c r="PFM37" s="3"/>
      <c r="PFN37" s="3"/>
      <c r="PFO37" s="3"/>
      <c r="PFP37" s="3"/>
      <c r="PFQ37" s="3"/>
      <c r="PFR37" s="3"/>
      <c r="PFS37" s="3"/>
      <c r="PFT37" s="3"/>
      <c r="PFU37" s="3"/>
      <c r="PFV37" s="3"/>
      <c r="PFW37" s="3"/>
      <c r="PFX37" s="3"/>
      <c r="PFY37" s="3"/>
      <c r="PFZ37" s="3"/>
      <c r="PGA37" s="3"/>
      <c r="PGB37" s="3"/>
      <c r="PGC37" s="3"/>
      <c r="PGD37" s="3"/>
      <c r="PGE37" s="3"/>
      <c r="PGF37" s="3"/>
      <c r="PGG37" s="3"/>
      <c r="PGH37" s="3"/>
      <c r="PGI37" s="3"/>
      <c r="PGJ37" s="3"/>
      <c r="PGK37" s="3"/>
      <c r="PGL37" s="3"/>
      <c r="PGM37" s="3"/>
      <c r="PGN37" s="3"/>
      <c r="PGO37" s="3"/>
      <c r="PGP37" s="3"/>
      <c r="PGQ37" s="3"/>
      <c r="PGR37" s="3"/>
      <c r="PGS37" s="3"/>
      <c r="PGT37" s="3"/>
      <c r="PGU37" s="3"/>
      <c r="PGV37" s="3"/>
      <c r="PGW37" s="3"/>
      <c r="PGX37" s="3"/>
      <c r="PGY37" s="3"/>
      <c r="PGZ37" s="3"/>
      <c r="PHA37" s="3"/>
      <c r="PHB37" s="3"/>
      <c r="PHC37" s="3"/>
      <c r="PHD37" s="3"/>
      <c r="PHE37" s="3"/>
      <c r="PHF37" s="3"/>
      <c r="PHG37" s="3"/>
      <c r="PHH37" s="3"/>
      <c r="PHI37" s="3"/>
      <c r="PHJ37" s="3"/>
      <c r="PHK37" s="3"/>
      <c r="PHL37" s="3"/>
      <c r="PHM37" s="3"/>
      <c r="PHN37" s="3"/>
      <c r="PHO37" s="3"/>
      <c r="PHP37" s="3"/>
      <c r="PHQ37" s="3"/>
      <c r="PHR37" s="3"/>
      <c r="PHS37" s="3"/>
      <c r="PHT37" s="3"/>
      <c r="PHU37" s="3"/>
      <c r="PHV37" s="3"/>
      <c r="PHW37" s="3"/>
      <c r="PHX37" s="3"/>
      <c r="PHY37" s="3"/>
      <c r="PHZ37" s="3"/>
      <c r="PIA37" s="3"/>
      <c r="PIB37" s="3"/>
      <c r="PIC37" s="3"/>
      <c r="PID37" s="3"/>
      <c r="PIE37" s="3"/>
      <c r="PIF37" s="3"/>
      <c r="PIG37" s="3"/>
      <c r="PIH37" s="3"/>
      <c r="PII37" s="3"/>
      <c r="PIJ37" s="3"/>
      <c r="PIK37" s="3"/>
      <c r="PIL37" s="3"/>
      <c r="PIM37" s="3"/>
      <c r="PIN37" s="3"/>
      <c r="PIO37" s="3"/>
      <c r="PIP37" s="3"/>
      <c r="PIQ37" s="3"/>
      <c r="PIR37" s="3"/>
      <c r="PIS37" s="3"/>
      <c r="PIT37" s="3"/>
      <c r="PIU37" s="3"/>
      <c r="PIV37" s="3"/>
      <c r="PIW37" s="3"/>
      <c r="PIX37" s="3"/>
      <c r="PIY37" s="3"/>
      <c r="PIZ37" s="3"/>
      <c r="PJA37" s="3"/>
      <c r="PJB37" s="3"/>
      <c r="PJC37" s="3"/>
      <c r="PJD37" s="3"/>
      <c r="PJE37" s="3"/>
      <c r="PJF37" s="3"/>
      <c r="PJG37" s="3"/>
      <c r="PJH37" s="3"/>
      <c r="PJI37" s="3"/>
      <c r="PJJ37" s="3"/>
      <c r="PJK37" s="3"/>
      <c r="PJL37" s="3"/>
      <c r="PJM37" s="3"/>
      <c r="PJN37" s="3"/>
      <c r="PJO37" s="3"/>
      <c r="PJP37" s="3"/>
      <c r="PJQ37" s="3"/>
      <c r="PJR37" s="3"/>
      <c r="PJS37" s="3"/>
      <c r="PJT37" s="3"/>
      <c r="PJU37" s="3"/>
      <c r="PJV37" s="3"/>
      <c r="PJW37" s="3"/>
      <c r="PJX37" s="3"/>
      <c r="PJY37" s="3"/>
      <c r="PJZ37" s="3"/>
      <c r="PKA37" s="3"/>
      <c r="PKB37" s="3"/>
      <c r="PKC37" s="3"/>
      <c r="PKD37" s="3"/>
      <c r="PKE37" s="3"/>
      <c r="PKF37" s="3"/>
      <c r="PKG37" s="3"/>
      <c r="PKH37" s="3"/>
      <c r="PKI37" s="3"/>
      <c r="PKJ37" s="3"/>
      <c r="PKK37" s="3"/>
      <c r="PKL37" s="3"/>
      <c r="PKM37" s="3"/>
      <c r="PKN37" s="3"/>
      <c r="PKO37" s="3"/>
      <c r="PKP37" s="3"/>
      <c r="PKQ37" s="3"/>
      <c r="PKR37" s="3"/>
      <c r="PKS37" s="3"/>
      <c r="PKT37" s="3"/>
      <c r="PKU37" s="3"/>
      <c r="PKV37" s="3"/>
      <c r="PKW37" s="3"/>
      <c r="PKX37" s="3"/>
      <c r="PKY37" s="3"/>
      <c r="PKZ37" s="3"/>
      <c r="PLA37" s="3"/>
      <c r="PLB37" s="3"/>
      <c r="PLC37" s="3"/>
      <c r="PLD37" s="3"/>
      <c r="PLE37" s="3"/>
      <c r="PLF37" s="3"/>
      <c r="PLG37" s="3"/>
      <c r="PLH37" s="3"/>
      <c r="PLI37" s="3"/>
      <c r="PLJ37" s="3"/>
      <c r="PLK37" s="3"/>
      <c r="PLL37" s="3"/>
      <c r="PLM37" s="3"/>
      <c r="PLN37" s="3"/>
      <c r="PLO37" s="3"/>
      <c r="PLP37" s="3"/>
      <c r="PLQ37" s="3"/>
      <c r="PLR37" s="3"/>
      <c r="PLS37" s="3"/>
      <c r="PLT37" s="3"/>
      <c r="PLU37" s="3"/>
      <c r="PLV37" s="3"/>
      <c r="PLW37" s="3"/>
      <c r="PLX37" s="3"/>
      <c r="PLY37" s="3"/>
      <c r="PLZ37" s="3"/>
      <c r="PMA37" s="3"/>
      <c r="PMB37" s="3"/>
      <c r="PMC37" s="3"/>
      <c r="PMD37" s="3"/>
      <c r="PME37" s="3"/>
      <c r="PMF37" s="3"/>
      <c r="PMG37" s="3"/>
      <c r="PMH37" s="3"/>
      <c r="PMI37" s="3"/>
      <c r="PMJ37" s="3"/>
      <c r="PMK37" s="3"/>
      <c r="PML37" s="3"/>
      <c r="PMM37" s="3"/>
      <c r="PMN37" s="3"/>
      <c r="PMO37" s="3"/>
      <c r="PMP37" s="3"/>
      <c r="PMQ37" s="3"/>
      <c r="PMR37" s="3"/>
      <c r="PMS37" s="3"/>
      <c r="PMT37" s="3"/>
      <c r="PMU37" s="3"/>
      <c r="PMV37" s="3"/>
      <c r="PMW37" s="3"/>
      <c r="PMX37" s="3"/>
      <c r="PMY37" s="3"/>
      <c r="PMZ37" s="3"/>
      <c r="PNA37" s="3"/>
      <c r="PNB37" s="3"/>
      <c r="PNC37" s="3"/>
      <c r="PND37" s="3"/>
      <c r="PNE37" s="3"/>
      <c r="PNF37" s="3"/>
      <c r="PNG37" s="3"/>
      <c r="PNH37" s="3"/>
      <c r="PNI37" s="3"/>
      <c r="PNJ37" s="3"/>
      <c r="PNK37" s="3"/>
      <c r="PNL37" s="3"/>
      <c r="PNM37" s="3"/>
      <c r="PNN37" s="3"/>
      <c r="PNO37" s="3"/>
      <c r="PNP37" s="3"/>
      <c r="PNQ37" s="3"/>
      <c r="PNR37" s="3"/>
      <c r="PNS37" s="3"/>
      <c r="PNT37" s="3"/>
      <c r="PNU37" s="3"/>
      <c r="PNV37" s="3"/>
      <c r="PNW37" s="3"/>
      <c r="PNX37" s="3"/>
      <c r="PNY37" s="3"/>
      <c r="PNZ37" s="3"/>
      <c r="POA37" s="3"/>
      <c r="POB37" s="3"/>
      <c r="POC37" s="3"/>
      <c r="POD37" s="3"/>
      <c r="POE37" s="3"/>
      <c r="POF37" s="3"/>
      <c r="POG37" s="3"/>
      <c r="POH37" s="3"/>
      <c r="POI37" s="3"/>
      <c r="POJ37" s="3"/>
      <c r="POK37" s="3"/>
      <c r="POL37" s="3"/>
      <c r="POM37" s="3"/>
      <c r="PON37" s="3"/>
      <c r="POO37" s="3"/>
      <c r="POP37" s="3"/>
      <c r="POQ37" s="3"/>
      <c r="POR37" s="3"/>
      <c r="POS37" s="3"/>
      <c r="POT37" s="3"/>
      <c r="POU37" s="3"/>
      <c r="POV37" s="3"/>
      <c r="POW37" s="3"/>
      <c r="POX37" s="3"/>
      <c r="POY37" s="3"/>
      <c r="POZ37" s="3"/>
      <c r="PPA37" s="3"/>
      <c r="PPB37" s="3"/>
      <c r="PPC37" s="3"/>
      <c r="PPD37" s="3"/>
      <c r="PPE37" s="3"/>
      <c r="PPF37" s="3"/>
      <c r="PPG37" s="3"/>
      <c r="PPH37" s="3"/>
      <c r="PPI37" s="3"/>
      <c r="PPJ37" s="3"/>
      <c r="PPK37" s="3"/>
      <c r="PPL37" s="3"/>
      <c r="PPM37" s="3"/>
      <c r="PPN37" s="3"/>
      <c r="PPO37" s="3"/>
      <c r="PPP37" s="3"/>
      <c r="PPQ37" s="3"/>
      <c r="PPR37" s="3"/>
      <c r="PPS37" s="3"/>
      <c r="PPT37" s="3"/>
      <c r="PPU37" s="3"/>
      <c r="PPV37" s="3"/>
      <c r="PPW37" s="3"/>
      <c r="PPX37" s="3"/>
      <c r="PPY37" s="3"/>
      <c r="PPZ37" s="3"/>
      <c r="PQA37" s="3"/>
      <c r="PQB37" s="3"/>
      <c r="PQC37" s="3"/>
      <c r="PQD37" s="3"/>
      <c r="PQE37" s="3"/>
      <c r="PQF37" s="3"/>
      <c r="PQG37" s="3"/>
      <c r="PQH37" s="3"/>
      <c r="PQI37" s="3"/>
      <c r="PQJ37" s="3"/>
      <c r="PQK37" s="3"/>
      <c r="PQL37" s="3"/>
      <c r="PQM37" s="3"/>
      <c r="PQN37" s="3"/>
      <c r="PQO37" s="3"/>
      <c r="PQP37" s="3"/>
      <c r="PQQ37" s="3"/>
      <c r="PQR37" s="3"/>
      <c r="PQS37" s="3"/>
      <c r="PQT37" s="3"/>
      <c r="PQU37" s="3"/>
      <c r="PQV37" s="3"/>
      <c r="PQW37" s="3"/>
      <c r="PQX37" s="3"/>
      <c r="PQY37" s="3"/>
      <c r="PQZ37" s="3"/>
      <c r="PRA37" s="3"/>
      <c r="PRB37" s="3"/>
      <c r="PRC37" s="3"/>
      <c r="PRD37" s="3"/>
      <c r="PRE37" s="3"/>
      <c r="PRF37" s="3"/>
      <c r="PRG37" s="3"/>
      <c r="PRH37" s="3"/>
      <c r="PRI37" s="3"/>
      <c r="PRJ37" s="3"/>
      <c r="PRK37" s="3"/>
      <c r="PRL37" s="3"/>
      <c r="PRM37" s="3"/>
      <c r="PRN37" s="3"/>
      <c r="PRO37" s="3"/>
      <c r="PRP37" s="3"/>
      <c r="PRQ37" s="3"/>
      <c r="PRR37" s="3"/>
      <c r="PRS37" s="3"/>
      <c r="PRT37" s="3"/>
      <c r="PRU37" s="3"/>
      <c r="PRV37" s="3"/>
      <c r="PRW37" s="3"/>
      <c r="PRX37" s="3"/>
      <c r="PRY37" s="3"/>
      <c r="PRZ37" s="3"/>
      <c r="PSA37" s="3"/>
      <c r="PSB37" s="3"/>
      <c r="PSC37" s="3"/>
      <c r="PSD37" s="3"/>
      <c r="PSE37" s="3"/>
      <c r="PSF37" s="3"/>
      <c r="PSG37" s="3"/>
      <c r="PSH37" s="3"/>
      <c r="PSI37" s="3"/>
      <c r="PSJ37" s="3"/>
      <c r="PSK37" s="3"/>
      <c r="PSL37" s="3"/>
      <c r="PSM37" s="3"/>
      <c r="PSN37" s="3"/>
      <c r="PSO37" s="3"/>
      <c r="PSP37" s="3"/>
      <c r="PSQ37" s="3"/>
      <c r="PSR37" s="3"/>
      <c r="PSS37" s="3"/>
      <c r="PST37" s="3"/>
      <c r="PSU37" s="3"/>
      <c r="PSV37" s="3"/>
      <c r="PSW37" s="3"/>
      <c r="PSX37" s="3"/>
      <c r="PSY37" s="3"/>
      <c r="PSZ37" s="3"/>
      <c r="PTA37" s="3"/>
      <c r="PTB37" s="3"/>
      <c r="PTC37" s="3"/>
      <c r="PTD37" s="3"/>
      <c r="PTE37" s="3"/>
      <c r="PTF37" s="3"/>
      <c r="PTG37" s="3"/>
      <c r="PTH37" s="3"/>
      <c r="PTI37" s="3"/>
      <c r="PTJ37" s="3"/>
      <c r="PTK37" s="3"/>
      <c r="PTL37" s="3"/>
      <c r="PTM37" s="3"/>
      <c r="PTN37" s="3"/>
      <c r="PTO37" s="3"/>
      <c r="PTP37" s="3"/>
      <c r="PTQ37" s="3"/>
      <c r="PTR37" s="3"/>
      <c r="PTS37" s="3"/>
      <c r="PTT37" s="3"/>
      <c r="PTU37" s="3"/>
      <c r="PTV37" s="3"/>
      <c r="PTW37" s="3"/>
      <c r="PTX37" s="3"/>
      <c r="PTY37" s="3"/>
      <c r="PTZ37" s="3"/>
      <c r="PUA37" s="3"/>
      <c r="PUB37" s="3"/>
      <c r="PUC37" s="3"/>
      <c r="PUD37" s="3"/>
      <c r="PUE37" s="3"/>
      <c r="PUF37" s="3"/>
      <c r="PUG37" s="3"/>
      <c r="PUH37" s="3"/>
      <c r="PUI37" s="3"/>
      <c r="PUJ37" s="3"/>
      <c r="PUK37" s="3"/>
      <c r="PUL37" s="3"/>
      <c r="PUM37" s="3"/>
      <c r="PUN37" s="3"/>
      <c r="PUO37" s="3"/>
      <c r="PUP37" s="3"/>
      <c r="PUQ37" s="3"/>
      <c r="PUR37" s="3"/>
      <c r="PUS37" s="3"/>
      <c r="PUT37" s="3"/>
      <c r="PUU37" s="3"/>
      <c r="PUV37" s="3"/>
      <c r="PUW37" s="3"/>
      <c r="PUX37" s="3"/>
      <c r="PUY37" s="3"/>
      <c r="PUZ37" s="3"/>
      <c r="PVA37" s="3"/>
      <c r="PVB37" s="3"/>
      <c r="PVC37" s="3"/>
      <c r="PVD37" s="3"/>
      <c r="PVE37" s="3"/>
      <c r="PVF37" s="3"/>
      <c r="PVG37" s="3"/>
      <c r="PVH37" s="3"/>
      <c r="PVI37" s="3"/>
      <c r="PVJ37" s="3"/>
      <c r="PVK37" s="3"/>
      <c r="PVL37" s="3"/>
      <c r="PVM37" s="3"/>
      <c r="PVN37" s="3"/>
      <c r="PVO37" s="3"/>
      <c r="PVP37" s="3"/>
      <c r="PVQ37" s="3"/>
      <c r="PVR37" s="3"/>
      <c r="PVS37" s="3"/>
      <c r="PVT37" s="3"/>
      <c r="PVU37" s="3"/>
      <c r="PVV37" s="3"/>
      <c r="PVW37" s="3"/>
      <c r="PVX37" s="3"/>
      <c r="PVY37" s="3"/>
      <c r="PVZ37" s="3"/>
      <c r="PWA37" s="3"/>
      <c r="PWB37" s="3"/>
      <c r="PWC37" s="3"/>
      <c r="PWD37" s="3"/>
      <c r="PWE37" s="3"/>
      <c r="PWF37" s="3"/>
      <c r="PWG37" s="3"/>
      <c r="PWH37" s="3"/>
      <c r="PWI37" s="3"/>
      <c r="PWJ37" s="3"/>
      <c r="PWK37" s="3"/>
      <c r="PWL37" s="3"/>
      <c r="PWM37" s="3"/>
      <c r="PWN37" s="3"/>
      <c r="PWO37" s="3"/>
      <c r="PWP37" s="3"/>
      <c r="PWQ37" s="3"/>
      <c r="PWR37" s="3"/>
      <c r="PWS37" s="3"/>
      <c r="PWT37" s="3"/>
      <c r="PWU37" s="3"/>
      <c r="PWV37" s="3"/>
      <c r="PWW37" s="3"/>
      <c r="PWX37" s="3"/>
      <c r="PWY37" s="3"/>
      <c r="PWZ37" s="3"/>
      <c r="PXA37" s="3"/>
      <c r="PXB37" s="3"/>
      <c r="PXC37" s="3"/>
      <c r="PXD37" s="3"/>
      <c r="PXE37" s="3"/>
      <c r="PXF37" s="3"/>
      <c r="PXG37" s="3"/>
      <c r="PXH37" s="3"/>
      <c r="PXI37" s="3"/>
      <c r="PXJ37" s="3"/>
      <c r="PXK37" s="3"/>
      <c r="PXL37" s="3"/>
      <c r="PXM37" s="3"/>
      <c r="PXN37" s="3"/>
      <c r="PXO37" s="3"/>
      <c r="PXP37" s="3"/>
      <c r="PXQ37" s="3"/>
      <c r="PXR37" s="3"/>
      <c r="PXS37" s="3"/>
      <c r="PXT37" s="3"/>
      <c r="PXU37" s="3"/>
      <c r="PXV37" s="3"/>
      <c r="PXW37" s="3"/>
      <c r="PXX37" s="3"/>
      <c r="PXY37" s="3"/>
      <c r="PXZ37" s="3"/>
      <c r="PYA37" s="3"/>
      <c r="PYB37" s="3"/>
      <c r="PYC37" s="3"/>
      <c r="PYD37" s="3"/>
      <c r="PYE37" s="3"/>
      <c r="PYF37" s="3"/>
      <c r="PYG37" s="3"/>
      <c r="PYH37" s="3"/>
      <c r="PYI37" s="3"/>
      <c r="PYJ37" s="3"/>
      <c r="PYK37" s="3"/>
      <c r="PYL37" s="3"/>
      <c r="PYM37" s="3"/>
      <c r="PYN37" s="3"/>
      <c r="PYO37" s="3"/>
      <c r="PYP37" s="3"/>
      <c r="PYQ37" s="3"/>
      <c r="PYR37" s="3"/>
      <c r="PYS37" s="3"/>
      <c r="PYT37" s="3"/>
      <c r="PYU37" s="3"/>
      <c r="PYV37" s="3"/>
      <c r="PYW37" s="3"/>
      <c r="PYX37" s="3"/>
      <c r="PYY37" s="3"/>
      <c r="PYZ37" s="3"/>
      <c r="PZA37" s="3"/>
      <c r="PZB37" s="3"/>
      <c r="PZC37" s="3"/>
      <c r="PZD37" s="3"/>
      <c r="PZE37" s="3"/>
      <c r="PZF37" s="3"/>
      <c r="PZG37" s="3"/>
      <c r="PZH37" s="3"/>
      <c r="PZI37" s="3"/>
      <c r="PZJ37" s="3"/>
      <c r="PZK37" s="3"/>
      <c r="PZL37" s="3"/>
      <c r="PZM37" s="3"/>
      <c r="PZN37" s="3"/>
      <c r="PZO37" s="3"/>
      <c r="PZP37" s="3"/>
      <c r="PZQ37" s="3"/>
      <c r="PZR37" s="3"/>
      <c r="PZS37" s="3"/>
      <c r="PZT37" s="3"/>
      <c r="PZU37" s="3"/>
      <c r="PZV37" s="3"/>
      <c r="PZW37" s="3"/>
      <c r="PZX37" s="3"/>
      <c r="PZY37" s="3"/>
      <c r="PZZ37" s="3"/>
      <c r="QAA37" s="3"/>
      <c r="QAB37" s="3"/>
      <c r="QAC37" s="3"/>
      <c r="QAD37" s="3"/>
      <c r="QAE37" s="3"/>
      <c r="QAF37" s="3"/>
      <c r="QAG37" s="3"/>
      <c r="QAH37" s="3"/>
      <c r="QAI37" s="3"/>
      <c r="QAJ37" s="3"/>
      <c r="QAK37" s="3"/>
      <c r="QAL37" s="3"/>
      <c r="QAM37" s="3"/>
      <c r="QAN37" s="3"/>
      <c r="QAO37" s="3"/>
      <c r="QAP37" s="3"/>
      <c r="QAQ37" s="3"/>
      <c r="QAR37" s="3"/>
      <c r="QAS37" s="3"/>
      <c r="QAT37" s="3"/>
      <c r="QAU37" s="3"/>
      <c r="QAV37" s="3"/>
      <c r="QAW37" s="3"/>
      <c r="QAX37" s="3"/>
      <c r="QAY37" s="3"/>
      <c r="QAZ37" s="3"/>
      <c r="QBA37" s="3"/>
      <c r="QBB37" s="3"/>
      <c r="QBC37" s="3"/>
      <c r="QBD37" s="3"/>
      <c r="QBE37" s="3"/>
      <c r="QBF37" s="3"/>
      <c r="QBG37" s="3"/>
      <c r="QBH37" s="3"/>
      <c r="QBI37" s="3"/>
      <c r="QBJ37" s="3"/>
      <c r="QBK37" s="3"/>
      <c r="QBL37" s="3"/>
      <c r="QBM37" s="3"/>
      <c r="QBN37" s="3"/>
      <c r="QBO37" s="3"/>
      <c r="QBP37" s="3"/>
      <c r="QBQ37" s="3"/>
      <c r="QBR37" s="3"/>
      <c r="QBS37" s="3"/>
      <c r="QBT37" s="3"/>
      <c r="QBU37" s="3"/>
      <c r="QBV37" s="3"/>
      <c r="QBW37" s="3"/>
      <c r="QBX37" s="3"/>
      <c r="QBY37" s="3"/>
      <c r="QBZ37" s="3"/>
      <c r="QCA37" s="3"/>
      <c r="QCB37" s="3"/>
      <c r="QCC37" s="3"/>
      <c r="QCD37" s="3"/>
      <c r="QCE37" s="3"/>
      <c r="QCF37" s="3"/>
      <c r="QCG37" s="3"/>
      <c r="QCH37" s="3"/>
      <c r="QCI37" s="3"/>
      <c r="QCJ37" s="3"/>
      <c r="QCK37" s="3"/>
      <c r="QCL37" s="3"/>
      <c r="QCM37" s="3"/>
      <c r="QCN37" s="3"/>
      <c r="QCO37" s="3"/>
      <c r="QCP37" s="3"/>
      <c r="QCQ37" s="3"/>
      <c r="QCR37" s="3"/>
      <c r="QCS37" s="3"/>
      <c r="QCT37" s="3"/>
      <c r="QCU37" s="3"/>
      <c r="QCV37" s="3"/>
      <c r="QCW37" s="3"/>
      <c r="QCX37" s="3"/>
      <c r="QCY37" s="3"/>
      <c r="QCZ37" s="3"/>
      <c r="QDA37" s="3"/>
      <c r="QDB37" s="3"/>
      <c r="QDC37" s="3"/>
      <c r="QDD37" s="3"/>
      <c r="QDE37" s="3"/>
      <c r="QDF37" s="3"/>
      <c r="QDG37" s="3"/>
      <c r="QDH37" s="3"/>
      <c r="QDI37" s="3"/>
      <c r="QDJ37" s="3"/>
      <c r="QDK37" s="3"/>
      <c r="QDL37" s="3"/>
      <c r="QDM37" s="3"/>
      <c r="QDN37" s="3"/>
      <c r="QDO37" s="3"/>
      <c r="QDP37" s="3"/>
      <c r="QDQ37" s="3"/>
      <c r="QDR37" s="3"/>
      <c r="QDS37" s="3"/>
      <c r="QDT37" s="3"/>
      <c r="QDU37" s="3"/>
      <c r="QDV37" s="3"/>
      <c r="QDW37" s="3"/>
      <c r="QDX37" s="3"/>
      <c r="QDY37" s="3"/>
      <c r="QDZ37" s="3"/>
      <c r="QEA37" s="3"/>
      <c r="QEB37" s="3"/>
      <c r="QEC37" s="3"/>
      <c r="QED37" s="3"/>
      <c r="QEE37" s="3"/>
      <c r="QEF37" s="3"/>
      <c r="QEG37" s="3"/>
      <c r="QEH37" s="3"/>
      <c r="QEI37" s="3"/>
      <c r="QEJ37" s="3"/>
      <c r="QEK37" s="3"/>
      <c r="QEL37" s="3"/>
      <c r="QEM37" s="3"/>
      <c r="QEN37" s="3"/>
      <c r="QEO37" s="3"/>
      <c r="QEP37" s="3"/>
      <c r="QEQ37" s="3"/>
      <c r="QER37" s="3"/>
      <c r="QES37" s="3"/>
      <c r="QET37" s="3"/>
      <c r="QEU37" s="3"/>
      <c r="QEV37" s="3"/>
      <c r="QEW37" s="3"/>
      <c r="QEX37" s="3"/>
      <c r="QEY37" s="3"/>
      <c r="QEZ37" s="3"/>
      <c r="QFA37" s="3"/>
      <c r="QFB37" s="3"/>
      <c r="QFC37" s="3"/>
      <c r="QFD37" s="3"/>
      <c r="QFE37" s="3"/>
      <c r="QFF37" s="3"/>
      <c r="QFG37" s="3"/>
      <c r="QFH37" s="3"/>
      <c r="QFI37" s="3"/>
      <c r="QFJ37" s="3"/>
      <c r="QFK37" s="3"/>
      <c r="QFL37" s="3"/>
      <c r="QFM37" s="3"/>
      <c r="QFN37" s="3"/>
      <c r="QFO37" s="3"/>
      <c r="QFP37" s="3"/>
      <c r="QFQ37" s="3"/>
      <c r="QFR37" s="3"/>
      <c r="QFS37" s="3"/>
      <c r="QFT37" s="3"/>
      <c r="QFU37" s="3"/>
      <c r="QFV37" s="3"/>
      <c r="QFW37" s="3"/>
      <c r="QFX37" s="3"/>
      <c r="QFY37" s="3"/>
      <c r="QFZ37" s="3"/>
      <c r="QGA37" s="3"/>
      <c r="QGB37" s="3"/>
      <c r="QGC37" s="3"/>
      <c r="QGD37" s="3"/>
      <c r="QGE37" s="3"/>
      <c r="QGF37" s="3"/>
      <c r="QGG37" s="3"/>
      <c r="QGH37" s="3"/>
      <c r="QGI37" s="3"/>
      <c r="QGJ37" s="3"/>
      <c r="QGK37" s="3"/>
      <c r="QGL37" s="3"/>
      <c r="QGM37" s="3"/>
      <c r="QGN37" s="3"/>
      <c r="QGO37" s="3"/>
      <c r="QGP37" s="3"/>
      <c r="QGQ37" s="3"/>
      <c r="QGR37" s="3"/>
      <c r="QGS37" s="3"/>
      <c r="QGT37" s="3"/>
      <c r="QGU37" s="3"/>
      <c r="QGV37" s="3"/>
      <c r="QGW37" s="3"/>
      <c r="QGX37" s="3"/>
      <c r="QGY37" s="3"/>
      <c r="QGZ37" s="3"/>
      <c r="QHA37" s="3"/>
      <c r="QHB37" s="3"/>
      <c r="QHC37" s="3"/>
      <c r="QHD37" s="3"/>
      <c r="QHE37" s="3"/>
      <c r="QHF37" s="3"/>
      <c r="QHG37" s="3"/>
      <c r="QHH37" s="3"/>
      <c r="QHI37" s="3"/>
      <c r="QHJ37" s="3"/>
      <c r="QHK37" s="3"/>
      <c r="QHL37" s="3"/>
      <c r="QHM37" s="3"/>
      <c r="QHN37" s="3"/>
      <c r="QHO37" s="3"/>
      <c r="QHP37" s="3"/>
      <c r="QHQ37" s="3"/>
      <c r="QHR37" s="3"/>
      <c r="QHS37" s="3"/>
      <c r="QHT37" s="3"/>
      <c r="QHU37" s="3"/>
      <c r="QHV37" s="3"/>
      <c r="QHW37" s="3"/>
      <c r="QHX37" s="3"/>
      <c r="QHY37" s="3"/>
      <c r="QHZ37" s="3"/>
      <c r="QIA37" s="3"/>
      <c r="QIB37" s="3"/>
      <c r="QIC37" s="3"/>
      <c r="QID37" s="3"/>
      <c r="QIE37" s="3"/>
      <c r="QIF37" s="3"/>
      <c r="QIG37" s="3"/>
      <c r="QIH37" s="3"/>
      <c r="QII37" s="3"/>
      <c r="QIJ37" s="3"/>
      <c r="QIK37" s="3"/>
      <c r="QIL37" s="3"/>
      <c r="QIM37" s="3"/>
      <c r="QIN37" s="3"/>
      <c r="QIO37" s="3"/>
      <c r="QIP37" s="3"/>
      <c r="QIQ37" s="3"/>
      <c r="QIR37" s="3"/>
      <c r="QIS37" s="3"/>
      <c r="QIT37" s="3"/>
      <c r="QIU37" s="3"/>
      <c r="QIV37" s="3"/>
      <c r="QIW37" s="3"/>
      <c r="QIX37" s="3"/>
      <c r="QIY37" s="3"/>
      <c r="QIZ37" s="3"/>
      <c r="QJA37" s="3"/>
      <c r="QJB37" s="3"/>
      <c r="QJC37" s="3"/>
      <c r="QJD37" s="3"/>
      <c r="QJE37" s="3"/>
      <c r="QJF37" s="3"/>
      <c r="QJG37" s="3"/>
      <c r="QJH37" s="3"/>
      <c r="QJI37" s="3"/>
      <c r="QJJ37" s="3"/>
      <c r="QJK37" s="3"/>
      <c r="QJL37" s="3"/>
      <c r="QJM37" s="3"/>
      <c r="QJN37" s="3"/>
      <c r="QJO37" s="3"/>
      <c r="QJP37" s="3"/>
      <c r="QJQ37" s="3"/>
      <c r="QJR37" s="3"/>
      <c r="QJS37" s="3"/>
      <c r="QJT37" s="3"/>
      <c r="QJU37" s="3"/>
      <c r="QJV37" s="3"/>
      <c r="QJW37" s="3"/>
      <c r="QJX37" s="3"/>
      <c r="QJY37" s="3"/>
      <c r="QJZ37" s="3"/>
      <c r="QKA37" s="3"/>
      <c r="QKB37" s="3"/>
      <c r="QKC37" s="3"/>
      <c r="QKD37" s="3"/>
      <c r="QKE37" s="3"/>
      <c r="QKF37" s="3"/>
      <c r="QKG37" s="3"/>
      <c r="QKH37" s="3"/>
      <c r="QKI37" s="3"/>
      <c r="QKJ37" s="3"/>
      <c r="QKK37" s="3"/>
      <c r="QKL37" s="3"/>
      <c r="QKM37" s="3"/>
      <c r="QKN37" s="3"/>
      <c r="QKO37" s="3"/>
      <c r="QKP37" s="3"/>
      <c r="QKQ37" s="3"/>
      <c r="QKR37" s="3"/>
      <c r="QKS37" s="3"/>
      <c r="QKT37" s="3"/>
      <c r="QKU37" s="3"/>
      <c r="QKV37" s="3"/>
      <c r="QKW37" s="3"/>
      <c r="QKX37" s="3"/>
      <c r="QKY37" s="3"/>
      <c r="QKZ37" s="3"/>
      <c r="QLA37" s="3"/>
      <c r="QLB37" s="3"/>
      <c r="QLC37" s="3"/>
      <c r="QLD37" s="3"/>
      <c r="QLE37" s="3"/>
      <c r="QLF37" s="3"/>
      <c r="QLG37" s="3"/>
      <c r="QLH37" s="3"/>
      <c r="QLI37" s="3"/>
      <c r="QLJ37" s="3"/>
      <c r="QLK37" s="3"/>
      <c r="QLL37" s="3"/>
      <c r="QLM37" s="3"/>
      <c r="QLN37" s="3"/>
      <c r="QLO37" s="3"/>
      <c r="QLP37" s="3"/>
      <c r="QLQ37" s="3"/>
      <c r="QLR37" s="3"/>
      <c r="QLS37" s="3"/>
      <c r="QLT37" s="3"/>
      <c r="QLU37" s="3"/>
      <c r="QLV37" s="3"/>
      <c r="QLW37" s="3"/>
      <c r="QLX37" s="3"/>
      <c r="QLY37" s="3"/>
      <c r="QLZ37" s="3"/>
      <c r="QMA37" s="3"/>
      <c r="QMB37" s="3"/>
      <c r="QMC37" s="3"/>
      <c r="QMD37" s="3"/>
      <c r="QME37" s="3"/>
      <c r="QMF37" s="3"/>
      <c r="QMG37" s="3"/>
      <c r="QMH37" s="3"/>
      <c r="QMI37" s="3"/>
      <c r="QMJ37" s="3"/>
      <c r="QMK37" s="3"/>
      <c r="QML37" s="3"/>
      <c r="QMM37" s="3"/>
      <c r="QMN37" s="3"/>
      <c r="QMO37" s="3"/>
      <c r="QMP37" s="3"/>
      <c r="QMQ37" s="3"/>
      <c r="QMR37" s="3"/>
      <c r="QMS37" s="3"/>
      <c r="QMT37" s="3"/>
      <c r="QMU37" s="3"/>
      <c r="QMV37" s="3"/>
      <c r="QMW37" s="3"/>
      <c r="QMX37" s="3"/>
      <c r="QMY37" s="3"/>
      <c r="QMZ37" s="3"/>
      <c r="QNA37" s="3"/>
      <c r="QNB37" s="3"/>
      <c r="QNC37" s="3"/>
      <c r="QND37" s="3"/>
      <c r="QNE37" s="3"/>
      <c r="QNF37" s="3"/>
      <c r="QNG37" s="3"/>
      <c r="QNH37" s="3"/>
      <c r="QNI37" s="3"/>
      <c r="QNJ37" s="3"/>
      <c r="QNK37" s="3"/>
      <c r="QNL37" s="3"/>
      <c r="QNM37" s="3"/>
      <c r="QNN37" s="3"/>
      <c r="QNO37" s="3"/>
      <c r="QNP37" s="3"/>
      <c r="QNQ37" s="3"/>
      <c r="QNR37" s="3"/>
      <c r="QNS37" s="3"/>
      <c r="QNT37" s="3"/>
      <c r="QNU37" s="3"/>
      <c r="QNV37" s="3"/>
      <c r="QNW37" s="3"/>
      <c r="QNX37" s="3"/>
      <c r="QNY37" s="3"/>
      <c r="QNZ37" s="3"/>
      <c r="QOA37" s="3"/>
      <c r="QOB37" s="3"/>
      <c r="QOC37" s="3"/>
      <c r="QOD37" s="3"/>
      <c r="QOE37" s="3"/>
      <c r="QOF37" s="3"/>
      <c r="QOG37" s="3"/>
      <c r="QOH37" s="3"/>
      <c r="QOI37" s="3"/>
      <c r="QOJ37" s="3"/>
      <c r="QOK37" s="3"/>
      <c r="QOL37" s="3"/>
      <c r="QOM37" s="3"/>
      <c r="QON37" s="3"/>
      <c r="QOO37" s="3"/>
      <c r="QOP37" s="3"/>
      <c r="QOQ37" s="3"/>
      <c r="QOR37" s="3"/>
      <c r="QOS37" s="3"/>
      <c r="QOT37" s="3"/>
      <c r="QOU37" s="3"/>
      <c r="QOV37" s="3"/>
      <c r="QOW37" s="3"/>
      <c r="QOX37" s="3"/>
      <c r="QOY37" s="3"/>
      <c r="QOZ37" s="3"/>
      <c r="QPA37" s="3"/>
      <c r="QPB37" s="3"/>
      <c r="QPC37" s="3"/>
      <c r="QPD37" s="3"/>
      <c r="QPE37" s="3"/>
      <c r="QPF37" s="3"/>
      <c r="QPG37" s="3"/>
      <c r="QPH37" s="3"/>
      <c r="QPI37" s="3"/>
      <c r="QPJ37" s="3"/>
      <c r="QPK37" s="3"/>
      <c r="QPL37" s="3"/>
      <c r="QPM37" s="3"/>
      <c r="QPN37" s="3"/>
      <c r="QPO37" s="3"/>
      <c r="QPP37" s="3"/>
      <c r="QPQ37" s="3"/>
      <c r="QPR37" s="3"/>
      <c r="QPS37" s="3"/>
      <c r="QPT37" s="3"/>
      <c r="QPU37" s="3"/>
      <c r="QPV37" s="3"/>
      <c r="QPW37" s="3"/>
      <c r="QPX37" s="3"/>
      <c r="QPY37" s="3"/>
      <c r="QPZ37" s="3"/>
      <c r="QQA37" s="3"/>
      <c r="QQB37" s="3"/>
      <c r="QQC37" s="3"/>
      <c r="QQD37" s="3"/>
      <c r="QQE37" s="3"/>
      <c r="QQF37" s="3"/>
      <c r="QQG37" s="3"/>
      <c r="QQH37" s="3"/>
      <c r="QQI37" s="3"/>
      <c r="QQJ37" s="3"/>
      <c r="QQK37" s="3"/>
      <c r="QQL37" s="3"/>
      <c r="QQM37" s="3"/>
      <c r="QQN37" s="3"/>
      <c r="QQO37" s="3"/>
      <c r="QQP37" s="3"/>
      <c r="QQQ37" s="3"/>
      <c r="QQR37" s="3"/>
      <c r="QQS37" s="3"/>
      <c r="QQT37" s="3"/>
      <c r="QQU37" s="3"/>
      <c r="QQV37" s="3"/>
      <c r="QQW37" s="3"/>
      <c r="QQX37" s="3"/>
      <c r="QQY37" s="3"/>
      <c r="QQZ37" s="3"/>
      <c r="QRA37" s="3"/>
      <c r="QRB37" s="3"/>
      <c r="QRC37" s="3"/>
      <c r="QRD37" s="3"/>
      <c r="QRE37" s="3"/>
      <c r="QRF37" s="3"/>
      <c r="QRG37" s="3"/>
      <c r="QRH37" s="3"/>
      <c r="QRI37" s="3"/>
      <c r="QRJ37" s="3"/>
      <c r="QRK37" s="3"/>
      <c r="QRL37" s="3"/>
      <c r="QRM37" s="3"/>
      <c r="QRN37" s="3"/>
      <c r="QRO37" s="3"/>
      <c r="QRP37" s="3"/>
      <c r="QRQ37" s="3"/>
      <c r="QRR37" s="3"/>
      <c r="QRS37" s="3"/>
      <c r="QRT37" s="3"/>
      <c r="QRU37" s="3"/>
      <c r="QRV37" s="3"/>
      <c r="QRW37" s="3"/>
      <c r="QRX37" s="3"/>
      <c r="QRY37" s="3"/>
      <c r="QRZ37" s="3"/>
      <c r="QSA37" s="3"/>
      <c r="QSB37" s="3"/>
      <c r="QSC37" s="3"/>
      <c r="QSD37" s="3"/>
      <c r="QSE37" s="3"/>
      <c r="QSF37" s="3"/>
      <c r="QSG37" s="3"/>
      <c r="QSH37" s="3"/>
      <c r="QSI37" s="3"/>
      <c r="QSJ37" s="3"/>
      <c r="QSK37" s="3"/>
      <c r="QSL37" s="3"/>
      <c r="QSM37" s="3"/>
      <c r="QSN37" s="3"/>
      <c r="QSO37" s="3"/>
      <c r="QSP37" s="3"/>
      <c r="QSQ37" s="3"/>
      <c r="QSR37" s="3"/>
      <c r="QSS37" s="3"/>
      <c r="QST37" s="3"/>
      <c r="QSU37" s="3"/>
      <c r="QSV37" s="3"/>
      <c r="QSW37" s="3"/>
      <c r="QSX37" s="3"/>
      <c r="QSY37" s="3"/>
      <c r="QSZ37" s="3"/>
      <c r="QTA37" s="3"/>
      <c r="QTB37" s="3"/>
      <c r="QTC37" s="3"/>
      <c r="QTD37" s="3"/>
      <c r="QTE37" s="3"/>
      <c r="QTF37" s="3"/>
      <c r="QTG37" s="3"/>
      <c r="QTH37" s="3"/>
      <c r="QTI37" s="3"/>
      <c r="QTJ37" s="3"/>
      <c r="QTK37" s="3"/>
      <c r="QTL37" s="3"/>
      <c r="QTM37" s="3"/>
      <c r="QTN37" s="3"/>
      <c r="QTO37" s="3"/>
      <c r="QTP37" s="3"/>
      <c r="QTQ37" s="3"/>
      <c r="QTR37" s="3"/>
      <c r="QTS37" s="3"/>
      <c r="QTT37" s="3"/>
      <c r="QTU37" s="3"/>
      <c r="QTV37" s="3"/>
      <c r="QTW37" s="3"/>
      <c r="QTX37" s="3"/>
      <c r="QTY37" s="3"/>
      <c r="QTZ37" s="3"/>
      <c r="QUA37" s="3"/>
      <c r="QUB37" s="3"/>
      <c r="QUC37" s="3"/>
      <c r="QUD37" s="3"/>
      <c r="QUE37" s="3"/>
      <c r="QUF37" s="3"/>
      <c r="QUG37" s="3"/>
      <c r="QUH37" s="3"/>
      <c r="QUI37" s="3"/>
      <c r="QUJ37" s="3"/>
      <c r="QUK37" s="3"/>
      <c r="QUL37" s="3"/>
      <c r="QUM37" s="3"/>
      <c r="QUN37" s="3"/>
      <c r="QUO37" s="3"/>
      <c r="QUP37" s="3"/>
      <c r="QUQ37" s="3"/>
      <c r="QUR37" s="3"/>
      <c r="QUS37" s="3"/>
      <c r="QUT37" s="3"/>
      <c r="QUU37" s="3"/>
      <c r="QUV37" s="3"/>
      <c r="QUW37" s="3"/>
      <c r="QUX37" s="3"/>
      <c r="QUY37" s="3"/>
      <c r="QUZ37" s="3"/>
      <c r="QVA37" s="3"/>
      <c r="QVB37" s="3"/>
      <c r="QVC37" s="3"/>
      <c r="QVD37" s="3"/>
      <c r="QVE37" s="3"/>
      <c r="QVF37" s="3"/>
      <c r="QVG37" s="3"/>
      <c r="QVH37" s="3"/>
      <c r="QVI37" s="3"/>
      <c r="QVJ37" s="3"/>
      <c r="QVK37" s="3"/>
      <c r="QVL37" s="3"/>
      <c r="QVM37" s="3"/>
      <c r="QVN37" s="3"/>
      <c r="QVO37" s="3"/>
      <c r="QVP37" s="3"/>
      <c r="QVQ37" s="3"/>
      <c r="QVR37" s="3"/>
      <c r="QVS37" s="3"/>
      <c r="QVT37" s="3"/>
      <c r="QVU37" s="3"/>
      <c r="QVV37" s="3"/>
      <c r="QVW37" s="3"/>
      <c r="QVX37" s="3"/>
      <c r="QVY37" s="3"/>
      <c r="QVZ37" s="3"/>
      <c r="QWA37" s="3"/>
      <c r="QWB37" s="3"/>
      <c r="QWC37" s="3"/>
      <c r="QWD37" s="3"/>
      <c r="QWE37" s="3"/>
      <c r="QWF37" s="3"/>
      <c r="QWG37" s="3"/>
      <c r="QWH37" s="3"/>
      <c r="QWI37" s="3"/>
      <c r="QWJ37" s="3"/>
      <c r="QWK37" s="3"/>
      <c r="QWL37" s="3"/>
      <c r="QWM37" s="3"/>
      <c r="QWN37" s="3"/>
      <c r="QWO37" s="3"/>
      <c r="QWP37" s="3"/>
      <c r="QWQ37" s="3"/>
      <c r="QWR37" s="3"/>
      <c r="QWS37" s="3"/>
      <c r="QWT37" s="3"/>
      <c r="QWU37" s="3"/>
      <c r="QWV37" s="3"/>
      <c r="QWW37" s="3"/>
      <c r="QWX37" s="3"/>
      <c r="QWY37" s="3"/>
      <c r="QWZ37" s="3"/>
      <c r="QXA37" s="3"/>
      <c r="QXB37" s="3"/>
      <c r="QXC37" s="3"/>
      <c r="QXD37" s="3"/>
      <c r="QXE37" s="3"/>
      <c r="QXF37" s="3"/>
      <c r="QXG37" s="3"/>
      <c r="QXH37" s="3"/>
      <c r="QXI37" s="3"/>
      <c r="QXJ37" s="3"/>
      <c r="QXK37" s="3"/>
      <c r="QXL37" s="3"/>
      <c r="QXM37" s="3"/>
      <c r="QXN37" s="3"/>
      <c r="QXO37" s="3"/>
      <c r="QXP37" s="3"/>
      <c r="QXQ37" s="3"/>
      <c r="QXR37" s="3"/>
      <c r="QXS37" s="3"/>
      <c r="QXT37" s="3"/>
      <c r="QXU37" s="3"/>
      <c r="QXV37" s="3"/>
      <c r="QXW37" s="3"/>
      <c r="QXX37" s="3"/>
      <c r="QXY37" s="3"/>
      <c r="QXZ37" s="3"/>
      <c r="QYA37" s="3"/>
      <c r="QYB37" s="3"/>
      <c r="QYC37" s="3"/>
      <c r="QYD37" s="3"/>
      <c r="QYE37" s="3"/>
      <c r="QYF37" s="3"/>
      <c r="QYG37" s="3"/>
      <c r="QYH37" s="3"/>
      <c r="QYI37" s="3"/>
      <c r="QYJ37" s="3"/>
      <c r="QYK37" s="3"/>
      <c r="QYL37" s="3"/>
      <c r="QYM37" s="3"/>
      <c r="QYN37" s="3"/>
      <c r="QYO37" s="3"/>
      <c r="QYP37" s="3"/>
      <c r="QYQ37" s="3"/>
      <c r="QYR37" s="3"/>
      <c r="QYS37" s="3"/>
      <c r="QYT37" s="3"/>
      <c r="QYU37" s="3"/>
      <c r="QYV37" s="3"/>
      <c r="QYW37" s="3"/>
      <c r="QYX37" s="3"/>
      <c r="QYY37" s="3"/>
      <c r="QYZ37" s="3"/>
      <c r="QZA37" s="3"/>
      <c r="QZB37" s="3"/>
      <c r="QZC37" s="3"/>
      <c r="QZD37" s="3"/>
      <c r="QZE37" s="3"/>
      <c r="QZF37" s="3"/>
      <c r="QZG37" s="3"/>
      <c r="QZH37" s="3"/>
      <c r="QZI37" s="3"/>
      <c r="QZJ37" s="3"/>
      <c r="QZK37" s="3"/>
      <c r="QZL37" s="3"/>
      <c r="QZM37" s="3"/>
      <c r="QZN37" s="3"/>
      <c r="QZO37" s="3"/>
      <c r="QZP37" s="3"/>
      <c r="QZQ37" s="3"/>
      <c r="QZR37" s="3"/>
      <c r="QZS37" s="3"/>
      <c r="QZT37" s="3"/>
      <c r="QZU37" s="3"/>
      <c r="QZV37" s="3"/>
      <c r="QZW37" s="3"/>
      <c r="QZX37" s="3"/>
      <c r="QZY37" s="3"/>
      <c r="QZZ37" s="3"/>
      <c r="RAA37" s="3"/>
      <c r="RAB37" s="3"/>
      <c r="RAC37" s="3"/>
      <c r="RAD37" s="3"/>
      <c r="RAE37" s="3"/>
      <c r="RAF37" s="3"/>
      <c r="RAG37" s="3"/>
      <c r="RAH37" s="3"/>
      <c r="RAI37" s="3"/>
      <c r="RAJ37" s="3"/>
      <c r="RAK37" s="3"/>
      <c r="RAL37" s="3"/>
      <c r="RAM37" s="3"/>
      <c r="RAN37" s="3"/>
      <c r="RAO37" s="3"/>
      <c r="RAP37" s="3"/>
      <c r="RAQ37" s="3"/>
      <c r="RAR37" s="3"/>
      <c r="RAS37" s="3"/>
      <c r="RAT37" s="3"/>
      <c r="RAU37" s="3"/>
      <c r="RAV37" s="3"/>
      <c r="RAW37" s="3"/>
      <c r="RAX37" s="3"/>
      <c r="RAY37" s="3"/>
      <c r="RAZ37" s="3"/>
      <c r="RBA37" s="3"/>
      <c r="RBB37" s="3"/>
      <c r="RBC37" s="3"/>
      <c r="RBD37" s="3"/>
      <c r="RBE37" s="3"/>
      <c r="RBF37" s="3"/>
      <c r="RBG37" s="3"/>
      <c r="RBH37" s="3"/>
      <c r="RBI37" s="3"/>
      <c r="RBJ37" s="3"/>
      <c r="RBK37" s="3"/>
      <c r="RBL37" s="3"/>
      <c r="RBM37" s="3"/>
      <c r="RBN37" s="3"/>
      <c r="RBO37" s="3"/>
      <c r="RBP37" s="3"/>
      <c r="RBQ37" s="3"/>
      <c r="RBR37" s="3"/>
      <c r="RBS37" s="3"/>
      <c r="RBT37" s="3"/>
      <c r="RBU37" s="3"/>
      <c r="RBV37" s="3"/>
      <c r="RBW37" s="3"/>
      <c r="RBX37" s="3"/>
      <c r="RBY37" s="3"/>
      <c r="RBZ37" s="3"/>
      <c r="RCA37" s="3"/>
      <c r="RCB37" s="3"/>
      <c r="RCC37" s="3"/>
      <c r="RCD37" s="3"/>
      <c r="RCE37" s="3"/>
      <c r="RCF37" s="3"/>
      <c r="RCG37" s="3"/>
      <c r="RCH37" s="3"/>
      <c r="RCI37" s="3"/>
      <c r="RCJ37" s="3"/>
      <c r="RCK37" s="3"/>
      <c r="RCL37" s="3"/>
      <c r="RCM37" s="3"/>
      <c r="RCN37" s="3"/>
      <c r="RCO37" s="3"/>
      <c r="RCP37" s="3"/>
      <c r="RCQ37" s="3"/>
      <c r="RCR37" s="3"/>
      <c r="RCS37" s="3"/>
      <c r="RCT37" s="3"/>
      <c r="RCU37" s="3"/>
      <c r="RCV37" s="3"/>
      <c r="RCW37" s="3"/>
      <c r="RCX37" s="3"/>
      <c r="RCY37" s="3"/>
      <c r="RCZ37" s="3"/>
      <c r="RDA37" s="3"/>
      <c r="RDB37" s="3"/>
      <c r="RDC37" s="3"/>
      <c r="RDD37" s="3"/>
      <c r="RDE37" s="3"/>
      <c r="RDF37" s="3"/>
      <c r="RDG37" s="3"/>
      <c r="RDH37" s="3"/>
      <c r="RDI37" s="3"/>
      <c r="RDJ37" s="3"/>
      <c r="RDK37" s="3"/>
      <c r="RDL37" s="3"/>
      <c r="RDM37" s="3"/>
      <c r="RDN37" s="3"/>
      <c r="RDO37" s="3"/>
      <c r="RDP37" s="3"/>
      <c r="RDQ37" s="3"/>
      <c r="RDR37" s="3"/>
      <c r="RDS37" s="3"/>
      <c r="RDT37" s="3"/>
      <c r="RDU37" s="3"/>
      <c r="RDV37" s="3"/>
      <c r="RDW37" s="3"/>
      <c r="RDX37" s="3"/>
      <c r="RDY37" s="3"/>
      <c r="RDZ37" s="3"/>
      <c r="REA37" s="3"/>
      <c r="REB37" s="3"/>
      <c r="REC37" s="3"/>
      <c r="RED37" s="3"/>
      <c r="REE37" s="3"/>
      <c r="REF37" s="3"/>
      <c r="REG37" s="3"/>
      <c r="REH37" s="3"/>
      <c r="REI37" s="3"/>
      <c r="REJ37" s="3"/>
      <c r="REK37" s="3"/>
      <c r="REL37" s="3"/>
      <c r="REM37" s="3"/>
      <c r="REN37" s="3"/>
      <c r="REO37" s="3"/>
      <c r="REP37" s="3"/>
      <c r="REQ37" s="3"/>
      <c r="RER37" s="3"/>
      <c r="RES37" s="3"/>
      <c r="RET37" s="3"/>
      <c r="REU37" s="3"/>
      <c r="REV37" s="3"/>
      <c r="REW37" s="3"/>
      <c r="REX37" s="3"/>
      <c r="REY37" s="3"/>
      <c r="REZ37" s="3"/>
      <c r="RFA37" s="3"/>
      <c r="RFB37" s="3"/>
      <c r="RFC37" s="3"/>
      <c r="RFD37" s="3"/>
      <c r="RFE37" s="3"/>
      <c r="RFF37" s="3"/>
      <c r="RFG37" s="3"/>
      <c r="RFH37" s="3"/>
      <c r="RFI37" s="3"/>
      <c r="RFJ37" s="3"/>
      <c r="RFK37" s="3"/>
      <c r="RFL37" s="3"/>
      <c r="RFM37" s="3"/>
      <c r="RFN37" s="3"/>
      <c r="RFO37" s="3"/>
      <c r="RFP37" s="3"/>
      <c r="RFQ37" s="3"/>
      <c r="RFR37" s="3"/>
      <c r="RFS37" s="3"/>
      <c r="RFT37" s="3"/>
      <c r="RFU37" s="3"/>
      <c r="RFV37" s="3"/>
      <c r="RFW37" s="3"/>
      <c r="RFX37" s="3"/>
      <c r="RFY37" s="3"/>
      <c r="RFZ37" s="3"/>
      <c r="RGA37" s="3"/>
      <c r="RGB37" s="3"/>
      <c r="RGC37" s="3"/>
      <c r="RGD37" s="3"/>
      <c r="RGE37" s="3"/>
      <c r="RGF37" s="3"/>
      <c r="RGG37" s="3"/>
      <c r="RGH37" s="3"/>
      <c r="RGI37" s="3"/>
      <c r="RGJ37" s="3"/>
      <c r="RGK37" s="3"/>
      <c r="RGL37" s="3"/>
      <c r="RGM37" s="3"/>
      <c r="RGN37" s="3"/>
      <c r="RGO37" s="3"/>
      <c r="RGP37" s="3"/>
      <c r="RGQ37" s="3"/>
      <c r="RGR37" s="3"/>
      <c r="RGS37" s="3"/>
      <c r="RGT37" s="3"/>
      <c r="RGU37" s="3"/>
      <c r="RGV37" s="3"/>
      <c r="RGW37" s="3"/>
      <c r="RGX37" s="3"/>
      <c r="RGY37" s="3"/>
      <c r="RGZ37" s="3"/>
      <c r="RHA37" s="3"/>
      <c r="RHB37" s="3"/>
      <c r="RHC37" s="3"/>
      <c r="RHD37" s="3"/>
      <c r="RHE37" s="3"/>
      <c r="RHF37" s="3"/>
      <c r="RHG37" s="3"/>
      <c r="RHH37" s="3"/>
      <c r="RHI37" s="3"/>
      <c r="RHJ37" s="3"/>
      <c r="RHK37" s="3"/>
      <c r="RHL37" s="3"/>
      <c r="RHM37" s="3"/>
      <c r="RHN37" s="3"/>
      <c r="RHO37" s="3"/>
      <c r="RHP37" s="3"/>
      <c r="RHQ37" s="3"/>
      <c r="RHR37" s="3"/>
      <c r="RHS37" s="3"/>
      <c r="RHT37" s="3"/>
      <c r="RHU37" s="3"/>
      <c r="RHV37" s="3"/>
      <c r="RHW37" s="3"/>
      <c r="RHX37" s="3"/>
      <c r="RHY37" s="3"/>
      <c r="RHZ37" s="3"/>
      <c r="RIA37" s="3"/>
      <c r="RIB37" s="3"/>
      <c r="RIC37" s="3"/>
      <c r="RID37" s="3"/>
      <c r="RIE37" s="3"/>
      <c r="RIF37" s="3"/>
      <c r="RIG37" s="3"/>
      <c r="RIH37" s="3"/>
      <c r="RII37" s="3"/>
      <c r="RIJ37" s="3"/>
      <c r="RIK37" s="3"/>
      <c r="RIL37" s="3"/>
      <c r="RIM37" s="3"/>
      <c r="RIN37" s="3"/>
      <c r="RIO37" s="3"/>
      <c r="RIP37" s="3"/>
      <c r="RIQ37" s="3"/>
      <c r="RIR37" s="3"/>
      <c r="RIS37" s="3"/>
      <c r="RIT37" s="3"/>
      <c r="RIU37" s="3"/>
      <c r="RIV37" s="3"/>
      <c r="RIW37" s="3"/>
      <c r="RIX37" s="3"/>
      <c r="RIY37" s="3"/>
      <c r="RIZ37" s="3"/>
      <c r="RJA37" s="3"/>
      <c r="RJB37" s="3"/>
      <c r="RJC37" s="3"/>
      <c r="RJD37" s="3"/>
      <c r="RJE37" s="3"/>
      <c r="RJF37" s="3"/>
      <c r="RJG37" s="3"/>
      <c r="RJH37" s="3"/>
      <c r="RJI37" s="3"/>
      <c r="RJJ37" s="3"/>
      <c r="RJK37" s="3"/>
      <c r="RJL37" s="3"/>
      <c r="RJM37" s="3"/>
      <c r="RJN37" s="3"/>
      <c r="RJO37" s="3"/>
      <c r="RJP37" s="3"/>
      <c r="RJQ37" s="3"/>
      <c r="RJR37" s="3"/>
      <c r="RJS37" s="3"/>
      <c r="RJT37" s="3"/>
      <c r="RJU37" s="3"/>
      <c r="RJV37" s="3"/>
      <c r="RJW37" s="3"/>
      <c r="RJX37" s="3"/>
      <c r="RJY37" s="3"/>
      <c r="RJZ37" s="3"/>
      <c r="RKA37" s="3"/>
      <c r="RKB37" s="3"/>
      <c r="RKC37" s="3"/>
      <c r="RKD37" s="3"/>
      <c r="RKE37" s="3"/>
      <c r="RKF37" s="3"/>
      <c r="RKG37" s="3"/>
      <c r="RKH37" s="3"/>
      <c r="RKI37" s="3"/>
      <c r="RKJ37" s="3"/>
      <c r="RKK37" s="3"/>
      <c r="RKL37" s="3"/>
      <c r="RKM37" s="3"/>
      <c r="RKN37" s="3"/>
      <c r="RKO37" s="3"/>
      <c r="RKP37" s="3"/>
      <c r="RKQ37" s="3"/>
      <c r="RKR37" s="3"/>
      <c r="RKS37" s="3"/>
      <c r="RKT37" s="3"/>
      <c r="RKU37" s="3"/>
      <c r="RKV37" s="3"/>
      <c r="RKW37" s="3"/>
      <c r="RKX37" s="3"/>
      <c r="RKY37" s="3"/>
      <c r="RKZ37" s="3"/>
      <c r="RLA37" s="3"/>
      <c r="RLB37" s="3"/>
      <c r="RLC37" s="3"/>
      <c r="RLD37" s="3"/>
      <c r="RLE37" s="3"/>
      <c r="RLF37" s="3"/>
      <c r="RLG37" s="3"/>
      <c r="RLH37" s="3"/>
      <c r="RLI37" s="3"/>
      <c r="RLJ37" s="3"/>
      <c r="RLK37" s="3"/>
      <c r="RLL37" s="3"/>
      <c r="RLM37" s="3"/>
      <c r="RLN37" s="3"/>
      <c r="RLO37" s="3"/>
      <c r="RLP37" s="3"/>
      <c r="RLQ37" s="3"/>
      <c r="RLR37" s="3"/>
      <c r="RLS37" s="3"/>
      <c r="RLT37" s="3"/>
      <c r="RLU37" s="3"/>
      <c r="RLV37" s="3"/>
      <c r="RLW37" s="3"/>
      <c r="RLX37" s="3"/>
      <c r="RLY37" s="3"/>
      <c r="RLZ37" s="3"/>
      <c r="RMA37" s="3"/>
      <c r="RMB37" s="3"/>
      <c r="RMC37" s="3"/>
      <c r="RMD37" s="3"/>
      <c r="RME37" s="3"/>
      <c r="RMF37" s="3"/>
      <c r="RMG37" s="3"/>
      <c r="RMH37" s="3"/>
      <c r="RMI37" s="3"/>
      <c r="RMJ37" s="3"/>
      <c r="RMK37" s="3"/>
      <c r="RML37" s="3"/>
      <c r="RMM37" s="3"/>
      <c r="RMN37" s="3"/>
      <c r="RMO37" s="3"/>
      <c r="RMP37" s="3"/>
      <c r="RMQ37" s="3"/>
      <c r="RMR37" s="3"/>
      <c r="RMS37" s="3"/>
      <c r="RMT37" s="3"/>
      <c r="RMU37" s="3"/>
      <c r="RMV37" s="3"/>
      <c r="RMW37" s="3"/>
      <c r="RMX37" s="3"/>
      <c r="RMY37" s="3"/>
      <c r="RMZ37" s="3"/>
      <c r="RNA37" s="3"/>
      <c r="RNB37" s="3"/>
      <c r="RNC37" s="3"/>
      <c r="RND37" s="3"/>
      <c r="RNE37" s="3"/>
      <c r="RNF37" s="3"/>
      <c r="RNG37" s="3"/>
      <c r="RNH37" s="3"/>
      <c r="RNI37" s="3"/>
      <c r="RNJ37" s="3"/>
      <c r="RNK37" s="3"/>
      <c r="RNL37" s="3"/>
      <c r="RNM37" s="3"/>
      <c r="RNN37" s="3"/>
      <c r="RNO37" s="3"/>
      <c r="RNP37" s="3"/>
      <c r="RNQ37" s="3"/>
      <c r="RNR37" s="3"/>
      <c r="RNS37" s="3"/>
      <c r="RNT37" s="3"/>
      <c r="RNU37" s="3"/>
      <c r="RNV37" s="3"/>
      <c r="RNW37" s="3"/>
      <c r="RNX37" s="3"/>
      <c r="RNY37" s="3"/>
      <c r="RNZ37" s="3"/>
      <c r="ROA37" s="3"/>
      <c r="ROB37" s="3"/>
      <c r="ROC37" s="3"/>
      <c r="ROD37" s="3"/>
      <c r="ROE37" s="3"/>
      <c r="ROF37" s="3"/>
      <c r="ROG37" s="3"/>
      <c r="ROH37" s="3"/>
      <c r="ROI37" s="3"/>
      <c r="ROJ37" s="3"/>
      <c r="ROK37" s="3"/>
      <c r="ROL37" s="3"/>
      <c r="ROM37" s="3"/>
      <c r="RON37" s="3"/>
      <c r="ROO37" s="3"/>
      <c r="ROP37" s="3"/>
      <c r="ROQ37" s="3"/>
      <c r="ROR37" s="3"/>
      <c r="ROS37" s="3"/>
      <c r="ROT37" s="3"/>
      <c r="ROU37" s="3"/>
      <c r="ROV37" s="3"/>
      <c r="ROW37" s="3"/>
      <c r="ROX37" s="3"/>
      <c r="ROY37" s="3"/>
      <c r="ROZ37" s="3"/>
      <c r="RPA37" s="3"/>
      <c r="RPB37" s="3"/>
      <c r="RPC37" s="3"/>
      <c r="RPD37" s="3"/>
      <c r="RPE37" s="3"/>
      <c r="RPF37" s="3"/>
      <c r="RPG37" s="3"/>
      <c r="RPH37" s="3"/>
      <c r="RPI37" s="3"/>
      <c r="RPJ37" s="3"/>
      <c r="RPK37" s="3"/>
      <c r="RPL37" s="3"/>
      <c r="RPM37" s="3"/>
      <c r="RPN37" s="3"/>
      <c r="RPO37" s="3"/>
      <c r="RPP37" s="3"/>
      <c r="RPQ37" s="3"/>
      <c r="RPR37" s="3"/>
      <c r="RPS37" s="3"/>
      <c r="RPT37" s="3"/>
      <c r="RPU37" s="3"/>
      <c r="RPV37" s="3"/>
      <c r="RPW37" s="3"/>
      <c r="RPX37" s="3"/>
      <c r="RPY37" s="3"/>
      <c r="RPZ37" s="3"/>
      <c r="RQA37" s="3"/>
      <c r="RQB37" s="3"/>
      <c r="RQC37" s="3"/>
      <c r="RQD37" s="3"/>
      <c r="RQE37" s="3"/>
      <c r="RQF37" s="3"/>
      <c r="RQG37" s="3"/>
      <c r="RQH37" s="3"/>
      <c r="RQI37" s="3"/>
      <c r="RQJ37" s="3"/>
      <c r="RQK37" s="3"/>
      <c r="RQL37" s="3"/>
      <c r="RQM37" s="3"/>
      <c r="RQN37" s="3"/>
      <c r="RQO37" s="3"/>
      <c r="RQP37" s="3"/>
      <c r="RQQ37" s="3"/>
      <c r="RQR37" s="3"/>
      <c r="RQS37" s="3"/>
      <c r="RQT37" s="3"/>
      <c r="RQU37" s="3"/>
      <c r="RQV37" s="3"/>
      <c r="RQW37" s="3"/>
      <c r="RQX37" s="3"/>
      <c r="RQY37" s="3"/>
      <c r="RQZ37" s="3"/>
      <c r="RRA37" s="3"/>
      <c r="RRB37" s="3"/>
      <c r="RRC37" s="3"/>
      <c r="RRD37" s="3"/>
      <c r="RRE37" s="3"/>
      <c r="RRF37" s="3"/>
      <c r="RRG37" s="3"/>
      <c r="RRH37" s="3"/>
      <c r="RRI37" s="3"/>
      <c r="RRJ37" s="3"/>
      <c r="RRK37" s="3"/>
      <c r="RRL37" s="3"/>
      <c r="RRM37" s="3"/>
      <c r="RRN37" s="3"/>
      <c r="RRO37" s="3"/>
      <c r="RRP37" s="3"/>
      <c r="RRQ37" s="3"/>
      <c r="RRR37" s="3"/>
      <c r="RRS37" s="3"/>
      <c r="RRT37" s="3"/>
      <c r="RRU37" s="3"/>
      <c r="RRV37" s="3"/>
      <c r="RRW37" s="3"/>
      <c r="RRX37" s="3"/>
      <c r="RRY37" s="3"/>
      <c r="RRZ37" s="3"/>
      <c r="RSA37" s="3"/>
      <c r="RSB37" s="3"/>
      <c r="RSC37" s="3"/>
      <c r="RSD37" s="3"/>
      <c r="RSE37" s="3"/>
      <c r="RSF37" s="3"/>
      <c r="RSG37" s="3"/>
      <c r="RSH37" s="3"/>
      <c r="RSI37" s="3"/>
      <c r="RSJ37" s="3"/>
      <c r="RSK37" s="3"/>
      <c r="RSL37" s="3"/>
      <c r="RSM37" s="3"/>
      <c r="RSN37" s="3"/>
      <c r="RSO37" s="3"/>
      <c r="RSP37" s="3"/>
      <c r="RSQ37" s="3"/>
      <c r="RSR37" s="3"/>
      <c r="RSS37" s="3"/>
      <c r="RST37" s="3"/>
      <c r="RSU37" s="3"/>
      <c r="RSV37" s="3"/>
      <c r="RSW37" s="3"/>
      <c r="RSX37" s="3"/>
      <c r="RSY37" s="3"/>
      <c r="RSZ37" s="3"/>
      <c r="RTA37" s="3"/>
      <c r="RTB37" s="3"/>
      <c r="RTC37" s="3"/>
      <c r="RTD37" s="3"/>
      <c r="RTE37" s="3"/>
      <c r="RTF37" s="3"/>
      <c r="RTG37" s="3"/>
      <c r="RTH37" s="3"/>
      <c r="RTI37" s="3"/>
      <c r="RTJ37" s="3"/>
      <c r="RTK37" s="3"/>
      <c r="RTL37" s="3"/>
      <c r="RTM37" s="3"/>
      <c r="RTN37" s="3"/>
      <c r="RTO37" s="3"/>
      <c r="RTP37" s="3"/>
      <c r="RTQ37" s="3"/>
      <c r="RTR37" s="3"/>
      <c r="RTS37" s="3"/>
      <c r="RTT37" s="3"/>
      <c r="RTU37" s="3"/>
      <c r="RTV37" s="3"/>
      <c r="RTW37" s="3"/>
      <c r="RTX37" s="3"/>
      <c r="RTY37" s="3"/>
      <c r="RTZ37" s="3"/>
      <c r="RUA37" s="3"/>
      <c r="RUB37" s="3"/>
      <c r="RUC37" s="3"/>
      <c r="RUD37" s="3"/>
      <c r="RUE37" s="3"/>
      <c r="RUF37" s="3"/>
      <c r="RUG37" s="3"/>
      <c r="RUH37" s="3"/>
      <c r="RUI37" s="3"/>
      <c r="RUJ37" s="3"/>
      <c r="RUK37" s="3"/>
      <c r="RUL37" s="3"/>
      <c r="RUM37" s="3"/>
      <c r="RUN37" s="3"/>
      <c r="RUO37" s="3"/>
      <c r="RUP37" s="3"/>
      <c r="RUQ37" s="3"/>
      <c r="RUR37" s="3"/>
      <c r="RUS37" s="3"/>
      <c r="RUT37" s="3"/>
      <c r="RUU37" s="3"/>
      <c r="RUV37" s="3"/>
      <c r="RUW37" s="3"/>
      <c r="RUX37" s="3"/>
      <c r="RUY37" s="3"/>
      <c r="RUZ37" s="3"/>
      <c r="RVA37" s="3"/>
      <c r="RVB37" s="3"/>
      <c r="RVC37" s="3"/>
      <c r="RVD37" s="3"/>
      <c r="RVE37" s="3"/>
      <c r="RVF37" s="3"/>
      <c r="RVG37" s="3"/>
      <c r="RVH37" s="3"/>
      <c r="RVI37" s="3"/>
      <c r="RVJ37" s="3"/>
      <c r="RVK37" s="3"/>
      <c r="RVL37" s="3"/>
      <c r="RVM37" s="3"/>
      <c r="RVN37" s="3"/>
      <c r="RVO37" s="3"/>
      <c r="RVP37" s="3"/>
      <c r="RVQ37" s="3"/>
      <c r="RVR37" s="3"/>
      <c r="RVS37" s="3"/>
      <c r="RVT37" s="3"/>
      <c r="RVU37" s="3"/>
      <c r="RVV37" s="3"/>
      <c r="RVW37" s="3"/>
      <c r="RVX37" s="3"/>
      <c r="RVY37" s="3"/>
      <c r="RVZ37" s="3"/>
      <c r="RWA37" s="3"/>
      <c r="RWB37" s="3"/>
      <c r="RWC37" s="3"/>
      <c r="RWD37" s="3"/>
      <c r="RWE37" s="3"/>
      <c r="RWF37" s="3"/>
      <c r="RWG37" s="3"/>
      <c r="RWH37" s="3"/>
      <c r="RWI37" s="3"/>
      <c r="RWJ37" s="3"/>
      <c r="RWK37" s="3"/>
      <c r="RWL37" s="3"/>
      <c r="RWM37" s="3"/>
      <c r="RWN37" s="3"/>
      <c r="RWO37" s="3"/>
      <c r="RWP37" s="3"/>
      <c r="RWQ37" s="3"/>
      <c r="RWR37" s="3"/>
      <c r="RWS37" s="3"/>
      <c r="RWT37" s="3"/>
      <c r="RWU37" s="3"/>
      <c r="RWV37" s="3"/>
      <c r="RWW37" s="3"/>
      <c r="RWX37" s="3"/>
      <c r="RWY37" s="3"/>
      <c r="RWZ37" s="3"/>
      <c r="RXA37" s="3"/>
      <c r="RXB37" s="3"/>
      <c r="RXC37" s="3"/>
      <c r="RXD37" s="3"/>
      <c r="RXE37" s="3"/>
      <c r="RXF37" s="3"/>
      <c r="RXG37" s="3"/>
      <c r="RXH37" s="3"/>
      <c r="RXI37" s="3"/>
      <c r="RXJ37" s="3"/>
      <c r="RXK37" s="3"/>
      <c r="RXL37" s="3"/>
      <c r="RXM37" s="3"/>
      <c r="RXN37" s="3"/>
      <c r="RXO37" s="3"/>
      <c r="RXP37" s="3"/>
      <c r="RXQ37" s="3"/>
      <c r="RXR37" s="3"/>
      <c r="RXS37" s="3"/>
      <c r="RXT37" s="3"/>
      <c r="RXU37" s="3"/>
      <c r="RXV37" s="3"/>
      <c r="RXW37" s="3"/>
      <c r="RXX37" s="3"/>
      <c r="RXY37" s="3"/>
      <c r="RXZ37" s="3"/>
      <c r="RYA37" s="3"/>
      <c r="RYB37" s="3"/>
      <c r="RYC37" s="3"/>
      <c r="RYD37" s="3"/>
      <c r="RYE37" s="3"/>
      <c r="RYF37" s="3"/>
      <c r="RYG37" s="3"/>
      <c r="RYH37" s="3"/>
      <c r="RYI37" s="3"/>
      <c r="RYJ37" s="3"/>
      <c r="RYK37" s="3"/>
      <c r="RYL37" s="3"/>
      <c r="RYM37" s="3"/>
      <c r="RYN37" s="3"/>
      <c r="RYO37" s="3"/>
      <c r="RYP37" s="3"/>
      <c r="RYQ37" s="3"/>
      <c r="RYR37" s="3"/>
      <c r="RYS37" s="3"/>
      <c r="RYT37" s="3"/>
      <c r="RYU37" s="3"/>
      <c r="RYV37" s="3"/>
      <c r="RYW37" s="3"/>
      <c r="RYX37" s="3"/>
      <c r="RYY37" s="3"/>
      <c r="RYZ37" s="3"/>
      <c r="RZA37" s="3"/>
      <c r="RZB37" s="3"/>
      <c r="RZC37" s="3"/>
      <c r="RZD37" s="3"/>
      <c r="RZE37" s="3"/>
      <c r="RZF37" s="3"/>
      <c r="RZG37" s="3"/>
      <c r="RZH37" s="3"/>
      <c r="RZI37" s="3"/>
      <c r="RZJ37" s="3"/>
      <c r="RZK37" s="3"/>
      <c r="RZL37" s="3"/>
      <c r="RZM37" s="3"/>
      <c r="RZN37" s="3"/>
      <c r="RZO37" s="3"/>
      <c r="RZP37" s="3"/>
      <c r="RZQ37" s="3"/>
      <c r="RZR37" s="3"/>
      <c r="RZS37" s="3"/>
      <c r="RZT37" s="3"/>
      <c r="RZU37" s="3"/>
      <c r="RZV37" s="3"/>
      <c r="RZW37" s="3"/>
      <c r="RZX37" s="3"/>
      <c r="RZY37" s="3"/>
      <c r="RZZ37" s="3"/>
      <c r="SAA37" s="3"/>
      <c r="SAB37" s="3"/>
      <c r="SAC37" s="3"/>
      <c r="SAD37" s="3"/>
      <c r="SAE37" s="3"/>
      <c r="SAF37" s="3"/>
      <c r="SAG37" s="3"/>
      <c r="SAH37" s="3"/>
      <c r="SAI37" s="3"/>
      <c r="SAJ37" s="3"/>
      <c r="SAK37" s="3"/>
      <c r="SAL37" s="3"/>
      <c r="SAM37" s="3"/>
      <c r="SAN37" s="3"/>
      <c r="SAO37" s="3"/>
      <c r="SAP37" s="3"/>
      <c r="SAQ37" s="3"/>
      <c r="SAR37" s="3"/>
      <c r="SAS37" s="3"/>
      <c r="SAT37" s="3"/>
      <c r="SAU37" s="3"/>
      <c r="SAV37" s="3"/>
      <c r="SAW37" s="3"/>
      <c r="SAX37" s="3"/>
      <c r="SAY37" s="3"/>
      <c r="SAZ37" s="3"/>
      <c r="SBA37" s="3"/>
      <c r="SBB37" s="3"/>
      <c r="SBC37" s="3"/>
      <c r="SBD37" s="3"/>
      <c r="SBE37" s="3"/>
      <c r="SBF37" s="3"/>
      <c r="SBG37" s="3"/>
      <c r="SBH37" s="3"/>
      <c r="SBI37" s="3"/>
      <c r="SBJ37" s="3"/>
      <c r="SBK37" s="3"/>
      <c r="SBL37" s="3"/>
      <c r="SBM37" s="3"/>
      <c r="SBN37" s="3"/>
      <c r="SBO37" s="3"/>
      <c r="SBP37" s="3"/>
      <c r="SBQ37" s="3"/>
      <c r="SBR37" s="3"/>
      <c r="SBS37" s="3"/>
      <c r="SBT37" s="3"/>
      <c r="SBU37" s="3"/>
      <c r="SBV37" s="3"/>
      <c r="SBW37" s="3"/>
      <c r="SBX37" s="3"/>
      <c r="SBY37" s="3"/>
      <c r="SBZ37" s="3"/>
      <c r="SCA37" s="3"/>
      <c r="SCB37" s="3"/>
      <c r="SCC37" s="3"/>
      <c r="SCD37" s="3"/>
      <c r="SCE37" s="3"/>
      <c r="SCF37" s="3"/>
      <c r="SCG37" s="3"/>
      <c r="SCH37" s="3"/>
      <c r="SCI37" s="3"/>
      <c r="SCJ37" s="3"/>
      <c r="SCK37" s="3"/>
      <c r="SCL37" s="3"/>
      <c r="SCM37" s="3"/>
      <c r="SCN37" s="3"/>
      <c r="SCO37" s="3"/>
      <c r="SCP37" s="3"/>
      <c r="SCQ37" s="3"/>
      <c r="SCR37" s="3"/>
      <c r="SCS37" s="3"/>
      <c r="SCT37" s="3"/>
      <c r="SCU37" s="3"/>
      <c r="SCV37" s="3"/>
      <c r="SCW37" s="3"/>
      <c r="SCX37" s="3"/>
      <c r="SCY37" s="3"/>
      <c r="SCZ37" s="3"/>
      <c r="SDA37" s="3"/>
      <c r="SDB37" s="3"/>
      <c r="SDC37" s="3"/>
      <c r="SDD37" s="3"/>
      <c r="SDE37" s="3"/>
      <c r="SDF37" s="3"/>
      <c r="SDG37" s="3"/>
      <c r="SDH37" s="3"/>
      <c r="SDI37" s="3"/>
      <c r="SDJ37" s="3"/>
      <c r="SDK37" s="3"/>
      <c r="SDL37" s="3"/>
      <c r="SDM37" s="3"/>
      <c r="SDN37" s="3"/>
      <c r="SDO37" s="3"/>
      <c r="SDP37" s="3"/>
      <c r="SDQ37" s="3"/>
      <c r="SDR37" s="3"/>
      <c r="SDS37" s="3"/>
      <c r="SDT37" s="3"/>
      <c r="SDU37" s="3"/>
      <c r="SDV37" s="3"/>
      <c r="SDW37" s="3"/>
      <c r="SDX37" s="3"/>
      <c r="SDY37" s="3"/>
      <c r="SDZ37" s="3"/>
      <c r="SEA37" s="3"/>
      <c r="SEB37" s="3"/>
      <c r="SEC37" s="3"/>
      <c r="SED37" s="3"/>
      <c r="SEE37" s="3"/>
      <c r="SEF37" s="3"/>
      <c r="SEG37" s="3"/>
      <c r="SEH37" s="3"/>
      <c r="SEI37" s="3"/>
      <c r="SEJ37" s="3"/>
      <c r="SEK37" s="3"/>
      <c r="SEL37" s="3"/>
      <c r="SEM37" s="3"/>
      <c r="SEN37" s="3"/>
      <c r="SEO37" s="3"/>
      <c r="SEP37" s="3"/>
      <c r="SEQ37" s="3"/>
      <c r="SER37" s="3"/>
      <c r="SES37" s="3"/>
      <c r="SET37" s="3"/>
      <c r="SEU37" s="3"/>
      <c r="SEV37" s="3"/>
      <c r="SEW37" s="3"/>
      <c r="SEX37" s="3"/>
      <c r="SEY37" s="3"/>
      <c r="SEZ37" s="3"/>
      <c r="SFA37" s="3"/>
      <c r="SFB37" s="3"/>
      <c r="SFC37" s="3"/>
      <c r="SFD37" s="3"/>
      <c r="SFE37" s="3"/>
      <c r="SFF37" s="3"/>
      <c r="SFG37" s="3"/>
      <c r="SFH37" s="3"/>
      <c r="SFI37" s="3"/>
      <c r="SFJ37" s="3"/>
      <c r="SFK37" s="3"/>
      <c r="SFL37" s="3"/>
      <c r="SFM37" s="3"/>
      <c r="SFN37" s="3"/>
      <c r="SFO37" s="3"/>
      <c r="SFP37" s="3"/>
      <c r="SFQ37" s="3"/>
      <c r="SFR37" s="3"/>
      <c r="SFS37" s="3"/>
      <c r="SFT37" s="3"/>
      <c r="SFU37" s="3"/>
      <c r="SFV37" s="3"/>
      <c r="SFW37" s="3"/>
      <c r="SFX37" s="3"/>
      <c r="SFY37" s="3"/>
      <c r="SFZ37" s="3"/>
      <c r="SGA37" s="3"/>
      <c r="SGB37" s="3"/>
      <c r="SGC37" s="3"/>
      <c r="SGD37" s="3"/>
      <c r="SGE37" s="3"/>
      <c r="SGF37" s="3"/>
      <c r="SGG37" s="3"/>
      <c r="SGH37" s="3"/>
      <c r="SGI37" s="3"/>
      <c r="SGJ37" s="3"/>
      <c r="SGK37" s="3"/>
      <c r="SGL37" s="3"/>
      <c r="SGM37" s="3"/>
      <c r="SGN37" s="3"/>
      <c r="SGO37" s="3"/>
      <c r="SGP37" s="3"/>
      <c r="SGQ37" s="3"/>
      <c r="SGR37" s="3"/>
      <c r="SGS37" s="3"/>
      <c r="SGT37" s="3"/>
      <c r="SGU37" s="3"/>
      <c r="SGV37" s="3"/>
      <c r="SGW37" s="3"/>
      <c r="SGX37" s="3"/>
      <c r="SGY37" s="3"/>
      <c r="SGZ37" s="3"/>
      <c r="SHA37" s="3"/>
      <c r="SHB37" s="3"/>
      <c r="SHC37" s="3"/>
      <c r="SHD37" s="3"/>
      <c r="SHE37" s="3"/>
      <c r="SHF37" s="3"/>
      <c r="SHG37" s="3"/>
      <c r="SHH37" s="3"/>
      <c r="SHI37" s="3"/>
      <c r="SHJ37" s="3"/>
      <c r="SHK37" s="3"/>
      <c r="SHL37" s="3"/>
      <c r="SHM37" s="3"/>
      <c r="SHN37" s="3"/>
      <c r="SHO37" s="3"/>
      <c r="SHP37" s="3"/>
      <c r="SHQ37" s="3"/>
      <c r="SHR37" s="3"/>
      <c r="SHS37" s="3"/>
      <c r="SHT37" s="3"/>
      <c r="SHU37" s="3"/>
      <c r="SHV37" s="3"/>
      <c r="SHW37" s="3"/>
      <c r="SHX37" s="3"/>
      <c r="SHY37" s="3"/>
      <c r="SHZ37" s="3"/>
      <c r="SIA37" s="3"/>
      <c r="SIB37" s="3"/>
      <c r="SIC37" s="3"/>
      <c r="SID37" s="3"/>
      <c r="SIE37" s="3"/>
      <c r="SIF37" s="3"/>
      <c r="SIG37" s="3"/>
      <c r="SIH37" s="3"/>
      <c r="SII37" s="3"/>
      <c r="SIJ37" s="3"/>
      <c r="SIK37" s="3"/>
      <c r="SIL37" s="3"/>
      <c r="SIM37" s="3"/>
      <c r="SIN37" s="3"/>
      <c r="SIO37" s="3"/>
      <c r="SIP37" s="3"/>
      <c r="SIQ37" s="3"/>
      <c r="SIR37" s="3"/>
      <c r="SIS37" s="3"/>
      <c r="SIT37" s="3"/>
      <c r="SIU37" s="3"/>
      <c r="SIV37" s="3"/>
      <c r="SIW37" s="3"/>
      <c r="SIX37" s="3"/>
      <c r="SIY37" s="3"/>
      <c r="SIZ37" s="3"/>
      <c r="SJA37" s="3"/>
      <c r="SJB37" s="3"/>
      <c r="SJC37" s="3"/>
      <c r="SJD37" s="3"/>
      <c r="SJE37" s="3"/>
      <c r="SJF37" s="3"/>
      <c r="SJG37" s="3"/>
      <c r="SJH37" s="3"/>
      <c r="SJI37" s="3"/>
      <c r="SJJ37" s="3"/>
      <c r="SJK37" s="3"/>
      <c r="SJL37" s="3"/>
      <c r="SJM37" s="3"/>
      <c r="SJN37" s="3"/>
      <c r="SJO37" s="3"/>
      <c r="SJP37" s="3"/>
      <c r="SJQ37" s="3"/>
      <c r="SJR37" s="3"/>
      <c r="SJS37" s="3"/>
      <c r="SJT37" s="3"/>
      <c r="SJU37" s="3"/>
      <c r="SJV37" s="3"/>
      <c r="SJW37" s="3"/>
      <c r="SJX37" s="3"/>
      <c r="SJY37" s="3"/>
      <c r="SJZ37" s="3"/>
      <c r="SKA37" s="3"/>
      <c r="SKB37" s="3"/>
      <c r="SKC37" s="3"/>
      <c r="SKD37" s="3"/>
      <c r="SKE37" s="3"/>
      <c r="SKF37" s="3"/>
      <c r="SKG37" s="3"/>
      <c r="SKH37" s="3"/>
      <c r="SKI37" s="3"/>
      <c r="SKJ37" s="3"/>
      <c r="SKK37" s="3"/>
      <c r="SKL37" s="3"/>
      <c r="SKM37" s="3"/>
      <c r="SKN37" s="3"/>
      <c r="SKO37" s="3"/>
      <c r="SKP37" s="3"/>
      <c r="SKQ37" s="3"/>
      <c r="SKR37" s="3"/>
      <c r="SKS37" s="3"/>
      <c r="SKT37" s="3"/>
      <c r="SKU37" s="3"/>
      <c r="SKV37" s="3"/>
      <c r="SKW37" s="3"/>
      <c r="SKX37" s="3"/>
      <c r="SKY37" s="3"/>
      <c r="SKZ37" s="3"/>
      <c r="SLA37" s="3"/>
      <c r="SLB37" s="3"/>
      <c r="SLC37" s="3"/>
      <c r="SLD37" s="3"/>
      <c r="SLE37" s="3"/>
      <c r="SLF37" s="3"/>
      <c r="SLG37" s="3"/>
      <c r="SLH37" s="3"/>
      <c r="SLI37" s="3"/>
      <c r="SLJ37" s="3"/>
      <c r="SLK37" s="3"/>
      <c r="SLL37" s="3"/>
      <c r="SLM37" s="3"/>
      <c r="SLN37" s="3"/>
      <c r="SLO37" s="3"/>
      <c r="SLP37" s="3"/>
      <c r="SLQ37" s="3"/>
      <c r="SLR37" s="3"/>
      <c r="SLS37" s="3"/>
      <c r="SLT37" s="3"/>
      <c r="SLU37" s="3"/>
      <c r="SLV37" s="3"/>
      <c r="SLW37" s="3"/>
      <c r="SLX37" s="3"/>
      <c r="SLY37" s="3"/>
      <c r="SLZ37" s="3"/>
      <c r="SMA37" s="3"/>
      <c r="SMB37" s="3"/>
      <c r="SMC37" s="3"/>
      <c r="SMD37" s="3"/>
      <c r="SME37" s="3"/>
      <c r="SMF37" s="3"/>
      <c r="SMG37" s="3"/>
      <c r="SMH37" s="3"/>
      <c r="SMI37" s="3"/>
      <c r="SMJ37" s="3"/>
      <c r="SMK37" s="3"/>
      <c r="SML37" s="3"/>
      <c r="SMM37" s="3"/>
      <c r="SMN37" s="3"/>
      <c r="SMO37" s="3"/>
      <c r="SMP37" s="3"/>
      <c r="SMQ37" s="3"/>
      <c r="SMR37" s="3"/>
      <c r="SMS37" s="3"/>
      <c r="SMT37" s="3"/>
      <c r="SMU37" s="3"/>
      <c r="SMV37" s="3"/>
      <c r="SMW37" s="3"/>
      <c r="SMX37" s="3"/>
      <c r="SMY37" s="3"/>
      <c r="SMZ37" s="3"/>
      <c r="SNA37" s="3"/>
      <c r="SNB37" s="3"/>
      <c r="SNC37" s="3"/>
      <c r="SND37" s="3"/>
      <c r="SNE37" s="3"/>
      <c r="SNF37" s="3"/>
      <c r="SNG37" s="3"/>
      <c r="SNH37" s="3"/>
      <c r="SNI37" s="3"/>
      <c r="SNJ37" s="3"/>
      <c r="SNK37" s="3"/>
      <c r="SNL37" s="3"/>
      <c r="SNM37" s="3"/>
      <c r="SNN37" s="3"/>
      <c r="SNO37" s="3"/>
      <c r="SNP37" s="3"/>
      <c r="SNQ37" s="3"/>
      <c r="SNR37" s="3"/>
      <c r="SNS37" s="3"/>
      <c r="SNT37" s="3"/>
      <c r="SNU37" s="3"/>
      <c r="SNV37" s="3"/>
      <c r="SNW37" s="3"/>
      <c r="SNX37" s="3"/>
      <c r="SNY37" s="3"/>
      <c r="SNZ37" s="3"/>
      <c r="SOA37" s="3"/>
      <c r="SOB37" s="3"/>
      <c r="SOC37" s="3"/>
      <c r="SOD37" s="3"/>
      <c r="SOE37" s="3"/>
      <c r="SOF37" s="3"/>
      <c r="SOG37" s="3"/>
      <c r="SOH37" s="3"/>
      <c r="SOI37" s="3"/>
      <c r="SOJ37" s="3"/>
      <c r="SOK37" s="3"/>
      <c r="SOL37" s="3"/>
      <c r="SOM37" s="3"/>
      <c r="SON37" s="3"/>
      <c r="SOO37" s="3"/>
      <c r="SOP37" s="3"/>
      <c r="SOQ37" s="3"/>
      <c r="SOR37" s="3"/>
      <c r="SOS37" s="3"/>
      <c r="SOT37" s="3"/>
      <c r="SOU37" s="3"/>
      <c r="SOV37" s="3"/>
      <c r="SOW37" s="3"/>
      <c r="SOX37" s="3"/>
      <c r="SOY37" s="3"/>
      <c r="SOZ37" s="3"/>
      <c r="SPA37" s="3"/>
      <c r="SPB37" s="3"/>
      <c r="SPC37" s="3"/>
      <c r="SPD37" s="3"/>
      <c r="SPE37" s="3"/>
      <c r="SPF37" s="3"/>
      <c r="SPG37" s="3"/>
      <c r="SPH37" s="3"/>
      <c r="SPI37" s="3"/>
      <c r="SPJ37" s="3"/>
      <c r="SPK37" s="3"/>
      <c r="SPL37" s="3"/>
      <c r="SPM37" s="3"/>
      <c r="SPN37" s="3"/>
      <c r="SPO37" s="3"/>
      <c r="SPP37" s="3"/>
      <c r="SPQ37" s="3"/>
      <c r="SPR37" s="3"/>
      <c r="SPS37" s="3"/>
      <c r="SPT37" s="3"/>
      <c r="SPU37" s="3"/>
      <c r="SPV37" s="3"/>
      <c r="SPW37" s="3"/>
      <c r="SPX37" s="3"/>
      <c r="SPY37" s="3"/>
      <c r="SPZ37" s="3"/>
      <c r="SQA37" s="3"/>
      <c r="SQB37" s="3"/>
      <c r="SQC37" s="3"/>
      <c r="SQD37" s="3"/>
      <c r="SQE37" s="3"/>
      <c r="SQF37" s="3"/>
      <c r="SQG37" s="3"/>
      <c r="SQH37" s="3"/>
      <c r="SQI37" s="3"/>
      <c r="SQJ37" s="3"/>
      <c r="SQK37" s="3"/>
      <c r="SQL37" s="3"/>
      <c r="SQM37" s="3"/>
      <c r="SQN37" s="3"/>
      <c r="SQO37" s="3"/>
      <c r="SQP37" s="3"/>
      <c r="SQQ37" s="3"/>
      <c r="SQR37" s="3"/>
      <c r="SQS37" s="3"/>
      <c r="SQT37" s="3"/>
      <c r="SQU37" s="3"/>
      <c r="SQV37" s="3"/>
      <c r="SQW37" s="3"/>
      <c r="SQX37" s="3"/>
      <c r="SQY37" s="3"/>
      <c r="SQZ37" s="3"/>
      <c r="SRA37" s="3"/>
      <c r="SRB37" s="3"/>
      <c r="SRC37" s="3"/>
      <c r="SRD37" s="3"/>
      <c r="SRE37" s="3"/>
      <c r="SRF37" s="3"/>
      <c r="SRG37" s="3"/>
      <c r="SRH37" s="3"/>
      <c r="SRI37" s="3"/>
      <c r="SRJ37" s="3"/>
      <c r="SRK37" s="3"/>
      <c r="SRL37" s="3"/>
      <c r="SRM37" s="3"/>
      <c r="SRN37" s="3"/>
      <c r="SRO37" s="3"/>
      <c r="SRP37" s="3"/>
      <c r="SRQ37" s="3"/>
      <c r="SRR37" s="3"/>
      <c r="SRS37" s="3"/>
      <c r="SRT37" s="3"/>
      <c r="SRU37" s="3"/>
      <c r="SRV37" s="3"/>
      <c r="SRW37" s="3"/>
      <c r="SRX37" s="3"/>
      <c r="SRY37" s="3"/>
      <c r="SRZ37" s="3"/>
      <c r="SSA37" s="3"/>
      <c r="SSB37" s="3"/>
      <c r="SSC37" s="3"/>
      <c r="SSD37" s="3"/>
      <c r="SSE37" s="3"/>
      <c r="SSF37" s="3"/>
      <c r="SSG37" s="3"/>
      <c r="SSH37" s="3"/>
      <c r="SSI37" s="3"/>
      <c r="SSJ37" s="3"/>
      <c r="SSK37" s="3"/>
      <c r="SSL37" s="3"/>
      <c r="SSM37" s="3"/>
      <c r="SSN37" s="3"/>
      <c r="SSO37" s="3"/>
      <c r="SSP37" s="3"/>
      <c r="SSQ37" s="3"/>
      <c r="SSR37" s="3"/>
      <c r="SSS37" s="3"/>
      <c r="SST37" s="3"/>
      <c r="SSU37" s="3"/>
      <c r="SSV37" s="3"/>
      <c r="SSW37" s="3"/>
      <c r="SSX37" s="3"/>
      <c r="SSY37" s="3"/>
      <c r="SSZ37" s="3"/>
      <c r="STA37" s="3"/>
      <c r="STB37" s="3"/>
      <c r="STC37" s="3"/>
      <c r="STD37" s="3"/>
      <c r="STE37" s="3"/>
      <c r="STF37" s="3"/>
      <c r="STG37" s="3"/>
      <c r="STH37" s="3"/>
      <c r="STI37" s="3"/>
      <c r="STJ37" s="3"/>
      <c r="STK37" s="3"/>
      <c r="STL37" s="3"/>
      <c r="STM37" s="3"/>
      <c r="STN37" s="3"/>
      <c r="STO37" s="3"/>
      <c r="STP37" s="3"/>
      <c r="STQ37" s="3"/>
      <c r="STR37" s="3"/>
      <c r="STS37" s="3"/>
      <c r="STT37" s="3"/>
      <c r="STU37" s="3"/>
      <c r="STV37" s="3"/>
      <c r="STW37" s="3"/>
      <c r="STX37" s="3"/>
      <c r="STY37" s="3"/>
      <c r="STZ37" s="3"/>
      <c r="SUA37" s="3"/>
      <c r="SUB37" s="3"/>
      <c r="SUC37" s="3"/>
      <c r="SUD37" s="3"/>
      <c r="SUE37" s="3"/>
      <c r="SUF37" s="3"/>
      <c r="SUG37" s="3"/>
      <c r="SUH37" s="3"/>
      <c r="SUI37" s="3"/>
      <c r="SUJ37" s="3"/>
      <c r="SUK37" s="3"/>
      <c r="SUL37" s="3"/>
      <c r="SUM37" s="3"/>
      <c r="SUN37" s="3"/>
      <c r="SUO37" s="3"/>
      <c r="SUP37" s="3"/>
      <c r="SUQ37" s="3"/>
      <c r="SUR37" s="3"/>
      <c r="SUS37" s="3"/>
      <c r="SUT37" s="3"/>
      <c r="SUU37" s="3"/>
      <c r="SUV37" s="3"/>
      <c r="SUW37" s="3"/>
      <c r="SUX37" s="3"/>
      <c r="SUY37" s="3"/>
      <c r="SUZ37" s="3"/>
      <c r="SVA37" s="3"/>
      <c r="SVB37" s="3"/>
      <c r="SVC37" s="3"/>
      <c r="SVD37" s="3"/>
      <c r="SVE37" s="3"/>
      <c r="SVF37" s="3"/>
      <c r="SVG37" s="3"/>
      <c r="SVH37" s="3"/>
      <c r="SVI37" s="3"/>
      <c r="SVJ37" s="3"/>
      <c r="SVK37" s="3"/>
      <c r="SVL37" s="3"/>
      <c r="SVM37" s="3"/>
      <c r="SVN37" s="3"/>
      <c r="SVO37" s="3"/>
      <c r="SVP37" s="3"/>
      <c r="SVQ37" s="3"/>
      <c r="SVR37" s="3"/>
      <c r="SVS37" s="3"/>
      <c r="SVT37" s="3"/>
      <c r="SVU37" s="3"/>
      <c r="SVV37" s="3"/>
      <c r="SVW37" s="3"/>
      <c r="SVX37" s="3"/>
      <c r="SVY37" s="3"/>
      <c r="SVZ37" s="3"/>
      <c r="SWA37" s="3"/>
      <c r="SWB37" s="3"/>
      <c r="SWC37" s="3"/>
      <c r="SWD37" s="3"/>
      <c r="SWE37" s="3"/>
      <c r="SWF37" s="3"/>
      <c r="SWG37" s="3"/>
      <c r="SWH37" s="3"/>
      <c r="SWI37" s="3"/>
      <c r="SWJ37" s="3"/>
      <c r="SWK37" s="3"/>
      <c r="SWL37" s="3"/>
      <c r="SWM37" s="3"/>
      <c r="SWN37" s="3"/>
      <c r="SWO37" s="3"/>
      <c r="SWP37" s="3"/>
      <c r="SWQ37" s="3"/>
      <c r="SWR37" s="3"/>
      <c r="SWS37" s="3"/>
      <c r="SWT37" s="3"/>
      <c r="SWU37" s="3"/>
      <c r="SWV37" s="3"/>
      <c r="SWW37" s="3"/>
      <c r="SWX37" s="3"/>
      <c r="SWY37" s="3"/>
      <c r="SWZ37" s="3"/>
      <c r="SXA37" s="3"/>
      <c r="SXB37" s="3"/>
      <c r="SXC37" s="3"/>
      <c r="SXD37" s="3"/>
      <c r="SXE37" s="3"/>
      <c r="SXF37" s="3"/>
      <c r="SXG37" s="3"/>
      <c r="SXH37" s="3"/>
      <c r="SXI37" s="3"/>
      <c r="SXJ37" s="3"/>
      <c r="SXK37" s="3"/>
      <c r="SXL37" s="3"/>
      <c r="SXM37" s="3"/>
      <c r="SXN37" s="3"/>
      <c r="SXO37" s="3"/>
      <c r="SXP37" s="3"/>
      <c r="SXQ37" s="3"/>
      <c r="SXR37" s="3"/>
      <c r="SXS37" s="3"/>
      <c r="SXT37" s="3"/>
      <c r="SXU37" s="3"/>
      <c r="SXV37" s="3"/>
      <c r="SXW37" s="3"/>
      <c r="SXX37" s="3"/>
      <c r="SXY37" s="3"/>
      <c r="SXZ37" s="3"/>
      <c r="SYA37" s="3"/>
      <c r="SYB37" s="3"/>
      <c r="SYC37" s="3"/>
      <c r="SYD37" s="3"/>
      <c r="SYE37" s="3"/>
      <c r="SYF37" s="3"/>
      <c r="SYG37" s="3"/>
      <c r="SYH37" s="3"/>
      <c r="SYI37" s="3"/>
      <c r="SYJ37" s="3"/>
      <c r="SYK37" s="3"/>
      <c r="SYL37" s="3"/>
      <c r="SYM37" s="3"/>
      <c r="SYN37" s="3"/>
      <c r="SYO37" s="3"/>
      <c r="SYP37" s="3"/>
      <c r="SYQ37" s="3"/>
      <c r="SYR37" s="3"/>
      <c r="SYS37" s="3"/>
      <c r="SYT37" s="3"/>
      <c r="SYU37" s="3"/>
      <c r="SYV37" s="3"/>
      <c r="SYW37" s="3"/>
      <c r="SYX37" s="3"/>
      <c r="SYY37" s="3"/>
      <c r="SYZ37" s="3"/>
      <c r="SZA37" s="3"/>
      <c r="SZB37" s="3"/>
      <c r="SZC37" s="3"/>
      <c r="SZD37" s="3"/>
      <c r="SZE37" s="3"/>
      <c r="SZF37" s="3"/>
      <c r="SZG37" s="3"/>
      <c r="SZH37" s="3"/>
      <c r="SZI37" s="3"/>
      <c r="SZJ37" s="3"/>
      <c r="SZK37" s="3"/>
      <c r="SZL37" s="3"/>
      <c r="SZM37" s="3"/>
      <c r="SZN37" s="3"/>
      <c r="SZO37" s="3"/>
      <c r="SZP37" s="3"/>
      <c r="SZQ37" s="3"/>
      <c r="SZR37" s="3"/>
      <c r="SZS37" s="3"/>
      <c r="SZT37" s="3"/>
      <c r="SZU37" s="3"/>
      <c r="SZV37" s="3"/>
      <c r="SZW37" s="3"/>
      <c r="SZX37" s="3"/>
      <c r="SZY37" s="3"/>
      <c r="SZZ37" s="3"/>
      <c r="TAA37" s="3"/>
      <c r="TAB37" s="3"/>
      <c r="TAC37" s="3"/>
      <c r="TAD37" s="3"/>
      <c r="TAE37" s="3"/>
      <c r="TAF37" s="3"/>
      <c r="TAG37" s="3"/>
      <c r="TAH37" s="3"/>
      <c r="TAI37" s="3"/>
      <c r="TAJ37" s="3"/>
      <c r="TAK37" s="3"/>
      <c r="TAL37" s="3"/>
      <c r="TAM37" s="3"/>
      <c r="TAN37" s="3"/>
      <c r="TAO37" s="3"/>
      <c r="TAP37" s="3"/>
      <c r="TAQ37" s="3"/>
      <c r="TAR37" s="3"/>
      <c r="TAS37" s="3"/>
      <c r="TAT37" s="3"/>
      <c r="TAU37" s="3"/>
      <c r="TAV37" s="3"/>
      <c r="TAW37" s="3"/>
      <c r="TAX37" s="3"/>
      <c r="TAY37" s="3"/>
      <c r="TAZ37" s="3"/>
      <c r="TBA37" s="3"/>
      <c r="TBB37" s="3"/>
      <c r="TBC37" s="3"/>
      <c r="TBD37" s="3"/>
      <c r="TBE37" s="3"/>
      <c r="TBF37" s="3"/>
      <c r="TBG37" s="3"/>
      <c r="TBH37" s="3"/>
      <c r="TBI37" s="3"/>
      <c r="TBJ37" s="3"/>
      <c r="TBK37" s="3"/>
      <c r="TBL37" s="3"/>
      <c r="TBM37" s="3"/>
      <c r="TBN37" s="3"/>
      <c r="TBO37" s="3"/>
      <c r="TBP37" s="3"/>
      <c r="TBQ37" s="3"/>
      <c r="TBR37" s="3"/>
      <c r="TBS37" s="3"/>
      <c r="TBT37" s="3"/>
      <c r="TBU37" s="3"/>
      <c r="TBV37" s="3"/>
      <c r="TBW37" s="3"/>
      <c r="TBX37" s="3"/>
      <c r="TBY37" s="3"/>
      <c r="TBZ37" s="3"/>
      <c r="TCA37" s="3"/>
      <c r="TCB37" s="3"/>
      <c r="TCC37" s="3"/>
      <c r="TCD37" s="3"/>
      <c r="TCE37" s="3"/>
      <c r="TCF37" s="3"/>
      <c r="TCG37" s="3"/>
      <c r="TCH37" s="3"/>
      <c r="TCI37" s="3"/>
      <c r="TCJ37" s="3"/>
      <c r="TCK37" s="3"/>
      <c r="TCL37" s="3"/>
      <c r="TCM37" s="3"/>
      <c r="TCN37" s="3"/>
      <c r="TCO37" s="3"/>
      <c r="TCP37" s="3"/>
      <c r="TCQ37" s="3"/>
      <c r="TCR37" s="3"/>
      <c r="TCS37" s="3"/>
      <c r="TCT37" s="3"/>
      <c r="TCU37" s="3"/>
      <c r="TCV37" s="3"/>
      <c r="TCW37" s="3"/>
      <c r="TCX37" s="3"/>
      <c r="TCY37" s="3"/>
      <c r="TCZ37" s="3"/>
      <c r="TDA37" s="3"/>
      <c r="TDB37" s="3"/>
      <c r="TDC37" s="3"/>
      <c r="TDD37" s="3"/>
      <c r="TDE37" s="3"/>
      <c r="TDF37" s="3"/>
      <c r="TDG37" s="3"/>
      <c r="TDH37" s="3"/>
      <c r="TDI37" s="3"/>
      <c r="TDJ37" s="3"/>
      <c r="TDK37" s="3"/>
      <c r="TDL37" s="3"/>
      <c r="TDM37" s="3"/>
      <c r="TDN37" s="3"/>
      <c r="TDO37" s="3"/>
      <c r="TDP37" s="3"/>
      <c r="TDQ37" s="3"/>
      <c r="TDR37" s="3"/>
      <c r="TDS37" s="3"/>
      <c r="TDT37" s="3"/>
      <c r="TDU37" s="3"/>
      <c r="TDV37" s="3"/>
      <c r="TDW37" s="3"/>
      <c r="TDX37" s="3"/>
      <c r="TDY37" s="3"/>
      <c r="TDZ37" s="3"/>
      <c r="TEA37" s="3"/>
      <c r="TEB37" s="3"/>
      <c r="TEC37" s="3"/>
      <c r="TED37" s="3"/>
      <c r="TEE37" s="3"/>
      <c r="TEF37" s="3"/>
      <c r="TEG37" s="3"/>
      <c r="TEH37" s="3"/>
      <c r="TEI37" s="3"/>
      <c r="TEJ37" s="3"/>
      <c r="TEK37" s="3"/>
      <c r="TEL37" s="3"/>
      <c r="TEM37" s="3"/>
      <c r="TEN37" s="3"/>
      <c r="TEO37" s="3"/>
      <c r="TEP37" s="3"/>
      <c r="TEQ37" s="3"/>
      <c r="TER37" s="3"/>
      <c r="TES37" s="3"/>
      <c r="TET37" s="3"/>
      <c r="TEU37" s="3"/>
      <c r="TEV37" s="3"/>
      <c r="TEW37" s="3"/>
      <c r="TEX37" s="3"/>
      <c r="TEY37" s="3"/>
      <c r="TEZ37" s="3"/>
      <c r="TFA37" s="3"/>
      <c r="TFB37" s="3"/>
      <c r="TFC37" s="3"/>
      <c r="TFD37" s="3"/>
      <c r="TFE37" s="3"/>
      <c r="TFF37" s="3"/>
      <c r="TFG37" s="3"/>
      <c r="TFH37" s="3"/>
      <c r="TFI37" s="3"/>
      <c r="TFJ37" s="3"/>
      <c r="TFK37" s="3"/>
      <c r="TFL37" s="3"/>
      <c r="TFM37" s="3"/>
      <c r="TFN37" s="3"/>
      <c r="TFO37" s="3"/>
      <c r="TFP37" s="3"/>
      <c r="TFQ37" s="3"/>
      <c r="TFR37" s="3"/>
      <c r="TFS37" s="3"/>
      <c r="TFT37" s="3"/>
      <c r="TFU37" s="3"/>
      <c r="TFV37" s="3"/>
      <c r="TFW37" s="3"/>
      <c r="TFX37" s="3"/>
      <c r="TFY37" s="3"/>
      <c r="TFZ37" s="3"/>
      <c r="TGA37" s="3"/>
      <c r="TGB37" s="3"/>
      <c r="TGC37" s="3"/>
      <c r="TGD37" s="3"/>
      <c r="TGE37" s="3"/>
      <c r="TGF37" s="3"/>
      <c r="TGG37" s="3"/>
      <c r="TGH37" s="3"/>
      <c r="TGI37" s="3"/>
      <c r="TGJ37" s="3"/>
      <c r="TGK37" s="3"/>
      <c r="TGL37" s="3"/>
      <c r="TGM37" s="3"/>
      <c r="TGN37" s="3"/>
      <c r="TGO37" s="3"/>
      <c r="TGP37" s="3"/>
      <c r="TGQ37" s="3"/>
      <c r="TGR37" s="3"/>
      <c r="TGS37" s="3"/>
      <c r="TGT37" s="3"/>
      <c r="TGU37" s="3"/>
      <c r="TGV37" s="3"/>
      <c r="TGW37" s="3"/>
      <c r="TGX37" s="3"/>
      <c r="TGY37" s="3"/>
      <c r="TGZ37" s="3"/>
      <c r="THA37" s="3"/>
      <c r="THB37" s="3"/>
      <c r="THC37" s="3"/>
      <c r="THD37" s="3"/>
      <c r="THE37" s="3"/>
      <c r="THF37" s="3"/>
      <c r="THG37" s="3"/>
      <c r="THH37" s="3"/>
      <c r="THI37" s="3"/>
      <c r="THJ37" s="3"/>
      <c r="THK37" s="3"/>
      <c r="THL37" s="3"/>
      <c r="THM37" s="3"/>
      <c r="THN37" s="3"/>
      <c r="THO37" s="3"/>
      <c r="THP37" s="3"/>
      <c r="THQ37" s="3"/>
      <c r="THR37" s="3"/>
      <c r="THS37" s="3"/>
      <c r="THT37" s="3"/>
      <c r="THU37" s="3"/>
      <c r="THV37" s="3"/>
      <c r="THW37" s="3"/>
      <c r="THX37" s="3"/>
      <c r="THY37" s="3"/>
      <c r="THZ37" s="3"/>
      <c r="TIA37" s="3"/>
      <c r="TIB37" s="3"/>
      <c r="TIC37" s="3"/>
      <c r="TID37" s="3"/>
      <c r="TIE37" s="3"/>
      <c r="TIF37" s="3"/>
      <c r="TIG37" s="3"/>
      <c r="TIH37" s="3"/>
      <c r="TII37" s="3"/>
      <c r="TIJ37" s="3"/>
      <c r="TIK37" s="3"/>
      <c r="TIL37" s="3"/>
      <c r="TIM37" s="3"/>
      <c r="TIN37" s="3"/>
      <c r="TIO37" s="3"/>
      <c r="TIP37" s="3"/>
      <c r="TIQ37" s="3"/>
      <c r="TIR37" s="3"/>
      <c r="TIS37" s="3"/>
      <c r="TIT37" s="3"/>
      <c r="TIU37" s="3"/>
      <c r="TIV37" s="3"/>
      <c r="TIW37" s="3"/>
      <c r="TIX37" s="3"/>
      <c r="TIY37" s="3"/>
      <c r="TIZ37" s="3"/>
      <c r="TJA37" s="3"/>
      <c r="TJB37" s="3"/>
      <c r="TJC37" s="3"/>
      <c r="TJD37" s="3"/>
      <c r="TJE37" s="3"/>
      <c r="TJF37" s="3"/>
      <c r="TJG37" s="3"/>
      <c r="TJH37" s="3"/>
      <c r="TJI37" s="3"/>
      <c r="TJJ37" s="3"/>
      <c r="TJK37" s="3"/>
      <c r="TJL37" s="3"/>
      <c r="TJM37" s="3"/>
      <c r="TJN37" s="3"/>
      <c r="TJO37" s="3"/>
      <c r="TJP37" s="3"/>
      <c r="TJQ37" s="3"/>
      <c r="TJR37" s="3"/>
      <c r="TJS37" s="3"/>
      <c r="TJT37" s="3"/>
      <c r="TJU37" s="3"/>
      <c r="TJV37" s="3"/>
      <c r="TJW37" s="3"/>
      <c r="TJX37" s="3"/>
      <c r="TJY37" s="3"/>
      <c r="TJZ37" s="3"/>
      <c r="TKA37" s="3"/>
      <c r="TKB37" s="3"/>
      <c r="TKC37" s="3"/>
      <c r="TKD37" s="3"/>
      <c r="TKE37" s="3"/>
      <c r="TKF37" s="3"/>
      <c r="TKG37" s="3"/>
      <c r="TKH37" s="3"/>
      <c r="TKI37" s="3"/>
      <c r="TKJ37" s="3"/>
      <c r="TKK37" s="3"/>
      <c r="TKL37" s="3"/>
      <c r="TKM37" s="3"/>
      <c r="TKN37" s="3"/>
      <c r="TKO37" s="3"/>
      <c r="TKP37" s="3"/>
      <c r="TKQ37" s="3"/>
      <c r="TKR37" s="3"/>
      <c r="TKS37" s="3"/>
      <c r="TKT37" s="3"/>
      <c r="TKU37" s="3"/>
      <c r="TKV37" s="3"/>
      <c r="TKW37" s="3"/>
      <c r="TKX37" s="3"/>
      <c r="TKY37" s="3"/>
      <c r="TKZ37" s="3"/>
      <c r="TLA37" s="3"/>
      <c r="TLB37" s="3"/>
      <c r="TLC37" s="3"/>
      <c r="TLD37" s="3"/>
      <c r="TLE37" s="3"/>
      <c r="TLF37" s="3"/>
      <c r="TLG37" s="3"/>
      <c r="TLH37" s="3"/>
      <c r="TLI37" s="3"/>
      <c r="TLJ37" s="3"/>
      <c r="TLK37" s="3"/>
      <c r="TLL37" s="3"/>
      <c r="TLM37" s="3"/>
      <c r="TLN37" s="3"/>
      <c r="TLO37" s="3"/>
      <c r="TLP37" s="3"/>
      <c r="TLQ37" s="3"/>
      <c r="TLR37" s="3"/>
      <c r="TLS37" s="3"/>
      <c r="TLT37" s="3"/>
      <c r="TLU37" s="3"/>
      <c r="TLV37" s="3"/>
      <c r="TLW37" s="3"/>
      <c r="TLX37" s="3"/>
      <c r="TLY37" s="3"/>
      <c r="TLZ37" s="3"/>
      <c r="TMA37" s="3"/>
      <c r="TMB37" s="3"/>
      <c r="TMC37" s="3"/>
      <c r="TMD37" s="3"/>
      <c r="TME37" s="3"/>
      <c r="TMF37" s="3"/>
      <c r="TMG37" s="3"/>
      <c r="TMH37" s="3"/>
      <c r="TMI37" s="3"/>
      <c r="TMJ37" s="3"/>
      <c r="TMK37" s="3"/>
      <c r="TML37" s="3"/>
      <c r="TMM37" s="3"/>
      <c r="TMN37" s="3"/>
      <c r="TMO37" s="3"/>
      <c r="TMP37" s="3"/>
      <c r="TMQ37" s="3"/>
      <c r="TMR37" s="3"/>
      <c r="TMS37" s="3"/>
      <c r="TMT37" s="3"/>
      <c r="TMU37" s="3"/>
      <c r="TMV37" s="3"/>
      <c r="TMW37" s="3"/>
      <c r="TMX37" s="3"/>
      <c r="TMY37" s="3"/>
      <c r="TMZ37" s="3"/>
      <c r="TNA37" s="3"/>
      <c r="TNB37" s="3"/>
      <c r="TNC37" s="3"/>
      <c r="TND37" s="3"/>
      <c r="TNE37" s="3"/>
      <c r="TNF37" s="3"/>
      <c r="TNG37" s="3"/>
      <c r="TNH37" s="3"/>
      <c r="TNI37" s="3"/>
      <c r="TNJ37" s="3"/>
      <c r="TNK37" s="3"/>
      <c r="TNL37" s="3"/>
      <c r="TNM37" s="3"/>
      <c r="TNN37" s="3"/>
      <c r="TNO37" s="3"/>
      <c r="TNP37" s="3"/>
      <c r="TNQ37" s="3"/>
      <c r="TNR37" s="3"/>
      <c r="TNS37" s="3"/>
      <c r="TNT37" s="3"/>
      <c r="TNU37" s="3"/>
      <c r="TNV37" s="3"/>
      <c r="TNW37" s="3"/>
      <c r="TNX37" s="3"/>
      <c r="TNY37" s="3"/>
      <c r="TNZ37" s="3"/>
      <c r="TOA37" s="3"/>
      <c r="TOB37" s="3"/>
      <c r="TOC37" s="3"/>
      <c r="TOD37" s="3"/>
      <c r="TOE37" s="3"/>
      <c r="TOF37" s="3"/>
      <c r="TOG37" s="3"/>
      <c r="TOH37" s="3"/>
      <c r="TOI37" s="3"/>
      <c r="TOJ37" s="3"/>
      <c r="TOK37" s="3"/>
      <c r="TOL37" s="3"/>
      <c r="TOM37" s="3"/>
      <c r="TON37" s="3"/>
      <c r="TOO37" s="3"/>
      <c r="TOP37" s="3"/>
      <c r="TOQ37" s="3"/>
      <c r="TOR37" s="3"/>
      <c r="TOS37" s="3"/>
      <c r="TOT37" s="3"/>
      <c r="TOU37" s="3"/>
      <c r="TOV37" s="3"/>
      <c r="TOW37" s="3"/>
      <c r="TOX37" s="3"/>
      <c r="TOY37" s="3"/>
      <c r="TOZ37" s="3"/>
      <c r="TPA37" s="3"/>
      <c r="TPB37" s="3"/>
      <c r="TPC37" s="3"/>
      <c r="TPD37" s="3"/>
      <c r="TPE37" s="3"/>
      <c r="TPF37" s="3"/>
      <c r="TPG37" s="3"/>
      <c r="TPH37" s="3"/>
      <c r="TPI37" s="3"/>
      <c r="TPJ37" s="3"/>
      <c r="TPK37" s="3"/>
      <c r="TPL37" s="3"/>
      <c r="TPM37" s="3"/>
      <c r="TPN37" s="3"/>
      <c r="TPO37" s="3"/>
      <c r="TPP37" s="3"/>
      <c r="TPQ37" s="3"/>
      <c r="TPR37" s="3"/>
      <c r="TPS37" s="3"/>
      <c r="TPT37" s="3"/>
      <c r="TPU37" s="3"/>
      <c r="TPV37" s="3"/>
      <c r="TPW37" s="3"/>
      <c r="TPX37" s="3"/>
      <c r="TPY37" s="3"/>
      <c r="TPZ37" s="3"/>
      <c r="TQA37" s="3"/>
      <c r="TQB37" s="3"/>
      <c r="TQC37" s="3"/>
      <c r="TQD37" s="3"/>
      <c r="TQE37" s="3"/>
      <c r="TQF37" s="3"/>
      <c r="TQG37" s="3"/>
      <c r="TQH37" s="3"/>
      <c r="TQI37" s="3"/>
      <c r="TQJ37" s="3"/>
      <c r="TQK37" s="3"/>
      <c r="TQL37" s="3"/>
      <c r="TQM37" s="3"/>
      <c r="TQN37" s="3"/>
      <c r="TQO37" s="3"/>
      <c r="TQP37" s="3"/>
      <c r="TQQ37" s="3"/>
      <c r="TQR37" s="3"/>
      <c r="TQS37" s="3"/>
      <c r="TQT37" s="3"/>
      <c r="TQU37" s="3"/>
      <c r="TQV37" s="3"/>
      <c r="TQW37" s="3"/>
      <c r="TQX37" s="3"/>
      <c r="TQY37" s="3"/>
      <c r="TQZ37" s="3"/>
      <c r="TRA37" s="3"/>
      <c r="TRB37" s="3"/>
      <c r="TRC37" s="3"/>
      <c r="TRD37" s="3"/>
      <c r="TRE37" s="3"/>
      <c r="TRF37" s="3"/>
      <c r="TRG37" s="3"/>
      <c r="TRH37" s="3"/>
      <c r="TRI37" s="3"/>
      <c r="TRJ37" s="3"/>
      <c r="TRK37" s="3"/>
      <c r="TRL37" s="3"/>
      <c r="TRM37" s="3"/>
      <c r="TRN37" s="3"/>
      <c r="TRO37" s="3"/>
      <c r="TRP37" s="3"/>
      <c r="TRQ37" s="3"/>
      <c r="TRR37" s="3"/>
      <c r="TRS37" s="3"/>
      <c r="TRT37" s="3"/>
      <c r="TRU37" s="3"/>
      <c r="TRV37" s="3"/>
      <c r="TRW37" s="3"/>
      <c r="TRX37" s="3"/>
      <c r="TRY37" s="3"/>
      <c r="TRZ37" s="3"/>
      <c r="TSA37" s="3"/>
      <c r="TSB37" s="3"/>
      <c r="TSC37" s="3"/>
      <c r="TSD37" s="3"/>
      <c r="TSE37" s="3"/>
      <c r="TSF37" s="3"/>
      <c r="TSG37" s="3"/>
      <c r="TSH37" s="3"/>
      <c r="TSI37" s="3"/>
      <c r="TSJ37" s="3"/>
      <c r="TSK37" s="3"/>
      <c r="TSL37" s="3"/>
      <c r="TSM37" s="3"/>
      <c r="TSN37" s="3"/>
      <c r="TSO37" s="3"/>
      <c r="TSP37" s="3"/>
      <c r="TSQ37" s="3"/>
      <c r="TSR37" s="3"/>
      <c r="TSS37" s="3"/>
      <c r="TST37" s="3"/>
      <c r="TSU37" s="3"/>
      <c r="TSV37" s="3"/>
      <c r="TSW37" s="3"/>
      <c r="TSX37" s="3"/>
      <c r="TSY37" s="3"/>
      <c r="TSZ37" s="3"/>
      <c r="TTA37" s="3"/>
      <c r="TTB37" s="3"/>
      <c r="TTC37" s="3"/>
      <c r="TTD37" s="3"/>
      <c r="TTE37" s="3"/>
      <c r="TTF37" s="3"/>
      <c r="TTG37" s="3"/>
      <c r="TTH37" s="3"/>
      <c r="TTI37" s="3"/>
      <c r="TTJ37" s="3"/>
      <c r="TTK37" s="3"/>
      <c r="TTL37" s="3"/>
      <c r="TTM37" s="3"/>
      <c r="TTN37" s="3"/>
      <c r="TTO37" s="3"/>
      <c r="TTP37" s="3"/>
      <c r="TTQ37" s="3"/>
      <c r="TTR37" s="3"/>
      <c r="TTS37" s="3"/>
      <c r="TTT37" s="3"/>
      <c r="TTU37" s="3"/>
      <c r="TTV37" s="3"/>
      <c r="TTW37" s="3"/>
      <c r="TTX37" s="3"/>
      <c r="TTY37" s="3"/>
      <c r="TTZ37" s="3"/>
      <c r="TUA37" s="3"/>
      <c r="TUB37" s="3"/>
      <c r="TUC37" s="3"/>
      <c r="TUD37" s="3"/>
      <c r="TUE37" s="3"/>
      <c r="TUF37" s="3"/>
      <c r="TUG37" s="3"/>
      <c r="TUH37" s="3"/>
      <c r="TUI37" s="3"/>
      <c r="TUJ37" s="3"/>
      <c r="TUK37" s="3"/>
      <c r="TUL37" s="3"/>
      <c r="TUM37" s="3"/>
      <c r="TUN37" s="3"/>
      <c r="TUO37" s="3"/>
      <c r="TUP37" s="3"/>
      <c r="TUQ37" s="3"/>
      <c r="TUR37" s="3"/>
      <c r="TUS37" s="3"/>
      <c r="TUT37" s="3"/>
      <c r="TUU37" s="3"/>
      <c r="TUV37" s="3"/>
      <c r="TUW37" s="3"/>
      <c r="TUX37" s="3"/>
      <c r="TUY37" s="3"/>
      <c r="TUZ37" s="3"/>
      <c r="TVA37" s="3"/>
      <c r="TVB37" s="3"/>
      <c r="TVC37" s="3"/>
      <c r="TVD37" s="3"/>
      <c r="TVE37" s="3"/>
      <c r="TVF37" s="3"/>
      <c r="TVG37" s="3"/>
      <c r="TVH37" s="3"/>
      <c r="TVI37" s="3"/>
      <c r="TVJ37" s="3"/>
      <c r="TVK37" s="3"/>
      <c r="TVL37" s="3"/>
      <c r="TVM37" s="3"/>
      <c r="TVN37" s="3"/>
      <c r="TVO37" s="3"/>
      <c r="TVP37" s="3"/>
      <c r="TVQ37" s="3"/>
      <c r="TVR37" s="3"/>
      <c r="TVS37" s="3"/>
      <c r="TVT37" s="3"/>
      <c r="TVU37" s="3"/>
      <c r="TVV37" s="3"/>
      <c r="TVW37" s="3"/>
      <c r="TVX37" s="3"/>
      <c r="TVY37" s="3"/>
      <c r="TVZ37" s="3"/>
      <c r="TWA37" s="3"/>
      <c r="TWB37" s="3"/>
      <c r="TWC37" s="3"/>
      <c r="TWD37" s="3"/>
      <c r="TWE37" s="3"/>
      <c r="TWF37" s="3"/>
      <c r="TWG37" s="3"/>
      <c r="TWH37" s="3"/>
      <c r="TWI37" s="3"/>
      <c r="TWJ37" s="3"/>
      <c r="TWK37" s="3"/>
      <c r="TWL37" s="3"/>
      <c r="TWM37" s="3"/>
      <c r="TWN37" s="3"/>
      <c r="TWO37" s="3"/>
      <c r="TWP37" s="3"/>
      <c r="TWQ37" s="3"/>
      <c r="TWR37" s="3"/>
      <c r="TWS37" s="3"/>
      <c r="TWT37" s="3"/>
      <c r="TWU37" s="3"/>
      <c r="TWV37" s="3"/>
      <c r="TWW37" s="3"/>
      <c r="TWX37" s="3"/>
      <c r="TWY37" s="3"/>
      <c r="TWZ37" s="3"/>
      <c r="TXA37" s="3"/>
      <c r="TXB37" s="3"/>
      <c r="TXC37" s="3"/>
      <c r="TXD37" s="3"/>
      <c r="TXE37" s="3"/>
      <c r="TXF37" s="3"/>
      <c r="TXG37" s="3"/>
      <c r="TXH37" s="3"/>
      <c r="TXI37" s="3"/>
      <c r="TXJ37" s="3"/>
      <c r="TXK37" s="3"/>
      <c r="TXL37" s="3"/>
      <c r="TXM37" s="3"/>
      <c r="TXN37" s="3"/>
      <c r="TXO37" s="3"/>
      <c r="TXP37" s="3"/>
      <c r="TXQ37" s="3"/>
      <c r="TXR37" s="3"/>
      <c r="TXS37" s="3"/>
      <c r="TXT37" s="3"/>
      <c r="TXU37" s="3"/>
      <c r="TXV37" s="3"/>
      <c r="TXW37" s="3"/>
      <c r="TXX37" s="3"/>
      <c r="TXY37" s="3"/>
      <c r="TXZ37" s="3"/>
      <c r="TYA37" s="3"/>
      <c r="TYB37" s="3"/>
      <c r="TYC37" s="3"/>
      <c r="TYD37" s="3"/>
      <c r="TYE37" s="3"/>
      <c r="TYF37" s="3"/>
      <c r="TYG37" s="3"/>
      <c r="TYH37" s="3"/>
      <c r="TYI37" s="3"/>
      <c r="TYJ37" s="3"/>
      <c r="TYK37" s="3"/>
      <c r="TYL37" s="3"/>
      <c r="TYM37" s="3"/>
      <c r="TYN37" s="3"/>
      <c r="TYO37" s="3"/>
      <c r="TYP37" s="3"/>
      <c r="TYQ37" s="3"/>
      <c r="TYR37" s="3"/>
      <c r="TYS37" s="3"/>
      <c r="TYT37" s="3"/>
      <c r="TYU37" s="3"/>
      <c r="TYV37" s="3"/>
      <c r="TYW37" s="3"/>
      <c r="TYX37" s="3"/>
      <c r="TYY37" s="3"/>
      <c r="TYZ37" s="3"/>
      <c r="TZA37" s="3"/>
      <c r="TZB37" s="3"/>
      <c r="TZC37" s="3"/>
      <c r="TZD37" s="3"/>
      <c r="TZE37" s="3"/>
      <c r="TZF37" s="3"/>
      <c r="TZG37" s="3"/>
      <c r="TZH37" s="3"/>
      <c r="TZI37" s="3"/>
      <c r="TZJ37" s="3"/>
      <c r="TZK37" s="3"/>
      <c r="TZL37" s="3"/>
      <c r="TZM37" s="3"/>
      <c r="TZN37" s="3"/>
      <c r="TZO37" s="3"/>
      <c r="TZP37" s="3"/>
      <c r="TZQ37" s="3"/>
      <c r="TZR37" s="3"/>
      <c r="TZS37" s="3"/>
      <c r="TZT37" s="3"/>
      <c r="TZU37" s="3"/>
      <c r="TZV37" s="3"/>
      <c r="TZW37" s="3"/>
      <c r="TZX37" s="3"/>
      <c r="TZY37" s="3"/>
      <c r="TZZ37" s="3"/>
      <c r="UAA37" s="3"/>
      <c r="UAB37" s="3"/>
      <c r="UAC37" s="3"/>
      <c r="UAD37" s="3"/>
      <c r="UAE37" s="3"/>
      <c r="UAF37" s="3"/>
      <c r="UAG37" s="3"/>
      <c r="UAH37" s="3"/>
      <c r="UAI37" s="3"/>
      <c r="UAJ37" s="3"/>
      <c r="UAK37" s="3"/>
      <c r="UAL37" s="3"/>
      <c r="UAM37" s="3"/>
      <c r="UAN37" s="3"/>
      <c r="UAO37" s="3"/>
      <c r="UAP37" s="3"/>
      <c r="UAQ37" s="3"/>
      <c r="UAR37" s="3"/>
      <c r="UAS37" s="3"/>
      <c r="UAT37" s="3"/>
      <c r="UAU37" s="3"/>
      <c r="UAV37" s="3"/>
      <c r="UAW37" s="3"/>
      <c r="UAX37" s="3"/>
      <c r="UAY37" s="3"/>
      <c r="UAZ37" s="3"/>
      <c r="UBA37" s="3"/>
      <c r="UBB37" s="3"/>
      <c r="UBC37" s="3"/>
      <c r="UBD37" s="3"/>
      <c r="UBE37" s="3"/>
      <c r="UBF37" s="3"/>
      <c r="UBG37" s="3"/>
      <c r="UBH37" s="3"/>
      <c r="UBI37" s="3"/>
      <c r="UBJ37" s="3"/>
      <c r="UBK37" s="3"/>
      <c r="UBL37" s="3"/>
      <c r="UBM37" s="3"/>
      <c r="UBN37" s="3"/>
      <c r="UBO37" s="3"/>
      <c r="UBP37" s="3"/>
      <c r="UBQ37" s="3"/>
      <c r="UBR37" s="3"/>
      <c r="UBS37" s="3"/>
      <c r="UBT37" s="3"/>
      <c r="UBU37" s="3"/>
      <c r="UBV37" s="3"/>
      <c r="UBW37" s="3"/>
      <c r="UBX37" s="3"/>
      <c r="UBY37" s="3"/>
      <c r="UBZ37" s="3"/>
      <c r="UCA37" s="3"/>
      <c r="UCB37" s="3"/>
      <c r="UCC37" s="3"/>
      <c r="UCD37" s="3"/>
      <c r="UCE37" s="3"/>
      <c r="UCF37" s="3"/>
      <c r="UCG37" s="3"/>
      <c r="UCH37" s="3"/>
      <c r="UCI37" s="3"/>
      <c r="UCJ37" s="3"/>
      <c r="UCK37" s="3"/>
      <c r="UCL37" s="3"/>
      <c r="UCM37" s="3"/>
      <c r="UCN37" s="3"/>
      <c r="UCO37" s="3"/>
      <c r="UCP37" s="3"/>
      <c r="UCQ37" s="3"/>
      <c r="UCR37" s="3"/>
      <c r="UCS37" s="3"/>
      <c r="UCT37" s="3"/>
      <c r="UCU37" s="3"/>
      <c r="UCV37" s="3"/>
      <c r="UCW37" s="3"/>
      <c r="UCX37" s="3"/>
      <c r="UCY37" s="3"/>
      <c r="UCZ37" s="3"/>
      <c r="UDA37" s="3"/>
      <c r="UDB37" s="3"/>
      <c r="UDC37" s="3"/>
      <c r="UDD37" s="3"/>
      <c r="UDE37" s="3"/>
      <c r="UDF37" s="3"/>
      <c r="UDG37" s="3"/>
      <c r="UDH37" s="3"/>
      <c r="UDI37" s="3"/>
      <c r="UDJ37" s="3"/>
      <c r="UDK37" s="3"/>
      <c r="UDL37" s="3"/>
      <c r="UDM37" s="3"/>
      <c r="UDN37" s="3"/>
      <c r="UDO37" s="3"/>
      <c r="UDP37" s="3"/>
      <c r="UDQ37" s="3"/>
      <c r="UDR37" s="3"/>
      <c r="UDS37" s="3"/>
      <c r="UDT37" s="3"/>
      <c r="UDU37" s="3"/>
      <c r="UDV37" s="3"/>
      <c r="UDW37" s="3"/>
      <c r="UDX37" s="3"/>
      <c r="UDY37" s="3"/>
      <c r="UDZ37" s="3"/>
      <c r="UEA37" s="3"/>
      <c r="UEB37" s="3"/>
      <c r="UEC37" s="3"/>
      <c r="UED37" s="3"/>
      <c r="UEE37" s="3"/>
      <c r="UEF37" s="3"/>
      <c r="UEG37" s="3"/>
      <c r="UEH37" s="3"/>
      <c r="UEI37" s="3"/>
      <c r="UEJ37" s="3"/>
      <c r="UEK37" s="3"/>
      <c r="UEL37" s="3"/>
      <c r="UEM37" s="3"/>
      <c r="UEN37" s="3"/>
      <c r="UEO37" s="3"/>
      <c r="UEP37" s="3"/>
      <c r="UEQ37" s="3"/>
      <c r="UER37" s="3"/>
      <c r="UES37" s="3"/>
      <c r="UET37" s="3"/>
      <c r="UEU37" s="3"/>
      <c r="UEV37" s="3"/>
      <c r="UEW37" s="3"/>
      <c r="UEX37" s="3"/>
      <c r="UEY37" s="3"/>
      <c r="UEZ37" s="3"/>
      <c r="UFA37" s="3"/>
      <c r="UFB37" s="3"/>
      <c r="UFC37" s="3"/>
      <c r="UFD37" s="3"/>
      <c r="UFE37" s="3"/>
      <c r="UFF37" s="3"/>
      <c r="UFG37" s="3"/>
      <c r="UFH37" s="3"/>
      <c r="UFI37" s="3"/>
      <c r="UFJ37" s="3"/>
      <c r="UFK37" s="3"/>
      <c r="UFL37" s="3"/>
      <c r="UFM37" s="3"/>
      <c r="UFN37" s="3"/>
      <c r="UFO37" s="3"/>
      <c r="UFP37" s="3"/>
      <c r="UFQ37" s="3"/>
      <c r="UFR37" s="3"/>
      <c r="UFS37" s="3"/>
      <c r="UFT37" s="3"/>
      <c r="UFU37" s="3"/>
      <c r="UFV37" s="3"/>
      <c r="UFW37" s="3"/>
      <c r="UFX37" s="3"/>
      <c r="UFY37" s="3"/>
      <c r="UFZ37" s="3"/>
      <c r="UGA37" s="3"/>
      <c r="UGB37" s="3"/>
      <c r="UGC37" s="3"/>
      <c r="UGD37" s="3"/>
      <c r="UGE37" s="3"/>
      <c r="UGF37" s="3"/>
      <c r="UGG37" s="3"/>
      <c r="UGH37" s="3"/>
      <c r="UGI37" s="3"/>
      <c r="UGJ37" s="3"/>
      <c r="UGK37" s="3"/>
      <c r="UGL37" s="3"/>
      <c r="UGM37" s="3"/>
      <c r="UGN37" s="3"/>
      <c r="UGO37" s="3"/>
      <c r="UGP37" s="3"/>
      <c r="UGQ37" s="3"/>
      <c r="UGR37" s="3"/>
      <c r="UGS37" s="3"/>
      <c r="UGT37" s="3"/>
      <c r="UGU37" s="3"/>
      <c r="UGV37" s="3"/>
      <c r="UGW37" s="3"/>
      <c r="UGX37" s="3"/>
      <c r="UGY37" s="3"/>
      <c r="UGZ37" s="3"/>
      <c r="UHA37" s="3"/>
      <c r="UHB37" s="3"/>
      <c r="UHC37" s="3"/>
      <c r="UHD37" s="3"/>
      <c r="UHE37" s="3"/>
      <c r="UHF37" s="3"/>
      <c r="UHG37" s="3"/>
      <c r="UHH37" s="3"/>
      <c r="UHI37" s="3"/>
      <c r="UHJ37" s="3"/>
      <c r="UHK37" s="3"/>
      <c r="UHL37" s="3"/>
      <c r="UHM37" s="3"/>
      <c r="UHN37" s="3"/>
      <c r="UHO37" s="3"/>
      <c r="UHP37" s="3"/>
      <c r="UHQ37" s="3"/>
      <c r="UHR37" s="3"/>
      <c r="UHS37" s="3"/>
      <c r="UHT37" s="3"/>
      <c r="UHU37" s="3"/>
      <c r="UHV37" s="3"/>
      <c r="UHW37" s="3"/>
      <c r="UHX37" s="3"/>
      <c r="UHY37" s="3"/>
      <c r="UHZ37" s="3"/>
      <c r="UIA37" s="3"/>
      <c r="UIB37" s="3"/>
      <c r="UIC37" s="3"/>
      <c r="UID37" s="3"/>
      <c r="UIE37" s="3"/>
      <c r="UIF37" s="3"/>
      <c r="UIG37" s="3"/>
      <c r="UIH37" s="3"/>
      <c r="UII37" s="3"/>
      <c r="UIJ37" s="3"/>
      <c r="UIK37" s="3"/>
      <c r="UIL37" s="3"/>
      <c r="UIM37" s="3"/>
      <c r="UIN37" s="3"/>
      <c r="UIO37" s="3"/>
      <c r="UIP37" s="3"/>
      <c r="UIQ37" s="3"/>
      <c r="UIR37" s="3"/>
      <c r="UIS37" s="3"/>
      <c r="UIT37" s="3"/>
      <c r="UIU37" s="3"/>
      <c r="UIV37" s="3"/>
      <c r="UIW37" s="3"/>
      <c r="UIX37" s="3"/>
      <c r="UIY37" s="3"/>
      <c r="UIZ37" s="3"/>
      <c r="UJA37" s="3"/>
      <c r="UJB37" s="3"/>
      <c r="UJC37" s="3"/>
      <c r="UJD37" s="3"/>
      <c r="UJE37" s="3"/>
      <c r="UJF37" s="3"/>
      <c r="UJG37" s="3"/>
      <c r="UJH37" s="3"/>
      <c r="UJI37" s="3"/>
      <c r="UJJ37" s="3"/>
      <c r="UJK37" s="3"/>
      <c r="UJL37" s="3"/>
      <c r="UJM37" s="3"/>
      <c r="UJN37" s="3"/>
      <c r="UJO37" s="3"/>
      <c r="UJP37" s="3"/>
      <c r="UJQ37" s="3"/>
      <c r="UJR37" s="3"/>
      <c r="UJS37" s="3"/>
      <c r="UJT37" s="3"/>
      <c r="UJU37" s="3"/>
      <c r="UJV37" s="3"/>
      <c r="UJW37" s="3"/>
      <c r="UJX37" s="3"/>
      <c r="UJY37" s="3"/>
      <c r="UJZ37" s="3"/>
      <c r="UKA37" s="3"/>
      <c r="UKB37" s="3"/>
      <c r="UKC37" s="3"/>
      <c r="UKD37" s="3"/>
      <c r="UKE37" s="3"/>
      <c r="UKF37" s="3"/>
      <c r="UKG37" s="3"/>
      <c r="UKH37" s="3"/>
      <c r="UKI37" s="3"/>
      <c r="UKJ37" s="3"/>
      <c r="UKK37" s="3"/>
      <c r="UKL37" s="3"/>
      <c r="UKM37" s="3"/>
      <c r="UKN37" s="3"/>
      <c r="UKO37" s="3"/>
      <c r="UKP37" s="3"/>
      <c r="UKQ37" s="3"/>
      <c r="UKR37" s="3"/>
      <c r="UKS37" s="3"/>
      <c r="UKT37" s="3"/>
      <c r="UKU37" s="3"/>
      <c r="UKV37" s="3"/>
      <c r="UKW37" s="3"/>
      <c r="UKX37" s="3"/>
      <c r="UKY37" s="3"/>
      <c r="UKZ37" s="3"/>
      <c r="ULA37" s="3"/>
      <c r="ULB37" s="3"/>
      <c r="ULC37" s="3"/>
      <c r="ULD37" s="3"/>
      <c r="ULE37" s="3"/>
      <c r="ULF37" s="3"/>
      <c r="ULG37" s="3"/>
      <c r="ULH37" s="3"/>
      <c r="ULI37" s="3"/>
      <c r="ULJ37" s="3"/>
      <c r="ULK37" s="3"/>
      <c r="ULL37" s="3"/>
      <c r="ULM37" s="3"/>
      <c r="ULN37" s="3"/>
      <c r="ULO37" s="3"/>
      <c r="ULP37" s="3"/>
      <c r="ULQ37" s="3"/>
      <c r="ULR37" s="3"/>
      <c r="ULS37" s="3"/>
      <c r="ULT37" s="3"/>
      <c r="ULU37" s="3"/>
      <c r="ULV37" s="3"/>
      <c r="ULW37" s="3"/>
      <c r="ULX37" s="3"/>
      <c r="ULY37" s="3"/>
      <c r="ULZ37" s="3"/>
      <c r="UMA37" s="3"/>
      <c r="UMB37" s="3"/>
      <c r="UMC37" s="3"/>
      <c r="UMD37" s="3"/>
      <c r="UME37" s="3"/>
      <c r="UMF37" s="3"/>
      <c r="UMG37" s="3"/>
      <c r="UMH37" s="3"/>
      <c r="UMI37" s="3"/>
      <c r="UMJ37" s="3"/>
      <c r="UMK37" s="3"/>
      <c r="UML37" s="3"/>
      <c r="UMM37" s="3"/>
      <c r="UMN37" s="3"/>
      <c r="UMO37" s="3"/>
      <c r="UMP37" s="3"/>
      <c r="UMQ37" s="3"/>
      <c r="UMR37" s="3"/>
      <c r="UMS37" s="3"/>
      <c r="UMT37" s="3"/>
      <c r="UMU37" s="3"/>
      <c r="UMV37" s="3"/>
      <c r="UMW37" s="3"/>
      <c r="UMX37" s="3"/>
      <c r="UMY37" s="3"/>
      <c r="UMZ37" s="3"/>
      <c r="UNA37" s="3"/>
      <c r="UNB37" s="3"/>
      <c r="UNC37" s="3"/>
      <c r="UND37" s="3"/>
      <c r="UNE37" s="3"/>
      <c r="UNF37" s="3"/>
      <c r="UNG37" s="3"/>
      <c r="UNH37" s="3"/>
      <c r="UNI37" s="3"/>
      <c r="UNJ37" s="3"/>
      <c r="UNK37" s="3"/>
      <c r="UNL37" s="3"/>
      <c r="UNM37" s="3"/>
      <c r="UNN37" s="3"/>
      <c r="UNO37" s="3"/>
      <c r="UNP37" s="3"/>
      <c r="UNQ37" s="3"/>
      <c r="UNR37" s="3"/>
      <c r="UNS37" s="3"/>
      <c r="UNT37" s="3"/>
      <c r="UNU37" s="3"/>
      <c r="UNV37" s="3"/>
      <c r="UNW37" s="3"/>
      <c r="UNX37" s="3"/>
      <c r="UNY37" s="3"/>
      <c r="UNZ37" s="3"/>
      <c r="UOA37" s="3"/>
      <c r="UOB37" s="3"/>
      <c r="UOC37" s="3"/>
      <c r="UOD37" s="3"/>
      <c r="UOE37" s="3"/>
      <c r="UOF37" s="3"/>
      <c r="UOG37" s="3"/>
      <c r="UOH37" s="3"/>
      <c r="UOI37" s="3"/>
      <c r="UOJ37" s="3"/>
      <c r="UOK37" s="3"/>
      <c r="UOL37" s="3"/>
      <c r="UOM37" s="3"/>
      <c r="UON37" s="3"/>
      <c r="UOO37" s="3"/>
      <c r="UOP37" s="3"/>
      <c r="UOQ37" s="3"/>
      <c r="UOR37" s="3"/>
      <c r="UOS37" s="3"/>
      <c r="UOT37" s="3"/>
      <c r="UOU37" s="3"/>
      <c r="UOV37" s="3"/>
      <c r="UOW37" s="3"/>
      <c r="UOX37" s="3"/>
      <c r="UOY37" s="3"/>
      <c r="UOZ37" s="3"/>
      <c r="UPA37" s="3"/>
      <c r="UPB37" s="3"/>
      <c r="UPC37" s="3"/>
      <c r="UPD37" s="3"/>
      <c r="UPE37" s="3"/>
      <c r="UPF37" s="3"/>
      <c r="UPG37" s="3"/>
      <c r="UPH37" s="3"/>
      <c r="UPI37" s="3"/>
      <c r="UPJ37" s="3"/>
      <c r="UPK37" s="3"/>
      <c r="UPL37" s="3"/>
      <c r="UPM37" s="3"/>
      <c r="UPN37" s="3"/>
      <c r="UPO37" s="3"/>
      <c r="UPP37" s="3"/>
      <c r="UPQ37" s="3"/>
      <c r="UPR37" s="3"/>
      <c r="UPS37" s="3"/>
      <c r="UPT37" s="3"/>
      <c r="UPU37" s="3"/>
      <c r="UPV37" s="3"/>
      <c r="UPW37" s="3"/>
      <c r="UPX37" s="3"/>
      <c r="UPY37" s="3"/>
      <c r="UPZ37" s="3"/>
      <c r="UQA37" s="3"/>
      <c r="UQB37" s="3"/>
      <c r="UQC37" s="3"/>
      <c r="UQD37" s="3"/>
      <c r="UQE37" s="3"/>
      <c r="UQF37" s="3"/>
      <c r="UQG37" s="3"/>
      <c r="UQH37" s="3"/>
      <c r="UQI37" s="3"/>
      <c r="UQJ37" s="3"/>
      <c r="UQK37" s="3"/>
      <c r="UQL37" s="3"/>
      <c r="UQM37" s="3"/>
      <c r="UQN37" s="3"/>
      <c r="UQO37" s="3"/>
      <c r="UQP37" s="3"/>
      <c r="UQQ37" s="3"/>
      <c r="UQR37" s="3"/>
      <c r="UQS37" s="3"/>
      <c r="UQT37" s="3"/>
      <c r="UQU37" s="3"/>
      <c r="UQV37" s="3"/>
      <c r="UQW37" s="3"/>
      <c r="UQX37" s="3"/>
      <c r="UQY37" s="3"/>
      <c r="UQZ37" s="3"/>
      <c r="URA37" s="3"/>
      <c r="URB37" s="3"/>
      <c r="URC37" s="3"/>
      <c r="URD37" s="3"/>
      <c r="URE37" s="3"/>
      <c r="URF37" s="3"/>
      <c r="URG37" s="3"/>
      <c r="URH37" s="3"/>
      <c r="URI37" s="3"/>
      <c r="URJ37" s="3"/>
      <c r="URK37" s="3"/>
      <c r="URL37" s="3"/>
      <c r="URM37" s="3"/>
      <c r="URN37" s="3"/>
      <c r="URO37" s="3"/>
      <c r="URP37" s="3"/>
      <c r="URQ37" s="3"/>
      <c r="URR37" s="3"/>
      <c r="URS37" s="3"/>
      <c r="URT37" s="3"/>
      <c r="URU37" s="3"/>
      <c r="URV37" s="3"/>
      <c r="URW37" s="3"/>
      <c r="URX37" s="3"/>
      <c r="URY37" s="3"/>
      <c r="URZ37" s="3"/>
      <c r="USA37" s="3"/>
      <c r="USB37" s="3"/>
      <c r="USC37" s="3"/>
      <c r="USD37" s="3"/>
      <c r="USE37" s="3"/>
      <c r="USF37" s="3"/>
      <c r="USG37" s="3"/>
      <c r="USH37" s="3"/>
      <c r="USI37" s="3"/>
      <c r="USJ37" s="3"/>
      <c r="USK37" s="3"/>
      <c r="USL37" s="3"/>
      <c r="USM37" s="3"/>
      <c r="USN37" s="3"/>
      <c r="USO37" s="3"/>
      <c r="USP37" s="3"/>
      <c r="USQ37" s="3"/>
      <c r="USR37" s="3"/>
      <c r="USS37" s="3"/>
      <c r="UST37" s="3"/>
      <c r="USU37" s="3"/>
      <c r="USV37" s="3"/>
      <c r="USW37" s="3"/>
      <c r="USX37" s="3"/>
      <c r="USY37" s="3"/>
      <c r="USZ37" s="3"/>
      <c r="UTA37" s="3"/>
      <c r="UTB37" s="3"/>
      <c r="UTC37" s="3"/>
      <c r="UTD37" s="3"/>
      <c r="UTE37" s="3"/>
      <c r="UTF37" s="3"/>
      <c r="UTG37" s="3"/>
      <c r="UTH37" s="3"/>
      <c r="UTI37" s="3"/>
      <c r="UTJ37" s="3"/>
      <c r="UTK37" s="3"/>
      <c r="UTL37" s="3"/>
      <c r="UTM37" s="3"/>
      <c r="UTN37" s="3"/>
      <c r="UTO37" s="3"/>
      <c r="UTP37" s="3"/>
      <c r="UTQ37" s="3"/>
      <c r="UTR37" s="3"/>
      <c r="UTS37" s="3"/>
      <c r="UTT37" s="3"/>
      <c r="UTU37" s="3"/>
      <c r="UTV37" s="3"/>
      <c r="UTW37" s="3"/>
      <c r="UTX37" s="3"/>
      <c r="UTY37" s="3"/>
      <c r="UTZ37" s="3"/>
      <c r="UUA37" s="3"/>
      <c r="UUB37" s="3"/>
      <c r="UUC37" s="3"/>
      <c r="UUD37" s="3"/>
      <c r="UUE37" s="3"/>
      <c r="UUF37" s="3"/>
      <c r="UUG37" s="3"/>
      <c r="UUH37" s="3"/>
      <c r="UUI37" s="3"/>
      <c r="UUJ37" s="3"/>
      <c r="UUK37" s="3"/>
      <c r="UUL37" s="3"/>
      <c r="UUM37" s="3"/>
      <c r="UUN37" s="3"/>
      <c r="UUO37" s="3"/>
      <c r="UUP37" s="3"/>
      <c r="UUQ37" s="3"/>
      <c r="UUR37" s="3"/>
      <c r="UUS37" s="3"/>
      <c r="UUT37" s="3"/>
      <c r="UUU37" s="3"/>
      <c r="UUV37" s="3"/>
      <c r="UUW37" s="3"/>
      <c r="UUX37" s="3"/>
      <c r="UUY37" s="3"/>
      <c r="UUZ37" s="3"/>
      <c r="UVA37" s="3"/>
      <c r="UVB37" s="3"/>
      <c r="UVC37" s="3"/>
      <c r="UVD37" s="3"/>
      <c r="UVE37" s="3"/>
      <c r="UVF37" s="3"/>
      <c r="UVG37" s="3"/>
      <c r="UVH37" s="3"/>
      <c r="UVI37" s="3"/>
      <c r="UVJ37" s="3"/>
      <c r="UVK37" s="3"/>
      <c r="UVL37" s="3"/>
      <c r="UVM37" s="3"/>
      <c r="UVN37" s="3"/>
      <c r="UVO37" s="3"/>
      <c r="UVP37" s="3"/>
      <c r="UVQ37" s="3"/>
      <c r="UVR37" s="3"/>
      <c r="UVS37" s="3"/>
      <c r="UVT37" s="3"/>
      <c r="UVU37" s="3"/>
      <c r="UVV37" s="3"/>
      <c r="UVW37" s="3"/>
      <c r="UVX37" s="3"/>
      <c r="UVY37" s="3"/>
      <c r="UVZ37" s="3"/>
      <c r="UWA37" s="3"/>
      <c r="UWB37" s="3"/>
      <c r="UWC37" s="3"/>
      <c r="UWD37" s="3"/>
      <c r="UWE37" s="3"/>
      <c r="UWF37" s="3"/>
      <c r="UWG37" s="3"/>
      <c r="UWH37" s="3"/>
      <c r="UWI37" s="3"/>
      <c r="UWJ37" s="3"/>
      <c r="UWK37" s="3"/>
      <c r="UWL37" s="3"/>
      <c r="UWM37" s="3"/>
      <c r="UWN37" s="3"/>
      <c r="UWO37" s="3"/>
      <c r="UWP37" s="3"/>
      <c r="UWQ37" s="3"/>
      <c r="UWR37" s="3"/>
      <c r="UWS37" s="3"/>
      <c r="UWT37" s="3"/>
      <c r="UWU37" s="3"/>
      <c r="UWV37" s="3"/>
      <c r="UWW37" s="3"/>
      <c r="UWX37" s="3"/>
      <c r="UWY37" s="3"/>
      <c r="UWZ37" s="3"/>
      <c r="UXA37" s="3"/>
      <c r="UXB37" s="3"/>
      <c r="UXC37" s="3"/>
      <c r="UXD37" s="3"/>
      <c r="UXE37" s="3"/>
      <c r="UXF37" s="3"/>
      <c r="UXG37" s="3"/>
      <c r="UXH37" s="3"/>
      <c r="UXI37" s="3"/>
      <c r="UXJ37" s="3"/>
      <c r="UXK37" s="3"/>
      <c r="UXL37" s="3"/>
      <c r="UXM37" s="3"/>
      <c r="UXN37" s="3"/>
      <c r="UXO37" s="3"/>
      <c r="UXP37" s="3"/>
      <c r="UXQ37" s="3"/>
      <c r="UXR37" s="3"/>
      <c r="UXS37" s="3"/>
      <c r="UXT37" s="3"/>
      <c r="UXU37" s="3"/>
      <c r="UXV37" s="3"/>
      <c r="UXW37" s="3"/>
      <c r="UXX37" s="3"/>
      <c r="UXY37" s="3"/>
      <c r="UXZ37" s="3"/>
      <c r="UYA37" s="3"/>
      <c r="UYB37" s="3"/>
      <c r="UYC37" s="3"/>
      <c r="UYD37" s="3"/>
      <c r="UYE37" s="3"/>
      <c r="UYF37" s="3"/>
      <c r="UYG37" s="3"/>
      <c r="UYH37" s="3"/>
      <c r="UYI37" s="3"/>
      <c r="UYJ37" s="3"/>
      <c r="UYK37" s="3"/>
      <c r="UYL37" s="3"/>
      <c r="UYM37" s="3"/>
      <c r="UYN37" s="3"/>
      <c r="UYO37" s="3"/>
      <c r="UYP37" s="3"/>
      <c r="UYQ37" s="3"/>
      <c r="UYR37" s="3"/>
      <c r="UYS37" s="3"/>
      <c r="UYT37" s="3"/>
      <c r="UYU37" s="3"/>
      <c r="UYV37" s="3"/>
      <c r="UYW37" s="3"/>
      <c r="UYX37" s="3"/>
      <c r="UYY37" s="3"/>
      <c r="UYZ37" s="3"/>
      <c r="UZA37" s="3"/>
      <c r="UZB37" s="3"/>
      <c r="UZC37" s="3"/>
      <c r="UZD37" s="3"/>
      <c r="UZE37" s="3"/>
      <c r="UZF37" s="3"/>
      <c r="UZG37" s="3"/>
      <c r="UZH37" s="3"/>
      <c r="UZI37" s="3"/>
      <c r="UZJ37" s="3"/>
      <c r="UZK37" s="3"/>
      <c r="UZL37" s="3"/>
      <c r="UZM37" s="3"/>
      <c r="UZN37" s="3"/>
      <c r="UZO37" s="3"/>
      <c r="UZP37" s="3"/>
      <c r="UZQ37" s="3"/>
      <c r="UZR37" s="3"/>
      <c r="UZS37" s="3"/>
      <c r="UZT37" s="3"/>
      <c r="UZU37" s="3"/>
      <c r="UZV37" s="3"/>
      <c r="UZW37" s="3"/>
      <c r="UZX37" s="3"/>
      <c r="UZY37" s="3"/>
      <c r="UZZ37" s="3"/>
      <c r="VAA37" s="3"/>
      <c r="VAB37" s="3"/>
      <c r="VAC37" s="3"/>
      <c r="VAD37" s="3"/>
      <c r="VAE37" s="3"/>
      <c r="VAF37" s="3"/>
      <c r="VAG37" s="3"/>
      <c r="VAH37" s="3"/>
      <c r="VAI37" s="3"/>
      <c r="VAJ37" s="3"/>
      <c r="VAK37" s="3"/>
      <c r="VAL37" s="3"/>
      <c r="VAM37" s="3"/>
      <c r="VAN37" s="3"/>
      <c r="VAO37" s="3"/>
      <c r="VAP37" s="3"/>
      <c r="VAQ37" s="3"/>
      <c r="VAR37" s="3"/>
      <c r="VAS37" s="3"/>
      <c r="VAT37" s="3"/>
      <c r="VAU37" s="3"/>
      <c r="VAV37" s="3"/>
      <c r="VAW37" s="3"/>
      <c r="VAX37" s="3"/>
      <c r="VAY37" s="3"/>
      <c r="VAZ37" s="3"/>
      <c r="VBA37" s="3"/>
      <c r="VBB37" s="3"/>
      <c r="VBC37" s="3"/>
      <c r="VBD37" s="3"/>
      <c r="VBE37" s="3"/>
      <c r="VBF37" s="3"/>
      <c r="VBG37" s="3"/>
      <c r="VBH37" s="3"/>
      <c r="VBI37" s="3"/>
      <c r="VBJ37" s="3"/>
      <c r="VBK37" s="3"/>
      <c r="VBL37" s="3"/>
      <c r="VBM37" s="3"/>
      <c r="VBN37" s="3"/>
      <c r="VBO37" s="3"/>
      <c r="VBP37" s="3"/>
      <c r="VBQ37" s="3"/>
      <c r="VBR37" s="3"/>
      <c r="VBS37" s="3"/>
      <c r="VBT37" s="3"/>
      <c r="VBU37" s="3"/>
      <c r="VBV37" s="3"/>
      <c r="VBW37" s="3"/>
      <c r="VBX37" s="3"/>
      <c r="VBY37" s="3"/>
      <c r="VBZ37" s="3"/>
      <c r="VCA37" s="3"/>
      <c r="VCB37" s="3"/>
      <c r="VCC37" s="3"/>
      <c r="VCD37" s="3"/>
      <c r="VCE37" s="3"/>
      <c r="VCF37" s="3"/>
      <c r="VCG37" s="3"/>
      <c r="VCH37" s="3"/>
      <c r="VCI37" s="3"/>
      <c r="VCJ37" s="3"/>
      <c r="VCK37" s="3"/>
      <c r="VCL37" s="3"/>
      <c r="VCM37" s="3"/>
      <c r="VCN37" s="3"/>
      <c r="VCO37" s="3"/>
      <c r="VCP37" s="3"/>
      <c r="VCQ37" s="3"/>
      <c r="VCR37" s="3"/>
      <c r="VCS37" s="3"/>
      <c r="VCT37" s="3"/>
      <c r="VCU37" s="3"/>
      <c r="VCV37" s="3"/>
      <c r="VCW37" s="3"/>
      <c r="VCX37" s="3"/>
      <c r="VCY37" s="3"/>
      <c r="VCZ37" s="3"/>
      <c r="VDA37" s="3"/>
      <c r="VDB37" s="3"/>
      <c r="VDC37" s="3"/>
      <c r="VDD37" s="3"/>
      <c r="VDE37" s="3"/>
      <c r="VDF37" s="3"/>
      <c r="VDG37" s="3"/>
      <c r="VDH37" s="3"/>
      <c r="VDI37" s="3"/>
      <c r="VDJ37" s="3"/>
      <c r="VDK37" s="3"/>
      <c r="VDL37" s="3"/>
      <c r="VDM37" s="3"/>
      <c r="VDN37" s="3"/>
      <c r="VDO37" s="3"/>
      <c r="VDP37" s="3"/>
      <c r="VDQ37" s="3"/>
      <c r="VDR37" s="3"/>
      <c r="VDS37" s="3"/>
      <c r="VDT37" s="3"/>
      <c r="VDU37" s="3"/>
      <c r="VDV37" s="3"/>
      <c r="VDW37" s="3"/>
      <c r="VDX37" s="3"/>
      <c r="VDY37" s="3"/>
      <c r="VDZ37" s="3"/>
      <c r="VEA37" s="3"/>
      <c r="VEB37" s="3"/>
      <c r="VEC37" s="3"/>
      <c r="VED37" s="3"/>
      <c r="VEE37" s="3"/>
      <c r="VEF37" s="3"/>
      <c r="VEG37" s="3"/>
      <c r="VEH37" s="3"/>
      <c r="VEI37" s="3"/>
      <c r="VEJ37" s="3"/>
      <c r="VEK37" s="3"/>
      <c r="VEL37" s="3"/>
      <c r="VEM37" s="3"/>
      <c r="VEN37" s="3"/>
      <c r="VEO37" s="3"/>
      <c r="VEP37" s="3"/>
      <c r="VEQ37" s="3"/>
      <c r="VER37" s="3"/>
      <c r="VES37" s="3"/>
      <c r="VET37" s="3"/>
      <c r="VEU37" s="3"/>
      <c r="VEV37" s="3"/>
      <c r="VEW37" s="3"/>
      <c r="VEX37" s="3"/>
      <c r="VEY37" s="3"/>
      <c r="VEZ37" s="3"/>
      <c r="VFA37" s="3"/>
      <c r="VFB37" s="3"/>
      <c r="VFC37" s="3"/>
      <c r="VFD37" s="3"/>
      <c r="VFE37" s="3"/>
      <c r="VFF37" s="3"/>
      <c r="VFG37" s="3"/>
      <c r="VFH37" s="3"/>
      <c r="VFI37" s="3"/>
      <c r="VFJ37" s="3"/>
      <c r="VFK37" s="3"/>
      <c r="VFL37" s="3"/>
      <c r="VFM37" s="3"/>
      <c r="VFN37" s="3"/>
      <c r="VFO37" s="3"/>
      <c r="VFP37" s="3"/>
      <c r="VFQ37" s="3"/>
      <c r="VFR37" s="3"/>
      <c r="VFS37" s="3"/>
      <c r="VFT37" s="3"/>
      <c r="VFU37" s="3"/>
      <c r="VFV37" s="3"/>
      <c r="VFW37" s="3"/>
      <c r="VFX37" s="3"/>
      <c r="VFY37" s="3"/>
      <c r="VFZ37" s="3"/>
      <c r="VGA37" s="3"/>
      <c r="VGB37" s="3"/>
      <c r="VGC37" s="3"/>
      <c r="VGD37" s="3"/>
      <c r="VGE37" s="3"/>
      <c r="VGF37" s="3"/>
      <c r="VGG37" s="3"/>
      <c r="VGH37" s="3"/>
      <c r="VGI37" s="3"/>
      <c r="VGJ37" s="3"/>
      <c r="VGK37" s="3"/>
      <c r="VGL37" s="3"/>
      <c r="VGM37" s="3"/>
      <c r="VGN37" s="3"/>
      <c r="VGO37" s="3"/>
      <c r="VGP37" s="3"/>
      <c r="VGQ37" s="3"/>
      <c r="VGR37" s="3"/>
      <c r="VGS37" s="3"/>
      <c r="VGT37" s="3"/>
      <c r="VGU37" s="3"/>
      <c r="VGV37" s="3"/>
      <c r="VGW37" s="3"/>
      <c r="VGX37" s="3"/>
      <c r="VGY37" s="3"/>
      <c r="VGZ37" s="3"/>
      <c r="VHA37" s="3"/>
      <c r="VHB37" s="3"/>
      <c r="VHC37" s="3"/>
      <c r="VHD37" s="3"/>
      <c r="VHE37" s="3"/>
      <c r="VHF37" s="3"/>
      <c r="VHG37" s="3"/>
      <c r="VHH37" s="3"/>
      <c r="VHI37" s="3"/>
      <c r="VHJ37" s="3"/>
      <c r="VHK37" s="3"/>
      <c r="VHL37" s="3"/>
      <c r="VHM37" s="3"/>
      <c r="VHN37" s="3"/>
      <c r="VHO37" s="3"/>
      <c r="VHP37" s="3"/>
      <c r="VHQ37" s="3"/>
      <c r="VHR37" s="3"/>
      <c r="VHS37" s="3"/>
      <c r="VHT37" s="3"/>
      <c r="VHU37" s="3"/>
      <c r="VHV37" s="3"/>
      <c r="VHW37" s="3"/>
      <c r="VHX37" s="3"/>
      <c r="VHY37" s="3"/>
      <c r="VHZ37" s="3"/>
      <c r="VIA37" s="3"/>
      <c r="VIB37" s="3"/>
      <c r="VIC37" s="3"/>
      <c r="VID37" s="3"/>
      <c r="VIE37" s="3"/>
      <c r="VIF37" s="3"/>
      <c r="VIG37" s="3"/>
      <c r="VIH37" s="3"/>
      <c r="VII37" s="3"/>
      <c r="VIJ37" s="3"/>
      <c r="VIK37" s="3"/>
      <c r="VIL37" s="3"/>
      <c r="VIM37" s="3"/>
      <c r="VIN37" s="3"/>
      <c r="VIO37" s="3"/>
      <c r="VIP37" s="3"/>
      <c r="VIQ37" s="3"/>
      <c r="VIR37" s="3"/>
      <c r="VIS37" s="3"/>
      <c r="VIT37" s="3"/>
      <c r="VIU37" s="3"/>
      <c r="VIV37" s="3"/>
      <c r="VIW37" s="3"/>
      <c r="VIX37" s="3"/>
      <c r="VIY37" s="3"/>
      <c r="VIZ37" s="3"/>
      <c r="VJA37" s="3"/>
      <c r="VJB37" s="3"/>
      <c r="VJC37" s="3"/>
      <c r="VJD37" s="3"/>
      <c r="VJE37" s="3"/>
      <c r="VJF37" s="3"/>
      <c r="VJG37" s="3"/>
      <c r="VJH37" s="3"/>
      <c r="VJI37" s="3"/>
      <c r="VJJ37" s="3"/>
      <c r="VJK37" s="3"/>
      <c r="VJL37" s="3"/>
      <c r="VJM37" s="3"/>
      <c r="VJN37" s="3"/>
      <c r="VJO37" s="3"/>
      <c r="VJP37" s="3"/>
      <c r="VJQ37" s="3"/>
      <c r="VJR37" s="3"/>
      <c r="VJS37" s="3"/>
      <c r="VJT37" s="3"/>
      <c r="VJU37" s="3"/>
      <c r="VJV37" s="3"/>
      <c r="VJW37" s="3"/>
      <c r="VJX37" s="3"/>
      <c r="VJY37" s="3"/>
      <c r="VJZ37" s="3"/>
      <c r="VKA37" s="3"/>
      <c r="VKB37" s="3"/>
      <c r="VKC37" s="3"/>
      <c r="VKD37" s="3"/>
      <c r="VKE37" s="3"/>
      <c r="VKF37" s="3"/>
      <c r="VKG37" s="3"/>
      <c r="VKH37" s="3"/>
      <c r="VKI37" s="3"/>
      <c r="VKJ37" s="3"/>
      <c r="VKK37" s="3"/>
      <c r="VKL37" s="3"/>
      <c r="VKM37" s="3"/>
      <c r="VKN37" s="3"/>
      <c r="VKO37" s="3"/>
      <c r="VKP37" s="3"/>
      <c r="VKQ37" s="3"/>
      <c r="VKR37" s="3"/>
      <c r="VKS37" s="3"/>
      <c r="VKT37" s="3"/>
      <c r="VKU37" s="3"/>
      <c r="VKV37" s="3"/>
      <c r="VKW37" s="3"/>
      <c r="VKX37" s="3"/>
      <c r="VKY37" s="3"/>
      <c r="VKZ37" s="3"/>
      <c r="VLA37" s="3"/>
      <c r="VLB37" s="3"/>
      <c r="VLC37" s="3"/>
      <c r="VLD37" s="3"/>
      <c r="VLE37" s="3"/>
      <c r="VLF37" s="3"/>
      <c r="VLG37" s="3"/>
      <c r="VLH37" s="3"/>
      <c r="VLI37" s="3"/>
      <c r="VLJ37" s="3"/>
      <c r="VLK37" s="3"/>
      <c r="VLL37" s="3"/>
      <c r="VLM37" s="3"/>
      <c r="VLN37" s="3"/>
      <c r="VLO37" s="3"/>
      <c r="VLP37" s="3"/>
      <c r="VLQ37" s="3"/>
      <c r="VLR37" s="3"/>
      <c r="VLS37" s="3"/>
      <c r="VLT37" s="3"/>
      <c r="VLU37" s="3"/>
      <c r="VLV37" s="3"/>
      <c r="VLW37" s="3"/>
      <c r="VLX37" s="3"/>
      <c r="VLY37" s="3"/>
      <c r="VLZ37" s="3"/>
      <c r="VMA37" s="3"/>
      <c r="VMB37" s="3"/>
      <c r="VMC37" s="3"/>
      <c r="VMD37" s="3"/>
      <c r="VME37" s="3"/>
      <c r="VMF37" s="3"/>
      <c r="VMG37" s="3"/>
      <c r="VMH37" s="3"/>
      <c r="VMI37" s="3"/>
      <c r="VMJ37" s="3"/>
      <c r="VMK37" s="3"/>
      <c r="VML37" s="3"/>
      <c r="VMM37" s="3"/>
      <c r="VMN37" s="3"/>
      <c r="VMO37" s="3"/>
      <c r="VMP37" s="3"/>
      <c r="VMQ37" s="3"/>
      <c r="VMR37" s="3"/>
      <c r="VMS37" s="3"/>
      <c r="VMT37" s="3"/>
      <c r="VMU37" s="3"/>
      <c r="VMV37" s="3"/>
      <c r="VMW37" s="3"/>
      <c r="VMX37" s="3"/>
      <c r="VMY37" s="3"/>
      <c r="VMZ37" s="3"/>
      <c r="VNA37" s="3"/>
      <c r="VNB37" s="3"/>
      <c r="VNC37" s="3"/>
      <c r="VND37" s="3"/>
      <c r="VNE37" s="3"/>
      <c r="VNF37" s="3"/>
      <c r="VNG37" s="3"/>
      <c r="VNH37" s="3"/>
      <c r="VNI37" s="3"/>
      <c r="VNJ37" s="3"/>
      <c r="VNK37" s="3"/>
      <c r="VNL37" s="3"/>
      <c r="VNM37" s="3"/>
      <c r="VNN37" s="3"/>
      <c r="VNO37" s="3"/>
      <c r="VNP37" s="3"/>
      <c r="VNQ37" s="3"/>
      <c r="VNR37" s="3"/>
      <c r="VNS37" s="3"/>
      <c r="VNT37" s="3"/>
      <c r="VNU37" s="3"/>
      <c r="VNV37" s="3"/>
      <c r="VNW37" s="3"/>
      <c r="VNX37" s="3"/>
      <c r="VNY37" s="3"/>
      <c r="VNZ37" s="3"/>
      <c r="VOA37" s="3"/>
      <c r="VOB37" s="3"/>
      <c r="VOC37" s="3"/>
      <c r="VOD37" s="3"/>
      <c r="VOE37" s="3"/>
      <c r="VOF37" s="3"/>
      <c r="VOG37" s="3"/>
      <c r="VOH37" s="3"/>
      <c r="VOI37" s="3"/>
      <c r="VOJ37" s="3"/>
      <c r="VOK37" s="3"/>
      <c r="VOL37" s="3"/>
      <c r="VOM37" s="3"/>
      <c r="VON37" s="3"/>
      <c r="VOO37" s="3"/>
      <c r="VOP37" s="3"/>
      <c r="VOQ37" s="3"/>
      <c r="VOR37" s="3"/>
      <c r="VOS37" s="3"/>
      <c r="VOT37" s="3"/>
      <c r="VOU37" s="3"/>
      <c r="VOV37" s="3"/>
      <c r="VOW37" s="3"/>
      <c r="VOX37" s="3"/>
      <c r="VOY37" s="3"/>
      <c r="VOZ37" s="3"/>
      <c r="VPA37" s="3"/>
      <c r="VPB37" s="3"/>
      <c r="VPC37" s="3"/>
      <c r="VPD37" s="3"/>
      <c r="VPE37" s="3"/>
      <c r="VPF37" s="3"/>
      <c r="VPG37" s="3"/>
      <c r="VPH37" s="3"/>
      <c r="VPI37" s="3"/>
      <c r="VPJ37" s="3"/>
      <c r="VPK37" s="3"/>
      <c r="VPL37" s="3"/>
      <c r="VPM37" s="3"/>
      <c r="VPN37" s="3"/>
      <c r="VPO37" s="3"/>
      <c r="VPP37" s="3"/>
      <c r="VPQ37" s="3"/>
      <c r="VPR37" s="3"/>
      <c r="VPS37" s="3"/>
      <c r="VPT37" s="3"/>
      <c r="VPU37" s="3"/>
      <c r="VPV37" s="3"/>
      <c r="VPW37" s="3"/>
      <c r="VPX37" s="3"/>
      <c r="VPY37" s="3"/>
      <c r="VPZ37" s="3"/>
      <c r="VQA37" s="3"/>
      <c r="VQB37" s="3"/>
      <c r="VQC37" s="3"/>
      <c r="VQD37" s="3"/>
      <c r="VQE37" s="3"/>
      <c r="VQF37" s="3"/>
      <c r="VQG37" s="3"/>
      <c r="VQH37" s="3"/>
      <c r="VQI37" s="3"/>
      <c r="VQJ37" s="3"/>
      <c r="VQK37" s="3"/>
      <c r="VQL37" s="3"/>
      <c r="VQM37" s="3"/>
      <c r="VQN37" s="3"/>
      <c r="VQO37" s="3"/>
      <c r="VQP37" s="3"/>
      <c r="VQQ37" s="3"/>
      <c r="VQR37" s="3"/>
      <c r="VQS37" s="3"/>
      <c r="VQT37" s="3"/>
      <c r="VQU37" s="3"/>
      <c r="VQV37" s="3"/>
      <c r="VQW37" s="3"/>
      <c r="VQX37" s="3"/>
      <c r="VQY37" s="3"/>
      <c r="VQZ37" s="3"/>
      <c r="VRA37" s="3"/>
      <c r="VRB37" s="3"/>
      <c r="VRC37" s="3"/>
      <c r="VRD37" s="3"/>
      <c r="VRE37" s="3"/>
      <c r="VRF37" s="3"/>
      <c r="VRG37" s="3"/>
      <c r="VRH37" s="3"/>
      <c r="VRI37" s="3"/>
      <c r="VRJ37" s="3"/>
      <c r="VRK37" s="3"/>
      <c r="VRL37" s="3"/>
      <c r="VRM37" s="3"/>
      <c r="VRN37" s="3"/>
      <c r="VRO37" s="3"/>
      <c r="VRP37" s="3"/>
      <c r="VRQ37" s="3"/>
      <c r="VRR37" s="3"/>
      <c r="VRS37" s="3"/>
      <c r="VRT37" s="3"/>
      <c r="VRU37" s="3"/>
      <c r="VRV37" s="3"/>
      <c r="VRW37" s="3"/>
      <c r="VRX37" s="3"/>
      <c r="VRY37" s="3"/>
      <c r="VRZ37" s="3"/>
      <c r="VSA37" s="3"/>
      <c r="VSB37" s="3"/>
      <c r="VSC37" s="3"/>
      <c r="VSD37" s="3"/>
      <c r="VSE37" s="3"/>
      <c r="VSF37" s="3"/>
      <c r="VSG37" s="3"/>
      <c r="VSH37" s="3"/>
      <c r="VSI37" s="3"/>
      <c r="VSJ37" s="3"/>
      <c r="VSK37" s="3"/>
      <c r="VSL37" s="3"/>
      <c r="VSM37" s="3"/>
      <c r="VSN37" s="3"/>
      <c r="VSO37" s="3"/>
      <c r="VSP37" s="3"/>
      <c r="VSQ37" s="3"/>
      <c r="VSR37" s="3"/>
      <c r="VSS37" s="3"/>
      <c r="VST37" s="3"/>
      <c r="VSU37" s="3"/>
      <c r="VSV37" s="3"/>
      <c r="VSW37" s="3"/>
      <c r="VSX37" s="3"/>
      <c r="VSY37" s="3"/>
      <c r="VSZ37" s="3"/>
      <c r="VTA37" s="3"/>
      <c r="VTB37" s="3"/>
      <c r="VTC37" s="3"/>
      <c r="VTD37" s="3"/>
      <c r="VTE37" s="3"/>
      <c r="VTF37" s="3"/>
      <c r="VTG37" s="3"/>
      <c r="VTH37" s="3"/>
      <c r="VTI37" s="3"/>
      <c r="VTJ37" s="3"/>
      <c r="VTK37" s="3"/>
      <c r="VTL37" s="3"/>
      <c r="VTM37" s="3"/>
      <c r="VTN37" s="3"/>
      <c r="VTO37" s="3"/>
      <c r="VTP37" s="3"/>
      <c r="VTQ37" s="3"/>
      <c r="VTR37" s="3"/>
      <c r="VTS37" s="3"/>
      <c r="VTT37" s="3"/>
      <c r="VTU37" s="3"/>
      <c r="VTV37" s="3"/>
      <c r="VTW37" s="3"/>
      <c r="VTX37" s="3"/>
      <c r="VTY37" s="3"/>
      <c r="VTZ37" s="3"/>
      <c r="VUA37" s="3"/>
      <c r="VUB37" s="3"/>
      <c r="VUC37" s="3"/>
      <c r="VUD37" s="3"/>
      <c r="VUE37" s="3"/>
      <c r="VUF37" s="3"/>
      <c r="VUG37" s="3"/>
      <c r="VUH37" s="3"/>
      <c r="VUI37" s="3"/>
      <c r="VUJ37" s="3"/>
      <c r="VUK37" s="3"/>
      <c r="VUL37" s="3"/>
      <c r="VUM37" s="3"/>
      <c r="VUN37" s="3"/>
      <c r="VUO37" s="3"/>
      <c r="VUP37" s="3"/>
      <c r="VUQ37" s="3"/>
      <c r="VUR37" s="3"/>
      <c r="VUS37" s="3"/>
      <c r="VUT37" s="3"/>
      <c r="VUU37" s="3"/>
      <c r="VUV37" s="3"/>
      <c r="VUW37" s="3"/>
      <c r="VUX37" s="3"/>
      <c r="VUY37" s="3"/>
      <c r="VUZ37" s="3"/>
      <c r="VVA37" s="3"/>
      <c r="VVB37" s="3"/>
      <c r="VVC37" s="3"/>
      <c r="VVD37" s="3"/>
      <c r="VVE37" s="3"/>
      <c r="VVF37" s="3"/>
      <c r="VVG37" s="3"/>
      <c r="VVH37" s="3"/>
      <c r="VVI37" s="3"/>
      <c r="VVJ37" s="3"/>
      <c r="VVK37" s="3"/>
      <c r="VVL37" s="3"/>
      <c r="VVM37" s="3"/>
      <c r="VVN37" s="3"/>
      <c r="VVO37" s="3"/>
      <c r="VVP37" s="3"/>
      <c r="VVQ37" s="3"/>
      <c r="VVR37" s="3"/>
      <c r="VVS37" s="3"/>
      <c r="VVT37" s="3"/>
      <c r="VVU37" s="3"/>
      <c r="VVV37" s="3"/>
      <c r="VVW37" s="3"/>
      <c r="VVX37" s="3"/>
      <c r="VVY37" s="3"/>
      <c r="VVZ37" s="3"/>
      <c r="VWA37" s="3"/>
      <c r="VWB37" s="3"/>
      <c r="VWC37" s="3"/>
      <c r="VWD37" s="3"/>
      <c r="VWE37" s="3"/>
      <c r="VWF37" s="3"/>
      <c r="VWG37" s="3"/>
      <c r="VWH37" s="3"/>
      <c r="VWI37" s="3"/>
      <c r="VWJ37" s="3"/>
      <c r="VWK37" s="3"/>
      <c r="VWL37" s="3"/>
      <c r="VWM37" s="3"/>
      <c r="VWN37" s="3"/>
      <c r="VWO37" s="3"/>
      <c r="VWP37" s="3"/>
      <c r="VWQ37" s="3"/>
      <c r="VWR37" s="3"/>
      <c r="VWS37" s="3"/>
      <c r="VWT37" s="3"/>
      <c r="VWU37" s="3"/>
      <c r="VWV37" s="3"/>
      <c r="VWW37" s="3"/>
      <c r="VWX37" s="3"/>
      <c r="VWY37" s="3"/>
      <c r="VWZ37" s="3"/>
      <c r="VXA37" s="3"/>
      <c r="VXB37" s="3"/>
      <c r="VXC37" s="3"/>
      <c r="VXD37" s="3"/>
      <c r="VXE37" s="3"/>
      <c r="VXF37" s="3"/>
      <c r="VXG37" s="3"/>
      <c r="VXH37" s="3"/>
      <c r="VXI37" s="3"/>
      <c r="VXJ37" s="3"/>
      <c r="VXK37" s="3"/>
      <c r="VXL37" s="3"/>
      <c r="VXM37" s="3"/>
      <c r="VXN37" s="3"/>
      <c r="VXO37" s="3"/>
      <c r="VXP37" s="3"/>
      <c r="VXQ37" s="3"/>
      <c r="VXR37" s="3"/>
      <c r="VXS37" s="3"/>
      <c r="VXT37" s="3"/>
      <c r="VXU37" s="3"/>
      <c r="VXV37" s="3"/>
      <c r="VXW37" s="3"/>
      <c r="VXX37" s="3"/>
      <c r="VXY37" s="3"/>
      <c r="VXZ37" s="3"/>
      <c r="VYA37" s="3"/>
      <c r="VYB37" s="3"/>
      <c r="VYC37" s="3"/>
      <c r="VYD37" s="3"/>
      <c r="VYE37" s="3"/>
      <c r="VYF37" s="3"/>
      <c r="VYG37" s="3"/>
      <c r="VYH37" s="3"/>
      <c r="VYI37" s="3"/>
      <c r="VYJ37" s="3"/>
      <c r="VYK37" s="3"/>
      <c r="VYL37" s="3"/>
      <c r="VYM37" s="3"/>
      <c r="VYN37" s="3"/>
      <c r="VYO37" s="3"/>
      <c r="VYP37" s="3"/>
      <c r="VYQ37" s="3"/>
      <c r="VYR37" s="3"/>
      <c r="VYS37" s="3"/>
      <c r="VYT37" s="3"/>
      <c r="VYU37" s="3"/>
      <c r="VYV37" s="3"/>
      <c r="VYW37" s="3"/>
      <c r="VYX37" s="3"/>
      <c r="VYY37" s="3"/>
      <c r="VYZ37" s="3"/>
      <c r="VZA37" s="3"/>
      <c r="VZB37" s="3"/>
      <c r="VZC37" s="3"/>
      <c r="VZD37" s="3"/>
      <c r="VZE37" s="3"/>
      <c r="VZF37" s="3"/>
      <c r="VZG37" s="3"/>
      <c r="VZH37" s="3"/>
      <c r="VZI37" s="3"/>
      <c r="VZJ37" s="3"/>
      <c r="VZK37" s="3"/>
      <c r="VZL37" s="3"/>
      <c r="VZM37" s="3"/>
      <c r="VZN37" s="3"/>
      <c r="VZO37" s="3"/>
      <c r="VZP37" s="3"/>
      <c r="VZQ37" s="3"/>
      <c r="VZR37" s="3"/>
      <c r="VZS37" s="3"/>
      <c r="VZT37" s="3"/>
      <c r="VZU37" s="3"/>
      <c r="VZV37" s="3"/>
      <c r="VZW37" s="3"/>
      <c r="VZX37" s="3"/>
      <c r="VZY37" s="3"/>
      <c r="VZZ37" s="3"/>
      <c r="WAA37" s="3"/>
      <c r="WAB37" s="3"/>
      <c r="WAC37" s="3"/>
      <c r="WAD37" s="3"/>
      <c r="WAE37" s="3"/>
      <c r="WAF37" s="3"/>
      <c r="WAG37" s="3"/>
      <c r="WAH37" s="3"/>
      <c r="WAI37" s="3"/>
      <c r="WAJ37" s="3"/>
      <c r="WAK37" s="3"/>
      <c r="WAL37" s="3"/>
      <c r="WAM37" s="3"/>
      <c r="WAN37" s="3"/>
      <c r="WAO37" s="3"/>
      <c r="WAP37" s="3"/>
      <c r="WAQ37" s="3"/>
      <c r="WAR37" s="3"/>
      <c r="WAS37" s="3"/>
      <c r="WAT37" s="3"/>
      <c r="WAU37" s="3"/>
      <c r="WAV37" s="3"/>
      <c r="WAW37" s="3"/>
      <c r="WAX37" s="3"/>
      <c r="WAY37" s="3"/>
      <c r="WAZ37" s="3"/>
      <c r="WBA37" s="3"/>
      <c r="WBB37" s="3"/>
      <c r="WBC37" s="3"/>
      <c r="WBD37" s="3"/>
      <c r="WBE37" s="3"/>
      <c r="WBF37" s="3"/>
      <c r="WBG37" s="3"/>
      <c r="WBH37" s="3"/>
      <c r="WBI37" s="3"/>
      <c r="WBJ37" s="3"/>
      <c r="WBK37" s="3"/>
      <c r="WBL37" s="3"/>
      <c r="WBM37" s="3"/>
      <c r="WBN37" s="3"/>
      <c r="WBO37" s="3"/>
      <c r="WBP37" s="3"/>
      <c r="WBQ37" s="3"/>
      <c r="WBR37" s="3"/>
      <c r="WBS37" s="3"/>
      <c r="WBT37" s="3"/>
      <c r="WBU37" s="3"/>
      <c r="WBV37" s="3"/>
      <c r="WBW37" s="3"/>
      <c r="WBX37" s="3"/>
      <c r="WBY37" s="3"/>
      <c r="WBZ37" s="3"/>
      <c r="WCA37" s="3"/>
      <c r="WCB37" s="3"/>
      <c r="WCC37" s="3"/>
      <c r="WCD37" s="3"/>
      <c r="WCE37" s="3"/>
      <c r="WCF37" s="3"/>
      <c r="WCG37" s="3"/>
      <c r="WCH37" s="3"/>
      <c r="WCI37" s="3"/>
      <c r="WCJ37" s="3"/>
      <c r="WCK37" s="3"/>
      <c r="WCL37" s="3"/>
      <c r="WCM37" s="3"/>
      <c r="WCN37" s="3"/>
      <c r="WCO37" s="3"/>
      <c r="WCP37" s="3"/>
      <c r="WCQ37" s="3"/>
      <c r="WCR37" s="3"/>
      <c r="WCS37" s="3"/>
      <c r="WCT37" s="3"/>
      <c r="WCU37" s="3"/>
      <c r="WCV37" s="3"/>
      <c r="WCW37" s="3"/>
      <c r="WCX37" s="3"/>
      <c r="WCY37" s="3"/>
      <c r="WCZ37" s="3"/>
      <c r="WDA37" s="3"/>
      <c r="WDB37" s="3"/>
      <c r="WDC37" s="3"/>
      <c r="WDD37" s="3"/>
      <c r="WDE37" s="3"/>
      <c r="WDF37" s="3"/>
      <c r="WDG37" s="3"/>
      <c r="WDH37" s="3"/>
      <c r="WDI37" s="3"/>
      <c r="WDJ37" s="3"/>
      <c r="WDK37" s="3"/>
      <c r="WDL37" s="3"/>
      <c r="WDM37" s="3"/>
      <c r="WDN37" s="3"/>
      <c r="WDO37" s="3"/>
      <c r="WDP37" s="3"/>
      <c r="WDQ37" s="3"/>
      <c r="WDR37" s="3"/>
      <c r="WDS37" s="3"/>
      <c r="WDT37" s="3"/>
      <c r="WDU37" s="3"/>
      <c r="WDV37" s="3"/>
      <c r="WDW37" s="3"/>
      <c r="WDX37" s="3"/>
      <c r="WDY37" s="3"/>
      <c r="WDZ37" s="3"/>
      <c r="WEA37" s="3"/>
      <c r="WEB37" s="3"/>
      <c r="WEC37" s="3"/>
      <c r="WED37" s="3"/>
      <c r="WEE37" s="3"/>
      <c r="WEF37" s="3"/>
      <c r="WEG37" s="3"/>
      <c r="WEH37" s="3"/>
      <c r="WEI37" s="3"/>
      <c r="WEJ37" s="3"/>
      <c r="WEK37" s="3"/>
      <c r="WEL37" s="3"/>
      <c r="WEM37" s="3"/>
      <c r="WEN37" s="3"/>
      <c r="WEO37" s="3"/>
      <c r="WEP37" s="3"/>
      <c r="WEQ37" s="3"/>
      <c r="WER37" s="3"/>
      <c r="WES37" s="3"/>
      <c r="WET37" s="3"/>
      <c r="WEU37" s="3"/>
      <c r="WEV37" s="3"/>
      <c r="WEW37" s="3"/>
      <c r="WEX37" s="3"/>
      <c r="WEY37" s="3"/>
      <c r="WEZ37" s="3"/>
      <c r="WFA37" s="3"/>
      <c r="WFB37" s="3"/>
      <c r="WFC37" s="3"/>
      <c r="WFD37" s="3"/>
      <c r="WFE37" s="3"/>
      <c r="WFF37" s="3"/>
      <c r="WFG37" s="3"/>
      <c r="WFH37" s="3"/>
      <c r="WFI37" s="3"/>
      <c r="WFJ37" s="3"/>
      <c r="WFK37" s="3"/>
      <c r="WFL37" s="3"/>
      <c r="WFM37" s="3"/>
      <c r="WFN37" s="3"/>
      <c r="WFO37" s="3"/>
      <c r="WFP37" s="3"/>
      <c r="WFQ37" s="3"/>
      <c r="WFR37" s="3"/>
      <c r="WFS37" s="3"/>
      <c r="WFT37" s="3"/>
      <c r="WFU37" s="3"/>
      <c r="WFV37" s="3"/>
      <c r="WFW37" s="3"/>
      <c r="WFX37" s="3"/>
      <c r="WFY37" s="3"/>
      <c r="WFZ37" s="3"/>
      <c r="WGA37" s="3"/>
      <c r="WGB37" s="3"/>
      <c r="WGC37" s="3"/>
      <c r="WGD37" s="3"/>
      <c r="WGE37" s="3"/>
      <c r="WGF37" s="3"/>
      <c r="WGG37" s="3"/>
      <c r="WGH37" s="3"/>
      <c r="WGI37" s="3"/>
      <c r="WGJ37" s="3"/>
      <c r="WGK37" s="3"/>
      <c r="WGL37" s="3"/>
      <c r="WGM37" s="3"/>
      <c r="WGN37" s="3"/>
      <c r="WGO37" s="3"/>
      <c r="WGP37" s="3"/>
      <c r="WGQ37" s="3"/>
      <c r="WGR37" s="3"/>
      <c r="WGS37" s="3"/>
      <c r="WGT37" s="3"/>
      <c r="WGU37" s="3"/>
      <c r="WGV37" s="3"/>
      <c r="WGW37" s="3"/>
      <c r="WGX37" s="3"/>
      <c r="WGY37" s="3"/>
      <c r="WGZ37" s="3"/>
      <c r="WHA37" s="3"/>
      <c r="WHB37" s="3"/>
      <c r="WHC37" s="3"/>
      <c r="WHD37" s="3"/>
      <c r="WHE37" s="3"/>
      <c r="WHF37" s="3"/>
      <c r="WHG37" s="3"/>
      <c r="WHH37" s="3"/>
      <c r="WHI37" s="3"/>
      <c r="WHJ37" s="3"/>
      <c r="WHK37" s="3"/>
      <c r="WHL37" s="3"/>
      <c r="WHM37" s="3"/>
      <c r="WHN37" s="3"/>
      <c r="WHO37" s="3"/>
      <c r="WHP37" s="3"/>
      <c r="WHQ37" s="3"/>
      <c r="WHR37" s="3"/>
      <c r="WHS37" s="3"/>
      <c r="WHT37" s="3"/>
      <c r="WHU37" s="3"/>
      <c r="WHV37" s="3"/>
      <c r="WHW37" s="3"/>
      <c r="WHX37" s="3"/>
      <c r="WHY37" s="3"/>
      <c r="WHZ37" s="3"/>
      <c r="WIA37" s="3"/>
      <c r="WIB37" s="3"/>
      <c r="WIC37" s="3"/>
      <c r="WID37" s="3"/>
      <c r="WIE37" s="3"/>
      <c r="WIF37" s="3"/>
      <c r="WIG37" s="3"/>
      <c r="WIH37" s="3"/>
      <c r="WII37" s="3"/>
      <c r="WIJ37" s="3"/>
      <c r="WIK37" s="3"/>
      <c r="WIL37" s="3"/>
      <c r="WIM37" s="3"/>
      <c r="WIN37" s="3"/>
      <c r="WIO37" s="3"/>
      <c r="WIP37" s="3"/>
      <c r="WIQ37" s="3"/>
      <c r="WIR37" s="3"/>
      <c r="WIS37" s="3"/>
      <c r="WIT37" s="3"/>
      <c r="WIU37" s="3"/>
      <c r="WIV37" s="3"/>
      <c r="WIW37" s="3"/>
      <c r="WIX37" s="3"/>
      <c r="WIY37" s="3"/>
      <c r="WIZ37" s="3"/>
      <c r="WJA37" s="3"/>
      <c r="WJB37" s="3"/>
      <c r="WJC37" s="3"/>
      <c r="WJD37" s="3"/>
      <c r="WJE37" s="3"/>
      <c r="WJF37" s="3"/>
      <c r="WJG37" s="3"/>
      <c r="WJH37" s="3"/>
      <c r="WJI37" s="3"/>
      <c r="WJJ37" s="3"/>
      <c r="WJK37" s="3"/>
      <c r="WJL37" s="3"/>
      <c r="WJM37" s="3"/>
      <c r="WJN37" s="3"/>
      <c r="WJO37" s="3"/>
      <c r="WJP37" s="3"/>
      <c r="WJQ37" s="3"/>
      <c r="WJR37" s="3"/>
      <c r="WJS37" s="3"/>
      <c r="WJT37" s="3"/>
      <c r="WJU37" s="3"/>
      <c r="WJV37" s="3"/>
      <c r="WJW37" s="3"/>
      <c r="WJX37" s="3"/>
      <c r="WJY37" s="3"/>
      <c r="WJZ37" s="3"/>
      <c r="WKA37" s="3"/>
      <c r="WKB37" s="3"/>
      <c r="WKC37" s="3"/>
      <c r="WKD37" s="3"/>
      <c r="WKE37" s="3"/>
      <c r="WKF37" s="3"/>
      <c r="WKG37" s="3"/>
      <c r="WKH37" s="3"/>
      <c r="WKI37" s="3"/>
      <c r="WKJ37" s="3"/>
      <c r="WKK37" s="3"/>
      <c r="WKL37" s="3"/>
      <c r="WKM37" s="3"/>
      <c r="WKN37" s="3"/>
      <c r="WKO37" s="3"/>
      <c r="WKP37" s="3"/>
      <c r="WKQ37" s="3"/>
      <c r="WKR37" s="3"/>
      <c r="WKS37" s="3"/>
      <c r="WKT37" s="3"/>
      <c r="WKU37" s="3"/>
      <c r="WKV37" s="3"/>
      <c r="WKW37" s="3"/>
      <c r="WKX37" s="3"/>
      <c r="WKY37" s="3"/>
      <c r="WKZ37" s="3"/>
      <c r="WLA37" s="3"/>
      <c r="WLB37" s="3"/>
      <c r="WLC37" s="3"/>
      <c r="WLD37" s="3"/>
      <c r="WLE37" s="3"/>
      <c r="WLF37" s="3"/>
      <c r="WLG37" s="3"/>
      <c r="WLH37" s="3"/>
      <c r="WLI37" s="3"/>
      <c r="WLJ37" s="3"/>
      <c r="WLK37" s="3"/>
      <c r="WLL37" s="3"/>
      <c r="WLM37" s="3"/>
      <c r="WLN37" s="3"/>
      <c r="WLO37" s="3"/>
      <c r="WLP37" s="3"/>
      <c r="WLQ37" s="3"/>
      <c r="WLR37" s="3"/>
      <c r="WLS37" s="3"/>
      <c r="WLT37" s="3"/>
      <c r="WLU37" s="3"/>
      <c r="WLV37" s="3"/>
      <c r="WLW37" s="3"/>
      <c r="WLX37" s="3"/>
      <c r="WLY37" s="3"/>
      <c r="WLZ37" s="3"/>
      <c r="WMA37" s="3"/>
      <c r="WMB37" s="3"/>
      <c r="WMC37" s="3"/>
      <c r="WMD37" s="3"/>
      <c r="WME37" s="3"/>
      <c r="WMF37" s="3"/>
      <c r="WMG37" s="3"/>
      <c r="WMH37" s="3"/>
      <c r="WMI37" s="3"/>
      <c r="WMJ37" s="3"/>
      <c r="WMK37" s="3"/>
      <c r="WML37" s="3"/>
      <c r="WMM37" s="3"/>
      <c r="WMN37" s="3"/>
      <c r="WMO37" s="3"/>
      <c r="WMP37" s="3"/>
      <c r="WMQ37" s="3"/>
      <c r="WMR37" s="3"/>
      <c r="WMS37" s="3"/>
      <c r="WMT37" s="3"/>
      <c r="WMU37" s="3"/>
      <c r="WMV37" s="3"/>
      <c r="WMW37" s="3"/>
      <c r="WMX37" s="3"/>
      <c r="WMY37" s="3"/>
      <c r="WMZ37" s="3"/>
      <c r="WNA37" s="3"/>
      <c r="WNB37" s="3"/>
      <c r="WNC37" s="3"/>
      <c r="WND37" s="3"/>
      <c r="WNE37" s="3"/>
      <c r="WNF37" s="3"/>
      <c r="WNG37" s="3"/>
      <c r="WNH37" s="3"/>
      <c r="WNI37" s="3"/>
      <c r="WNJ37" s="3"/>
      <c r="WNK37" s="3"/>
      <c r="WNL37" s="3"/>
      <c r="WNM37" s="3"/>
      <c r="WNN37" s="3"/>
      <c r="WNO37" s="3"/>
      <c r="WNP37" s="3"/>
      <c r="WNQ37" s="3"/>
      <c r="WNR37" s="3"/>
      <c r="WNS37" s="3"/>
      <c r="WNT37" s="3"/>
      <c r="WNU37" s="3"/>
      <c r="WNV37" s="3"/>
      <c r="WNW37" s="3"/>
      <c r="WNX37" s="3"/>
      <c r="WNY37" s="3"/>
      <c r="WNZ37" s="3"/>
      <c r="WOA37" s="3"/>
      <c r="WOB37" s="3"/>
      <c r="WOC37" s="3"/>
      <c r="WOD37" s="3"/>
      <c r="WOE37" s="3"/>
      <c r="WOF37" s="3"/>
      <c r="WOG37" s="3"/>
      <c r="WOH37" s="3"/>
      <c r="WOI37" s="3"/>
      <c r="WOJ37" s="3"/>
      <c r="WOK37" s="3"/>
      <c r="WOL37" s="3"/>
      <c r="WOM37" s="3"/>
      <c r="WON37" s="3"/>
      <c r="WOO37" s="3"/>
      <c r="WOP37" s="3"/>
      <c r="WOQ37" s="3"/>
      <c r="WOR37" s="3"/>
      <c r="WOS37" s="3"/>
      <c r="WOT37" s="3"/>
      <c r="WOU37" s="3"/>
      <c r="WOV37" s="3"/>
      <c r="WOW37" s="3"/>
      <c r="WOX37" s="3"/>
      <c r="WOY37" s="3"/>
      <c r="WOZ37" s="3"/>
      <c r="WPA37" s="3"/>
      <c r="WPB37" s="3"/>
      <c r="WPC37" s="3"/>
      <c r="WPD37" s="3"/>
      <c r="WPE37" s="3"/>
      <c r="WPF37" s="3"/>
      <c r="WPG37" s="3"/>
      <c r="WPH37" s="3"/>
      <c r="WPI37" s="3"/>
      <c r="WPJ37" s="3"/>
      <c r="WPK37" s="3"/>
      <c r="WPL37" s="3"/>
      <c r="WPM37" s="3"/>
      <c r="WPN37" s="3"/>
      <c r="WPO37" s="3"/>
      <c r="WPP37" s="3"/>
      <c r="WPQ37" s="3"/>
      <c r="WPR37" s="3"/>
      <c r="WPS37" s="3"/>
      <c r="WPT37" s="3"/>
      <c r="WPU37" s="3"/>
      <c r="WPV37" s="3"/>
      <c r="WPW37" s="3"/>
      <c r="WPX37" s="3"/>
      <c r="WPY37" s="3"/>
      <c r="WPZ37" s="3"/>
      <c r="WQA37" s="3"/>
      <c r="WQB37" s="3"/>
      <c r="WQC37" s="3"/>
      <c r="WQD37" s="3"/>
      <c r="WQE37" s="3"/>
      <c r="WQF37" s="3"/>
      <c r="WQG37" s="3"/>
      <c r="WQH37" s="3"/>
      <c r="WQI37" s="3"/>
      <c r="WQJ37" s="3"/>
      <c r="WQK37" s="3"/>
      <c r="WQL37" s="3"/>
      <c r="WQM37" s="3"/>
      <c r="WQN37" s="3"/>
      <c r="WQO37" s="3"/>
      <c r="WQP37" s="3"/>
      <c r="WQQ37" s="3"/>
      <c r="WQR37" s="3"/>
      <c r="WQS37" s="3"/>
      <c r="WQT37" s="3"/>
      <c r="WQU37" s="3"/>
      <c r="WQV37" s="3"/>
      <c r="WQW37" s="3"/>
      <c r="WQX37" s="3"/>
      <c r="WQY37" s="3"/>
      <c r="WQZ37" s="3"/>
      <c r="WRA37" s="3"/>
      <c r="WRB37" s="3"/>
      <c r="WRC37" s="3"/>
      <c r="WRD37" s="3"/>
      <c r="WRE37" s="3"/>
      <c r="WRF37" s="3"/>
      <c r="WRG37" s="3"/>
      <c r="WRH37" s="3"/>
      <c r="WRI37" s="3"/>
      <c r="WRJ37" s="3"/>
      <c r="WRK37" s="3"/>
      <c r="WRL37" s="3"/>
      <c r="WRM37" s="3"/>
      <c r="WRN37" s="3"/>
      <c r="WRO37" s="3"/>
      <c r="WRP37" s="3"/>
      <c r="WRQ37" s="3"/>
      <c r="WRR37" s="3"/>
      <c r="WRS37" s="3"/>
      <c r="WRT37" s="3"/>
      <c r="WRU37" s="3"/>
      <c r="WRV37" s="3"/>
      <c r="WRW37" s="3"/>
      <c r="WRX37" s="3"/>
      <c r="WRY37" s="3"/>
      <c r="WRZ37" s="3"/>
      <c r="WSA37" s="3"/>
      <c r="WSB37" s="3"/>
      <c r="WSC37" s="3"/>
      <c r="WSD37" s="3"/>
      <c r="WSE37" s="3"/>
      <c r="WSF37" s="3"/>
      <c r="WSG37" s="3"/>
      <c r="WSH37" s="3"/>
      <c r="WSI37" s="3"/>
      <c r="WSJ37" s="3"/>
      <c r="WSK37" s="3"/>
      <c r="WSL37" s="3"/>
      <c r="WSM37" s="3"/>
      <c r="WSN37" s="3"/>
      <c r="WSO37" s="3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16384">
      <c r="C38" s="18"/>
      <c r="D38" s="19">
        <f t="shared" si="2"/>
        <v>0</v>
      </c>
      <c r="E38" s="19">
        <f t="shared" si="3"/>
        <v>0</v>
      </c>
    </row>
    <row r="39" spans="1:16384" s="1" customFormat="1" ht="14.25">
      <c r="D39" s="20">
        <f>SUM(D35:D38)</f>
        <v>4.3565846348715507</v>
      </c>
      <c r="E39" s="20">
        <f>SUM(E35:E38)</f>
        <v>2.0494609070865395</v>
      </c>
    </row>
    <row r="40" spans="1:16384" s="1" customFormat="1" ht="14.25"/>
    <row r="41" spans="1:16384" s="1" customFormat="1" ht="14.25"/>
    <row r="42" spans="1:16384" s="1" customFormat="1" ht="14.25"/>
    <row r="48" spans="1:16384" hidden="1"/>
    <row r="49" spans="16058:16071" hidden="1"/>
    <row r="55" spans="16058:16071" s="3" customFormat="1"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</row>
    <row r="56" spans="16058:16071" s="3" customFormat="1"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</row>
    <row r="59" spans="16058:16071" s="5" customFormat="1" ht="14.25"/>
    <row r="60" spans="16058:16071" s="5" customFormat="1" ht="14.25"/>
    <row r="61" spans="16058:16071" s="5" customFormat="1" ht="14.25"/>
    <row r="63" spans="16058:16071" s="6" customFormat="1"/>
    <row r="64" spans="16058:16071" s="1" customFormat="1" ht="14.25"/>
    <row r="65" spans="1:16057" s="1" customFormat="1" ht="14.25"/>
    <row r="66" spans="1:16057" s="1" customFormat="1" ht="14.25"/>
    <row r="67" spans="1:16057" s="1" customFormat="1" ht="14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  <c r="BCX67" s="3"/>
      <c r="BCY67" s="3"/>
      <c r="BCZ67" s="3"/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/>
      <c r="BDV67" s="3"/>
      <c r="BDW67" s="3"/>
      <c r="BDX67" s="3"/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/>
      <c r="BIB67" s="3"/>
      <c r="BIC67" s="3"/>
      <c r="BID67" s="3"/>
      <c r="BIE67" s="3"/>
      <c r="BIF67" s="3"/>
      <c r="BIG67" s="3"/>
      <c r="BIH67" s="3"/>
      <c r="BII67" s="3"/>
      <c r="BIJ67" s="3"/>
      <c r="BIK67" s="3"/>
      <c r="BIL67" s="3"/>
      <c r="BIM67" s="3"/>
      <c r="BIN67" s="3"/>
      <c r="BIO67" s="3"/>
      <c r="BIP67" s="3"/>
      <c r="BIQ67" s="3"/>
      <c r="BIR67" s="3"/>
      <c r="BIS67" s="3"/>
      <c r="BIT67" s="3"/>
      <c r="BIU67" s="3"/>
      <c r="BIV67" s="3"/>
      <c r="BIW67" s="3"/>
      <c r="BIX67" s="3"/>
      <c r="BIY67" s="3"/>
      <c r="BIZ67" s="3"/>
      <c r="BJA67" s="3"/>
      <c r="BJB67" s="3"/>
      <c r="BJC67" s="3"/>
      <c r="BJD67" s="3"/>
      <c r="BJE67" s="3"/>
      <c r="BJF67" s="3"/>
      <c r="BJG67" s="3"/>
      <c r="BJH67" s="3"/>
      <c r="BJI67" s="3"/>
      <c r="BJJ67" s="3"/>
      <c r="BJK67" s="3"/>
      <c r="BJL67" s="3"/>
      <c r="BJM67" s="3"/>
      <c r="BJN67" s="3"/>
      <c r="BJO67" s="3"/>
      <c r="BJP67" s="3"/>
      <c r="BJQ67" s="3"/>
      <c r="BJR67" s="3"/>
      <c r="BJS67" s="3"/>
      <c r="BJT67" s="3"/>
      <c r="BJU67" s="3"/>
      <c r="BJV67" s="3"/>
      <c r="BJW67" s="3"/>
      <c r="BJX67" s="3"/>
      <c r="BJY67" s="3"/>
      <c r="BJZ67" s="3"/>
      <c r="BKA67" s="3"/>
      <c r="BKB67" s="3"/>
      <c r="BKC67" s="3"/>
      <c r="BKD67" s="3"/>
      <c r="BKE67" s="3"/>
      <c r="BKF67" s="3"/>
      <c r="BKG67" s="3"/>
      <c r="BKH67" s="3"/>
      <c r="BKI67" s="3"/>
      <c r="BKJ67" s="3"/>
      <c r="BKK67" s="3"/>
      <c r="BKL67" s="3"/>
      <c r="BKM67" s="3"/>
      <c r="BKN67" s="3"/>
      <c r="BKO67" s="3"/>
      <c r="BKP67" s="3"/>
      <c r="BKQ67" s="3"/>
      <c r="BKR67" s="3"/>
      <c r="BKS67" s="3"/>
      <c r="BKT67" s="3"/>
      <c r="BKU67" s="3"/>
      <c r="BKV67" s="3"/>
      <c r="BKW67" s="3"/>
      <c r="BKX67" s="3"/>
      <c r="BKY67" s="3"/>
      <c r="BKZ67" s="3"/>
      <c r="BLA67" s="3"/>
      <c r="BLB67" s="3"/>
      <c r="BLC67" s="3"/>
      <c r="BLD67" s="3"/>
      <c r="BLE67" s="3"/>
      <c r="BLF67" s="3"/>
      <c r="BLG67" s="3"/>
      <c r="BLH67" s="3"/>
      <c r="BLI67" s="3"/>
      <c r="BLJ67" s="3"/>
      <c r="BLK67" s="3"/>
      <c r="BLL67" s="3"/>
      <c r="BLM67" s="3"/>
      <c r="BLN67" s="3"/>
      <c r="BLO67" s="3"/>
      <c r="BLP67" s="3"/>
      <c r="BLQ67" s="3"/>
      <c r="BLR67" s="3"/>
      <c r="BLS67" s="3"/>
      <c r="BLT67" s="3"/>
      <c r="BLU67" s="3"/>
      <c r="BLV67" s="3"/>
      <c r="BLW67" s="3"/>
      <c r="BLX67" s="3"/>
      <c r="BLY67" s="3"/>
      <c r="BLZ67" s="3"/>
      <c r="BMA67" s="3"/>
      <c r="BMB67" s="3"/>
      <c r="BMC67" s="3"/>
      <c r="BMD67" s="3"/>
      <c r="BME67" s="3"/>
      <c r="BMF67" s="3"/>
      <c r="BMG67" s="3"/>
      <c r="BMH67" s="3"/>
      <c r="BMI67" s="3"/>
      <c r="BMJ67" s="3"/>
      <c r="BMK67" s="3"/>
      <c r="BML67" s="3"/>
      <c r="BMM67" s="3"/>
      <c r="BMN67" s="3"/>
      <c r="BMO67" s="3"/>
      <c r="BMP67" s="3"/>
      <c r="BMQ67" s="3"/>
      <c r="BMR67" s="3"/>
      <c r="BMS67" s="3"/>
      <c r="BMT67" s="3"/>
      <c r="BMU67" s="3"/>
      <c r="BMV67" s="3"/>
      <c r="BMW67" s="3"/>
      <c r="BMX67" s="3"/>
      <c r="BMY67" s="3"/>
      <c r="BMZ67" s="3"/>
      <c r="BNA67" s="3"/>
      <c r="BNB67" s="3"/>
      <c r="BNC67" s="3"/>
      <c r="BND67" s="3"/>
      <c r="BNE67" s="3"/>
      <c r="BNF67" s="3"/>
      <c r="BNG67" s="3"/>
      <c r="BNH67" s="3"/>
      <c r="BNI67" s="3"/>
      <c r="BNJ67" s="3"/>
      <c r="BNK67" s="3"/>
      <c r="BNL67" s="3"/>
      <c r="BNM67" s="3"/>
      <c r="BNN67" s="3"/>
      <c r="BNO67" s="3"/>
      <c r="BNP67" s="3"/>
      <c r="BNQ67" s="3"/>
      <c r="BNR67" s="3"/>
      <c r="BNS67" s="3"/>
      <c r="BNT67" s="3"/>
      <c r="BNU67" s="3"/>
      <c r="BNV67" s="3"/>
      <c r="BNW67" s="3"/>
      <c r="BNX67" s="3"/>
      <c r="BNY67" s="3"/>
      <c r="BNZ67" s="3"/>
      <c r="BOA67" s="3"/>
      <c r="BOB67" s="3"/>
      <c r="BOC67" s="3"/>
      <c r="BOD67" s="3"/>
      <c r="BOE67" s="3"/>
      <c r="BOF67" s="3"/>
      <c r="BOG67" s="3"/>
      <c r="BOH67" s="3"/>
      <c r="BOI67" s="3"/>
      <c r="BOJ67" s="3"/>
      <c r="BOK67" s="3"/>
      <c r="BOL67" s="3"/>
      <c r="BOM67" s="3"/>
      <c r="BON67" s="3"/>
      <c r="BOO67" s="3"/>
      <c r="BOP67" s="3"/>
      <c r="BOQ67" s="3"/>
      <c r="BOR67" s="3"/>
      <c r="BOS67" s="3"/>
      <c r="BOT67" s="3"/>
      <c r="BOU67" s="3"/>
      <c r="BOV67" s="3"/>
      <c r="BOW67" s="3"/>
      <c r="BOX67" s="3"/>
      <c r="BOY67" s="3"/>
      <c r="BOZ67" s="3"/>
      <c r="BPA67" s="3"/>
      <c r="BPB67" s="3"/>
      <c r="BPC67" s="3"/>
      <c r="BPD67" s="3"/>
      <c r="BPE67" s="3"/>
      <c r="BPF67" s="3"/>
      <c r="BPG67" s="3"/>
      <c r="BPH67" s="3"/>
      <c r="BPI67" s="3"/>
      <c r="BPJ67" s="3"/>
      <c r="BPK67" s="3"/>
      <c r="BPL67" s="3"/>
      <c r="BPM67" s="3"/>
      <c r="BPN67" s="3"/>
      <c r="BPO67" s="3"/>
      <c r="BPP67" s="3"/>
      <c r="BPQ67" s="3"/>
      <c r="BPR67" s="3"/>
      <c r="BPS67" s="3"/>
      <c r="BPT67" s="3"/>
      <c r="BPU67" s="3"/>
      <c r="BPV67" s="3"/>
      <c r="BPW67" s="3"/>
      <c r="BPX67" s="3"/>
      <c r="BPY67" s="3"/>
      <c r="BPZ67" s="3"/>
      <c r="BQA67" s="3"/>
      <c r="BQB67" s="3"/>
      <c r="BQC67" s="3"/>
      <c r="BQD67" s="3"/>
      <c r="BQE67" s="3"/>
      <c r="BQF67" s="3"/>
      <c r="BQG67" s="3"/>
      <c r="BQH67" s="3"/>
      <c r="BQI67" s="3"/>
      <c r="BQJ67" s="3"/>
      <c r="BQK67" s="3"/>
      <c r="BQL67" s="3"/>
      <c r="BQM67" s="3"/>
      <c r="BQN67" s="3"/>
      <c r="BQO67" s="3"/>
      <c r="BQP67" s="3"/>
      <c r="BQQ67" s="3"/>
      <c r="BQR67" s="3"/>
      <c r="BQS67" s="3"/>
      <c r="BQT67" s="3"/>
      <c r="BQU67" s="3"/>
      <c r="BQV67" s="3"/>
      <c r="BQW67" s="3"/>
      <c r="BQX67" s="3"/>
      <c r="BQY67" s="3"/>
      <c r="BQZ67" s="3"/>
      <c r="BRA67" s="3"/>
      <c r="BRB67" s="3"/>
      <c r="BRC67" s="3"/>
      <c r="BRD67" s="3"/>
      <c r="BRE67" s="3"/>
      <c r="BRF67" s="3"/>
      <c r="BRG67" s="3"/>
      <c r="BRH67" s="3"/>
      <c r="BRI67" s="3"/>
      <c r="BRJ67" s="3"/>
      <c r="BRK67" s="3"/>
      <c r="BRL67" s="3"/>
      <c r="BRM67" s="3"/>
      <c r="BRN67" s="3"/>
      <c r="BRO67" s="3"/>
      <c r="BRP67" s="3"/>
      <c r="BRQ67" s="3"/>
      <c r="BRR67" s="3"/>
      <c r="BRS67" s="3"/>
      <c r="BRT67" s="3"/>
      <c r="BRU67" s="3"/>
      <c r="BRV67" s="3"/>
      <c r="BRW67" s="3"/>
      <c r="BRX67" s="3"/>
      <c r="BRY67" s="3"/>
      <c r="BRZ67" s="3"/>
      <c r="BSA67" s="3"/>
      <c r="BSB67" s="3"/>
      <c r="BSC67" s="3"/>
      <c r="BSD67" s="3"/>
      <c r="BSE67" s="3"/>
      <c r="BSF67" s="3"/>
      <c r="BSG67" s="3"/>
      <c r="BSH67" s="3"/>
      <c r="BSI67" s="3"/>
      <c r="BSJ67" s="3"/>
      <c r="BSK67" s="3"/>
      <c r="BSL67" s="3"/>
      <c r="BSM67" s="3"/>
      <c r="BSN67" s="3"/>
      <c r="BSO67" s="3"/>
      <c r="BSP67" s="3"/>
      <c r="BSQ67" s="3"/>
      <c r="BSR67" s="3"/>
      <c r="BSS67" s="3"/>
      <c r="BST67" s="3"/>
      <c r="BSU67" s="3"/>
      <c r="BSV67" s="3"/>
      <c r="BSW67" s="3"/>
      <c r="BSX67" s="3"/>
      <c r="BSY67" s="3"/>
      <c r="BSZ67" s="3"/>
      <c r="BTA67" s="3"/>
      <c r="BTB67" s="3"/>
      <c r="BTC67" s="3"/>
      <c r="BTD67" s="3"/>
      <c r="BTE67" s="3"/>
      <c r="BTF67" s="3"/>
      <c r="BTG67" s="3"/>
      <c r="BTH67" s="3"/>
      <c r="BTI67" s="3"/>
      <c r="BTJ67" s="3"/>
      <c r="BTK67" s="3"/>
      <c r="BTL67" s="3"/>
      <c r="BTM67" s="3"/>
      <c r="BTN67" s="3"/>
      <c r="BTO67" s="3"/>
      <c r="BTP67" s="3"/>
      <c r="BTQ67" s="3"/>
      <c r="BTR67" s="3"/>
      <c r="BTS67" s="3"/>
      <c r="BTT67" s="3"/>
      <c r="BTU67" s="3"/>
      <c r="BTV67" s="3"/>
      <c r="BTW67" s="3"/>
      <c r="BTX67" s="3"/>
      <c r="BTY67" s="3"/>
      <c r="BTZ67" s="3"/>
      <c r="BUA67" s="3"/>
      <c r="BUB67" s="3"/>
      <c r="BUC67" s="3"/>
      <c r="BUD67" s="3"/>
      <c r="BUE67" s="3"/>
      <c r="BUF67" s="3"/>
      <c r="BUG67" s="3"/>
      <c r="BUH67" s="3"/>
      <c r="BUI67" s="3"/>
      <c r="BUJ67" s="3"/>
      <c r="BUK67" s="3"/>
      <c r="BUL67" s="3"/>
      <c r="BUM67" s="3"/>
      <c r="BUN67" s="3"/>
      <c r="BUO67" s="3"/>
      <c r="BUP67" s="3"/>
      <c r="BUQ67" s="3"/>
      <c r="BUR67" s="3"/>
      <c r="BUS67" s="3"/>
      <c r="BUT67" s="3"/>
      <c r="BUU67" s="3"/>
      <c r="BUV67" s="3"/>
      <c r="BUW67" s="3"/>
      <c r="BUX67" s="3"/>
      <c r="BUY67" s="3"/>
      <c r="BUZ67" s="3"/>
      <c r="BVA67" s="3"/>
      <c r="BVB67" s="3"/>
      <c r="BVC67" s="3"/>
      <c r="BVD67" s="3"/>
      <c r="BVE67" s="3"/>
      <c r="BVF67" s="3"/>
      <c r="BVG67" s="3"/>
      <c r="BVH67" s="3"/>
      <c r="BVI67" s="3"/>
      <c r="BVJ67" s="3"/>
      <c r="BVK67" s="3"/>
      <c r="BVL67" s="3"/>
      <c r="BVM67" s="3"/>
      <c r="BVN67" s="3"/>
      <c r="BVO67" s="3"/>
      <c r="BVP67" s="3"/>
      <c r="BVQ67" s="3"/>
      <c r="BVR67" s="3"/>
      <c r="BVS67" s="3"/>
      <c r="BVT67" s="3"/>
      <c r="BVU67" s="3"/>
      <c r="BVV67" s="3"/>
      <c r="BVW67" s="3"/>
      <c r="BVX67" s="3"/>
      <c r="BVY67" s="3"/>
      <c r="BVZ67" s="3"/>
      <c r="BWA67" s="3"/>
      <c r="BWB67" s="3"/>
      <c r="BWC67" s="3"/>
      <c r="BWD67" s="3"/>
      <c r="BWE67" s="3"/>
      <c r="BWF67" s="3"/>
      <c r="BWG67" s="3"/>
      <c r="BWH67" s="3"/>
      <c r="BWI67" s="3"/>
      <c r="BWJ67" s="3"/>
      <c r="BWK67" s="3"/>
      <c r="BWL67" s="3"/>
      <c r="BWM67" s="3"/>
      <c r="BWN67" s="3"/>
      <c r="BWO67" s="3"/>
      <c r="BWP67" s="3"/>
      <c r="BWQ67" s="3"/>
      <c r="BWR67" s="3"/>
      <c r="BWS67" s="3"/>
      <c r="BWT67" s="3"/>
      <c r="BWU67" s="3"/>
      <c r="BWV67" s="3"/>
      <c r="BWW67" s="3"/>
      <c r="BWX67" s="3"/>
      <c r="BWY67" s="3"/>
      <c r="BWZ67" s="3"/>
      <c r="BXA67" s="3"/>
      <c r="BXB67" s="3"/>
      <c r="BXC67" s="3"/>
      <c r="BXD67" s="3"/>
      <c r="BXE67" s="3"/>
      <c r="BXF67" s="3"/>
      <c r="BXG67" s="3"/>
      <c r="BXH67" s="3"/>
      <c r="BXI67" s="3"/>
      <c r="BXJ67" s="3"/>
      <c r="BXK67" s="3"/>
      <c r="BXL67" s="3"/>
      <c r="BXM67" s="3"/>
      <c r="BXN67" s="3"/>
      <c r="BXO67" s="3"/>
      <c r="BXP67" s="3"/>
      <c r="BXQ67" s="3"/>
      <c r="BXR67" s="3"/>
      <c r="BXS67" s="3"/>
      <c r="BXT67" s="3"/>
      <c r="BXU67" s="3"/>
      <c r="BXV67" s="3"/>
      <c r="BXW67" s="3"/>
      <c r="BXX67" s="3"/>
      <c r="BXY67" s="3"/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3"/>
      <c r="CAG67" s="3"/>
      <c r="CAH67" s="3"/>
      <c r="CAI67" s="3"/>
      <c r="CAJ67" s="3"/>
      <c r="CAK67" s="3"/>
      <c r="CAL67" s="3"/>
      <c r="CAM67" s="3"/>
      <c r="CAN67" s="3"/>
      <c r="CAO67" s="3"/>
      <c r="CAP67" s="3"/>
      <c r="CAQ67" s="3"/>
      <c r="CAR67" s="3"/>
      <c r="CAS67" s="3"/>
      <c r="CAT67" s="3"/>
      <c r="CAU67" s="3"/>
      <c r="CAV67" s="3"/>
      <c r="CAW67" s="3"/>
      <c r="CAX67" s="3"/>
      <c r="CAY67" s="3"/>
      <c r="CAZ67" s="3"/>
      <c r="CBA67" s="3"/>
      <c r="CBB67" s="3"/>
      <c r="CBC67" s="3"/>
      <c r="CBD67" s="3"/>
      <c r="CBE67" s="3"/>
      <c r="CBF67" s="3"/>
      <c r="CBG67" s="3"/>
      <c r="CBH67" s="3"/>
      <c r="CBI67" s="3"/>
      <c r="CBJ67" s="3"/>
      <c r="CBK67" s="3"/>
      <c r="CBL67" s="3"/>
      <c r="CBM67" s="3"/>
      <c r="CBN67" s="3"/>
      <c r="CBO67" s="3"/>
      <c r="CBP67" s="3"/>
      <c r="CBQ67" s="3"/>
      <c r="CBR67" s="3"/>
      <c r="CBS67" s="3"/>
      <c r="CBT67" s="3"/>
      <c r="CBU67" s="3"/>
      <c r="CBV67" s="3"/>
      <c r="CBW67" s="3"/>
      <c r="CBX67" s="3"/>
      <c r="CBY67" s="3"/>
      <c r="CBZ67" s="3"/>
      <c r="CCA67" s="3"/>
      <c r="CCB67" s="3"/>
      <c r="CCC67" s="3"/>
      <c r="CCD67" s="3"/>
      <c r="CCE67" s="3"/>
      <c r="CCF67" s="3"/>
      <c r="CCG67" s="3"/>
      <c r="CCH67" s="3"/>
      <c r="CCI67" s="3"/>
      <c r="CCJ67" s="3"/>
      <c r="CCK67" s="3"/>
      <c r="CCL67" s="3"/>
      <c r="CCM67" s="3"/>
      <c r="CCN67" s="3"/>
      <c r="CCO67" s="3"/>
      <c r="CCP67" s="3"/>
      <c r="CCQ67" s="3"/>
      <c r="CCR67" s="3"/>
      <c r="CCS67" s="3"/>
      <c r="CCT67" s="3"/>
      <c r="CCU67" s="3"/>
      <c r="CCV67" s="3"/>
      <c r="CCW67" s="3"/>
      <c r="CCX67" s="3"/>
      <c r="CCY67" s="3"/>
      <c r="CCZ67" s="3"/>
      <c r="CDA67" s="3"/>
      <c r="CDB67" s="3"/>
      <c r="CDC67" s="3"/>
      <c r="CDD67" s="3"/>
      <c r="CDE67" s="3"/>
      <c r="CDF67" s="3"/>
      <c r="CDG67" s="3"/>
      <c r="CDH67" s="3"/>
      <c r="CDI67" s="3"/>
      <c r="CDJ67" s="3"/>
      <c r="CDK67" s="3"/>
      <c r="CDL67" s="3"/>
      <c r="CDM67" s="3"/>
      <c r="CDN67" s="3"/>
      <c r="CDO67" s="3"/>
      <c r="CDP67" s="3"/>
      <c r="CDQ67" s="3"/>
      <c r="CDR67" s="3"/>
      <c r="CDS67" s="3"/>
      <c r="CDT67" s="3"/>
      <c r="CDU67" s="3"/>
      <c r="CDV67" s="3"/>
      <c r="CDW67" s="3"/>
      <c r="CDX67" s="3"/>
      <c r="CDY67" s="3"/>
      <c r="CDZ67" s="3"/>
      <c r="CEA67" s="3"/>
      <c r="CEB67" s="3"/>
      <c r="CEC67" s="3"/>
      <c r="CED67" s="3"/>
      <c r="CEE67" s="3"/>
      <c r="CEF67" s="3"/>
      <c r="CEG67" s="3"/>
      <c r="CEH67" s="3"/>
      <c r="CEI67" s="3"/>
      <c r="CEJ67" s="3"/>
      <c r="CEK67" s="3"/>
      <c r="CEL67" s="3"/>
      <c r="CEM67" s="3"/>
      <c r="CEN67" s="3"/>
      <c r="CEO67" s="3"/>
      <c r="CEP67" s="3"/>
      <c r="CEQ67" s="3"/>
      <c r="CER67" s="3"/>
      <c r="CES67" s="3"/>
      <c r="CET67" s="3"/>
      <c r="CEU67" s="3"/>
      <c r="CEV67" s="3"/>
      <c r="CEW67" s="3"/>
      <c r="CEX67" s="3"/>
      <c r="CEY67" s="3"/>
      <c r="CEZ67" s="3"/>
      <c r="CFA67" s="3"/>
      <c r="CFB67" s="3"/>
      <c r="CFC67" s="3"/>
      <c r="CFD67" s="3"/>
      <c r="CFE67" s="3"/>
      <c r="CFF67" s="3"/>
      <c r="CFG67" s="3"/>
      <c r="CFH67" s="3"/>
      <c r="CFI67" s="3"/>
      <c r="CFJ67" s="3"/>
      <c r="CFK67" s="3"/>
      <c r="CFL67" s="3"/>
      <c r="CFM67" s="3"/>
      <c r="CFN67" s="3"/>
      <c r="CFO67" s="3"/>
      <c r="CFP67" s="3"/>
      <c r="CFQ67" s="3"/>
      <c r="CFR67" s="3"/>
      <c r="CFS67" s="3"/>
      <c r="CFT67" s="3"/>
      <c r="CFU67" s="3"/>
      <c r="CFV67" s="3"/>
      <c r="CFW67" s="3"/>
      <c r="CFX67" s="3"/>
      <c r="CFY67" s="3"/>
      <c r="CFZ67" s="3"/>
      <c r="CGA67" s="3"/>
      <c r="CGB67" s="3"/>
      <c r="CGC67" s="3"/>
      <c r="CGD67" s="3"/>
      <c r="CGE67" s="3"/>
      <c r="CGF67" s="3"/>
      <c r="CGG67" s="3"/>
      <c r="CGH67" s="3"/>
      <c r="CGI67" s="3"/>
      <c r="CGJ67" s="3"/>
      <c r="CGK67" s="3"/>
      <c r="CGL67" s="3"/>
      <c r="CGM67" s="3"/>
      <c r="CGN67" s="3"/>
      <c r="CGO67" s="3"/>
      <c r="CGP67" s="3"/>
      <c r="CGQ67" s="3"/>
      <c r="CGR67" s="3"/>
      <c r="CGS67" s="3"/>
      <c r="CGT67" s="3"/>
      <c r="CGU67" s="3"/>
      <c r="CGV67" s="3"/>
      <c r="CGW67" s="3"/>
      <c r="CGX67" s="3"/>
      <c r="CGY67" s="3"/>
      <c r="CGZ67" s="3"/>
      <c r="CHA67" s="3"/>
      <c r="CHB67" s="3"/>
      <c r="CHC67" s="3"/>
      <c r="CHD67" s="3"/>
      <c r="CHE67" s="3"/>
      <c r="CHF67" s="3"/>
      <c r="CHG67" s="3"/>
      <c r="CHH67" s="3"/>
      <c r="CHI67" s="3"/>
      <c r="CHJ67" s="3"/>
      <c r="CHK67" s="3"/>
      <c r="CHL67" s="3"/>
      <c r="CHM67" s="3"/>
      <c r="CHN67" s="3"/>
      <c r="CHO67" s="3"/>
      <c r="CHP67" s="3"/>
      <c r="CHQ67" s="3"/>
      <c r="CHR67" s="3"/>
      <c r="CHS67" s="3"/>
      <c r="CHT67" s="3"/>
      <c r="CHU67" s="3"/>
      <c r="CHV67" s="3"/>
      <c r="CHW67" s="3"/>
      <c r="CHX67" s="3"/>
      <c r="CHY67" s="3"/>
      <c r="CHZ67" s="3"/>
      <c r="CIA67" s="3"/>
      <c r="CIB67" s="3"/>
      <c r="CIC67" s="3"/>
      <c r="CID67" s="3"/>
      <c r="CIE67" s="3"/>
      <c r="CIF67" s="3"/>
      <c r="CIG67" s="3"/>
      <c r="CIH67" s="3"/>
      <c r="CII67" s="3"/>
      <c r="CIJ67" s="3"/>
      <c r="CIK67" s="3"/>
      <c r="CIL67" s="3"/>
      <c r="CIM67" s="3"/>
      <c r="CIN67" s="3"/>
      <c r="CIO67" s="3"/>
      <c r="CIP67" s="3"/>
      <c r="CIQ67" s="3"/>
      <c r="CIR67" s="3"/>
      <c r="CIS67" s="3"/>
      <c r="CIT67" s="3"/>
      <c r="CIU67" s="3"/>
      <c r="CIV67" s="3"/>
      <c r="CIW67" s="3"/>
      <c r="CIX67" s="3"/>
      <c r="CIY67" s="3"/>
      <c r="CIZ67" s="3"/>
      <c r="CJA67" s="3"/>
      <c r="CJB67" s="3"/>
      <c r="CJC67" s="3"/>
      <c r="CJD67" s="3"/>
      <c r="CJE67" s="3"/>
      <c r="CJF67" s="3"/>
      <c r="CJG67" s="3"/>
      <c r="CJH67" s="3"/>
      <c r="CJI67" s="3"/>
      <c r="CJJ67" s="3"/>
      <c r="CJK67" s="3"/>
      <c r="CJL67" s="3"/>
      <c r="CJM67" s="3"/>
      <c r="CJN67" s="3"/>
      <c r="CJO67" s="3"/>
      <c r="CJP67" s="3"/>
      <c r="CJQ67" s="3"/>
      <c r="CJR67" s="3"/>
      <c r="CJS67" s="3"/>
      <c r="CJT67" s="3"/>
      <c r="CJU67" s="3"/>
      <c r="CJV67" s="3"/>
      <c r="CJW67" s="3"/>
      <c r="CJX67" s="3"/>
      <c r="CJY67" s="3"/>
      <c r="CJZ67" s="3"/>
      <c r="CKA67" s="3"/>
      <c r="CKB67" s="3"/>
      <c r="CKC67" s="3"/>
      <c r="CKD67" s="3"/>
      <c r="CKE67" s="3"/>
      <c r="CKF67" s="3"/>
      <c r="CKG67" s="3"/>
      <c r="CKH67" s="3"/>
      <c r="CKI67" s="3"/>
      <c r="CKJ67" s="3"/>
      <c r="CKK67" s="3"/>
      <c r="CKL67" s="3"/>
      <c r="CKM67" s="3"/>
      <c r="CKN67" s="3"/>
      <c r="CKO67" s="3"/>
      <c r="CKP67" s="3"/>
      <c r="CKQ67" s="3"/>
      <c r="CKR67" s="3"/>
      <c r="CKS67" s="3"/>
      <c r="CKT67" s="3"/>
      <c r="CKU67" s="3"/>
      <c r="CKV67" s="3"/>
      <c r="CKW67" s="3"/>
      <c r="CKX67" s="3"/>
      <c r="CKY67" s="3"/>
      <c r="CKZ67" s="3"/>
      <c r="CLA67" s="3"/>
      <c r="CLB67" s="3"/>
      <c r="CLC67" s="3"/>
      <c r="CLD67" s="3"/>
      <c r="CLE67" s="3"/>
      <c r="CLF67" s="3"/>
      <c r="CLG67" s="3"/>
      <c r="CLH67" s="3"/>
      <c r="CLI67" s="3"/>
      <c r="CLJ67" s="3"/>
      <c r="CLK67" s="3"/>
      <c r="CLL67" s="3"/>
      <c r="CLM67" s="3"/>
      <c r="CLN67" s="3"/>
      <c r="CLO67" s="3"/>
      <c r="CLP67" s="3"/>
      <c r="CLQ67" s="3"/>
      <c r="CLR67" s="3"/>
      <c r="CLS67" s="3"/>
      <c r="CLT67" s="3"/>
      <c r="CLU67" s="3"/>
      <c r="CLV67" s="3"/>
      <c r="CLW67" s="3"/>
      <c r="CLX67" s="3"/>
      <c r="CLY67" s="3"/>
      <c r="CLZ67" s="3"/>
      <c r="CMA67" s="3"/>
      <c r="CMB67" s="3"/>
      <c r="CMC67" s="3"/>
      <c r="CMD67" s="3"/>
      <c r="CME67" s="3"/>
      <c r="CMF67" s="3"/>
      <c r="CMG67" s="3"/>
      <c r="CMH67" s="3"/>
      <c r="CMI67" s="3"/>
      <c r="CMJ67" s="3"/>
      <c r="CMK67" s="3"/>
      <c r="CML67" s="3"/>
      <c r="CMM67" s="3"/>
      <c r="CMN67" s="3"/>
      <c r="CMO67" s="3"/>
      <c r="CMP67" s="3"/>
      <c r="CMQ67" s="3"/>
      <c r="CMR67" s="3"/>
      <c r="CMS67" s="3"/>
      <c r="CMT67" s="3"/>
      <c r="CMU67" s="3"/>
      <c r="CMV67" s="3"/>
      <c r="CMW67" s="3"/>
      <c r="CMX67" s="3"/>
      <c r="CMY67" s="3"/>
      <c r="CMZ67" s="3"/>
      <c r="CNA67" s="3"/>
      <c r="CNB67" s="3"/>
      <c r="CNC67" s="3"/>
      <c r="CND67" s="3"/>
      <c r="CNE67" s="3"/>
      <c r="CNF67" s="3"/>
      <c r="CNG67" s="3"/>
      <c r="CNH67" s="3"/>
      <c r="CNI67" s="3"/>
      <c r="CNJ67" s="3"/>
      <c r="CNK67" s="3"/>
      <c r="CNL67" s="3"/>
      <c r="CNM67" s="3"/>
      <c r="CNN67" s="3"/>
      <c r="CNO67" s="3"/>
      <c r="CNP67" s="3"/>
      <c r="CNQ67" s="3"/>
      <c r="CNR67" s="3"/>
      <c r="CNS67" s="3"/>
      <c r="CNT67" s="3"/>
      <c r="CNU67" s="3"/>
      <c r="CNV67" s="3"/>
      <c r="CNW67" s="3"/>
      <c r="CNX67" s="3"/>
      <c r="CNY67" s="3"/>
      <c r="CNZ67" s="3"/>
      <c r="COA67" s="3"/>
      <c r="COB67" s="3"/>
      <c r="COC67" s="3"/>
      <c r="COD67" s="3"/>
      <c r="COE67" s="3"/>
      <c r="COF67" s="3"/>
      <c r="COG67" s="3"/>
      <c r="COH67" s="3"/>
      <c r="COI67" s="3"/>
      <c r="COJ67" s="3"/>
      <c r="COK67" s="3"/>
      <c r="COL67" s="3"/>
      <c r="COM67" s="3"/>
      <c r="CON67" s="3"/>
      <c r="COO67" s="3"/>
      <c r="COP67" s="3"/>
      <c r="COQ67" s="3"/>
      <c r="COR67" s="3"/>
      <c r="COS67" s="3"/>
      <c r="COT67" s="3"/>
      <c r="COU67" s="3"/>
      <c r="COV67" s="3"/>
      <c r="COW67" s="3"/>
      <c r="COX67" s="3"/>
      <c r="COY67" s="3"/>
      <c r="COZ67" s="3"/>
      <c r="CPA67" s="3"/>
      <c r="CPB67" s="3"/>
      <c r="CPC67" s="3"/>
      <c r="CPD67" s="3"/>
      <c r="CPE67" s="3"/>
      <c r="CPF67" s="3"/>
      <c r="CPG67" s="3"/>
      <c r="CPH67" s="3"/>
      <c r="CPI67" s="3"/>
      <c r="CPJ67" s="3"/>
      <c r="CPK67" s="3"/>
      <c r="CPL67" s="3"/>
      <c r="CPM67" s="3"/>
      <c r="CPN67" s="3"/>
      <c r="CPO67" s="3"/>
      <c r="CPP67" s="3"/>
      <c r="CPQ67" s="3"/>
      <c r="CPR67" s="3"/>
      <c r="CPS67" s="3"/>
      <c r="CPT67" s="3"/>
      <c r="CPU67" s="3"/>
      <c r="CPV67" s="3"/>
      <c r="CPW67" s="3"/>
      <c r="CPX67" s="3"/>
      <c r="CPY67" s="3"/>
      <c r="CPZ67" s="3"/>
      <c r="CQA67" s="3"/>
      <c r="CQB67" s="3"/>
      <c r="CQC67" s="3"/>
      <c r="CQD67" s="3"/>
      <c r="CQE67" s="3"/>
      <c r="CQF67" s="3"/>
      <c r="CQG67" s="3"/>
      <c r="CQH67" s="3"/>
      <c r="CQI67" s="3"/>
      <c r="CQJ67" s="3"/>
      <c r="CQK67" s="3"/>
      <c r="CQL67" s="3"/>
      <c r="CQM67" s="3"/>
      <c r="CQN67" s="3"/>
      <c r="CQO67" s="3"/>
      <c r="CQP67" s="3"/>
      <c r="CQQ67" s="3"/>
      <c r="CQR67" s="3"/>
      <c r="CQS67" s="3"/>
      <c r="CQT67" s="3"/>
      <c r="CQU67" s="3"/>
      <c r="CQV67" s="3"/>
      <c r="CQW67" s="3"/>
      <c r="CQX67" s="3"/>
      <c r="CQY67" s="3"/>
      <c r="CQZ67" s="3"/>
      <c r="CRA67" s="3"/>
      <c r="CRB67" s="3"/>
      <c r="CRC67" s="3"/>
      <c r="CRD67" s="3"/>
      <c r="CRE67" s="3"/>
      <c r="CRF67" s="3"/>
      <c r="CRG67" s="3"/>
      <c r="CRH67" s="3"/>
      <c r="CRI67" s="3"/>
      <c r="CRJ67" s="3"/>
      <c r="CRK67" s="3"/>
      <c r="CRL67" s="3"/>
      <c r="CRM67" s="3"/>
      <c r="CRN67" s="3"/>
      <c r="CRO67" s="3"/>
      <c r="CRP67" s="3"/>
      <c r="CRQ67" s="3"/>
      <c r="CRR67" s="3"/>
      <c r="CRS67" s="3"/>
      <c r="CRT67" s="3"/>
      <c r="CRU67" s="3"/>
      <c r="CRV67" s="3"/>
      <c r="CRW67" s="3"/>
      <c r="CRX67" s="3"/>
      <c r="CRY67" s="3"/>
      <c r="CRZ67" s="3"/>
      <c r="CSA67" s="3"/>
      <c r="CSB67" s="3"/>
      <c r="CSC67" s="3"/>
      <c r="CSD67" s="3"/>
      <c r="CSE67" s="3"/>
      <c r="CSF67" s="3"/>
      <c r="CSG67" s="3"/>
      <c r="CSH67" s="3"/>
      <c r="CSI67" s="3"/>
      <c r="CSJ67" s="3"/>
      <c r="CSK67" s="3"/>
      <c r="CSL67" s="3"/>
      <c r="CSM67" s="3"/>
      <c r="CSN67" s="3"/>
      <c r="CSO67" s="3"/>
      <c r="CSP67" s="3"/>
      <c r="CSQ67" s="3"/>
      <c r="CSR67" s="3"/>
      <c r="CSS67" s="3"/>
      <c r="CST67" s="3"/>
      <c r="CSU67" s="3"/>
      <c r="CSV67" s="3"/>
      <c r="CSW67" s="3"/>
      <c r="CSX67" s="3"/>
      <c r="CSY67" s="3"/>
      <c r="CSZ67" s="3"/>
      <c r="CTA67" s="3"/>
      <c r="CTB67" s="3"/>
      <c r="CTC67" s="3"/>
      <c r="CTD67" s="3"/>
      <c r="CTE67" s="3"/>
      <c r="CTF67" s="3"/>
      <c r="CTG67" s="3"/>
      <c r="CTH67" s="3"/>
      <c r="CTI67" s="3"/>
      <c r="CTJ67" s="3"/>
      <c r="CTK67" s="3"/>
      <c r="CTL67" s="3"/>
      <c r="CTM67" s="3"/>
      <c r="CTN67" s="3"/>
      <c r="CTO67" s="3"/>
      <c r="CTP67" s="3"/>
      <c r="CTQ67" s="3"/>
      <c r="CTR67" s="3"/>
      <c r="CTS67" s="3"/>
      <c r="CTT67" s="3"/>
      <c r="CTU67" s="3"/>
      <c r="CTV67" s="3"/>
      <c r="CTW67" s="3"/>
      <c r="CTX67" s="3"/>
      <c r="CTY67" s="3"/>
      <c r="CTZ67" s="3"/>
      <c r="CUA67" s="3"/>
      <c r="CUB67" s="3"/>
      <c r="CUC67" s="3"/>
      <c r="CUD67" s="3"/>
      <c r="CUE67" s="3"/>
      <c r="CUF67" s="3"/>
      <c r="CUG67" s="3"/>
      <c r="CUH67" s="3"/>
      <c r="CUI67" s="3"/>
      <c r="CUJ67" s="3"/>
      <c r="CUK67" s="3"/>
      <c r="CUL67" s="3"/>
      <c r="CUM67" s="3"/>
      <c r="CUN67" s="3"/>
      <c r="CUO67" s="3"/>
      <c r="CUP67" s="3"/>
      <c r="CUQ67" s="3"/>
      <c r="CUR67" s="3"/>
      <c r="CUS67" s="3"/>
      <c r="CUT67" s="3"/>
      <c r="CUU67" s="3"/>
      <c r="CUV67" s="3"/>
      <c r="CUW67" s="3"/>
      <c r="CUX67" s="3"/>
      <c r="CUY67" s="3"/>
      <c r="CUZ67" s="3"/>
      <c r="CVA67" s="3"/>
      <c r="CVB67" s="3"/>
      <c r="CVC67" s="3"/>
      <c r="CVD67" s="3"/>
      <c r="CVE67" s="3"/>
      <c r="CVF67" s="3"/>
      <c r="CVG67" s="3"/>
      <c r="CVH67" s="3"/>
      <c r="CVI67" s="3"/>
      <c r="CVJ67" s="3"/>
      <c r="CVK67" s="3"/>
      <c r="CVL67" s="3"/>
      <c r="CVM67" s="3"/>
      <c r="CVN67" s="3"/>
      <c r="CVO67" s="3"/>
      <c r="CVP67" s="3"/>
      <c r="CVQ67" s="3"/>
      <c r="CVR67" s="3"/>
      <c r="CVS67" s="3"/>
      <c r="CVT67" s="3"/>
      <c r="CVU67" s="3"/>
      <c r="CVV67" s="3"/>
      <c r="CVW67" s="3"/>
      <c r="CVX67" s="3"/>
      <c r="CVY67" s="3"/>
      <c r="CVZ67" s="3"/>
      <c r="CWA67" s="3"/>
      <c r="CWB67" s="3"/>
      <c r="CWC67" s="3"/>
      <c r="CWD67" s="3"/>
      <c r="CWE67" s="3"/>
      <c r="CWF67" s="3"/>
      <c r="CWG67" s="3"/>
      <c r="CWH67" s="3"/>
      <c r="CWI67" s="3"/>
      <c r="CWJ67" s="3"/>
      <c r="CWK67" s="3"/>
      <c r="CWL67" s="3"/>
      <c r="CWM67" s="3"/>
      <c r="CWN67" s="3"/>
      <c r="CWO67" s="3"/>
      <c r="CWP67" s="3"/>
      <c r="CWQ67" s="3"/>
      <c r="CWR67" s="3"/>
      <c r="CWS67" s="3"/>
      <c r="CWT67" s="3"/>
      <c r="CWU67" s="3"/>
      <c r="CWV67" s="3"/>
      <c r="CWW67" s="3"/>
      <c r="CWX67" s="3"/>
      <c r="CWY67" s="3"/>
      <c r="CWZ67" s="3"/>
      <c r="CXA67" s="3"/>
      <c r="CXB67" s="3"/>
      <c r="CXC67" s="3"/>
      <c r="CXD67" s="3"/>
      <c r="CXE67" s="3"/>
      <c r="CXF67" s="3"/>
      <c r="CXG67" s="3"/>
      <c r="CXH67" s="3"/>
      <c r="CXI67" s="3"/>
      <c r="CXJ67" s="3"/>
      <c r="CXK67" s="3"/>
      <c r="CXL67" s="3"/>
      <c r="CXM67" s="3"/>
      <c r="CXN67" s="3"/>
      <c r="CXO67" s="3"/>
      <c r="CXP67" s="3"/>
      <c r="CXQ67" s="3"/>
      <c r="CXR67" s="3"/>
      <c r="CXS67" s="3"/>
      <c r="CXT67" s="3"/>
      <c r="CXU67" s="3"/>
      <c r="CXV67" s="3"/>
      <c r="CXW67" s="3"/>
      <c r="CXX67" s="3"/>
      <c r="CXY67" s="3"/>
      <c r="CXZ67" s="3"/>
      <c r="CYA67" s="3"/>
      <c r="CYB67" s="3"/>
      <c r="CYC67" s="3"/>
      <c r="CYD67" s="3"/>
      <c r="CYE67" s="3"/>
      <c r="CYF67" s="3"/>
      <c r="CYG67" s="3"/>
      <c r="CYH67" s="3"/>
      <c r="CYI67" s="3"/>
      <c r="CYJ67" s="3"/>
      <c r="CYK67" s="3"/>
      <c r="CYL67" s="3"/>
      <c r="CYM67" s="3"/>
      <c r="CYN67" s="3"/>
      <c r="CYO67" s="3"/>
      <c r="CYP67" s="3"/>
      <c r="CYQ67" s="3"/>
      <c r="CYR67" s="3"/>
      <c r="CYS67" s="3"/>
      <c r="CYT67" s="3"/>
      <c r="CYU67" s="3"/>
      <c r="CYV67" s="3"/>
      <c r="CYW67" s="3"/>
      <c r="CYX67" s="3"/>
      <c r="CYY67" s="3"/>
      <c r="CYZ67" s="3"/>
      <c r="CZA67" s="3"/>
      <c r="CZB67" s="3"/>
      <c r="CZC67" s="3"/>
      <c r="CZD67" s="3"/>
      <c r="CZE67" s="3"/>
      <c r="CZF67" s="3"/>
      <c r="CZG67" s="3"/>
      <c r="CZH67" s="3"/>
      <c r="CZI67" s="3"/>
      <c r="CZJ67" s="3"/>
      <c r="CZK67" s="3"/>
      <c r="CZL67" s="3"/>
      <c r="CZM67" s="3"/>
      <c r="CZN67" s="3"/>
      <c r="CZO67" s="3"/>
      <c r="CZP67" s="3"/>
      <c r="CZQ67" s="3"/>
      <c r="CZR67" s="3"/>
      <c r="CZS67" s="3"/>
      <c r="CZT67" s="3"/>
      <c r="CZU67" s="3"/>
      <c r="CZV67" s="3"/>
      <c r="CZW67" s="3"/>
      <c r="CZX67" s="3"/>
      <c r="CZY67" s="3"/>
      <c r="CZZ67" s="3"/>
      <c r="DAA67" s="3"/>
      <c r="DAB67" s="3"/>
      <c r="DAC67" s="3"/>
      <c r="DAD67" s="3"/>
      <c r="DAE67" s="3"/>
      <c r="DAF67" s="3"/>
      <c r="DAG67" s="3"/>
      <c r="DAH67" s="3"/>
      <c r="DAI67" s="3"/>
      <c r="DAJ67" s="3"/>
      <c r="DAK67" s="3"/>
      <c r="DAL67" s="3"/>
      <c r="DAM67" s="3"/>
      <c r="DAN67" s="3"/>
      <c r="DAO67" s="3"/>
      <c r="DAP67" s="3"/>
      <c r="DAQ67" s="3"/>
      <c r="DAR67" s="3"/>
      <c r="DAS67" s="3"/>
      <c r="DAT67" s="3"/>
      <c r="DAU67" s="3"/>
      <c r="DAV67" s="3"/>
      <c r="DAW67" s="3"/>
      <c r="DAX67" s="3"/>
      <c r="DAY67" s="3"/>
      <c r="DAZ67" s="3"/>
      <c r="DBA67" s="3"/>
      <c r="DBB67" s="3"/>
      <c r="DBC67" s="3"/>
      <c r="DBD67" s="3"/>
      <c r="DBE67" s="3"/>
      <c r="DBF67" s="3"/>
      <c r="DBG67" s="3"/>
      <c r="DBH67" s="3"/>
      <c r="DBI67" s="3"/>
      <c r="DBJ67" s="3"/>
      <c r="DBK67" s="3"/>
      <c r="DBL67" s="3"/>
      <c r="DBM67" s="3"/>
      <c r="DBN67" s="3"/>
      <c r="DBO67" s="3"/>
      <c r="DBP67" s="3"/>
      <c r="DBQ67" s="3"/>
      <c r="DBR67" s="3"/>
      <c r="DBS67" s="3"/>
      <c r="DBT67" s="3"/>
      <c r="DBU67" s="3"/>
      <c r="DBV67" s="3"/>
      <c r="DBW67" s="3"/>
      <c r="DBX67" s="3"/>
      <c r="DBY67" s="3"/>
      <c r="DBZ67" s="3"/>
      <c r="DCA67" s="3"/>
      <c r="DCB67" s="3"/>
      <c r="DCC67" s="3"/>
      <c r="DCD67" s="3"/>
      <c r="DCE67" s="3"/>
      <c r="DCF67" s="3"/>
      <c r="DCG67" s="3"/>
      <c r="DCH67" s="3"/>
      <c r="DCI67" s="3"/>
      <c r="DCJ67" s="3"/>
      <c r="DCK67" s="3"/>
      <c r="DCL67" s="3"/>
      <c r="DCM67" s="3"/>
      <c r="DCN67" s="3"/>
      <c r="DCO67" s="3"/>
      <c r="DCP67" s="3"/>
      <c r="DCQ67" s="3"/>
      <c r="DCR67" s="3"/>
      <c r="DCS67" s="3"/>
      <c r="DCT67" s="3"/>
      <c r="DCU67" s="3"/>
      <c r="DCV67" s="3"/>
      <c r="DCW67" s="3"/>
      <c r="DCX67" s="3"/>
      <c r="DCY67" s="3"/>
      <c r="DCZ67" s="3"/>
      <c r="DDA67" s="3"/>
      <c r="DDB67" s="3"/>
      <c r="DDC67" s="3"/>
      <c r="DDD67" s="3"/>
      <c r="DDE67" s="3"/>
      <c r="DDF67" s="3"/>
      <c r="DDG67" s="3"/>
      <c r="DDH67" s="3"/>
      <c r="DDI67" s="3"/>
      <c r="DDJ67" s="3"/>
      <c r="DDK67" s="3"/>
      <c r="DDL67" s="3"/>
      <c r="DDM67" s="3"/>
      <c r="DDN67" s="3"/>
      <c r="DDO67" s="3"/>
      <c r="DDP67" s="3"/>
      <c r="DDQ67" s="3"/>
      <c r="DDR67" s="3"/>
      <c r="DDS67" s="3"/>
      <c r="DDT67" s="3"/>
      <c r="DDU67" s="3"/>
      <c r="DDV67" s="3"/>
      <c r="DDW67" s="3"/>
      <c r="DDX67" s="3"/>
      <c r="DDY67" s="3"/>
      <c r="DDZ67" s="3"/>
      <c r="DEA67" s="3"/>
      <c r="DEB67" s="3"/>
      <c r="DEC67" s="3"/>
      <c r="DED67" s="3"/>
      <c r="DEE67" s="3"/>
      <c r="DEF67" s="3"/>
      <c r="DEG67" s="3"/>
      <c r="DEH67" s="3"/>
      <c r="DEI67" s="3"/>
      <c r="DEJ67" s="3"/>
      <c r="DEK67" s="3"/>
      <c r="DEL67" s="3"/>
      <c r="DEM67" s="3"/>
      <c r="DEN67" s="3"/>
      <c r="DEO67" s="3"/>
      <c r="DEP67" s="3"/>
      <c r="DEQ67" s="3"/>
      <c r="DER67" s="3"/>
      <c r="DES67" s="3"/>
      <c r="DET67" s="3"/>
      <c r="DEU67" s="3"/>
      <c r="DEV67" s="3"/>
      <c r="DEW67" s="3"/>
      <c r="DEX67" s="3"/>
      <c r="DEY67" s="3"/>
      <c r="DEZ67" s="3"/>
      <c r="DFA67" s="3"/>
      <c r="DFB67" s="3"/>
      <c r="DFC67" s="3"/>
      <c r="DFD67" s="3"/>
      <c r="DFE67" s="3"/>
      <c r="DFF67" s="3"/>
      <c r="DFG67" s="3"/>
      <c r="DFH67" s="3"/>
      <c r="DFI67" s="3"/>
      <c r="DFJ67" s="3"/>
      <c r="DFK67" s="3"/>
      <c r="DFL67" s="3"/>
      <c r="DFM67" s="3"/>
      <c r="DFN67" s="3"/>
      <c r="DFO67" s="3"/>
      <c r="DFP67" s="3"/>
      <c r="DFQ67" s="3"/>
      <c r="DFR67" s="3"/>
      <c r="DFS67" s="3"/>
      <c r="DFT67" s="3"/>
      <c r="DFU67" s="3"/>
      <c r="DFV67" s="3"/>
      <c r="DFW67" s="3"/>
      <c r="DFX67" s="3"/>
      <c r="DFY67" s="3"/>
      <c r="DFZ67" s="3"/>
      <c r="DGA67" s="3"/>
      <c r="DGB67" s="3"/>
      <c r="DGC67" s="3"/>
      <c r="DGD67" s="3"/>
      <c r="DGE67" s="3"/>
      <c r="DGF67" s="3"/>
      <c r="DGG67" s="3"/>
      <c r="DGH67" s="3"/>
      <c r="DGI67" s="3"/>
      <c r="DGJ67" s="3"/>
      <c r="DGK67" s="3"/>
      <c r="DGL67" s="3"/>
      <c r="DGM67" s="3"/>
      <c r="DGN67" s="3"/>
      <c r="DGO67" s="3"/>
      <c r="DGP67" s="3"/>
      <c r="DGQ67" s="3"/>
      <c r="DGR67" s="3"/>
      <c r="DGS67" s="3"/>
      <c r="DGT67" s="3"/>
      <c r="DGU67" s="3"/>
      <c r="DGV67" s="3"/>
      <c r="DGW67" s="3"/>
      <c r="DGX67" s="3"/>
      <c r="DGY67" s="3"/>
      <c r="DGZ67" s="3"/>
      <c r="DHA67" s="3"/>
      <c r="DHB67" s="3"/>
      <c r="DHC67" s="3"/>
      <c r="DHD67" s="3"/>
      <c r="DHE67" s="3"/>
      <c r="DHF67" s="3"/>
      <c r="DHG67" s="3"/>
      <c r="DHH67" s="3"/>
      <c r="DHI67" s="3"/>
      <c r="DHJ67" s="3"/>
      <c r="DHK67" s="3"/>
      <c r="DHL67" s="3"/>
      <c r="DHM67" s="3"/>
      <c r="DHN67" s="3"/>
      <c r="DHO67" s="3"/>
      <c r="DHP67" s="3"/>
      <c r="DHQ67" s="3"/>
      <c r="DHR67" s="3"/>
      <c r="DHS67" s="3"/>
      <c r="DHT67" s="3"/>
      <c r="DHU67" s="3"/>
      <c r="DHV67" s="3"/>
      <c r="DHW67" s="3"/>
      <c r="DHX67" s="3"/>
      <c r="DHY67" s="3"/>
      <c r="DHZ67" s="3"/>
      <c r="DIA67" s="3"/>
      <c r="DIB67" s="3"/>
      <c r="DIC67" s="3"/>
      <c r="DID67" s="3"/>
      <c r="DIE67" s="3"/>
      <c r="DIF67" s="3"/>
      <c r="DIG67" s="3"/>
      <c r="DIH67" s="3"/>
      <c r="DII67" s="3"/>
      <c r="DIJ67" s="3"/>
      <c r="DIK67" s="3"/>
      <c r="DIL67" s="3"/>
      <c r="DIM67" s="3"/>
      <c r="DIN67" s="3"/>
      <c r="DIO67" s="3"/>
      <c r="DIP67" s="3"/>
      <c r="DIQ67" s="3"/>
      <c r="DIR67" s="3"/>
      <c r="DIS67" s="3"/>
      <c r="DIT67" s="3"/>
      <c r="DIU67" s="3"/>
      <c r="DIV67" s="3"/>
      <c r="DIW67" s="3"/>
      <c r="DIX67" s="3"/>
      <c r="DIY67" s="3"/>
      <c r="DIZ67" s="3"/>
      <c r="DJA67" s="3"/>
      <c r="DJB67" s="3"/>
      <c r="DJC67" s="3"/>
      <c r="DJD67" s="3"/>
      <c r="DJE67" s="3"/>
      <c r="DJF67" s="3"/>
      <c r="DJG67" s="3"/>
      <c r="DJH67" s="3"/>
      <c r="DJI67" s="3"/>
      <c r="DJJ67" s="3"/>
      <c r="DJK67" s="3"/>
      <c r="DJL67" s="3"/>
      <c r="DJM67" s="3"/>
      <c r="DJN67" s="3"/>
      <c r="DJO67" s="3"/>
      <c r="DJP67" s="3"/>
      <c r="DJQ67" s="3"/>
      <c r="DJR67" s="3"/>
      <c r="DJS67" s="3"/>
      <c r="DJT67" s="3"/>
      <c r="DJU67" s="3"/>
      <c r="DJV67" s="3"/>
      <c r="DJW67" s="3"/>
      <c r="DJX67" s="3"/>
      <c r="DJY67" s="3"/>
      <c r="DJZ67" s="3"/>
      <c r="DKA67" s="3"/>
      <c r="DKB67" s="3"/>
      <c r="DKC67" s="3"/>
      <c r="DKD67" s="3"/>
      <c r="DKE67" s="3"/>
      <c r="DKF67" s="3"/>
      <c r="DKG67" s="3"/>
      <c r="DKH67" s="3"/>
      <c r="DKI67" s="3"/>
      <c r="DKJ67" s="3"/>
      <c r="DKK67" s="3"/>
      <c r="DKL67" s="3"/>
      <c r="DKM67" s="3"/>
      <c r="DKN67" s="3"/>
      <c r="DKO67" s="3"/>
      <c r="DKP67" s="3"/>
      <c r="DKQ67" s="3"/>
      <c r="DKR67" s="3"/>
      <c r="DKS67" s="3"/>
      <c r="DKT67" s="3"/>
      <c r="DKU67" s="3"/>
      <c r="DKV67" s="3"/>
      <c r="DKW67" s="3"/>
      <c r="DKX67" s="3"/>
      <c r="DKY67" s="3"/>
      <c r="DKZ67" s="3"/>
      <c r="DLA67" s="3"/>
      <c r="DLB67" s="3"/>
      <c r="DLC67" s="3"/>
      <c r="DLD67" s="3"/>
      <c r="DLE67" s="3"/>
      <c r="DLF67" s="3"/>
      <c r="DLG67" s="3"/>
      <c r="DLH67" s="3"/>
      <c r="DLI67" s="3"/>
      <c r="DLJ67" s="3"/>
      <c r="DLK67" s="3"/>
      <c r="DLL67" s="3"/>
      <c r="DLM67" s="3"/>
      <c r="DLN67" s="3"/>
      <c r="DLO67" s="3"/>
      <c r="DLP67" s="3"/>
      <c r="DLQ67" s="3"/>
      <c r="DLR67" s="3"/>
      <c r="DLS67" s="3"/>
      <c r="DLT67" s="3"/>
      <c r="DLU67" s="3"/>
      <c r="DLV67" s="3"/>
      <c r="DLW67" s="3"/>
      <c r="DLX67" s="3"/>
      <c r="DLY67" s="3"/>
      <c r="DLZ67" s="3"/>
      <c r="DMA67" s="3"/>
      <c r="DMB67" s="3"/>
      <c r="DMC67" s="3"/>
      <c r="DMD67" s="3"/>
      <c r="DME67" s="3"/>
      <c r="DMF67" s="3"/>
      <c r="DMG67" s="3"/>
      <c r="DMH67" s="3"/>
      <c r="DMI67" s="3"/>
      <c r="DMJ67" s="3"/>
      <c r="DMK67" s="3"/>
      <c r="DML67" s="3"/>
      <c r="DMM67" s="3"/>
      <c r="DMN67" s="3"/>
      <c r="DMO67" s="3"/>
      <c r="DMP67" s="3"/>
      <c r="DMQ67" s="3"/>
      <c r="DMR67" s="3"/>
      <c r="DMS67" s="3"/>
      <c r="DMT67" s="3"/>
      <c r="DMU67" s="3"/>
      <c r="DMV67" s="3"/>
      <c r="DMW67" s="3"/>
      <c r="DMX67" s="3"/>
      <c r="DMY67" s="3"/>
      <c r="DMZ67" s="3"/>
      <c r="DNA67" s="3"/>
      <c r="DNB67" s="3"/>
      <c r="DNC67" s="3"/>
      <c r="DND67" s="3"/>
      <c r="DNE67" s="3"/>
      <c r="DNF67" s="3"/>
      <c r="DNG67" s="3"/>
      <c r="DNH67" s="3"/>
      <c r="DNI67" s="3"/>
      <c r="DNJ67" s="3"/>
      <c r="DNK67" s="3"/>
      <c r="DNL67" s="3"/>
      <c r="DNM67" s="3"/>
      <c r="DNN67" s="3"/>
      <c r="DNO67" s="3"/>
      <c r="DNP67" s="3"/>
      <c r="DNQ67" s="3"/>
      <c r="DNR67" s="3"/>
      <c r="DNS67" s="3"/>
      <c r="DNT67" s="3"/>
      <c r="DNU67" s="3"/>
      <c r="DNV67" s="3"/>
      <c r="DNW67" s="3"/>
      <c r="DNX67" s="3"/>
      <c r="DNY67" s="3"/>
      <c r="DNZ67" s="3"/>
      <c r="DOA67" s="3"/>
      <c r="DOB67" s="3"/>
      <c r="DOC67" s="3"/>
      <c r="DOD67" s="3"/>
      <c r="DOE67" s="3"/>
      <c r="DOF67" s="3"/>
      <c r="DOG67" s="3"/>
      <c r="DOH67" s="3"/>
      <c r="DOI67" s="3"/>
      <c r="DOJ67" s="3"/>
      <c r="DOK67" s="3"/>
      <c r="DOL67" s="3"/>
      <c r="DOM67" s="3"/>
      <c r="DON67" s="3"/>
      <c r="DOO67" s="3"/>
      <c r="DOP67" s="3"/>
      <c r="DOQ67" s="3"/>
      <c r="DOR67" s="3"/>
      <c r="DOS67" s="3"/>
      <c r="DOT67" s="3"/>
      <c r="DOU67" s="3"/>
      <c r="DOV67" s="3"/>
      <c r="DOW67" s="3"/>
      <c r="DOX67" s="3"/>
      <c r="DOY67" s="3"/>
      <c r="DOZ67" s="3"/>
      <c r="DPA67" s="3"/>
      <c r="DPB67" s="3"/>
      <c r="DPC67" s="3"/>
      <c r="DPD67" s="3"/>
      <c r="DPE67" s="3"/>
      <c r="DPF67" s="3"/>
      <c r="DPG67" s="3"/>
      <c r="DPH67" s="3"/>
      <c r="DPI67" s="3"/>
      <c r="DPJ67" s="3"/>
      <c r="DPK67" s="3"/>
      <c r="DPL67" s="3"/>
      <c r="DPM67" s="3"/>
      <c r="DPN67" s="3"/>
      <c r="DPO67" s="3"/>
      <c r="DPP67" s="3"/>
      <c r="DPQ67" s="3"/>
      <c r="DPR67" s="3"/>
      <c r="DPS67" s="3"/>
      <c r="DPT67" s="3"/>
      <c r="DPU67" s="3"/>
      <c r="DPV67" s="3"/>
      <c r="DPW67" s="3"/>
      <c r="DPX67" s="3"/>
      <c r="DPY67" s="3"/>
      <c r="DPZ67" s="3"/>
      <c r="DQA67" s="3"/>
      <c r="DQB67" s="3"/>
      <c r="DQC67" s="3"/>
      <c r="DQD67" s="3"/>
      <c r="DQE67" s="3"/>
      <c r="DQF67" s="3"/>
      <c r="DQG67" s="3"/>
      <c r="DQH67" s="3"/>
      <c r="DQI67" s="3"/>
      <c r="DQJ67" s="3"/>
      <c r="DQK67" s="3"/>
      <c r="DQL67" s="3"/>
      <c r="DQM67" s="3"/>
      <c r="DQN67" s="3"/>
      <c r="DQO67" s="3"/>
      <c r="DQP67" s="3"/>
      <c r="DQQ67" s="3"/>
      <c r="DQR67" s="3"/>
      <c r="DQS67" s="3"/>
      <c r="DQT67" s="3"/>
      <c r="DQU67" s="3"/>
      <c r="DQV67" s="3"/>
      <c r="DQW67" s="3"/>
      <c r="DQX67" s="3"/>
      <c r="DQY67" s="3"/>
      <c r="DQZ67" s="3"/>
      <c r="DRA67" s="3"/>
      <c r="DRB67" s="3"/>
      <c r="DRC67" s="3"/>
      <c r="DRD67" s="3"/>
      <c r="DRE67" s="3"/>
      <c r="DRF67" s="3"/>
      <c r="DRG67" s="3"/>
      <c r="DRH67" s="3"/>
      <c r="DRI67" s="3"/>
      <c r="DRJ67" s="3"/>
      <c r="DRK67" s="3"/>
      <c r="DRL67" s="3"/>
      <c r="DRM67" s="3"/>
      <c r="DRN67" s="3"/>
      <c r="DRO67" s="3"/>
      <c r="DRP67" s="3"/>
      <c r="DRQ67" s="3"/>
      <c r="DRR67" s="3"/>
      <c r="DRS67" s="3"/>
      <c r="DRT67" s="3"/>
      <c r="DRU67" s="3"/>
      <c r="DRV67" s="3"/>
      <c r="DRW67" s="3"/>
      <c r="DRX67" s="3"/>
      <c r="DRY67" s="3"/>
      <c r="DRZ67" s="3"/>
      <c r="DSA67" s="3"/>
      <c r="DSB67" s="3"/>
      <c r="DSC67" s="3"/>
      <c r="DSD67" s="3"/>
      <c r="DSE67" s="3"/>
      <c r="DSF67" s="3"/>
      <c r="DSG67" s="3"/>
      <c r="DSH67" s="3"/>
      <c r="DSI67" s="3"/>
      <c r="DSJ67" s="3"/>
      <c r="DSK67" s="3"/>
      <c r="DSL67" s="3"/>
      <c r="DSM67" s="3"/>
      <c r="DSN67" s="3"/>
      <c r="DSO67" s="3"/>
      <c r="DSP67" s="3"/>
      <c r="DSQ67" s="3"/>
      <c r="DSR67" s="3"/>
      <c r="DSS67" s="3"/>
      <c r="DST67" s="3"/>
      <c r="DSU67" s="3"/>
      <c r="DSV67" s="3"/>
      <c r="DSW67" s="3"/>
      <c r="DSX67" s="3"/>
      <c r="DSY67" s="3"/>
      <c r="DSZ67" s="3"/>
      <c r="DTA67" s="3"/>
      <c r="DTB67" s="3"/>
      <c r="DTC67" s="3"/>
      <c r="DTD67" s="3"/>
      <c r="DTE67" s="3"/>
      <c r="DTF67" s="3"/>
      <c r="DTG67" s="3"/>
      <c r="DTH67" s="3"/>
      <c r="DTI67" s="3"/>
      <c r="DTJ67" s="3"/>
      <c r="DTK67" s="3"/>
      <c r="DTL67" s="3"/>
      <c r="DTM67" s="3"/>
      <c r="DTN67" s="3"/>
      <c r="DTO67" s="3"/>
      <c r="DTP67" s="3"/>
      <c r="DTQ67" s="3"/>
      <c r="DTR67" s="3"/>
      <c r="DTS67" s="3"/>
      <c r="DTT67" s="3"/>
      <c r="DTU67" s="3"/>
      <c r="DTV67" s="3"/>
      <c r="DTW67" s="3"/>
      <c r="DTX67" s="3"/>
      <c r="DTY67" s="3"/>
      <c r="DTZ67" s="3"/>
      <c r="DUA67" s="3"/>
      <c r="DUB67" s="3"/>
      <c r="DUC67" s="3"/>
      <c r="DUD67" s="3"/>
      <c r="DUE67" s="3"/>
      <c r="DUF67" s="3"/>
      <c r="DUG67" s="3"/>
      <c r="DUH67" s="3"/>
      <c r="DUI67" s="3"/>
      <c r="DUJ67" s="3"/>
      <c r="DUK67" s="3"/>
      <c r="DUL67" s="3"/>
      <c r="DUM67" s="3"/>
      <c r="DUN67" s="3"/>
      <c r="DUO67" s="3"/>
      <c r="DUP67" s="3"/>
      <c r="DUQ67" s="3"/>
      <c r="DUR67" s="3"/>
      <c r="DUS67" s="3"/>
      <c r="DUT67" s="3"/>
      <c r="DUU67" s="3"/>
      <c r="DUV67" s="3"/>
      <c r="DUW67" s="3"/>
      <c r="DUX67" s="3"/>
      <c r="DUY67" s="3"/>
      <c r="DUZ67" s="3"/>
      <c r="DVA67" s="3"/>
      <c r="DVB67" s="3"/>
      <c r="DVC67" s="3"/>
      <c r="DVD67" s="3"/>
      <c r="DVE67" s="3"/>
      <c r="DVF67" s="3"/>
      <c r="DVG67" s="3"/>
      <c r="DVH67" s="3"/>
      <c r="DVI67" s="3"/>
      <c r="DVJ67" s="3"/>
      <c r="DVK67" s="3"/>
      <c r="DVL67" s="3"/>
      <c r="DVM67" s="3"/>
      <c r="DVN67" s="3"/>
      <c r="DVO67" s="3"/>
      <c r="DVP67" s="3"/>
      <c r="DVQ67" s="3"/>
      <c r="DVR67" s="3"/>
      <c r="DVS67" s="3"/>
      <c r="DVT67" s="3"/>
      <c r="DVU67" s="3"/>
      <c r="DVV67" s="3"/>
      <c r="DVW67" s="3"/>
      <c r="DVX67" s="3"/>
      <c r="DVY67" s="3"/>
      <c r="DVZ67" s="3"/>
      <c r="DWA67" s="3"/>
      <c r="DWB67" s="3"/>
      <c r="DWC67" s="3"/>
      <c r="DWD67" s="3"/>
      <c r="DWE67" s="3"/>
      <c r="DWF67" s="3"/>
      <c r="DWG67" s="3"/>
      <c r="DWH67" s="3"/>
      <c r="DWI67" s="3"/>
      <c r="DWJ67" s="3"/>
      <c r="DWK67" s="3"/>
      <c r="DWL67" s="3"/>
      <c r="DWM67" s="3"/>
      <c r="DWN67" s="3"/>
      <c r="DWO67" s="3"/>
      <c r="DWP67" s="3"/>
      <c r="DWQ67" s="3"/>
      <c r="DWR67" s="3"/>
      <c r="DWS67" s="3"/>
      <c r="DWT67" s="3"/>
      <c r="DWU67" s="3"/>
      <c r="DWV67" s="3"/>
      <c r="DWW67" s="3"/>
      <c r="DWX67" s="3"/>
      <c r="DWY67" s="3"/>
      <c r="DWZ67" s="3"/>
      <c r="DXA67" s="3"/>
      <c r="DXB67" s="3"/>
      <c r="DXC67" s="3"/>
      <c r="DXD67" s="3"/>
      <c r="DXE67" s="3"/>
      <c r="DXF67" s="3"/>
      <c r="DXG67" s="3"/>
      <c r="DXH67" s="3"/>
      <c r="DXI67" s="3"/>
      <c r="DXJ67" s="3"/>
      <c r="DXK67" s="3"/>
      <c r="DXL67" s="3"/>
      <c r="DXM67" s="3"/>
      <c r="DXN67" s="3"/>
      <c r="DXO67" s="3"/>
      <c r="DXP67" s="3"/>
      <c r="DXQ67" s="3"/>
      <c r="DXR67" s="3"/>
      <c r="DXS67" s="3"/>
      <c r="DXT67" s="3"/>
      <c r="DXU67" s="3"/>
      <c r="DXV67" s="3"/>
      <c r="DXW67" s="3"/>
      <c r="DXX67" s="3"/>
      <c r="DXY67" s="3"/>
      <c r="DXZ67" s="3"/>
      <c r="DYA67" s="3"/>
      <c r="DYB67" s="3"/>
      <c r="DYC67" s="3"/>
      <c r="DYD67" s="3"/>
      <c r="DYE67" s="3"/>
      <c r="DYF67" s="3"/>
      <c r="DYG67" s="3"/>
      <c r="DYH67" s="3"/>
      <c r="DYI67" s="3"/>
      <c r="DYJ67" s="3"/>
      <c r="DYK67" s="3"/>
      <c r="DYL67" s="3"/>
      <c r="DYM67" s="3"/>
      <c r="DYN67" s="3"/>
      <c r="DYO67" s="3"/>
      <c r="DYP67" s="3"/>
      <c r="DYQ67" s="3"/>
      <c r="DYR67" s="3"/>
      <c r="DYS67" s="3"/>
      <c r="DYT67" s="3"/>
      <c r="DYU67" s="3"/>
      <c r="DYV67" s="3"/>
      <c r="DYW67" s="3"/>
      <c r="DYX67" s="3"/>
      <c r="DYY67" s="3"/>
      <c r="DYZ67" s="3"/>
      <c r="DZA67" s="3"/>
      <c r="DZB67" s="3"/>
      <c r="DZC67" s="3"/>
      <c r="DZD67" s="3"/>
      <c r="DZE67" s="3"/>
      <c r="DZF67" s="3"/>
      <c r="DZG67" s="3"/>
      <c r="DZH67" s="3"/>
      <c r="DZI67" s="3"/>
      <c r="DZJ67" s="3"/>
      <c r="DZK67" s="3"/>
      <c r="DZL67" s="3"/>
      <c r="DZM67" s="3"/>
      <c r="DZN67" s="3"/>
      <c r="DZO67" s="3"/>
      <c r="DZP67" s="3"/>
      <c r="DZQ67" s="3"/>
      <c r="DZR67" s="3"/>
      <c r="DZS67" s="3"/>
      <c r="DZT67" s="3"/>
      <c r="DZU67" s="3"/>
      <c r="DZV67" s="3"/>
      <c r="DZW67" s="3"/>
      <c r="DZX67" s="3"/>
      <c r="DZY67" s="3"/>
      <c r="DZZ67" s="3"/>
      <c r="EAA67" s="3"/>
      <c r="EAB67" s="3"/>
      <c r="EAC67" s="3"/>
      <c r="EAD67" s="3"/>
      <c r="EAE67" s="3"/>
      <c r="EAF67" s="3"/>
      <c r="EAG67" s="3"/>
      <c r="EAH67" s="3"/>
      <c r="EAI67" s="3"/>
      <c r="EAJ67" s="3"/>
      <c r="EAK67" s="3"/>
      <c r="EAL67" s="3"/>
      <c r="EAM67" s="3"/>
      <c r="EAN67" s="3"/>
      <c r="EAO67" s="3"/>
      <c r="EAP67" s="3"/>
      <c r="EAQ67" s="3"/>
      <c r="EAR67" s="3"/>
      <c r="EAS67" s="3"/>
      <c r="EAT67" s="3"/>
      <c r="EAU67" s="3"/>
      <c r="EAV67" s="3"/>
      <c r="EAW67" s="3"/>
      <c r="EAX67" s="3"/>
      <c r="EAY67" s="3"/>
      <c r="EAZ67" s="3"/>
      <c r="EBA67" s="3"/>
      <c r="EBB67" s="3"/>
      <c r="EBC67" s="3"/>
      <c r="EBD67" s="3"/>
      <c r="EBE67" s="3"/>
      <c r="EBF67" s="3"/>
      <c r="EBG67" s="3"/>
      <c r="EBH67" s="3"/>
      <c r="EBI67" s="3"/>
      <c r="EBJ67" s="3"/>
      <c r="EBK67" s="3"/>
      <c r="EBL67" s="3"/>
      <c r="EBM67" s="3"/>
      <c r="EBN67" s="3"/>
      <c r="EBO67" s="3"/>
      <c r="EBP67" s="3"/>
      <c r="EBQ67" s="3"/>
      <c r="EBR67" s="3"/>
      <c r="EBS67" s="3"/>
      <c r="EBT67" s="3"/>
      <c r="EBU67" s="3"/>
      <c r="EBV67" s="3"/>
      <c r="EBW67" s="3"/>
      <c r="EBX67" s="3"/>
      <c r="EBY67" s="3"/>
      <c r="EBZ67" s="3"/>
      <c r="ECA67" s="3"/>
      <c r="ECB67" s="3"/>
      <c r="ECC67" s="3"/>
      <c r="ECD67" s="3"/>
      <c r="ECE67" s="3"/>
      <c r="ECF67" s="3"/>
      <c r="ECG67" s="3"/>
      <c r="ECH67" s="3"/>
      <c r="ECI67" s="3"/>
      <c r="ECJ67" s="3"/>
      <c r="ECK67" s="3"/>
      <c r="ECL67" s="3"/>
      <c r="ECM67" s="3"/>
      <c r="ECN67" s="3"/>
      <c r="ECO67" s="3"/>
      <c r="ECP67" s="3"/>
      <c r="ECQ67" s="3"/>
      <c r="ECR67" s="3"/>
      <c r="ECS67" s="3"/>
      <c r="ECT67" s="3"/>
      <c r="ECU67" s="3"/>
      <c r="ECV67" s="3"/>
      <c r="ECW67" s="3"/>
      <c r="ECX67" s="3"/>
      <c r="ECY67" s="3"/>
      <c r="ECZ67" s="3"/>
      <c r="EDA67" s="3"/>
      <c r="EDB67" s="3"/>
      <c r="EDC67" s="3"/>
      <c r="EDD67" s="3"/>
      <c r="EDE67" s="3"/>
      <c r="EDF67" s="3"/>
      <c r="EDG67" s="3"/>
      <c r="EDH67" s="3"/>
      <c r="EDI67" s="3"/>
      <c r="EDJ67" s="3"/>
      <c r="EDK67" s="3"/>
      <c r="EDL67" s="3"/>
      <c r="EDM67" s="3"/>
      <c r="EDN67" s="3"/>
      <c r="EDO67" s="3"/>
      <c r="EDP67" s="3"/>
      <c r="EDQ67" s="3"/>
      <c r="EDR67" s="3"/>
      <c r="EDS67" s="3"/>
      <c r="EDT67" s="3"/>
      <c r="EDU67" s="3"/>
      <c r="EDV67" s="3"/>
      <c r="EDW67" s="3"/>
      <c r="EDX67" s="3"/>
      <c r="EDY67" s="3"/>
      <c r="EDZ67" s="3"/>
      <c r="EEA67" s="3"/>
      <c r="EEB67" s="3"/>
      <c r="EEC67" s="3"/>
      <c r="EED67" s="3"/>
      <c r="EEE67" s="3"/>
      <c r="EEF67" s="3"/>
      <c r="EEG67" s="3"/>
      <c r="EEH67" s="3"/>
      <c r="EEI67" s="3"/>
      <c r="EEJ67" s="3"/>
      <c r="EEK67" s="3"/>
      <c r="EEL67" s="3"/>
      <c r="EEM67" s="3"/>
      <c r="EEN67" s="3"/>
      <c r="EEO67" s="3"/>
      <c r="EEP67" s="3"/>
      <c r="EEQ67" s="3"/>
      <c r="EER67" s="3"/>
      <c r="EES67" s="3"/>
      <c r="EET67" s="3"/>
      <c r="EEU67" s="3"/>
      <c r="EEV67" s="3"/>
      <c r="EEW67" s="3"/>
      <c r="EEX67" s="3"/>
      <c r="EEY67" s="3"/>
      <c r="EEZ67" s="3"/>
      <c r="EFA67" s="3"/>
      <c r="EFB67" s="3"/>
      <c r="EFC67" s="3"/>
      <c r="EFD67" s="3"/>
      <c r="EFE67" s="3"/>
      <c r="EFF67" s="3"/>
      <c r="EFG67" s="3"/>
      <c r="EFH67" s="3"/>
      <c r="EFI67" s="3"/>
      <c r="EFJ67" s="3"/>
      <c r="EFK67" s="3"/>
      <c r="EFL67" s="3"/>
      <c r="EFM67" s="3"/>
      <c r="EFN67" s="3"/>
      <c r="EFO67" s="3"/>
      <c r="EFP67" s="3"/>
      <c r="EFQ67" s="3"/>
      <c r="EFR67" s="3"/>
      <c r="EFS67" s="3"/>
      <c r="EFT67" s="3"/>
      <c r="EFU67" s="3"/>
      <c r="EFV67" s="3"/>
      <c r="EFW67" s="3"/>
      <c r="EFX67" s="3"/>
      <c r="EFY67" s="3"/>
      <c r="EFZ67" s="3"/>
      <c r="EGA67" s="3"/>
      <c r="EGB67" s="3"/>
      <c r="EGC67" s="3"/>
      <c r="EGD67" s="3"/>
      <c r="EGE67" s="3"/>
      <c r="EGF67" s="3"/>
      <c r="EGG67" s="3"/>
      <c r="EGH67" s="3"/>
      <c r="EGI67" s="3"/>
      <c r="EGJ67" s="3"/>
      <c r="EGK67" s="3"/>
      <c r="EGL67" s="3"/>
      <c r="EGM67" s="3"/>
      <c r="EGN67" s="3"/>
      <c r="EGO67" s="3"/>
      <c r="EGP67" s="3"/>
      <c r="EGQ67" s="3"/>
      <c r="EGR67" s="3"/>
      <c r="EGS67" s="3"/>
      <c r="EGT67" s="3"/>
      <c r="EGU67" s="3"/>
      <c r="EGV67" s="3"/>
      <c r="EGW67" s="3"/>
      <c r="EGX67" s="3"/>
      <c r="EGY67" s="3"/>
      <c r="EGZ67" s="3"/>
      <c r="EHA67" s="3"/>
      <c r="EHB67" s="3"/>
      <c r="EHC67" s="3"/>
      <c r="EHD67" s="3"/>
      <c r="EHE67" s="3"/>
      <c r="EHF67" s="3"/>
      <c r="EHG67" s="3"/>
      <c r="EHH67" s="3"/>
      <c r="EHI67" s="3"/>
      <c r="EHJ67" s="3"/>
      <c r="EHK67" s="3"/>
      <c r="EHL67" s="3"/>
      <c r="EHM67" s="3"/>
      <c r="EHN67" s="3"/>
      <c r="EHO67" s="3"/>
      <c r="EHP67" s="3"/>
      <c r="EHQ67" s="3"/>
      <c r="EHR67" s="3"/>
      <c r="EHS67" s="3"/>
      <c r="EHT67" s="3"/>
      <c r="EHU67" s="3"/>
      <c r="EHV67" s="3"/>
      <c r="EHW67" s="3"/>
      <c r="EHX67" s="3"/>
      <c r="EHY67" s="3"/>
      <c r="EHZ67" s="3"/>
      <c r="EIA67" s="3"/>
      <c r="EIB67" s="3"/>
      <c r="EIC67" s="3"/>
      <c r="EID67" s="3"/>
      <c r="EIE67" s="3"/>
      <c r="EIF67" s="3"/>
      <c r="EIG67" s="3"/>
      <c r="EIH67" s="3"/>
      <c r="EII67" s="3"/>
      <c r="EIJ67" s="3"/>
      <c r="EIK67" s="3"/>
      <c r="EIL67" s="3"/>
      <c r="EIM67" s="3"/>
      <c r="EIN67" s="3"/>
      <c r="EIO67" s="3"/>
      <c r="EIP67" s="3"/>
      <c r="EIQ67" s="3"/>
      <c r="EIR67" s="3"/>
      <c r="EIS67" s="3"/>
      <c r="EIT67" s="3"/>
      <c r="EIU67" s="3"/>
      <c r="EIV67" s="3"/>
      <c r="EIW67" s="3"/>
      <c r="EIX67" s="3"/>
      <c r="EIY67" s="3"/>
      <c r="EIZ67" s="3"/>
      <c r="EJA67" s="3"/>
      <c r="EJB67" s="3"/>
      <c r="EJC67" s="3"/>
      <c r="EJD67" s="3"/>
      <c r="EJE67" s="3"/>
      <c r="EJF67" s="3"/>
      <c r="EJG67" s="3"/>
      <c r="EJH67" s="3"/>
      <c r="EJI67" s="3"/>
      <c r="EJJ67" s="3"/>
      <c r="EJK67" s="3"/>
      <c r="EJL67" s="3"/>
      <c r="EJM67" s="3"/>
      <c r="EJN67" s="3"/>
      <c r="EJO67" s="3"/>
      <c r="EJP67" s="3"/>
      <c r="EJQ67" s="3"/>
      <c r="EJR67" s="3"/>
      <c r="EJS67" s="3"/>
      <c r="EJT67" s="3"/>
      <c r="EJU67" s="3"/>
      <c r="EJV67" s="3"/>
      <c r="EJW67" s="3"/>
      <c r="EJX67" s="3"/>
      <c r="EJY67" s="3"/>
      <c r="EJZ67" s="3"/>
      <c r="EKA67" s="3"/>
      <c r="EKB67" s="3"/>
      <c r="EKC67" s="3"/>
      <c r="EKD67" s="3"/>
      <c r="EKE67" s="3"/>
      <c r="EKF67" s="3"/>
      <c r="EKG67" s="3"/>
      <c r="EKH67" s="3"/>
      <c r="EKI67" s="3"/>
      <c r="EKJ67" s="3"/>
      <c r="EKK67" s="3"/>
      <c r="EKL67" s="3"/>
      <c r="EKM67" s="3"/>
      <c r="EKN67" s="3"/>
      <c r="EKO67" s="3"/>
      <c r="EKP67" s="3"/>
      <c r="EKQ67" s="3"/>
      <c r="EKR67" s="3"/>
      <c r="EKS67" s="3"/>
      <c r="EKT67" s="3"/>
      <c r="EKU67" s="3"/>
      <c r="EKV67" s="3"/>
      <c r="EKW67" s="3"/>
      <c r="EKX67" s="3"/>
      <c r="EKY67" s="3"/>
      <c r="EKZ67" s="3"/>
      <c r="ELA67" s="3"/>
      <c r="ELB67" s="3"/>
      <c r="ELC67" s="3"/>
      <c r="ELD67" s="3"/>
      <c r="ELE67" s="3"/>
      <c r="ELF67" s="3"/>
      <c r="ELG67" s="3"/>
      <c r="ELH67" s="3"/>
      <c r="ELI67" s="3"/>
      <c r="ELJ67" s="3"/>
      <c r="ELK67" s="3"/>
      <c r="ELL67" s="3"/>
      <c r="ELM67" s="3"/>
      <c r="ELN67" s="3"/>
      <c r="ELO67" s="3"/>
      <c r="ELP67" s="3"/>
      <c r="ELQ67" s="3"/>
      <c r="ELR67" s="3"/>
      <c r="ELS67" s="3"/>
      <c r="ELT67" s="3"/>
      <c r="ELU67" s="3"/>
      <c r="ELV67" s="3"/>
      <c r="ELW67" s="3"/>
      <c r="ELX67" s="3"/>
      <c r="ELY67" s="3"/>
      <c r="ELZ67" s="3"/>
      <c r="EMA67" s="3"/>
      <c r="EMB67" s="3"/>
      <c r="EMC67" s="3"/>
      <c r="EMD67" s="3"/>
      <c r="EME67" s="3"/>
      <c r="EMF67" s="3"/>
      <c r="EMG67" s="3"/>
      <c r="EMH67" s="3"/>
      <c r="EMI67" s="3"/>
      <c r="EMJ67" s="3"/>
      <c r="EMK67" s="3"/>
      <c r="EML67" s="3"/>
      <c r="EMM67" s="3"/>
      <c r="EMN67" s="3"/>
      <c r="EMO67" s="3"/>
      <c r="EMP67" s="3"/>
      <c r="EMQ67" s="3"/>
      <c r="EMR67" s="3"/>
      <c r="EMS67" s="3"/>
      <c r="EMT67" s="3"/>
      <c r="EMU67" s="3"/>
      <c r="EMV67" s="3"/>
      <c r="EMW67" s="3"/>
      <c r="EMX67" s="3"/>
      <c r="EMY67" s="3"/>
      <c r="EMZ67" s="3"/>
      <c r="ENA67" s="3"/>
      <c r="ENB67" s="3"/>
      <c r="ENC67" s="3"/>
      <c r="END67" s="3"/>
      <c r="ENE67" s="3"/>
      <c r="ENF67" s="3"/>
      <c r="ENG67" s="3"/>
      <c r="ENH67" s="3"/>
      <c r="ENI67" s="3"/>
      <c r="ENJ67" s="3"/>
      <c r="ENK67" s="3"/>
      <c r="ENL67" s="3"/>
      <c r="ENM67" s="3"/>
      <c r="ENN67" s="3"/>
      <c r="ENO67" s="3"/>
      <c r="ENP67" s="3"/>
      <c r="ENQ67" s="3"/>
      <c r="ENR67" s="3"/>
      <c r="ENS67" s="3"/>
      <c r="ENT67" s="3"/>
      <c r="ENU67" s="3"/>
      <c r="ENV67" s="3"/>
      <c r="ENW67" s="3"/>
      <c r="ENX67" s="3"/>
      <c r="ENY67" s="3"/>
      <c r="ENZ67" s="3"/>
      <c r="EOA67" s="3"/>
      <c r="EOB67" s="3"/>
      <c r="EOC67" s="3"/>
      <c r="EOD67" s="3"/>
      <c r="EOE67" s="3"/>
      <c r="EOF67" s="3"/>
      <c r="EOG67" s="3"/>
      <c r="EOH67" s="3"/>
      <c r="EOI67" s="3"/>
      <c r="EOJ67" s="3"/>
      <c r="EOK67" s="3"/>
      <c r="EOL67" s="3"/>
      <c r="EOM67" s="3"/>
      <c r="EON67" s="3"/>
      <c r="EOO67" s="3"/>
      <c r="EOP67" s="3"/>
      <c r="EOQ67" s="3"/>
      <c r="EOR67" s="3"/>
      <c r="EOS67" s="3"/>
      <c r="EOT67" s="3"/>
      <c r="EOU67" s="3"/>
      <c r="EOV67" s="3"/>
      <c r="EOW67" s="3"/>
      <c r="EOX67" s="3"/>
      <c r="EOY67" s="3"/>
      <c r="EOZ67" s="3"/>
      <c r="EPA67" s="3"/>
      <c r="EPB67" s="3"/>
      <c r="EPC67" s="3"/>
      <c r="EPD67" s="3"/>
      <c r="EPE67" s="3"/>
      <c r="EPF67" s="3"/>
      <c r="EPG67" s="3"/>
      <c r="EPH67" s="3"/>
      <c r="EPI67" s="3"/>
      <c r="EPJ67" s="3"/>
      <c r="EPK67" s="3"/>
      <c r="EPL67" s="3"/>
      <c r="EPM67" s="3"/>
      <c r="EPN67" s="3"/>
      <c r="EPO67" s="3"/>
      <c r="EPP67" s="3"/>
      <c r="EPQ67" s="3"/>
      <c r="EPR67" s="3"/>
      <c r="EPS67" s="3"/>
      <c r="EPT67" s="3"/>
      <c r="EPU67" s="3"/>
      <c r="EPV67" s="3"/>
      <c r="EPW67" s="3"/>
      <c r="EPX67" s="3"/>
      <c r="EPY67" s="3"/>
      <c r="EPZ67" s="3"/>
      <c r="EQA67" s="3"/>
      <c r="EQB67" s="3"/>
      <c r="EQC67" s="3"/>
      <c r="EQD67" s="3"/>
      <c r="EQE67" s="3"/>
      <c r="EQF67" s="3"/>
      <c r="EQG67" s="3"/>
      <c r="EQH67" s="3"/>
      <c r="EQI67" s="3"/>
      <c r="EQJ67" s="3"/>
      <c r="EQK67" s="3"/>
      <c r="EQL67" s="3"/>
      <c r="EQM67" s="3"/>
      <c r="EQN67" s="3"/>
      <c r="EQO67" s="3"/>
      <c r="EQP67" s="3"/>
      <c r="EQQ67" s="3"/>
      <c r="EQR67" s="3"/>
      <c r="EQS67" s="3"/>
      <c r="EQT67" s="3"/>
      <c r="EQU67" s="3"/>
      <c r="EQV67" s="3"/>
      <c r="EQW67" s="3"/>
      <c r="EQX67" s="3"/>
      <c r="EQY67" s="3"/>
      <c r="EQZ67" s="3"/>
      <c r="ERA67" s="3"/>
      <c r="ERB67" s="3"/>
      <c r="ERC67" s="3"/>
      <c r="ERD67" s="3"/>
      <c r="ERE67" s="3"/>
      <c r="ERF67" s="3"/>
      <c r="ERG67" s="3"/>
      <c r="ERH67" s="3"/>
      <c r="ERI67" s="3"/>
      <c r="ERJ67" s="3"/>
      <c r="ERK67" s="3"/>
      <c r="ERL67" s="3"/>
      <c r="ERM67" s="3"/>
      <c r="ERN67" s="3"/>
      <c r="ERO67" s="3"/>
      <c r="ERP67" s="3"/>
      <c r="ERQ67" s="3"/>
      <c r="ERR67" s="3"/>
      <c r="ERS67" s="3"/>
      <c r="ERT67" s="3"/>
      <c r="ERU67" s="3"/>
      <c r="ERV67" s="3"/>
      <c r="ERW67" s="3"/>
      <c r="ERX67" s="3"/>
      <c r="ERY67" s="3"/>
      <c r="ERZ67" s="3"/>
      <c r="ESA67" s="3"/>
      <c r="ESB67" s="3"/>
      <c r="ESC67" s="3"/>
      <c r="ESD67" s="3"/>
      <c r="ESE67" s="3"/>
      <c r="ESF67" s="3"/>
      <c r="ESG67" s="3"/>
      <c r="ESH67" s="3"/>
      <c r="ESI67" s="3"/>
      <c r="ESJ67" s="3"/>
      <c r="ESK67" s="3"/>
      <c r="ESL67" s="3"/>
      <c r="ESM67" s="3"/>
      <c r="ESN67" s="3"/>
      <c r="ESO67" s="3"/>
      <c r="ESP67" s="3"/>
      <c r="ESQ67" s="3"/>
      <c r="ESR67" s="3"/>
      <c r="ESS67" s="3"/>
      <c r="EST67" s="3"/>
      <c r="ESU67" s="3"/>
      <c r="ESV67" s="3"/>
      <c r="ESW67" s="3"/>
      <c r="ESX67" s="3"/>
      <c r="ESY67" s="3"/>
      <c r="ESZ67" s="3"/>
      <c r="ETA67" s="3"/>
      <c r="ETB67" s="3"/>
      <c r="ETC67" s="3"/>
      <c r="ETD67" s="3"/>
      <c r="ETE67" s="3"/>
      <c r="ETF67" s="3"/>
      <c r="ETG67" s="3"/>
      <c r="ETH67" s="3"/>
      <c r="ETI67" s="3"/>
      <c r="ETJ67" s="3"/>
      <c r="ETK67" s="3"/>
      <c r="ETL67" s="3"/>
      <c r="ETM67" s="3"/>
      <c r="ETN67" s="3"/>
      <c r="ETO67" s="3"/>
      <c r="ETP67" s="3"/>
      <c r="ETQ67" s="3"/>
      <c r="ETR67" s="3"/>
      <c r="ETS67" s="3"/>
      <c r="ETT67" s="3"/>
      <c r="ETU67" s="3"/>
      <c r="ETV67" s="3"/>
      <c r="ETW67" s="3"/>
      <c r="ETX67" s="3"/>
      <c r="ETY67" s="3"/>
      <c r="ETZ67" s="3"/>
      <c r="EUA67" s="3"/>
      <c r="EUB67" s="3"/>
      <c r="EUC67" s="3"/>
      <c r="EUD67" s="3"/>
      <c r="EUE67" s="3"/>
      <c r="EUF67" s="3"/>
      <c r="EUG67" s="3"/>
      <c r="EUH67" s="3"/>
      <c r="EUI67" s="3"/>
      <c r="EUJ67" s="3"/>
      <c r="EUK67" s="3"/>
      <c r="EUL67" s="3"/>
      <c r="EUM67" s="3"/>
      <c r="EUN67" s="3"/>
      <c r="EUO67" s="3"/>
      <c r="EUP67" s="3"/>
      <c r="EUQ67" s="3"/>
      <c r="EUR67" s="3"/>
      <c r="EUS67" s="3"/>
      <c r="EUT67" s="3"/>
      <c r="EUU67" s="3"/>
      <c r="EUV67" s="3"/>
      <c r="EUW67" s="3"/>
      <c r="EUX67" s="3"/>
      <c r="EUY67" s="3"/>
      <c r="EUZ67" s="3"/>
      <c r="EVA67" s="3"/>
      <c r="EVB67" s="3"/>
      <c r="EVC67" s="3"/>
      <c r="EVD67" s="3"/>
      <c r="EVE67" s="3"/>
      <c r="EVF67" s="3"/>
      <c r="EVG67" s="3"/>
      <c r="EVH67" s="3"/>
      <c r="EVI67" s="3"/>
      <c r="EVJ67" s="3"/>
      <c r="EVK67" s="3"/>
      <c r="EVL67" s="3"/>
      <c r="EVM67" s="3"/>
      <c r="EVN67" s="3"/>
      <c r="EVO67" s="3"/>
      <c r="EVP67" s="3"/>
      <c r="EVQ67" s="3"/>
      <c r="EVR67" s="3"/>
      <c r="EVS67" s="3"/>
      <c r="EVT67" s="3"/>
      <c r="EVU67" s="3"/>
      <c r="EVV67" s="3"/>
      <c r="EVW67" s="3"/>
      <c r="EVX67" s="3"/>
      <c r="EVY67" s="3"/>
      <c r="EVZ67" s="3"/>
      <c r="EWA67" s="3"/>
      <c r="EWB67" s="3"/>
      <c r="EWC67" s="3"/>
      <c r="EWD67" s="3"/>
      <c r="EWE67" s="3"/>
      <c r="EWF67" s="3"/>
      <c r="EWG67" s="3"/>
      <c r="EWH67" s="3"/>
      <c r="EWI67" s="3"/>
      <c r="EWJ67" s="3"/>
      <c r="EWK67" s="3"/>
      <c r="EWL67" s="3"/>
      <c r="EWM67" s="3"/>
      <c r="EWN67" s="3"/>
      <c r="EWO67" s="3"/>
      <c r="EWP67" s="3"/>
      <c r="EWQ67" s="3"/>
      <c r="EWR67" s="3"/>
      <c r="EWS67" s="3"/>
      <c r="EWT67" s="3"/>
      <c r="EWU67" s="3"/>
      <c r="EWV67" s="3"/>
      <c r="EWW67" s="3"/>
      <c r="EWX67" s="3"/>
      <c r="EWY67" s="3"/>
      <c r="EWZ67" s="3"/>
      <c r="EXA67" s="3"/>
      <c r="EXB67" s="3"/>
      <c r="EXC67" s="3"/>
      <c r="EXD67" s="3"/>
      <c r="EXE67" s="3"/>
      <c r="EXF67" s="3"/>
      <c r="EXG67" s="3"/>
      <c r="EXH67" s="3"/>
      <c r="EXI67" s="3"/>
      <c r="EXJ67" s="3"/>
      <c r="EXK67" s="3"/>
      <c r="EXL67" s="3"/>
      <c r="EXM67" s="3"/>
      <c r="EXN67" s="3"/>
      <c r="EXO67" s="3"/>
      <c r="EXP67" s="3"/>
      <c r="EXQ67" s="3"/>
      <c r="EXR67" s="3"/>
      <c r="EXS67" s="3"/>
      <c r="EXT67" s="3"/>
      <c r="EXU67" s="3"/>
      <c r="EXV67" s="3"/>
      <c r="EXW67" s="3"/>
      <c r="EXX67" s="3"/>
      <c r="EXY67" s="3"/>
      <c r="EXZ67" s="3"/>
      <c r="EYA67" s="3"/>
      <c r="EYB67" s="3"/>
      <c r="EYC67" s="3"/>
      <c r="EYD67" s="3"/>
      <c r="EYE67" s="3"/>
      <c r="EYF67" s="3"/>
      <c r="EYG67" s="3"/>
      <c r="EYH67" s="3"/>
      <c r="EYI67" s="3"/>
      <c r="EYJ67" s="3"/>
      <c r="EYK67" s="3"/>
      <c r="EYL67" s="3"/>
      <c r="EYM67" s="3"/>
      <c r="EYN67" s="3"/>
      <c r="EYO67" s="3"/>
      <c r="EYP67" s="3"/>
      <c r="EYQ67" s="3"/>
      <c r="EYR67" s="3"/>
      <c r="EYS67" s="3"/>
      <c r="EYT67" s="3"/>
      <c r="EYU67" s="3"/>
      <c r="EYV67" s="3"/>
      <c r="EYW67" s="3"/>
      <c r="EYX67" s="3"/>
      <c r="EYY67" s="3"/>
      <c r="EYZ67" s="3"/>
      <c r="EZA67" s="3"/>
      <c r="EZB67" s="3"/>
      <c r="EZC67" s="3"/>
      <c r="EZD67" s="3"/>
      <c r="EZE67" s="3"/>
      <c r="EZF67" s="3"/>
      <c r="EZG67" s="3"/>
      <c r="EZH67" s="3"/>
      <c r="EZI67" s="3"/>
      <c r="EZJ67" s="3"/>
      <c r="EZK67" s="3"/>
      <c r="EZL67" s="3"/>
      <c r="EZM67" s="3"/>
      <c r="EZN67" s="3"/>
      <c r="EZO67" s="3"/>
      <c r="EZP67" s="3"/>
      <c r="EZQ67" s="3"/>
      <c r="EZR67" s="3"/>
      <c r="EZS67" s="3"/>
      <c r="EZT67" s="3"/>
      <c r="EZU67" s="3"/>
      <c r="EZV67" s="3"/>
      <c r="EZW67" s="3"/>
      <c r="EZX67" s="3"/>
      <c r="EZY67" s="3"/>
      <c r="EZZ67" s="3"/>
      <c r="FAA67" s="3"/>
      <c r="FAB67" s="3"/>
      <c r="FAC67" s="3"/>
      <c r="FAD67" s="3"/>
      <c r="FAE67" s="3"/>
      <c r="FAF67" s="3"/>
      <c r="FAG67" s="3"/>
      <c r="FAH67" s="3"/>
      <c r="FAI67" s="3"/>
      <c r="FAJ67" s="3"/>
      <c r="FAK67" s="3"/>
      <c r="FAL67" s="3"/>
      <c r="FAM67" s="3"/>
      <c r="FAN67" s="3"/>
      <c r="FAO67" s="3"/>
      <c r="FAP67" s="3"/>
      <c r="FAQ67" s="3"/>
      <c r="FAR67" s="3"/>
      <c r="FAS67" s="3"/>
      <c r="FAT67" s="3"/>
      <c r="FAU67" s="3"/>
      <c r="FAV67" s="3"/>
      <c r="FAW67" s="3"/>
      <c r="FAX67" s="3"/>
      <c r="FAY67" s="3"/>
      <c r="FAZ67" s="3"/>
      <c r="FBA67" s="3"/>
      <c r="FBB67" s="3"/>
      <c r="FBC67" s="3"/>
      <c r="FBD67" s="3"/>
      <c r="FBE67" s="3"/>
      <c r="FBF67" s="3"/>
      <c r="FBG67" s="3"/>
      <c r="FBH67" s="3"/>
      <c r="FBI67" s="3"/>
      <c r="FBJ67" s="3"/>
      <c r="FBK67" s="3"/>
      <c r="FBL67" s="3"/>
      <c r="FBM67" s="3"/>
      <c r="FBN67" s="3"/>
      <c r="FBO67" s="3"/>
      <c r="FBP67" s="3"/>
      <c r="FBQ67" s="3"/>
      <c r="FBR67" s="3"/>
      <c r="FBS67" s="3"/>
      <c r="FBT67" s="3"/>
      <c r="FBU67" s="3"/>
      <c r="FBV67" s="3"/>
      <c r="FBW67" s="3"/>
      <c r="FBX67" s="3"/>
      <c r="FBY67" s="3"/>
      <c r="FBZ67" s="3"/>
      <c r="FCA67" s="3"/>
      <c r="FCB67" s="3"/>
      <c r="FCC67" s="3"/>
      <c r="FCD67" s="3"/>
      <c r="FCE67" s="3"/>
      <c r="FCF67" s="3"/>
      <c r="FCG67" s="3"/>
      <c r="FCH67" s="3"/>
      <c r="FCI67" s="3"/>
      <c r="FCJ67" s="3"/>
      <c r="FCK67" s="3"/>
      <c r="FCL67" s="3"/>
      <c r="FCM67" s="3"/>
      <c r="FCN67" s="3"/>
      <c r="FCO67" s="3"/>
      <c r="FCP67" s="3"/>
      <c r="FCQ67" s="3"/>
      <c r="FCR67" s="3"/>
      <c r="FCS67" s="3"/>
      <c r="FCT67" s="3"/>
      <c r="FCU67" s="3"/>
      <c r="FCV67" s="3"/>
      <c r="FCW67" s="3"/>
      <c r="FCX67" s="3"/>
      <c r="FCY67" s="3"/>
      <c r="FCZ67" s="3"/>
      <c r="FDA67" s="3"/>
      <c r="FDB67" s="3"/>
      <c r="FDC67" s="3"/>
      <c r="FDD67" s="3"/>
      <c r="FDE67" s="3"/>
      <c r="FDF67" s="3"/>
      <c r="FDG67" s="3"/>
      <c r="FDH67" s="3"/>
      <c r="FDI67" s="3"/>
      <c r="FDJ67" s="3"/>
      <c r="FDK67" s="3"/>
      <c r="FDL67" s="3"/>
      <c r="FDM67" s="3"/>
      <c r="FDN67" s="3"/>
      <c r="FDO67" s="3"/>
      <c r="FDP67" s="3"/>
      <c r="FDQ67" s="3"/>
      <c r="FDR67" s="3"/>
      <c r="FDS67" s="3"/>
      <c r="FDT67" s="3"/>
      <c r="FDU67" s="3"/>
      <c r="FDV67" s="3"/>
      <c r="FDW67" s="3"/>
      <c r="FDX67" s="3"/>
      <c r="FDY67" s="3"/>
      <c r="FDZ67" s="3"/>
      <c r="FEA67" s="3"/>
      <c r="FEB67" s="3"/>
      <c r="FEC67" s="3"/>
      <c r="FED67" s="3"/>
      <c r="FEE67" s="3"/>
      <c r="FEF67" s="3"/>
      <c r="FEG67" s="3"/>
      <c r="FEH67" s="3"/>
      <c r="FEI67" s="3"/>
      <c r="FEJ67" s="3"/>
      <c r="FEK67" s="3"/>
      <c r="FEL67" s="3"/>
      <c r="FEM67" s="3"/>
      <c r="FEN67" s="3"/>
      <c r="FEO67" s="3"/>
      <c r="FEP67" s="3"/>
      <c r="FEQ67" s="3"/>
      <c r="FER67" s="3"/>
      <c r="FES67" s="3"/>
      <c r="FET67" s="3"/>
      <c r="FEU67" s="3"/>
      <c r="FEV67" s="3"/>
      <c r="FEW67" s="3"/>
      <c r="FEX67" s="3"/>
      <c r="FEY67" s="3"/>
      <c r="FEZ67" s="3"/>
      <c r="FFA67" s="3"/>
      <c r="FFB67" s="3"/>
      <c r="FFC67" s="3"/>
      <c r="FFD67" s="3"/>
      <c r="FFE67" s="3"/>
      <c r="FFF67" s="3"/>
      <c r="FFG67" s="3"/>
      <c r="FFH67" s="3"/>
      <c r="FFI67" s="3"/>
      <c r="FFJ67" s="3"/>
      <c r="FFK67" s="3"/>
      <c r="FFL67" s="3"/>
      <c r="FFM67" s="3"/>
      <c r="FFN67" s="3"/>
      <c r="FFO67" s="3"/>
      <c r="FFP67" s="3"/>
      <c r="FFQ67" s="3"/>
      <c r="FFR67" s="3"/>
      <c r="FFS67" s="3"/>
      <c r="FFT67" s="3"/>
      <c r="FFU67" s="3"/>
      <c r="FFV67" s="3"/>
      <c r="FFW67" s="3"/>
      <c r="FFX67" s="3"/>
      <c r="FFY67" s="3"/>
      <c r="FFZ67" s="3"/>
      <c r="FGA67" s="3"/>
      <c r="FGB67" s="3"/>
      <c r="FGC67" s="3"/>
      <c r="FGD67" s="3"/>
      <c r="FGE67" s="3"/>
      <c r="FGF67" s="3"/>
      <c r="FGG67" s="3"/>
      <c r="FGH67" s="3"/>
      <c r="FGI67" s="3"/>
      <c r="FGJ67" s="3"/>
      <c r="FGK67" s="3"/>
      <c r="FGL67" s="3"/>
      <c r="FGM67" s="3"/>
      <c r="FGN67" s="3"/>
      <c r="FGO67" s="3"/>
      <c r="FGP67" s="3"/>
      <c r="FGQ67" s="3"/>
      <c r="FGR67" s="3"/>
      <c r="FGS67" s="3"/>
      <c r="FGT67" s="3"/>
      <c r="FGU67" s="3"/>
      <c r="FGV67" s="3"/>
      <c r="FGW67" s="3"/>
      <c r="FGX67" s="3"/>
      <c r="FGY67" s="3"/>
      <c r="FGZ67" s="3"/>
      <c r="FHA67" s="3"/>
      <c r="FHB67" s="3"/>
      <c r="FHC67" s="3"/>
      <c r="FHD67" s="3"/>
      <c r="FHE67" s="3"/>
      <c r="FHF67" s="3"/>
      <c r="FHG67" s="3"/>
      <c r="FHH67" s="3"/>
      <c r="FHI67" s="3"/>
      <c r="FHJ67" s="3"/>
      <c r="FHK67" s="3"/>
      <c r="FHL67" s="3"/>
      <c r="FHM67" s="3"/>
      <c r="FHN67" s="3"/>
      <c r="FHO67" s="3"/>
      <c r="FHP67" s="3"/>
      <c r="FHQ67" s="3"/>
      <c r="FHR67" s="3"/>
      <c r="FHS67" s="3"/>
      <c r="FHT67" s="3"/>
      <c r="FHU67" s="3"/>
      <c r="FHV67" s="3"/>
      <c r="FHW67" s="3"/>
      <c r="FHX67" s="3"/>
      <c r="FHY67" s="3"/>
      <c r="FHZ67" s="3"/>
      <c r="FIA67" s="3"/>
      <c r="FIB67" s="3"/>
      <c r="FIC67" s="3"/>
      <c r="FID67" s="3"/>
      <c r="FIE67" s="3"/>
      <c r="FIF67" s="3"/>
      <c r="FIG67" s="3"/>
      <c r="FIH67" s="3"/>
      <c r="FII67" s="3"/>
      <c r="FIJ67" s="3"/>
      <c r="FIK67" s="3"/>
      <c r="FIL67" s="3"/>
      <c r="FIM67" s="3"/>
      <c r="FIN67" s="3"/>
      <c r="FIO67" s="3"/>
      <c r="FIP67" s="3"/>
      <c r="FIQ67" s="3"/>
      <c r="FIR67" s="3"/>
      <c r="FIS67" s="3"/>
      <c r="FIT67" s="3"/>
      <c r="FIU67" s="3"/>
      <c r="FIV67" s="3"/>
      <c r="FIW67" s="3"/>
      <c r="FIX67" s="3"/>
      <c r="FIY67" s="3"/>
      <c r="FIZ67" s="3"/>
      <c r="FJA67" s="3"/>
      <c r="FJB67" s="3"/>
      <c r="FJC67" s="3"/>
      <c r="FJD67" s="3"/>
      <c r="FJE67" s="3"/>
      <c r="FJF67" s="3"/>
      <c r="FJG67" s="3"/>
      <c r="FJH67" s="3"/>
      <c r="FJI67" s="3"/>
      <c r="FJJ67" s="3"/>
      <c r="FJK67" s="3"/>
      <c r="FJL67" s="3"/>
      <c r="FJM67" s="3"/>
      <c r="FJN67" s="3"/>
      <c r="FJO67" s="3"/>
      <c r="FJP67" s="3"/>
      <c r="FJQ67" s="3"/>
      <c r="FJR67" s="3"/>
      <c r="FJS67" s="3"/>
      <c r="FJT67" s="3"/>
      <c r="FJU67" s="3"/>
      <c r="FJV67" s="3"/>
      <c r="FJW67" s="3"/>
      <c r="FJX67" s="3"/>
      <c r="FJY67" s="3"/>
      <c r="FJZ67" s="3"/>
      <c r="FKA67" s="3"/>
      <c r="FKB67" s="3"/>
      <c r="FKC67" s="3"/>
      <c r="FKD67" s="3"/>
      <c r="FKE67" s="3"/>
      <c r="FKF67" s="3"/>
      <c r="FKG67" s="3"/>
      <c r="FKH67" s="3"/>
      <c r="FKI67" s="3"/>
      <c r="FKJ67" s="3"/>
      <c r="FKK67" s="3"/>
      <c r="FKL67" s="3"/>
      <c r="FKM67" s="3"/>
      <c r="FKN67" s="3"/>
      <c r="FKO67" s="3"/>
      <c r="FKP67" s="3"/>
      <c r="FKQ67" s="3"/>
      <c r="FKR67" s="3"/>
      <c r="FKS67" s="3"/>
      <c r="FKT67" s="3"/>
      <c r="FKU67" s="3"/>
      <c r="FKV67" s="3"/>
      <c r="FKW67" s="3"/>
      <c r="FKX67" s="3"/>
      <c r="FKY67" s="3"/>
      <c r="FKZ67" s="3"/>
      <c r="FLA67" s="3"/>
      <c r="FLB67" s="3"/>
      <c r="FLC67" s="3"/>
      <c r="FLD67" s="3"/>
      <c r="FLE67" s="3"/>
      <c r="FLF67" s="3"/>
      <c r="FLG67" s="3"/>
      <c r="FLH67" s="3"/>
      <c r="FLI67" s="3"/>
      <c r="FLJ67" s="3"/>
      <c r="FLK67" s="3"/>
      <c r="FLL67" s="3"/>
      <c r="FLM67" s="3"/>
      <c r="FLN67" s="3"/>
      <c r="FLO67" s="3"/>
      <c r="FLP67" s="3"/>
      <c r="FLQ67" s="3"/>
      <c r="FLR67" s="3"/>
      <c r="FLS67" s="3"/>
      <c r="FLT67" s="3"/>
      <c r="FLU67" s="3"/>
      <c r="FLV67" s="3"/>
      <c r="FLW67" s="3"/>
      <c r="FLX67" s="3"/>
      <c r="FLY67" s="3"/>
      <c r="FLZ67" s="3"/>
      <c r="FMA67" s="3"/>
      <c r="FMB67" s="3"/>
      <c r="FMC67" s="3"/>
      <c r="FMD67" s="3"/>
      <c r="FME67" s="3"/>
      <c r="FMF67" s="3"/>
      <c r="FMG67" s="3"/>
      <c r="FMH67" s="3"/>
      <c r="FMI67" s="3"/>
      <c r="FMJ67" s="3"/>
      <c r="FMK67" s="3"/>
      <c r="FML67" s="3"/>
      <c r="FMM67" s="3"/>
      <c r="FMN67" s="3"/>
      <c r="FMO67" s="3"/>
      <c r="FMP67" s="3"/>
      <c r="FMQ67" s="3"/>
      <c r="FMR67" s="3"/>
      <c r="FMS67" s="3"/>
      <c r="FMT67" s="3"/>
      <c r="FMU67" s="3"/>
      <c r="FMV67" s="3"/>
      <c r="FMW67" s="3"/>
      <c r="FMX67" s="3"/>
      <c r="FMY67" s="3"/>
      <c r="FMZ67" s="3"/>
      <c r="FNA67" s="3"/>
      <c r="FNB67" s="3"/>
      <c r="FNC67" s="3"/>
      <c r="FND67" s="3"/>
      <c r="FNE67" s="3"/>
      <c r="FNF67" s="3"/>
      <c r="FNG67" s="3"/>
      <c r="FNH67" s="3"/>
      <c r="FNI67" s="3"/>
      <c r="FNJ67" s="3"/>
      <c r="FNK67" s="3"/>
      <c r="FNL67" s="3"/>
      <c r="FNM67" s="3"/>
      <c r="FNN67" s="3"/>
      <c r="FNO67" s="3"/>
      <c r="FNP67" s="3"/>
      <c r="FNQ67" s="3"/>
      <c r="FNR67" s="3"/>
      <c r="FNS67" s="3"/>
      <c r="FNT67" s="3"/>
      <c r="FNU67" s="3"/>
      <c r="FNV67" s="3"/>
      <c r="FNW67" s="3"/>
      <c r="FNX67" s="3"/>
      <c r="FNY67" s="3"/>
      <c r="FNZ67" s="3"/>
      <c r="FOA67" s="3"/>
      <c r="FOB67" s="3"/>
      <c r="FOC67" s="3"/>
      <c r="FOD67" s="3"/>
      <c r="FOE67" s="3"/>
      <c r="FOF67" s="3"/>
      <c r="FOG67" s="3"/>
      <c r="FOH67" s="3"/>
      <c r="FOI67" s="3"/>
      <c r="FOJ67" s="3"/>
      <c r="FOK67" s="3"/>
      <c r="FOL67" s="3"/>
      <c r="FOM67" s="3"/>
      <c r="FON67" s="3"/>
      <c r="FOO67" s="3"/>
      <c r="FOP67" s="3"/>
      <c r="FOQ67" s="3"/>
      <c r="FOR67" s="3"/>
      <c r="FOS67" s="3"/>
      <c r="FOT67" s="3"/>
      <c r="FOU67" s="3"/>
      <c r="FOV67" s="3"/>
      <c r="FOW67" s="3"/>
      <c r="FOX67" s="3"/>
      <c r="FOY67" s="3"/>
      <c r="FOZ67" s="3"/>
      <c r="FPA67" s="3"/>
      <c r="FPB67" s="3"/>
      <c r="FPC67" s="3"/>
      <c r="FPD67" s="3"/>
      <c r="FPE67" s="3"/>
      <c r="FPF67" s="3"/>
      <c r="FPG67" s="3"/>
      <c r="FPH67" s="3"/>
      <c r="FPI67" s="3"/>
      <c r="FPJ67" s="3"/>
      <c r="FPK67" s="3"/>
      <c r="FPL67" s="3"/>
      <c r="FPM67" s="3"/>
      <c r="FPN67" s="3"/>
      <c r="FPO67" s="3"/>
      <c r="FPP67" s="3"/>
      <c r="FPQ67" s="3"/>
      <c r="FPR67" s="3"/>
      <c r="FPS67" s="3"/>
      <c r="FPT67" s="3"/>
      <c r="FPU67" s="3"/>
      <c r="FPV67" s="3"/>
      <c r="FPW67" s="3"/>
      <c r="FPX67" s="3"/>
      <c r="FPY67" s="3"/>
      <c r="FPZ67" s="3"/>
      <c r="FQA67" s="3"/>
      <c r="FQB67" s="3"/>
      <c r="FQC67" s="3"/>
      <c r="FQD67" s="3"/>
      <c r="FQE67" s="3"/>
      <c r="FQF67" s="3"/>
      <c r="FQG67" s="3"/>
      <c r="FQH67" s="3"/>
      <c r="FQI67" s="3"/>
      <c r="FQJ67" s="3"/>
      <c r="FQK67" s="3"/>
      <c r="FQL67" s="3"/>
      <c r="FQM67" s="3"/>
      <c r="FQN67" s="3"/>
      <c r="FQO67" s="3"/>
      <c r="FQP67" s="3"/>
      <c r="FQQ67" s="3"/>
      <c r="FQR67" s="3"/>
      <c r="FQS67" s="3"/>
      <c r="FQT67" s="3"/>
      <c r="FQU67" s="3"/>
      <c r="FQV67" s="3"/>
      <c r="FQW67" s="3"/>
      <c r="FQX67" s="3"/>
      <c r="FQY67" s="3"/>
      <c r="FQZ67" s="3"/>
      <c r="FRA67" s="3"/>
      <c r="FRB67" s="3"/>
      <c r="FRC67" s="3"/>
      <c r="FRD67" s="3"/>
      <c r="FRE67" s="3"/>
      <c r="FRF67" s="3"/>
      <c r="FRG67" s="3"/>
      <c r="FRH67" s="3"/>
      <c r="FRI67" s="3"/>
      <c r="FRJ67" s="3"/>
      <c r="FRK67" s="3"/>
      <c r="FRL67" s="3"/>
      <c r="FRM67" s="3"/>
      <c r="FRN67" s="3"/>
      <c r="FRO67" s="3"/>
      <c r="FRP67" s="3"/>
      <c r="FRQ67" s="3"/>
      <c r="FRR67" s="3"/>
      <c r="FRS67" s="3"/>
      <c r="FRT67" s="3"/>
      <c r="FRU67" s="3"/>
      <c r="FRV67" s="3"/>
      <c r="FRW67" s="3"/>
      <c r="FRX67" s="3"/>
      <c r="FRY67" s="3"/>
      <c r="FRZ67" s="3"/>
      <c r="FSA67" s="3"/>
      <c r="FSB67" s="3"/>
      <c r="FSC67" s="3"/>
      <c r="FSD67" s="3"/>
      <c r="FSE67" s="3"/>
      <c r="FSF67" s="3"/>
      <c r="FSG67" s="3"/>
      <c r="FSH67" s="3"/>
      <c r="FSI67" s="3"/>
      <c r="FSJ67" s="3"/>
      <c r="FSK67" s="3"/>
      <c r="FSL67" s="3"/>
      <c r="FSM67" s="3"/>
      <c r="FSN67" s="3"/>
      <c r="FSO67" s="3"/>
      <c r="FSP67" s="3"/>
      <c r="FSQ67" s="3"/>
      <c r="FSR67" s="3"/>
      <c r="FSS67" s="3"/>
      <c r="FST67" s="3"/>
      <c r="FSU67" s="3"/>
      <c r="FSV67" s="3"/>
      <c r="FSW67" s="3"/>
      <c r="FSX67" s="3"/>
      <c r="FSY67" s="3"/>
      <c r="FSZ67" s="3"/>
      <c r="FTA67" s="3"/>
      <c r="FTB67" s="3"/>
      <c r="FTC67" s="3"/>
      <c r="FTD67" s="3"/>
      <c r="FTE67" s="3"/>
      <c r="FTF67" s="3"/>
      <c r="FTG67" s="3"/>
      <c r="FTH67" s="3"/>
      <c r="FTI67" s="3"/>
      <c r="FTJ67" s="3"/>
      <c r="FTK67" s="3"/>
      <c r="FTL67" s="3"/>
      <c r="FTM67" s="3"/>
      <c r="FTN67" s="3"/>
      <c r="FTO67" s="3"/>
      <c r="FTP67" s="3"/>
      <c r="FTQ67" s="3"/>
      <c r="FTR67" s="3"/>
      <c r="FTS67" s="3"/>
      <c r="FTT67" s="3"/>
      <c r="FTU67" s="3"/>
      <c r="FTV67" s="3"/>
      <c r="FTW67" s="3"/>
      <c r="FTX67" s="3"/>
      <c r="FTY67" s="3"/>
      <c r="FTZ67" s="3"/>
      <c r="FUA67" s="3"/>
      <c r="FUB67" s="3"/>
      <c r="FUC67" s="3"/>
      <c r="FUD67" s="3"/>
      <c r="FUE67" s="3"/>
      <c r="FUF67" s="3"/>
      <c r="FUG67" s="3"/>
      <c r="FUH67" s="3"/>
      <c r="FUI67" s="3"/>
      <c r="FUJ67" s="3"/>
      <c r="FUK67" s="3"/>
      <c r="FUL67" s="3"/>
      <c r="FUM67" s="3"/>
      <c r="FUN67" s="3"/>
      <c r="FUO67" s="3"/>
      <c r="FUP67" s="3"/>
      <c r="FUQ67" s="3"/>
      <c r="FUR67" s="3"/>
      <c r="FUS67" s="3"/>
      <c r="FUT67" s="3"/>
      <c r="FUU67" s="3"/>
      <c r="FUV67" s="3"/>
      <c r="FUW67" s="3"/>
      <c r="FUX67" s="3"/>
      <c r="FUY67" s="3"/>
      <c r="FUZ67" s="3"/>
      <c r="FVA67" s="3"/>
      <c r="FVB67" s="3"/>
      <c r="FVC67" s="3"/>
      <c r="FVD67" s="3"/>
      <c r="FVE67" s="3"/>
      <c r="FVF67" s="3"/>
      <c r="FVG67" s="3"/>
      <c r="FVH67" s="3"/>
      <c r="FVI67" s="3"/>
      <c r="FVJ67" s="3"/>
      <c r="FVK67" s="3"/>
      <c r="FVL67" s="3"/>
      <c r="FVM67" s="3"/>
      <c r="FVN67" s="3"/>
      <c r="FVO67" s="3"/>
      <c r="FVP67" s="3"/>
      <c r="FVQ67" s="3"/>
      <c r="FVR67" s="3"/>
      <c r="FVS67" s="3"/>
      <c r="FVT67" s="3"/>
      <c r="FVU67" s="3"/>
      <c r="FVV67" s="3"/>
      <c r="FVW67" s="3"/>
      <c r="FVX67" s="3"/>
      <c r="FVY67" s="3"/>
      <c r="FVZ67" s="3"/>
      <c r="FWA67" s="3"/>
      <c r="FWB67" s="3"/>
      <c r="FWC67" s="3"/>
      <c r="FWD67" s="3"/>
      <c r="FWE67" s="3"/>
      <c r="FWF67" s="3"/>
      <c r="FWG67" s="3"/>
      <c r="FWH67" s="3"/>
      <c r="FWI67" s="3"/>
      <c r="FWJ67" s="3"/>
      <c r="FWK67" s="3"/>
      <c r="FWL67" s="3"/>
      <c r="FWM67" s="3"/>
      <c r="FWN67" s="3"/>
      <c r="FWO67" s="3"/>
      <c r="FWP67" s="3"/>
      <c r="FWQ67" s="3"/>
      <c r="FWR67" s="3"/>
      <c r="FWS67" s="3"/>
      <c r="FWT67" s="3"/>
      <c r="FWU67" s="3"/>
      <c r="FWV67" s="3"/>
      <c r="FWW67" s="3"/>
      <c r="FWX67" s="3"/>
      <c r="FWY67" s="3"/>
      <c r="FWZ67" s="3"/>
      <c r="FXA67" s="3"/>
      <c r="FXB67" s="3"/>
      <c r="FXC67" s="3"/>
      <c r="FXD67" s="3"/>
      <c r="FXE67" s="3"/>
      <c r="FXF67" s="3"/>
      <c r="FXG67" s="3"/>
      <c r="FXH67" s="3"/>
      <c r="FXI67" s="3"/>
      <c r="FXJ67" s="3"/>
      <c r="FXK67" s="3"/>
      <c r="FXL67" s="3"/>
      <c r="FXM67" s="3"/>
      <c r="FXN67" s="3"/>
      <c r="FXO67" s="3"/>
      <c r="FXP67" s="3"/>
      <c r="FXQ67" s="3"/>
      <c r="FXR67" s="3"/>
      <c r="FXS67" s="3"/>
      <c r="FXT67" s="3"/>
      <c r="FXU67" s="3"/>
      <c r="FXV67" s="3"/>
      <c r="FXW67" s="3"/>
      <c r="FXX67" s="3"/>
      <c r="FXY67" s="3"/>
      <c r="FXZ67" s="3"/>
      <c r="FYA67" s="3"/>
      <c r="FYB67" s="3"/>
      <c r="FYC67" s="3"/>
      <c r="FYD67" s="3"/>
      <c r="FYE67" s="3"/>
      <c r="FYF67" s="3"/>
      <c r="FYG67" s="3"/>
      <c r="FYH67" s="3"/>
      <c r="FYI67" s="3"/>
      <c r="FYJ67" s="3"/>
      <c r="FYK67" s="3"/>
      <c r="FYL67" s="3"/>
      <c r="FYM67" s="3"/>
      <c r="FYN67" s="3"/>
      <c r="FYO67" s="3"/>
      <c r="FYP67" s="3"/>
      <c r="FYQ67" s="3"/>
      <c r="FYR67" s="3"/>
      <c r="FYS67" s="3"/>
      <c r="FYT67" s="3"/>
      <c r="FYU67" s="3"/>
      <c r="FYV67" s="3"/>
      <c r="FYW67" s="3"/>
      <c r="FYX67" s="3"/>
      <c r="FYY67" s="3"/>
      <c r="FYZ67" s="3"/>
      <c r="FZA67" s="3"/>
      <c r="FZB67" s="3"/>
      <c r="FZC67" s="3"/>
      <c r="FZD67" s="3"/>
      <c r="FZE67" s="3"/>
      <c r="FZF67" s="3"/>
      <c r="FZG67" s="3"/>
      <c r="FZH67" s="3"/>
      <c r="FZI67" s="3"/>
      <c r="FZJ67" s="3"/>
      <c r="FZK67" s="3"/>
      <c r="FZL67" s="3"/>
      <c r="FZM67" s="3"/>
      <c r="FZN67" s="3"/>
      <c r="FZO67" s="3"/>
      <c r="FZP67" s="3"/>
      <c r="FZQ67" s="3"/>
      <c r="FZR67" s="3"/>
      <c r="FZS67" s="3"/>
      <c r="FZT67" s="3"/>
      <c r="FZU67" s="3"/>
      <c r="FZV67" s="3"/>
      <c r="FZW67" s="3"/>
      <c r="FZX67" s="3"/>
      <c r="FZY67" s="3"/>
      <c r="FZZ67" s="3"/>
      <c r="GAA67" s="3"/>
      <c r="GAB67" s="3"/>
      <c r="GAC67" s="3"/>
      <c r="GAD67" s="3"/>
      <c r="GAE67" s="3"/>
      <c r="GAF67" s="3"/>
      <c r="GAG67" s="3"/>
      <c r="GAH67" s="3"/>
      <c r="GAI67" s="3"/>
      <c r="GAJ67" s="3"/>
      <c r="GAK67" s="3"/>
      <c r="GAL67" s="3"/>
      <c r="GAM67" s="3"/>
      <c r="GAN67" s="3"/>
      <c r="GAO67" s="3"/>
      <c r="GAP67" s="3"/>
      <c r="GAQ67" s="3"/>
      <c r="GAR67" s="3"/>
      <c r="GAS67" s="3"/>
      <c r="GAT67" s="3"/>
      <c r="GAU67" s="3"/>
      <c r="GAV67" s="3"/>
      <c r="GAW67" s="3"/>
      <c r="GAX67" s="3"/>
      <c r="GAY67" s="3"/>
      <c r="GAZ67" s="3"/>
      <c r="GBA67" s="3"/>
      <c r="GBB67" s="3"/>
      <c r="GBC67" s="3"/>
      <c r="GBD67" s="3"/>
      <c r="GBE67" s="3"/>
      <c r="GBF67" s="3"/>
      <c r="GBG67" s="3"/>
      <c r="GBH67" s="3"/>
      <c r="GBI67" s="3"/>
      <c r="GBJ67" s="3"/>
      <c r="GBK67" s="3"/>
      <c r="GBL67" s="3"/>
      <c r="GBM67" s="3"/>
      <c r="GBN67" s="3"/>
      <c r="GBO67" s="3"/>
      <c r="GBP67" s="3"/>
      <c r="GBQ67" s="3"/>
      <c r="GBR67" s="3"/>
      <c r="GBS67" s="3"/>
      <c r="GBT67" s="3"/>
      <c r="GBU67" s="3"/>
      <c r="GBV67" s="3"/>
      <c r="GBW67" s="3"/>
      <c r="GBX67" s="3"/>
      <c r="GBY67" s="3"/>
      <c r="GBZ67" s="3"/>
      <c r="GCA67" s="3"/>
      <c r="GCB67" s="3"/>
      <c r="GCC67" s="3"/>
      <c r="GCD67" s="3"/>
      <c r="GCE67" s="3"/>
      <c r="GCF67" s="3"/>
      <c r="GCG67" s="3"/>
      <c r="GCH67" s="3"/>
      <c r="GCI67" s="3"/>
      <c r="GCJ67" s="3"/>
      <c r="GCK67" s="3"/>
      <c r="GCL67" s="3"/>
      <c r="GCM67" s="3"/>
      <c r="GCN67" s="3"/>
      <c r="GCO67" s="3"/>
      <c r="GCP67" s="3"/>
      <c r="GCQ67" s="3"/>
      <c r="GCR67" s="3"/>
      <c r="GCS67" s="3"/>
      <c r="GCT67" s="3"/>
      <c r="GCU67" s="3"/>
      <c r="GCV67" s="3"/>
      <c r="GCW67" s="3"/>
      <c r="GCX67" s="3"/>
      <c r="GCY67" s="3"/>
      <c r="GCZ67" s="3"/>
      <c r="GDA67" s="3"/>
      <c r="GDB67" s="3"/>
      <c r="GDC67" s="3"/>
      <c r="GDD67" s="3"/>
      <c r="GDE67" s="3"/>
      <c r="GDF67" s="3"/>
      <c r="GDG67" s="3"/>
      <c r="GDH67" s="3"/>
      <c r="GDI67" s="3"/>
      <c r="GDJ67" s="3"/>
      <c r="GDK67" s="3"/>
      <c r="GDL67" s="3"/>
      <c r="GDM67" s="3"/>
      <c r="GDN67" s="3"/>
      <c r="GDO67" s="3"/>
      <c r="GDP67" s="3"/>
      <c r="GDQ67" s="3"/>
      <c r="GDR67" s="3"/>
      <c r="GDS67" s="3"/>
      <c r="GDT67" s="3"/>
      <c r="GDU67" s="3"/>
      <c r="GDV67" s="3"/>
      <c r="GDW67" s="3"/>
      <c r="GDX67" s="3"/>
      <c r="GDY67" s="3"/>
      <c r="GDZ67" s="3"/>
      <c r="GEA67" s="3"/>
      <c r="GEB67" s="3"/>
      <c r="GEC67" s="3"/>
      <c r="GED67" s="3"/>
      <c r="GEE67" s="3"/>
      <c r="GEF67" s="3"/>
      <c r="GEG67" s="3"/>
      <c r="GEH67" s="3"/>
      <c r="GEI67" s="3"/>
      <c r="GEJ67" s="3"/>
      <c r="GEK67" s="3"/>
      <c r="GEL67" s="3"/>
      <c r="GEM67" s="3"/>
      <c r="GEN67" s="3"/>
      <c r="GEO67" s="3"/>
      <c r="GEP67" s="3"/>
      <c r="GEQ67" s="3"/>
      <c r="GER67" s="3"/>
      <c r="GES67" s="3"/>
      <c r="GET67" s="3"/>
      <c r="GEU67" s="3"/>
      <c r="GEV67" s="3"/>
      <c r="GEW67" s="3"/>
      <c r="GEX67" s="3"/>
      <c r="GEY67" s="3"/>
      <c r="GEZ67" s="3"/>
      <c r="GFA67" s="3"/>
      <c r="GFB67" s="3"/>
      <c r="GFC67" s="3"/>
      <c r="GFD67" s="3"/>
      <c r="GFE67" s="3"/>
      <c r="GFF67" s="3"/>
      <c r="GFG67" s="3"/>
      <c r="GFH67" s="3"/>
      <c r="GFI67" s="3"/>
      <c r="GFJ67" s="3"/>
      <c r="GFK67" s="3"/>
      <c r="GFL67" s="3"/>
      <c r="GFM67" s="3"/>
      <c r="GFN67" s="3"/>
      <c r="GFO67" s="3"/>
      <c r="GFP67" s="3"/>
      <c r="GFQ67" s="3"/>
      <c r="GFR67" s="3"/>
      <c r="GFS67" s="3"/>
      <c r="GFT67" s="3"/>
      <c r="GFU67" s="3"/>
      <c r="GFV67" s="3"/>
      <c r="GFW67" s="3"/>
      <c r="GFX67" s="3"/>
      <c r="GFY67" s="3"/>
      <c r="GFZ67" s="3"/>
      <c r="GGA67" s="3"/>
      <c r="GGB67" s="3"/>
      <c r="GGC67" s="3"/>
      <c r="GGD67" s="3"/>
      <c r="GGE67" s="3"/>
      <c r="GGF67" s="3"/>
      <c r="GGG67" s="3"/>
      <c r="GGH67" s="3"/>
      <c r="GGI67" s="3"/>
      <c r="GGJ67" s="3"/>
      <c r="GGK67" s="3"/>
      <c r="GGL67" s="3"/>
      <c r="GGM67" s="3"/>
      <c r="GGN67" s="3"/>
      <c r="GGO67" s="3"/>
      <c r="GGP67" s="3"/>
      <c r="GGQ67" s="3"/>
      <c r="GGR67" s="3"/>
      <c r="GGS67" s="3"/>
      <c r="GGT67" s="3"/>
      <c r="GGU67" s="3"/>
      <c r="GGV67" s="3"/>
      <c r="GGW67" s="3"/>
      <c r="GGX67" s="3"/>
      <c r="GGY67" s="3"/>
      <c r="GGZ67" s="3"/>
      <c r="GHA67" s="3"/>
      <c r="GHB67" s="3"/>
      <c r="GHC67" s="3"/>
      <c r="GHD67" s="3"/>
      <c r="GHE67" s="3"/>
      <c r="GHF67" s="3"/>
      <c r="GHG67" s="3"/>
      <c r="GHH67" s="3"/>
      <c r="GHI67" s="3"/>
      <c r="GHJ67" s="3"/>
      <c r="GHK67" s="3"/>
      <c r="GHL67" s="3"/>
      <c r="GHM67" s="3"/>
      <c r="GHN67" s="3"/>
      <c r="GHO67" s="3"/>
      <c r="GHP67" s="3"/>
      <c r="GHQ67" s="3"/>
      <c r="GHR67" s="3"/>
      <c r="GHS67" s="3"/>
      <c r="GHT67" s="3"/>
      <c r="GHU67" s="3"/>
      <c r="GHV67" s="3"/>
      <c r="GHW67" s="3"/>
      <c r="GHX67" s="3"/>
      <c r="GHY67" s="3"/>
      <c r="GHZ67" s="3"/>
      <c r="GIA67" s="3"/>
      <c r="GIB67" s="3"/>
      <c r="GIC67" s="3"/>
      <c r="GID67" s="3"/>
      <c r="GIE67" s="3"/>
      <c r="GIF67" s="3"/>
      <c r="GIG67" s="3"/>
      <c r="GIH67" s="3"/>
      <c r="GII67" s="3"/>
      <c r="GIJ67" s="3"/>
      <c r="GIK67" s="3"/>
      <c r="GIL67" s="3"/>
      <c r="GIM67" s="3"/>
      <c r="GIN67" s="3"/>
      <c r="GIO67" s="3"/>
      <c r="GIP67" s="3"/>
      <c r="GIQ67" s="3"/>
      <c r="GIR67" s="3"/>
      <c r="GIS67" s="3"/>
      <c r="GIT67" s="3"/>
      <c r="GIU67" s="3"/>
      <c r="GIV67" s="3"/>
      <c r="GIW67" s="3"/>
      <c r="GIX67" s="3"/>
      <c r="GIY67" s="3"/>
      <c r="GIZ67" s="3"/>
      <c r="GJA67" s="3"/>
      <c r="GJB67" s="3"/>
      <c r="GJC67" s="3"/>
      <c r="GJD67" s="3"/>
      <c r="GJE67" s="3"/>
      <c r="GJF67" s="3"/>
      <c r="GJG67" s="3"/>
      <c r="GJH67" s="3"/>
      <c r="GJI67" s="3"/>
      <c r="GJJ67" s="3"/>
      <c r="GJK67" s="3"/>
      <c r="GJL67" s="3"/>
      <c r="GJM67" s="3"/>
      <c r="GJN67" s="3"/>
      <c r="GJO67" s="3"/>
      <c r="GJP67" s="3"/>
      <c r="GJQ67" s="3"/>
      <c r="GJR67" s="3"/>
      <c r="GJS67" s="3"/>
      <c r="GJT67" s="3"/>
      <c r="GJU67" s="3"/>
      <c r="GJV67" s="3"/>
      <c r="GJW67" s="3"/>
      <c r="GJX67" s="3"/>
      <c r="GJY67" s="3"/>
      <c r="GJZ67" s="3"/>
      <c r="GKA67" s="3"/>
      <c r="GKB67" s="3"/>
      <c r="GKC67" s="3"/>
      <c r="GKD67" s="3"/>
      <c r="GKE67" s="3"/>
      <c r="GKF67" s="3"/>
      <c r="GKG67" s="3"/>
      <c r="GKH67" s="3"/>
      <c r="GKI67" s="3"/>
      <c r="GKJ67" s="3"/>
      <c r="GKK67" s="3"/>
      <c r="GKL67" s="3"/>
      <c r="GKM67" s="3"/>
      <c r="GKN67" s="3"/>
      <c r="GKO67" s="3"/>
      <c r="GKP67" s="3"/>
      <c r="GKQ67" s="3"/>
      <c r="GKR67" s="3"/>
      <c r="GKS67" s="3"/>
      <c r="GKT67" s="3"/>
      <c r="GKU67" s="3"/>
      <c r="GKV67" s="3"/>
      <c r="GKW67" s="3"/>
      <c r="GKX67" s="3"/>
      <c r="GKY67" s="3"/>
      <c r="GKZ67" s="3"/>
      <c r="GLA67" s="3"/>
      <c r="GLB67" s="3"/>
      <c r="GLC67" s="3"/>
      <c r="GLD67" s="3"/>
      <c r="GLE67" s="3"/>
      <c r="GLF67" s="3"/>
      <c r="GLG67" s="3"/>
      <c r="GLH67" s="3"/>
      <c r="GLI67" s="3"/>
      <c r="GLJ67" s="3"/>
      <c r="GLK67" s="3"/>
      <c r="GLL67" s="3"/>
      <c r="GLM67" s="3"/>
      <c r="GLN67" s="3"/>
      <c r="GLO67" s="3"/>
      <c r="GLP67" s="3"/>
      <c r="GLQ67" s="3"/>
      <c r="GLR67" s="3"/>
      <c r="GLS67" s="3"/>
      <c r="GLT67" s="3"/>
      <c r="GLU67" s="3"/>
      <c r="GLV67" s="3"/>
      <c r="GLW67" s="3"/>
      <c r="GLX67" s="3"/>
      <c r="GLY67" s="3"/>
      <c r="GLZ67" s="3"/>
      <c r="GMA67" s="3"/>
      <c r="GMB67" s="3"/>
      <c r="GMC67" s="3"/>
      <c r="GMD67" s="3"/>
      <c r="GME67" s="3"/>
      <c r="GMF67" s="3"/>
      <c r="GMG67" s="3"/>
      <c r="GMH67" s="3"/>
      <c r="GMI67" s="3"/>
      <c r="GMJ67" s="3"/>
      <c r="GMK67" s="3"/>
      <c r="GML67" s="3"/>
      <c r="GMM67" s="3"/>
      <c r="GMN67" s="3"/>
      <c r="GMO67" s="3"/>
      <c r="GMP67" s="3"/>
      <c r="GMQ67" s="3"/>
      <c r="GMR67" s="3"/>
      <c r="GMS67" s="3"/>
      <c r="GMT67" s="3"/>
      <c r="GMU67" s="3"/>
      <c r="GMV67" s="3"/>
      <c r="GMW67" s="3"/>
      <c r="GMX67" s="3"/>
      <c r="GMY67" s="3"/>
      <c r="GMZ67" s="3"/>
      <c r="GNA67" s="3"/>
      <c r="GNB67" s="3"/>
      <c r="GNC67" s="3"/>
      <c r="GND67" s="3"/>
      <c r="GNE67" s="3"/>
      <c r="GNF67" s="3"/>
      <c r="GNG67" s="3"/>
      <c r="GNH67" s="3"/>
      <c r="GNI67" s="3"/>
      <c r="GNJ67" s="3"/>
      <c r="GNK67" s="3"/>
      <c r="GNL67" s="3"/>
      <c r="GNM67" s="3"/>
      <c r="GNN67" s="3"/>
      <c r="GNO67" s="3"/>
      <c r="GNP67" s="3"/>
      <c r="GNQ67" s="3"/>
      <c r="GNR67" s="3"/>
      <c r="GNS67" s="3"/>
      <c r="GNT67" s="3"/>
      <c r="GNU67" s="3"/>
      <c r="GNV67" s="3"/>
      <c r="GNW67" s="3"/>
      <c r="GNX67" s="3"/>
      <c r="GNY67" s="3"/>
      <c r="GNZ67" s="3"/>
      <c r="GOA67" s="3"/>
      <c r="GOB67" s="3"/>
      <c r="GOC67" s="3"/>
      <c r="GOD67" s="3"/>
      <c r="GOE67" s="3"/>
      <c r="GOF67" s="3"/>
      <c r="GOG67" s="3"/>
      <c r="GOH67" s="3"/>
      <c r="GOI67" s="3"/>
      <c r="GOJ67" s="3"/>
      <c r="GOK67" s="3"/>
      <c r="GOL67" s="3"/>
      <c r="GOM67" s="3"/>
      <c r="GON67" s="3"/>
      <c r="GOO67" s="3"/>
      <c r="GOP67" s="3"/>
      <c r="GOQ67" s="3"/>
      <c r="GOR67" s="3"/>
      <c r="GOS67" s="3"/>
      <c r="GOT67" s="3"/>
      <c r="GOU67" s="3"/>
      <c r="GOV67" s="3"/>
      <c r="GOW67" s="3"/>
      <c r="GOX67" s="3"/>
      <c r="GOY67" s="3"/>
      <c r="GOZ67" s="3"/>
      <c r="GPA67" s="3"/>
      <c r="GPB67" s="3"/>
      <c r="GPC67" s="3"/>
      <c r="GPD67" s="3"/>
      <c r="GPE67" s="3"/>
      <c r="GPF67" s="3"/>
      <c r="GPG67" s="3"/>
      <c r="GPH67" s="3"/>
      <c r="GPI67" s="3"/>
      <c r="GPJ67" s="3"/>
      <c r="GPK67" s="3"/>
      <c r="GPL67" s="3"/>
      <c r="GPM67" s="3"/>
      <c r="GPN67" s="3"/>
      <c r="GPO67" s="3"/>
      <c r="GPP67" s="3"/>
      <c r="GPQ67" s="3"/>
      <c r="GPR67" s="3"/>
      <c r="GPS67" s="3"/>
      <c r="GPT67" s="3"/>
      <c r="GPU67" s="3"/>
      <c r="GPV67" s="3"/>
      <c r="GPW67" s="3"/>
      <c r="GPX67" s="3"/>
      <c r="GPY67" s="3"/>
      <c r="GPZ67" s="3"/>
      <c r="GQA67" s="3"/>
      <c r="GQB67" s="3"/>
      <c r="GQC67" s="3"/>
      <c r="GQD67" s="3"/>
      <c r="GQE67" s="3"/>
      <c r="GQF67" s="3"/>
      <c r="GQG67" s="3"/>
      <c r="GQH67" s="3"/>
      <c r="GQI67" s="3"/>
      <c r="GQJ67" s="3"/>
      <c r="GQK67" s="3"/>
      <c r="GQL67" s="3"/>
      <c r="GQM67" s="3"/>
      <c r="GQN67" s="3"/>
      <c r="GQO67" s="3"/>
      <c r="GQP67" s="3"/>
      <c r="GQQ67" s="3"/>
      <c r="GQR67" s="3"/>
      <c r="GQS67" s="3"/>
      <c r="GQT67" s="3"/>
      <c r="GQU67" s="3"/>
      <c r="GQV67" s="3"/>
      <c r="GQW67" s="3"/>
      <c r="GQX67" s="3"/>
      <c r="GQY67" s="3"/>
      <c r="GQZ67" s="3"/>
      <c r="GRA67" s="3"/>
      <c r="GRB67" s="3"/>
      <c r="GRC67" s="3"/>
      <c r="GRD67" s="3"/>
      <c r="GRE67" s="3"/>
      <c r="GRF67" s="3"/>
      <c r="GRG67" s="3"/>
      <c r="GRH67" s="3"/>
      <c r="GRI67" s="3"/>
      <c r="GRJ67" s="3"/>
      <c r="GRK67" s="3"/>
      <c r="GRL67" s="3"/>
      <c r="GRM67" s="3"/>
      <c r="GRN67" s="3"/>
      <c r="GRO67" s="3"/>
      <c r="GRP67" s="3"/>
      <c r="GRQ67" s="3"/>
      <c r="GRR67" s="3"/>
      <c r="GRS67" s="3"/>
      <c r="GRT67" s="3"/>
      <c r="GRU67" s="3"/>
      <c r="GRV67" s="3"/>
      <c r="GRW67" s="3"/>
      <c r="GRX67" s="3"/>
      <c r="GRY67" s="3"/>
      <c r="GRZ67" s="3"/>
      <c r="GSA67" s="3"/>
      <c r="GSB67" s="3"/>
      <c r="GSC67" s="3"/>
      <c r="GSD67" s="3"/>
      <c r="GSE67" s="3"/>
      <c r="GSF67" s="3"/>
      <c r="GSG67" s="3"/>
      <c r="GSH67" s="3"/>
      <c r="GSI67" s="3"/>
      <c r="GSJ67" s="3"/>
      <c r="GSK67" s="3"/>
      <c r="GSL67" s="3"/>
      <c r="GSM67" s="3"/>
      <c r="GSN67" s="3"/>
      <c r="GSO67" s="3"/>
      <c r="GSP67" s="3"/>
      <c r="GSQ67" s="3"/>
      <c r="GSR67" s="3"/>
      <c r="GSS67" s="3"/>
      <c r="GST67" s="3"/>
      <c r="GSU67" s="3"/>
      <c r="GSV67" s="3"/>
      <c r="GSW67" s="3"/>
      <c r="GSX67" s="3"/>
      <c r="GSY67" s="3"/>
      <c r="GSZ67" s="3"/>
      <c r="GTA67" s="3"/>
      <c r="GTB67" s="3"/>
      <c r="GTC67" s="3"/>
      <c r="GTD67" s="3"/>
      <c r="GTE67" s="3"/>
      <c r="GTF67" s="3"/>
      <c r="GTG67" s="3"/>
      <c r="GTH67" s="3"/>
      <c r="GTI67" s="3"/>
      <c r="GTJ67" s="3"/>
      <c r="GTK67" s="3"/>
      <c r="GTL67" s="3"/>
      <c r="GTM67" s="3"/>
      <c r="GTN67" s="3"/>
      <c r="GTO67" s="3"/>
      <c r="GTP67" s="3"/>
      <c r="GTQ67" s="3"/>
      <c r="GTR67" s="3"/>
      <c r="GTS67" s="3"/>
      <c r="GTT67" s="3"/>
      <c r="GTU67" s="3"/>
      <c r="GTV67" s="3"/>
      <c r="GTW67" s="3"/>
      <c r="GTX67" s="3"/>
      <c r="GTY67" s="3"/>
      <c r="GTZ67" s="3"/>
      <c r="GUA67" s="3"/>
      <c r="GUB67" s="3"/>
      <c r="GUC67" s="3"/>
      <c r="GUD67" s="3"/>
      <c r="GUE67" s="3"/>
      <c r="GUF67" s="3"/>
      <c r="GUG67" s="3"/>
      <c r="GUH67" s="3"/>
      <c r="GUI67" s="3"/>
      <c r="GUJ67" s="3"/>
      <c r="GUK67" s="3"/>
      <c r="GUL67" s="3"/>
      <c r="GUM67" s="3"/>
      <c r="GUN67" s="3"/>
      <c r="GUO67" s="3"/>
      <c r="GUP67" s="3"/>
      <c r="GUQ67" s="3"/>
      <c r="GUR67" s="3"/>
      <c r="GUS67" s="3"/>
      <c r="GUT67" s="3"/>
      <c r="GUU67" s="3"/>
      <c r="GUV67" s="3"/>
      <c r="GUW67" s="3"/>
      <c r="GUX67" s="3"/>
      <c r="GUY67" s="3"/>
      <c r="GUZ67" s="3"/>
      <c r="GVA67" s="3"/>
      <c r="GVB67" s="3"/>
      <c r="GVC67" s="3"/>
      <c r="GVD67" s="3"/>
      <c r="GVE67" s="3"/>
      <c r="GVF67" s="3"/>
      <c r="GVG67" s="3"/>
      <c r="GVH67" s="3"/>
      <c r="GVI67" s="3"/>
      <c r="GVJ67" s="3"/>
      <c r="GVK67" s="3"/>
      <c r="GVL67" s="3"/>
      <c r="GVM67" s="3"/>
      <c r="GVN67" s="3"/>
      <c r="GVO67" s="3"/>
      <c r="GVP67" s="3"/>
      <c r="GVQ67" s="3"/>
      <c r="GVR67" s="3"/>
      <c r="GVS67" s="3"/>
      <c r="GVT67" s="3"/>
      <c r="GVU67" s="3"/>
      <c r="GVV67" s="3"/>
      <c r="GVW67" s="3"/>
      <c r="GVX67" s="3"/>
      <c r="GVY67" s="3"/>
      <c r="GVZ67" s="3"/>
      <c r="GWA67" s="3"/>
      <c r="GWB67" s="3"/>
      <c r="GWC67" s="3"/>
      <c r="GWD67" s="3"/>
      <c r="GWE67" s="3"/>
      <c r="GWF67" s="3"/>
      <c r="GWG67" s="3"/>
      <c r="GWH67" s="3"/>
      <c r="GWI67" s="3"/>
      <c r="GWJ67" s="3"/>
      <c r="GWK67" s="3"/>
      <c r="GWL67" s="3"/>
      <c r="GWM67" s="3"/>
      <c r="GWN67" s="3"/>
      <c r="GWO67" s="3"/>
      <c r="GWP67" s="3"/>
      <c r="GWQ67" s="3"/>
      <c r="GWR67" s="3"/>
      <c r="GWS67" s="3"/>
      <c r="GWT67" s="3"/>
      <c r="GWU67" s="3"/>
      <c r="GWV67" s="3"/>
      <c r="GWW67" s="3"/>
      <c r="GWX67" s="3"/>
      <c r="GWY67" s="3"/>
      <c r="GWZ67" s="3"/>
      <c r="GXA67" s="3"/>
      <c r="GXB67" s="3"/>
      <c r="GXC67" s="3"/>
      <c r="GXD67" s="3"/>
      <c r="GXE67" s="3"/>
      <c r="GXF67" s="3"/>
      <c r="GXG67" s="3"/>
      <c r="GXH67" s="3"/>
      <c r="GXI67" s="3"/>
      <c r="GXJ67" s="3"/>
      <c r="GXK67" s="3"/>
      <c r="GXL67" s="3"/>
      <c r="GXM67" s="3"/>
      <c r="GXN67" s="3"/>
      <c r="GXO67" s="3"/>
      <c r="GXP67" s="3"/>
      <c r="GXQ67" s="3"/>
      <c r="GXR67" s="3"/>
      <c r="GXS67" s="3"/>
      <c r="GXT67" s="3"/>
      <c r="GXU67" s="3"/>
      <c r="GXV67" s="3"/>
      <c r="GXW67" s="3"/>
      <c r="GXX67" s="3"/>
      <c r="GXY67" s="3"/>
      <c r="GXZ67" s="3"/>
      <c r="GYA67" s="3"/>
      <c r="GYB67" s="3"/>
      <c r="GYC67" s="3"/>
      <c r="GYD67" s="3"/>
      <c r="GYE67" s="3"/>
      <c r="GYF67" s="3"/>
      <c r="GYG67" s="3"/>
      <c r="GYH67" s="3"/>
      <c r="GYI67" s="3"/>
      <c r="GYJ67" s="3"/>
      <c r="GYK67" s="3"/>
      <c r="GYL67" s="3"/>
      <c r="GYM67" s="3"/>
      <c r="GYN67" s="3"/>
      <c r="GYO67" s="3"/>
      <c r="GYP67" s="3"/>
      <c r="GYQ67" s="3"/>
      <c r="GYR67" s="3"/>
      <c r="GYS67" s="3"/>
      <c r="GYT67" s="3"/>
      <c r="GYU67" s="3"/>
      <c r="GYV67" s="3"/>
      <c r="GYW67" s="3"/>
      <c r="GYX67" s="3"/>
      <c r="GYY67" s="3"/>
      <c r="GYZ67" s="3"/>
      <c r="GZA67" s="3"/>
      <c r="GZB67" s="3"/>
      <c r="GZC67" s="3"/>
      <c r="GZD67" s="3"/>
      <c r="GZE67" s="3"/>
      <c r="GZF67" s="3"/>
      <c r="GZG67" s="3"/>
      <c r="GZH67" s="3"/>
      <c r="GZI67" s="3"/>
      <c r="GZJ67" s="3"/>
      <c r="GZK67" s="3"/>
      <c r="GZL67" s="3"/>
      <c r="GZM67" s="3"/>
      <c r="GZN67" s="3"/>
      <c r="GZO67" s="3"/>
      <c r="GZP67" s="3"/>
      <c r="GZQ67" s="3"/>
      <c r="GZR67" s="3"/>
      <c r="GZS67" s="3"/>
      <c r="GZT67" s="3"/>
      <c r="GZU67" s="3"/>
      <c r="GZV67" s="3"/>
      <c r="GZW67" s="3"/>
      <c r="GZX67" s="3"/>
      <c r="GZY67" s="3"/>
      <c r="GZZ67" s="3"/>
      <c r="HAA67" s="3"/>
      <c r="HAB67" s="3"/>
      <c r="HAC67" s="3"/>
      <c r="HAD67" s="3"/>
      <c r="HAE67" s="3"/>
      <c r="HAF67" s="3"/>
      <c r="HAG67" s="3"/>
      <c r="HAH67" s="3"/>
      <c r="HAI67" s="3"/>
      <c r="HAJ67" s="3"/>
      <c r="HAK67" s="3"/>
      <c r="HAL67" s="3"/>
      <c r="HAM67" s="3"/>
      <c r="HAN67" s="3"/>
      <c r="HAO67" s="3"/>
      <c r="HAP67" s="3"/>
      <c r="HAQ67" s="3"/>
      <c r="HAR67" s="3"/>
      <c r="HAS67" s="3"/>
      <c r="HAT67" s="3"/>
      <c r="HAU67" s="3"/>
      <c r="HAV67" s="3"/>
      <c r="HAW67" s="3"/>
      <c r="HAX67" s="3"/>
      <c r="HAY67" s="3"/>
      <c r="HAZ67" s="3"/>
      <c r="HBA67" s="3"/>
      <c r="HBB67" s="3"/>
      <c r="HBC67" s="3"/>
      <c r="HBD67" s="3"/>
      <c r="HBE67" s="3"/>
      <c r="HBF67" s="3"/>
      <c r="HBG67" s="3"/>
      <c r="HBH67" s="3"/>
      <c r="HBI67" s="3"/>
      <c r="HBJ67" s="3"/>
      <c r="HBK67" s="3"/>
      <c r="HBL67" s="3"/>
      <c r="HBM67" s="3"/>
      <c r="HBN67" s="3"/>
      <c r="HBO67" s="3"/>
      <c r="HBP67" s="3"/>
      <c r="HBQ67" s="3"/>
      <c r="HBR67" s="3"/>
      <c r="HBS67" s="3"/>
      <c r="HBT67" s="3"/>
      <c r="HBU67" s="3"/>
      <c r="HBV67" s="3"/>
      <c r="HBW67" s="3"/>
      <c r="HBX67" s="3"/>
      <c r="HBY67" s="3"/>
      <c r="HBZ67" s="3"/>
      <c r="HCA67" s="3"/>
      <c r="HCB67" s="3"/>
      <c r="HCC67" s="3"/>
      <c r="HCD67" s="3"/>
      <c r="HCE67" s="3"/>
      <c r="HCF67" s="3"/>
      <c r="HCG67" s="3"/>
      <c r="HCH67" s="3"/>
      <c r="HCI67" s="3"/>
      <c r="HCJ67" s="3"/>
      <c r="HCK67" s="3"/>
      <c r="HCL67" s="3"/>
      <c r="HCM67" s="3"/>
      <c r="HCN67" s="3"/>
      <c r="HCO67" s="3"/>
      <c r="HCP67" s="3"/>
      <c r="HCQ67" s="3"/>
      <c r="HCR67" s="3"/>
      <c r="HCS67" s="3"/>
      <c r="HCT67" s="3"/>
      <c r="HCU67" s="3"/>
      <c r="HCV67" s="3"/>
      <c r="HCW67" s="3"/>
      <c r="HCX67" s="3"/>
      <c r="HCY67" s="3"/>
      <c r="HCZ67" s="3"/>
      <c r="HDA67" s="3"/>
      <c r="HDB67" s="3"/>
      <c r="HDC67" s="3"/>
      <c r="HDD67" s="3"/>
      <c r="HDE67" s="3"/>
      <c r="HDF67" s="3"/>
      <c r="HDG67" s="3"/>
      <c r="HDH67" s="3"/>
      <c r="HDI67" s="3"/>
      <c r="HDJ67" s="3"/>
      <c r="HDK67" s="3"/>
      <c r="HDL67" s="3"/>
      <c r="HDM67" s="3"/>
      <c r="HDN67" s="3"/>
      <c r="HDO67" s="3"/>
      <c r="HDP67" s="3"/>
      <c r="HDQ67" s="3"/>
      <c r="HDR67" s="3"/>
      <c r="HDS67" s="3"/>
      <c r="HDT67" s="3"/>
      <c r="HDU67" s="3"/>
      <c r="HDV67" s="3"/>
      <c r="HDW67" s="3"/>
      <c r="HDX67" s="3"/>
      <c r="HDY67" s="3"/>
      <c r="HDZ67" s="3"/>
      <c r="HEA67" s="3"/>
      <c r="HEB67" s="3"/>
      <c r="HEC67" s="3"/>
      <c r="HED67" s="3"/>
      <c r="HEE67" s="3"/>
      <c r="HEF67" s="3"/>
      <c r="HEG67" s="3"/>
      <c r="HEH67" s="3"/>
      <c r="HEI67" s="3"/>
      <c r="HEJ67" s="3"/>
      <c r="HEK67" s="3"/>
      <c r="HEL67" s="3"/>
      <c r="HEM67" s="3"/>
      <c r="HEN67" s="3"/>
      <c r="HEO67" s="3"/>
      <c r="HEP67" s="3"/>
      <c r="HEQ67" s="3"/>
      <c r="HER67" s="3"/>
      <c r="HES67" s="3"/>
      <c r="HET67" s="3"/>
      <c r="HEU67" s="3"/>
      <c r="HEV67" s="3"/>
      <c r="HEW67" s="3"/>
      <c r="HEX67" s="3"/>
      <c r="HEY67" s="3"/>
      <c r="HEZ67" s="3"/>
      <c r="HFA67" s="3"/>
      <c r="HFB67" s="3"/>
      <c r="HFC67" s="3"/>
      <c r="HFD67" s="3"/>
      <c r="HFE67" s="3"/>
      <c r="HFF67" s="3"/>
      <c r="HFG67" s="3"/>
      <c r="HFH67" s="3"/>
      <c r="HFI67" s="3"/>
      <c r="HFJ67" s="3"/>
      <c r="HFK67" s="3"/>
      <c r="HFL67" s="3"/>
      <c r="HFM67" s="3"/>
      <c r="HFN67" s="3"/>
      <c r="HFO67" s="3"/>
      <c r="HFP67" s="3"/>
      <c r="HFQ67" s="3"/>
      <c r="HFR67" s="3"/>
      <c r="HFS67" s="3"/>
      <c r="HFT67" s="3"/>
      <c r="HFU67" s="3"/>
      <c r="HFV67" s="3"/>
      <c r="HFW67" s="3"/>
      <c r="HFX67" s="3"/>
      <c r="HFY67" s="3"/>
      <c r="HFZ67" s="3"/>
      <c r="HGA67" s="3"/>
      <c r="HGB67" s="3"/>
      <c r="HGC67" s="3"/>
      <c r="HGD67" s="3"/>
      <c r="HGE67" s="3"/>
      <c r="HGF67" s="3"/>
      <c r="HGG67" s="3"/>
      <c r="HGH67" s="3"/>
      <c r="HGI67" s="3"/>
      <c r="HGJ67" s="3"/>
      <c r="HGK67" s="3"/>
      <c r="HGL67" s="3"/>
      <c r="HGM67" s="3"/>
      <c r="HGN67" s="3"/>
      <c r="HGO67" s="3"/>
      <c r="HGP67" s="3"/>
      <c r="HGQ67" s="3"/>
      <c r="HGR67" s="3"/>
      <c r="HGS67" s="3"/>
      <c r="HGT67" s="3"/>
      <c r="HGU67" s="3"/>
      <c r="HGV67" s="3"/>
      <c r="HGW67" s="3"/>
      <c r="HGX67" s="3"/>
      <c r="HGY67" s="3"/>
      <c r="HGZ67" s="3"/>
      <c r="HHA67" s="3"/>
      <c r="HHB67" s="3"/>
      <c r="HHC67" s="3"/>
      <c r="HHD67" s="3"/>
      <c r="HHE67" s="3"/>
      <c r="HHF67" s="3"/>
      <c r="HHG67" s="3"/>
      <c r="HHH67" s="3"/>
      <c r="HHI67" s="3"/>
      <c r="HHJ67" s="3"/>
      <c r="HHK67" s="3"/>
      <c r="HHL67" s="3"/>
      <c r="HHM67" s="3"/>
      <c r="HHN67" s="3"/>
      <c r="HHO67" s="3"/>
      <c r="HHP67" s="3"/>
      <c r="HHQ67" s="3"/>
      <c r="HHR67" s="3"/>
      <c r="HHS67" s="3"/>
      <c r="HHT67" s="3"/>
      <c r="HHU67" s="3"/>
      <c r="HHV67" s="3"/>
      <c r="HHW67" s="3"/>
      <c r="HHX67" s="3"/>
      <c r="HHY67" s="3"/>
      <c r="HHZ67" s="3"/>
      <c r="HIA67" s="3"/>
      <c r="HIB67" s="3"/>
      <c r="HIC67" s="3"/>
      <c r="HID67" s="3"/>
      <c r="HIE67" s="3"/>
      <c r="HIF67" s="3"/>
      <c r="HIG67" s="3"/>
      <c r="HIH67" s="3"/>
      <c r="HII67" s="3"/>
      <c r="HIJ67" s="3"/>
      <c r="HIK67" s="3"/>
      <c r="HIL67" s="3"/>
      <c r="HIM67" s="3"/>
      <c r="HIN67" s="3"/>
      <c r="HIO67" s="3"/>
      <c r="HIP67" s="3"/>
      <c r="HIQ67" s="3"/>
      <c r="HIR67" s="3"/>
      <c r="HIS67" s="3"/>
      <c r="HIT67" s="3"/>
      <c r="HIU67" s="3"/>
      <c r="HIV67" s="3"/>
      <c r="HIW67" s="3"/>
      <c r="HIX67" s="3"/>
      <c r="HIY67" s="3"/>
      <c r="HIZ67" s="3"/>
      <c r="HJA67" s="3"/>
      <c r="HJB67" s="3"/>
      <c r="HJC67" s="3"/>
      <c r="HJD67" s="3"/>
      <c r="HJE67" s="3"/>
      <c r="HJF67" s="3"/>
      <c r="HJG67" s="3"/>
      <c r="HJH67" s="3"/>
      <c r="HJI67" s="3"/>
      <c r="HJJ67" s="3"/>
      <c r="HJK67" s="3"/>
      <c r="HJL67" s="3"/>
      <c r="HJM67" s="3"/>
      <c r="HJN67" s="3"/>
      <c r="HJO67" s="3"/>
      <c r="HJP67" s="3"/>
      <c r="HJQ67" s="3"/>
      <c r="HJR67" s="3"/>
      <c r="HJS67" s="3"/>
      <c r="HJT67" s="3"/>
      <c r="HJU67" s="3"/>
      <c r="HJV67" s="3"/>
      <c r="HJW67" s="3"/>
      <c r="HJX67" s="3"/>
      <c r="HJY67" s="3"/>
      <c r="HJZ67" s="3"/>
      <c r="HKA67" s="3"/>
      <c r="HKB67" s="3"/>
      <c r="HKC67" s="3"/>
      <c r="HKD67" s="3"/>
      <c r="HKE67" s="3"/>
      <c r="HKF67" s="3"/>
      <c r="HKG67" s="3"/>
      <c r="HKH67" s="3"/>
      <c r="HKI67" s="3"/>
      <c r="HKJ67" s="3"/>
      <c r="HKK67" s="3"/>
      <c r="HKL67" s="3"/>
      <c r="HKM67" s="3"/>
      <c r="HKN67" s="3"/>
      <c r="HKO67" s="3"/>
      <c r="HKP67" s="3"/>
      <c r="HKQ67" s="3"/>
      <c r="HKR67" s="3"/>
      <c r="HKS67" s="3"/>
      <c r="HKT67" s="3"/>
      <c r="HKU67" s="3"/>
      <c r="HKV67" s="3"/>
      <c r="HKW67" s="3"/>
      <c r="HKX67" s="3"/>
      <c r="HKY67" s="3"/>
      <c r="HKZ67" s="3"/>
      <c r="HLA67" s="3"/>
      <c r="HLB67" s="3"/>
      <c r="HLC67" s="3"/>
      <c r="HLD67" s="3"/>
      <c r="HLE67" s="3"/>
      <c r="HLF67" s="3"/>
      <c r="HLG67" s="3"/>
      <c r="HLH67" s="3"/>
      <c r="HLI67" s="3"/>
      <c r="HLJ67" s="3"/>
      <c r="HLK67" s="3"/>
      <c r="HLL67" s="3"/>
      <c r="HLM67" s="3"/>
      <c r="HLN67" s="3"/>
      <c r="HLO67" s="3"/>
      <c r="HLP67" s="3"/>
      <c r="HLQ67" s="3"/>
      <c r="HLR67" s="3"/>
      <c r="HLS67" s="3"/>
      <c r="HLT67" s="3"/>
      <c r="HLU67" s="3"/>
      <c r="HLV67" s="3"/>
      <c r="HLW67" s="3"/>
      <c r="HLX67" s="3"/>
      <c r="HLY67" s="3"/>
      <c r="HLZ67" s="3"/>
      <c r="HMA67" s="3"/>
      <c r="HMB67" s="3"/>
      <c r="HMC67" s="3"/>
      <c r="HMD67" s="3"/>
      <c r="HME67" s="3"/>
      <c r="HMF67" s="3"/>
      <c r="HMG67" s="3"/>
      <c r="HMH67" s="3"/>
      <c r="HMI67" s="3"/>
      <c r="HMJ67" s="3"/>
      <c r="HMK67" s="3"/>
      <c r="HML67" s="3"/>
      <c r="HMM67" s="3"/>
      <c r="HMN67" s="3"/>
      <c r="HMO67" s="3"/>
      <c r="HMP67" s="3"/>
      <c r="HMQ67" s="3"/>
      <c r="HMR67" s="3"/>
      <c r="HMS67" s="3"/>
      <c r="HMT67" s="3"/>
      <c r="HMU67" s="3"/>
      <c r="HMV67" s="3"/>
      <c r="HMW67" s="3"/>
      <c r="HMX67" s="3"/>
      <c r="HMY67" s="3"/>
      <c r="HMZ67" s="3"/>
      <c r="HNA67" s="3"/>
      <c r="HNB67" s="3"/>
      <c r="HNC67" s="3"/>
      <c r="HND67" s="3"/>
      <c r="HNE67" s="3"/>
      <c r="HNF67" s="3"/>
      <c r="HNG67" s="3"/>
      <c r="HNH67" s="3"/>
      <c r="HNI67" s="3"/>
      <c r="HNJ67" s="3"/>
      <c r="HNK67" s="3"/>
      <c r="HNL67" s="3"/>
      <c r="HNM67" s="3"/>
      <c r="HNN67" s="3"/>
      <c r="HNO67" s="3"/>
      <c r="HNP67" s="3"/>
      <c r="HNQ67" s="3"/>
      <c r="HNR67" s="3"/>
      <c r="HNS67" s="3"/>
      <c r="HNT67" s="3"/>
      <c r="HNU67" s="3"/>
      <c r="HNV67" s="3"/>
      <c r="HNW67" s="3"/>
      <c r="HNX67" s="3"/>
      <c r="HNY67" s="3"/>
      <c r="HNZ67" s="3"/>
      <c r="HOA67" s="3"/>
      <c r="HOB67" s="3"/>
      <c r="HOC67" s="3"/>
      <c r="HOD67" s="3"/>
      <c r="HOE67" s="3"/>
      <c r="HOF67" s="3"/>
      <c r="HOG67" s="3"/>
      <c r="HOH67" s="3"/>
      <c r="HOI67" s="3"/>
      <c r="HOJ67" s="3"/>
      <c r="HOK67" s="3"/>
      <c r="HOL67" s="3"/>
      <c r="HOM67" s="3"/>
      <c r="HON67" s="3"/>
      <c r="HOO67" s="3"/>
      <c r="HOP67" s="3"/>
      <c r="HOQ67" s="3"/>
      <c r="HOR67" s="3"/>
      <c r="HOS67" s="3"/>
      <c r="HOT67" s="3"/>
      <c r="HOU67" s="3"/>
      <c r="HOV67" s="3"/>
      <c r="HOW67" s="3"/>
      <c r="HOX67" s="3"/>
      <c r="HOY67" s="3"/>
      <c r="HOZ67" s="3"/>
      <c r="HPA67" s="3"/>
      <c r="HPB67" s="3"/>
      <c r="HPC67" s="3"/>
      <c r="HPD67" s="3"/>
      <c r="HPE67" s="3"/>
      <c r="HPF67" s="3"/>
      <c r="HPG67" s="3"/>
      <c r="HPH67" s="3"/>
      <c r="HPI67" s="3"/>
      <c r="HPJ67" s="3"/>
      <c r="HPK67" s="3"/>
      <c r="HPL67" s="3"/>
      <c r="HPM67" s="3"/>
      <c r="HPN67" s="3"/>
      <c r="HPO67" s="3"/>
      <c r="HPP67" s="3"/>
      <c r="HPQ67" s="3"/>
      <c r="HPR67" s="3"/>
      <c r="HPS67" s="3"/>
      <c r="HPT67" s="3"/>
      <c r="HPU67" s="3"/>
      <c r="HPV67" s="3"/>
      <c r="HPW67" s="3"/>
      <c r="HPX67" s="3"/>
      <c r="HPY67" s="3"/>
      <c r="HPZ67" s="3"/>
      <c r="HQA67" s="3"/>
      <c r="HQB67" s="3"/>
      <c r="HQC67" s="3"/>
      <c r="HQD67" s="3"/>
      <c r="HQE67" s="3"/>
      <c r="HQF67" s="3"/>
      <c r="HQG67" s="3"/>
      <c r="HQH67" s="3"/>
      <c r="HQI67" s="3"/>
      <c r="HQJ67" s="3"/>
      <c r="HQK67" s="3"/>
      <c r="HQL67" s="3"/>
      <c r="HQM67" s="3"/>
      <c r="HQN67" s="3"/>
      <c r="HQO67" s="3"/>
      <c r="HQP67" s="3"/>
      <c r="HQQ67" s="3"/>
      <c r="HQR67" s="3"/>
      <c r="HQS67" s="3"/>
      <c r="HQT67" s="3"/>
      <c r="HQU67" s="3"/>
      <c r="HQV67" s="3"/>
      <c r="HQW67" s="3"/>
      <c r="HQX67" s="3"/>
      <c r="HQY67" s="3"/>
      <c r="HQZ67" s="3"/>
      <c r="HRA67" s="3"/>
      <c r="HRB67" s="3"/>
      <c r="HRC67" s="3"/>
      <c r="HRD67" s="3"/>
      <c r="HRE67" s="3"/>
      <c r="HRF67" s="3"/>
      <c r="HRG67" s="3"/>
      <c r="HRH67" s="3"/>
      <c r="HRI67" s="3"/>
      <c r="HRJ67" s="3"/>
      <c r="HRK67" s="3"/>
      <c r="HRL67" s="3"/>
      <c r="HRM67" s="3"/>
      <c r="HRN67" s="3"/>
      <c r="HRO67" s="3"/>
      <c r="HRP67" s="3"/>
      <c r="HRQ67" s="3"/>
      <c r="HRR67" s="3"/>
      <c r="HRS67" s="3"/>
      <c r="HRT67" s="3"/>
      <c r="HRU67" s="3"/>
      <c r="HRV67" s="3"/>
      <c r="HRW67" s="3"/>
      <c r="HRX67" s="3"/>
      <c r="HRY67" s="3"/>
      <c r="HRZ67" s="3"/>
      <c r="HSA67" s="3"/>
      <c r="HSB67" s="3"/>
      <c r="HSC67" s="3"/>
      <c r="HSD67" s="3"/>
      <c r="HSE67" s="3"/>
      <c r="HSF67" s="3"/>
      <c r="HSG67" s="3"/>
      <c r="HSH67" s="3"/>
      <c r="HSI67" s="3"/>
      <c r="HSJ67" s="3"/>
      <c r="HSK67" s="3"/>
      <c r="HSL67" s="3"/>
      <c r="HSM67" s="3"/>
      <c r="HSN67" s="3"/>
      <c r="HSO67" s="3"/>
      <c r="HSP67" s="3"/>
      <c r="HSQ67" s="3"/>
      <c r="HSR67" s="3"/>
      <c r="HSS67" s="3"/>
      <c r="HST67" s="3"/>
      <c r="HSU67" s="3"/>
      <c r="HSV67" s="3"/>
      <c r="HSW67" s="3"/>
      <c r="HSX67" s="3"/>
      <c r="HSY67" s="3"/>
      <c r="HSZ67" s="3"/>
      <c r="HTA67" s="3"/>
      <c r="HTB67" s="3"/>
      <c r="HTC67" s="3"/>
      <c r="HTD67" s="3"/>
      <c r="HTE67" s="3"/>
      <c r="HTF67" s="3"/>
      <c r="HTG67" s="3"/>
      <c r="HTH67" s="3"/>
      <c r="HTI67" s="3"/>
      <c r="HTJ67" s="3"/>
      <c r="HTK67" s="3"/>
      <c r="HTL67" s="3"/>
      <c r="HTM67" s="3"/>
      <c r="HTN67" s="3"/>
      <c r="HTO67" s="3"/>
      <c r="HTP67" s="3"/>
      <c r="HTQ67" s="3"/>
      <c r="HTR67" s="3"/>
      <c r="HTS67" s="3"/>
      <c r="HTT67" s="3"/>
      <c r="HTU67" s="3"/>
      <c r="HTV67" s="3"/>
      <c r="HTW67" s="3"/>
      <c r="HTX67" s="3"/>
      <c r="HTY67" s="3"/>
      <c r="HTZ67" s="3"/>
      <c r="HUA67" s="3"/>
      <c r="HUB67" s="3"/>
      <c r="HUC67" s="3"/>
      <c r="HUD67" s="3"/>
      <c r="HUE67" s="3"/>
      <c r="HUF67" s="3"/>
      <c r="HUG67" s="3"/>
      <c r="HUH67" s="3"/>
      <c r="HUI67" s="3"/>
      <c r="HUJ67" s="3"/>
      <c r="HUK67" s="3"/>
      <c r="HUL67" s="3"/>
      <c r="HUM67" s="3"/>
      <c r="HUN67" s="3"/>
      <c r="HUO67" s="3"/>
      <c r="HUP67" s="3"/>
      <c r="HUQ67" s="3"/>
      <c r="HUR67" s="3"/>
      <c r="HUS67" s="3"/>
      <c r="HUT67" s="3"/>
      <c r="HUU67" s="3"/>
      <c r="HUV67" s="3"/>
      <c r="HUW67" s="3"/>
      <c r="HUX67" s="3"/>
      <c r="HUY67" s="3"/>
      <c r="HUZ67" s="3"/>
      <c r="HVA67" s="3"/>
      <c r="HVB67" s="3"/>
      <c r="HVC67" s="3"/>
      <c r="HVD67" s="3"/>
      <c r="HVE67" s="3"/>
      <c r="HVF67" s="3"/>
      <c r="HVG67" s="3"/>
      <c r="HVH67" s="3"/>
      <c r="HVI67" s="3"/>
      <c r="HVJ67" s="3"/>
      <c r="HVK67" s="3"/>
      <c r="HVL67" s="3"/>
      <c r="HVM67" s="3"/>
      <c r="HVN67" s="3"/>
      <c r="HVO67" s="3"/>
      <c r="HVP67" s="3"/>
      <c r="HVQ67" s="3"/>
      <c r="HVR67" s="3"/>
      <c r="HVS67" s="3"/>
      <c r="HVT67" s="3"/>
      <c r="HVU67" s="3"/>
      <c r="HVV67" s="3"/>
      <c r="HVW67" s="3"/>
      <c r="HVX67" s="3"/>
      <c r="HVY67" s="3"/>
      <c r="HVZ67" s="3"/>
      <c r="HWA67" s="3"/>
      <c r="HWB67" s="3"/>
      <c r="HWC67" s="3"/>
      <c r="HWD67" s="3"/>
      <c r="HWE67" s="3"/>
      <c r="HWF67" s="3"/>
      <c r="HWG67" s="3"/>
      <c r="HWH67" s="3"/>
      <c r="HWI67" s="3"/>
      <c r="HWJ67" s="3"/>
      <c r="HWK67" s="3"/>
      <c r="HWL67" s="3"/>
      <c r="HWM67" s="3"/>
      <c r="HWN67" s="3"/>
      <c r="HWO67" s="3"/>
      <c r="HWP67" s="3"/>
      <c r="HWQ67" s="3"/>
      <c r="HWR67" s="3"/>
      <c r="HWS67" s="3"/>
      <c r="HWT67" s="3"/>
      <c r="HWU67" s="3"/>
      <c r="HWV67" s="3"/>
      <c r="HWW67" s="3"/>
      <c r="HWX67" s="3"/>
      <c r="HWY67" s="3"/>
      <c r="HWZ67" s="3"/>
      <c r="HXA67" s="3"/>
      <c r="HXB67" s="3"/>
      <c r="HXC67" s="3"/>
      <c r="HXD67" s="3"/>
      <c r="HXE67" s="3"/>
      <c r="HXF67" s="3"/>
      <c r="HXG67" s="3"/>
      <c r="HXH67" s="3"/>
      <c r="HXI67" s="3"/>
      <c r="HXJ67" s="3"/>
      <c r="HXK67" s="3"/>
      <c r="HXL67" s="3"/>
      <c r="HXM67" s="3"/>
      <c r="HXN67" s="3"/>
      <c r="HXO67" s="3"/>
      <c r="HXP67" s="3"/>
      <c r="HXQ67" s="3"/>
      <c r="HXR67" s="3"/>
      <c r="HXS67" s="3"/>
      <c r="HXT67" s="3"/>
      <c r="HXU67" s="3"/>
      <c r="HXV67" s="3"/>
      <c r="HXW67" s="3"/>
      <c r="HXX67" s="3"/>
      <c r="HXY67" s="3"/>
      <c r="HXZ67" s="3"/>
      <c r="HYA67" s="3"/>
      <c r="HYB67" s="3"/>
      <c r="HYC67" s="3"/>
      <c r="HYD67" s="3"/>
      <c r="HYE67" s="3"/>
      <c r="HYF67" s="3"/>
      <c r="HYG67" s="3"/>
      <c r="HYH67" s="3"/>
      <c r="HYI67" s="3"/>
      <c r="HYJ67" s="3"/>
      <c r="HYK67" s="3"/>
      <c r="HYL67" s="3"/>
      <c r="HYM67" s="3"/>
      <c r="HYN67" s="3"/>
      <c r="HYO67" s="3"/>
      <c r="HYP67" s="3"/>
      <c r="HYQ67" s="3"/>
      <c r="HYR67" s="3"/>
      <c r="HYS67" s="3"/>
      <c r="HYT67" s="3"/>
      <c r="HYU67" s="3"/>
      <c r="HYV67" s="3"/>
      <c r="HYW67" s="3"/>
      <c r="HYX67" s="3"/>
      <c r="HYY67" s="3"/>
      <c r="HYZ67" s="3"/>
      <c r="HZA67" s="3"/>
      <c r="HZB67" s="3"/>
      <c r="HZC67" s="3"/>
      <c r="HZD67" s="3"/>
      <c r="HZE67" s="3"/>
      <c r="HZF67" s="3"/>
      <c r="HZG67" s="3"/>
      <c r="HZH67" s="3"/>
      <c r="HZI67" s="3"/>
      <c r="HZJ67" s="3"/>
      <c r="HZK67" s="3"/>
      <c r="HZL67" s="3"/>
      <c r="HZM67" s="3"/>
      <c r="HZN67" s="3"/>
      <c r="HZO67" s="3"/>
      <c r="HZP67" s="3"/>
      <c r="HZQ67" s="3"/>
      <c r="HZR67" s="3"/>
      <c r="HZS67" s="3"/>
      <c r="HZT67" s="3"/>
      <c r="HZU67" s="3"/>
      <c r="HZV67" s="3"/>
      <c r="HZW67" s="3"/>
      <c r="HZX67" s="3"/>
      <c r="HZY67" s="3"/>
      <c r="HZZ67" s="3"/>
      <c r="IAA67" s="3"/>
      <c r="IAB67" s="3"/>
      <c r="IAC67" s="3"/>
      <c r="IAD67" s="3"/>
      <c r="IAE67" s="3"/>
      <c r="IAF67" s="3"/>
      <c r="IAG67" s="3"/>
      <c r="IAH67" s="3"/>
      <c r="IAI67" s="3"/>
      <c r="IAJ67" s="3"/>
      <c r="IAK67" s="3"/>
      <c r="IAL67" s="3"/>
      <c r="IAM67" s="3"/>
      <c r="IAN67" s="3"/>
      <c r="IAO67" s="3"/>
      <c r="IAP67" s="3"/>
      <c r="IAQ67" s="3"/>
      <c r="IAR67" s="3"/>
      <c r="IAS67" s="3"/>
      <c r="IAT67" s="3"/>
      <c r="IAU67" s="3"/>
      <c r="IAV67" s="3"/>
      <c r="IAW67" s="3"/>
      <c r="IAX67" s="3"/>
      <c r="IAY67" s="3"/>
      <c r="IAZ67" s="3"/>
      <c r="IBA67" s="3"/>
      <c r="IBB67" s="3"/>
      <c r="IBC67" s="3"/>
      <c r="IBD67" s="3"/>
      <c r="IBE67" s="3"/>
      <c r="IBF67" s="3"/>
      <c r="IBG67" s="3"/>
      <c r="IBH67" s="3"/>
      <c r="IBI67" s="3"/>
      <c r="IBJ67" s="3"/>
      <c r="IBK67" s="3"/>
      <c r="IBL67" s="3"/>
      <c r="IBM67" s="3"/>
      <c r="IBN67" s="3"/>
      <c r="IBO67" s="3"/>
      <c r="IBP67" s="3"/>
      <c r="IBQ67" s="3"/>
      <c r="IBR67" s="3"/>
      <c r="IBS67" s="3"/>
      <c r="IBT67" s="3"/>
      <c r="IBU67" s="3"/>
      <c r="IBV67" s="3"/>
      <c r="IBW67" s="3"/>
      <c r="IBX67" s="3"/>
      <c r="IBY67" s="3"/>
      <c r="IBZ67" s="3"/>
      <c r="ICA67" s="3"/>
      <c r="ICB67" s="3"/>
      <c r="ICC67" s="3"/>
      <c r="ICD67" s="3"/>
      <c r="ICE67" s="3"/>
      <c r="ICF67" s="3"/>
      <c r="ICG67" s="3"/>
      <c r="ICH67" s="3"/>
      <c r="ICI67" s="3"/>
      <c r="ICJ67" s="3"/>
      <c r="ICK67" s="3"/>
      <c r="ICL67" s="3"/>
      <c r="ICM67" s="3"/>
      <c r="ICN67" s="3"/>
      <c r="ICO67" s="3"/>
      <c r="ICP67" s="3"/>
      <c r="ICQ67" s="3"/>
      <c r="ICR67" s="3"/>
      <c r="ICS67" s="3"/>
      <c r="ICT67" s="3"/>
      <c r="ICU67" s="3"/>
      <c r="ICV67" s="3"/>
      <c r="ICW67" s="3"/>
      <c r="ICX67" s="3"/>
      <c r="ICY67" s="3"/>
      <c r="ICZ67" s="3"/>
      <c r="IDA67" s="3"/>
      <c r="IDB67" s="3"/>
      <c r="IDC67" s="3"/>
      <c r="IDD67" s="3"/>
      <c r="IDE67" s="3"/>
      <c r="IDF67" s="3"/>
      <c r="IDG67" s="3"/>
      <c r="IDH67" s="3"/>
      <c r="IDI67" s="3"/>
      <c r="IDJ67" s="3"/>
      <c r="IDK67" s="3"/>
      <c r="IDL67" s="3"/>
      <c r="IDM67" s="3"/>
      <c r="IDN67" s="3"/>
      <c r="IDO67" s="3"/>
      <c r="IDP67" s="3"/>
      <c r="IDQ67" s="3"/>
      <c r="IDR67" s="3"/>
      <c r="IDS67" s="3"/>
      <c r="IDT67" s="3"/>
      <c r="IDU67" s="3"/>
      <c r="IDV67" s="3"/>
      <c r="IDW67" s="3"/>
      <c r="IDX67" s="3"/>
      <c r="IDY67" s="3"/>
      <c r="IDZ67" s="3"/>
      <c r="IEA67" s="3"/>
      <c r="IEB67" s="3"/>
      <c r="IEC67" s="3"/>
      <c r="IED67" s="3"/>
      <c r="IEE67" s="3"/>
      <c r="IEF67" s="3"/>
      <c r="IEG67" s="3"/>
      <c r="IEH67" s="3"/>
      <c r="IEI67" s="3"/>
      <c r="IEJ67" s="3"/>
      <c r="IEK67" s="3"/>
      <c r="IEL67" s="3"/>
      <c r="IEM67" s="3"/>
      <c r="IEN67" s="3"/>
      <c r="IEO67" s="3"/>
      <c r="IEP67" s="3"/>
      <c r="IEQ67" s="3"/>
      <c r="IER67" s="3"/>
      <c r="IES67" s="3"/>
      <c r="IET67" s="3"/>
      <c r="IEU67" s="3"/>
      <c r="IEV67" s="3"/>
      <c r="IEW67" s="3"/>
      <c r="IEX67" s="3"/>
      <c r="IEY67" s="3"/>
      <c r="IEZ67" s="3"/>
      <c r="IFA67" s="3"/>
      <c r="IFB67" s="3"/>
      <c r="IFC67" s="3"/>
      <c r="IFD67" s="3"/>
      <c r="IFE67" s="3"/>
      <c r="IFF67" s="3"/>
      <c r="IFG67" s="3"/>
      <c r="IFH67" s="3"/>
      <c r="IFI67" s="3"/>
      <c r="IFJ67" s="3"/>
      <c r="IFK67" s="3"/>
      <c r="IFL67" s="3"/>
      <c r="IFM67" s="3"/>
      <c r="IFN67" s="3"/>
      <c r="IFO67" s="3"/>
      <c r="IFP67" s="3"/>
      <c r="IFQ67" s="3"/>
      <c r="IFR67" s="3"/>
      <c r="IFS67" s="3"/>
      <c r="IFT67" s="3"/>
      <c r="IFU67" s="3"/>
      <c r="IFV67" s="3"/>
      <c r="IFW67" s="3"/>
      <c r="IFX67" s="3"/>
      <c r="IFY67" s="3"/>
      <c r="IFZ67" s="3"/>
      <c r="IGA67" s="3"/>
      <c r="IGB67" s="3"/>
      <c r="IGC67" s="3"/>
      <c r="IGD67" s="3"/>
      <c r="IGE67" s="3"/>
      <c r="IGF67" s="3"/>
      <c r="IGG67" s="3"/>
      <c r="IGH67" s="3"/>
      <c r="IGI67" s="3"/>
      <c r="IGJ67" s="3"/>
      <c r="IGK67" s="3"/>
      <c r="IGL67" s="3"/>
      <c r="IGM67" s="3"/>
      <c r="IGN67" s="3"/>
      <c r="IGO67" s="3"/>
      <c r="IGP67" s="3"/>
      <c r="IGQ67" s="3"/>
      <c r="IGR67" s="3"/>
      <c r="IGS67" s="3"/>
      <c r="IGT67" s="3"/>
      <c r="IGU67" s="3"/>
      <c r="IGV67" s="3"/>
      <c r="IGW67" s="3"/>
      <c r="IGX67" s="3"/>
      <c r="IGY67" s="3"/>
      <c r="IGZ67" s="3"/>
      <c r="IHA67" s="3"/>
      <c r="IHB67" s="3"/>
      <c r="IHC67" s="3"/>
      <c r="IHD67" s="3"/>
      <c r="IHE67" s="3"/>
      <c r="IHF67" s="3"/>
      <c r="IHG67" s="3"/>
      <c r="IHH67" s="3"/>
      <c r="IHI67" s="3"/>
      <c r="IHJ67" s="3"/>
      <c r="IHK67" s="3"/>
      <c r="IHL67" s="3"/>
      <c r="IHM67" s="3"/>
      <c r="IHN67" s="3"/>
      <c r="IHO67" s="3"/>
      <c r="IHP67" s="3"/>
      <c r="IHQ67" s="3"/>
      <c r="IHR67" s="3"/>
      <c r="IHS67" s="3"/>
      <c r="IHT67" s="3"/>
      <c r="IHU67" s="3"/>
      <c r="IHV67" s="3"/>
      <c r="IHW67" s="3"/>
      <c r="IHX67" s="3"/>
      <c r="IHY67" s="3"/>
      <c r="IHZ67" s="3"/>
      <c r="IIA67" s="3"/>
      <c r="IIB67" s="3"/>
      <c r="IIC67" s="3"/>
      <c r="IID67" s="3"/>
      <c r="IIE67" s="3"/>
      <c r="IIF67" s="3"/>
      <c r="IIG67" s="3"/>
      <c r="IIH67" s="3"/>
      <c r="III67" s="3"/>
      <c r="IIJ67" s="3"/>
      <c r="IIK67" s="3"/>
      <c r="IIL67" s="3"/>
      <c r="IIM67" s="3"/>
      <c r="IIN67" s="3"/>
      <c r="IIO67" s="3"/>
      <c r="IIP67" s="3"/>
      <c r="IIQ67" s="3"/>
      <c r="IIR67" s="3"/>
      <c r="IIS67" s="3"/>
      <c r="IIT67" s="3"/>
      <c r="IIU67" s="3"/>
      <c r="IIV67" s="3"/>
      <c r="IIW67" s="3"/>
      <c r="IIX67" s="3"/>
      <c r="IIY67" s="3"/>
      <c r="IIZ67" s="3"/>
      <c r="IJA67" s="3"/>
      <c r="IJB67" s="3"/>
      <c r="IJC67" s="3"/>
      <c r="IJD67" s="3"/>
      <c r="IJE67" s="3"/>
      <c r="IJF67" s="3"/>
      <c r="IJG67" s="3"/>
      <c r="IJH67" s="3"/>
      <c r="IJI67" s="3"/>
      <c r="IJJ67" s="3"/>
      <c r="IJK67" s="3"/>
      <c r="IJL67" s="3"/>
      <c r="IJM67" s="3"/>
      <c r="IJN67" s="3"/>
      <c r="IJO67" s="3"/>
      <c r="IJP67" s="3"/>
      <c r="IJQ67" s="3"/>
      <c r="IJR67" s="3"/>
      <c r="IJS67" s="3"/>
      <c r="IJT67" s="3"/>
      <c r="IJU67" s="3"/>
      <c r="IJV67" s="3"/>
      <c r="IJW67" s="3"/>
      <c r="IJX67" s="3"/>
      <c r="IJY67" s="3"/>
      <c r="IJZ67" s="3"/>
      <c r="IKA67" s="3"/>
      <c r="IKB67" s="3"/>
      <c r="IKC67" s="3"/>
      <c r="IKD67" s="3"/>
      <c r="IKE67" s="3"/>
      <c r="IKF67" s="3"/>
      <c r="IKG67" s="3"/>
      <c r="IKH67" s="3"/>
      <c r="IKI67" s="3"/>
      <c r="IKJ67" s="3"/>
      <c r="IKK67" s="3"/>
      <c r="IKL67" s="3"/>
      <c r="IKM67" s="3"/>
      <c r="IKN67" s="3"/>
      <c r="IKO67" s="3"/>
      <c r="IKP67" s="3"/>
      <c r="IKQ67" s="3"/>
      <c r="IKR67" s="3"/>
      <c r="IKS67" s="3"/>
      <c r="IKT67" s="3"/>
      <c r="IKU67" s="3"/>
      <c r="IKV67" s="3"/>
      <c r="IKW67" s="3"/>
      <c r="IKX67" s="3"/>
      <c r="IKY67" s="3"/>
      <c r="IKZ67" s="3"/>
      <c r="ILA67" s="3"/>
      <c r="ILB67" s="3"/>
      <c r="ILC67" s="3"/>
      <c r="ILD67" s="3"/>
      <c r="ILE67" s="3"/>
      <c r="ILF67" s="3"/>
      <c r="ILG67" s="3"/>
      <c r="ILH67" s="3"/>
      <c r="ILI67" s="3"/>
      <c r="ILJ67" s="3"/>
      <c r="ILK67" s="3"/>
      <c r="ILL67" s="3"/>
      <c r="ILM67" s="3"/>
      <c r="ILN67" s="3"/>
      <c r="ILO67" s="3"/>
      <c r="ILP67" s="3"/>
      <c r="ILQ67" s="3"/>
      <c r="ILR67" s="3"/>
      <c r="ILS67" s="3"/>
      <c r="ILT67" s="3"/>
      <c r="ILU67" s="3"/>
      <c r="ILV67" s="3"/>
      <c r="ILW67" s="3"/>
      <c r="ILX67" s="3"/>
      <c r="ILY67" s="3"/>
      <c r="ILZ67" s="3"/>
      <c r="IMA67" s="3"/>
      <c r="IMB67" s="3"/>
      <c r="IMC67" s="3"/>
      <c r="IMD67" s="3"/>
      <c r="IME67" s="3"/>
      <c r="IMF67" s="3"/>
      <c r="IMG67" s="3"/>
      <c r="IMH67" s="3"/>
      <c r="IMI67" s="3"/>
      <c r="IMJ67" s="3"/>
      <c r="IMK67" s="3"/>
      <c r="IML67" s="3"/>
      <c r="IMM67" s="3"/>
      <c r="IMN67" s="3"/>
      <c r="IMO67" s="3"/>
      <c r="IMP67" s="3"/>
      <c r="IMQ67" s="3"/>
      <c r="IMR67" s="3"/>
      <c r="IMS67" s="3"/>
      <c r="IMT67" s="3"/>
      <c r="IMU67" s="3"/>
      <c r="IMV67" s="3"/>
      <c r="IMW67" s="3"/>
      <c r="IMX67" s="3"/>
      <c r="IMY67" s="3"/>
      <c r="IMZ67" s="3"/>
      <c r="INA67" s="3"/>
      <c r="INB67" s="3"/>
      <c r="INC67" s="3"/>
      <c r="IND67" s="3"/>
      <c r="INE67" s="3"/>
      <c r="INF67" s="3"/>
      <c r="ING67" s="3"/>
      <c r="INH67" s="3"/>
      <c r="INI67" s="3"/>
      <c r="INJ67" s="3"/>
      <c r="INK67" s="3"/>
      <c r="INL67" s="3"/>
      <c r="INM67" s="3"/>
      <c r="INN67" s="3"/>
      <c r="INO67" s="3"/>
      <c r="INP67" s="3"/>
      <c r="INQ67" s="3"/>
      <c r="INR67" s="3"/>
      <c r="INS67" s="3"/>
      <c r="INT67" s="3"/>
      <c r="INU67" s="3"/>
      <c r="INV67" s="3"/>
      <c r="INW67" s="3"/>
      <c r="INX67" s="3"/>
      <c r="INY67" s="3"/>
      <c r="INZ67" s="3"/>
      <c r="IOA67" s="3"/>
      <c r="IOB67" s="3"/>
      <c r="IOC67" s="3"/>
      <c r="IOD67" s="3"/>
      <c r="IOE67" s="3"/>
      <c r="IOF67" s="3"/>
      <c r="IOG67" s="3"/>
      <c r="IOH67" s="3"/>
      <c r="IOI67" s="3"/>
      <c r="IOJ67" s="3"/>
      <c r="IOK67" s="3"/>
      <c r="IOL67" s="3"/>
      <c r="IOM67" s="3"/>
      <c r="ION67" s="3"/>
      <c r="IOO67" s="3"/>
      <c r="IOP67" s="3"/>
      <c r="IOQ67" s="3"/>
      <c r="IOR67" s="3"/>
      <c r="IOS67" s="3"/>
      <c r="IOT67" s="3"/>
      <c r="IOU67" s="3"/>
      <c r="IOV67" s="3"/>
      <c r="IOW67" s="3"/>
      <c r="IOX67" s="3"/>
      <c r="IOY67" s="3"/>
      <c r="IOZ67" s="3"/>
      <c r="IPA67" s="3"/>
      <c r="IPB67" s="3"/>
      <c r="IPC67" s="3"/>
      <c r="IPD67" s="3"/>
      <c r="IPE67" s="3"/>
      <c r="IPF67" s="3"/>
      <c r="IPG67" s="3"/>
      <c r="IPH67" s="3"/>
      <c r="IPI67" s="3"/>
      <c r="IPJ67" s="3"/>
      <c r="IPK67" s="3"/>
      <c r="IPL67" s="3"/>
      <c r="IPM67" s="3"/>
      <c r="IPN67" s="3"/>
      <c r="IPO67" s="3"/>
      <c r="IPP67" s="3"/>
      <c r="IPQ67" s="3"/>
      <c r="IPR67" s="3"/>
      <c r="IPS67" s="3"/>
      <c r="IPT67" s="3"/>
      <c r="IPU67" s="3"/>
      <c r="IPV67" s="3"/>
      <c r="IPW67" s="3"/>
      <c r="IPX67" s="3"/>
      <c r="IPY67" s="3"/>
      <c r="IPZ67" s="3"/>
      <c r="IQA67" s="3"/>
      <c r="IQB67" s="3"/>
      <c r="IQC67" s="3"/>
      <c r="IQD67" s="3"/>
      <c r="IQE67" s="3"/>
      <c r="IQF67" s="3"/>
      <c r="IQG67" s="3"/>
      <c r="IQH67" s="3"/>
      <c r="IQI67" s="3"/>
      <c r="IQJ67" s="3"/>
      <c r="IQK67" s="3"/>
      <c r="IQL67" s="3"/>
      <c r="IQM67" s="3"/>
      <c r="IQN67" s="3"/>
      <c r="IQO67" s="3"/>
      <c r="IQP67" s="3"/>
      <c r="IQQ67" s="3"/>
      <c r="IQR67" s="3"/>
      <c r="IQS67" s="3"/>
      <c r="IQT67" s="3"/>
      <c r="IQU67" s="3"/>
      <c r="IQV67" s="3"/>
      <c r="IQW67" s="3"/>
      <c r="IQX67" s="3"/>
      <c r="IQY67" s="3"/>
      <c r="IQZ67" s="3"/>
      <c r="IRA67" s="3"/>
      <c r="IRB67" s="3"/>
      <c r="IRC67" s="3"/>
      <c r="IRD67" s="3"/>
      <c r="IRE67" s="3"/>
      <c r="IRF67" s="3"/>
      <c r="IRG67" s="3"/>
      <c r="IRH67" s="3"/>
      <c r="IRI67" s="3"/>
      <c r="IRJ67" s="3"/>
      <c r="IRK67" s="3"/>
      <c r="IRL67" s="3"/>
      <c r="IRM67" s="3"/>
      <c r="IRN67" s="3"/>
      <c r="IRO67" s="3"/>
      <c r="IRP67" s="3"/>
      <c r="IRQ67" s="3"/>
      <c r="IRR67" s="3"/>
      <c r="IRS67" s="3"/>
      <c r="IRT67" s="3"/>
      <c r="IRU67" s="3"/>
      <c r="IRV67" s="3"/>
      <c r="IRW67" s="3"/>
      <c r="IRX67" s="3"/>
      <c r="IRY67" s="3"/>
      <c r="IRZ67" s="3"/>
      <c r="ISA67" s="3"/>
      <c r="ISB67" s="3"/>
      <c r="ISC67" s="3"/>
      <c r="ISD67" s="3"/>
      <c r="ISE67" s="3"/>
      <c r="ISF67" s="3"/>
      <c r="ISG67" s="3"/>
      <c r="ISH67" s="3"/>
      <c r="ISI67" s="3"/>
      <c r="ISJ67" s="3"/>
      <c r="ISK67" s="3"/>
      <c r="ISL67" s="3"/>
      <c r="ISM67" s="3"/>
      <c r="ISN67" s="3"/>
      <c r="ISO67" s="3"/>
      <c r="ISP67" s="3"/>
      <c r="ISQ67" s="3"/>
      <c r="ISR67" s="3"/>
      <c r="ISS67" s="3"/>
      <c r="IST67" s="3"/>
      <c r="ISU67" s="3"/>
      <c r="ISV67" s="3"/>
      <c r="ISW67" s="3"/>
      <c r="ISX67" s="3"/>
      <c r="ISY67" s="3"/>
      <c r="ISZ67" s="3"/>
      <c r="ITA67" s="3"/>
      <c r="ITB67" s="3"/>
      <c r="ITC67" s="3"/>
      <c r="ITD67" s="3"/>
      <c r="ITE67" s="3"/>
      <c r="ITF67" s="3"/>
      <c r="ITG67" s="3"/>
      <c r="ITH67" s="3"/>
      <c r="ITI67" s="3"/>
      <c r="ITJ67" s="3"/>
      <c r="ITK67" s="3"/>
      <c r="ITL67" s="3"/>
      <c r="ITM67" s="3"/>
      <c r="ITN67" s="3"/>
      <c r="ITO67" s="3"/>
      <c r="ITP67" s="3"/>
      <c r="ITQ67" s="3"/>
      <c r="ITR67" s="3"/>
      <c r="ITS67" s="3"/>
      <c r="ITT67" s="3"/>
      <c r="ITU67" s="3"/>
      <c r="ITV67" s="3"/>
      <c r="ITW67" s="3"/>
      <c r="ITX67" s="3"/>
      <c r="ITY67" s="3"/>
      <c r="ITZ67" s="3"/>
      <c r="IUA67" s="3"/>
      <c r="IUB67" s="3"/>
      <c r="IUC67" s="3"/>
      <c r="IUD67" s="3"/>
      <c r="IUE67" s="3"/>
      <c r="IUF67" s="3"/>
      <c r="IUG67" s="3"/>
      <c r="IUH67" s="3"/>
      <c r="IUI67" s="3"/>
      <c r="IUJ67" s="3"/>
      <c r="IUK67" s="3"/>
      <c r="IUL67" s="3"/>
      <c r="IUM67" s="3"/>
      <c r="IUN67" s="3"/>
      <c r="IUO67" s="3"/>
      <c r="IUP67" s="3"/>
      <c r="IUQ67" s="3"/>
      <c r="IUR67" s="3"/>
      <c r="IUS67" s="3"/>
      <c r="IUT67" s="3"/>
      <c r="IUU67" s="3"/>
      <c r="IUV67" s="3"/>
      <c r="IUW67" s="3"/>
      <c r="IUX67" s="3"/>
      <c r="IUY67" s="3"/>
      <c r="IUZ67" s="3"/>
      <c r="IVA67" s="3"/>
      <c r="IVB67" s="3"/>
      <c r="IVC67" s="3"/>
      <c r="IVD67" s="3"/>
      <c r="IVE67" s="3"/>
      <c r="IVF67" s="3"/>
      <c r="IVG67" s="3"/>
      <c r="IVH67" s="3"/>
      <c r="IVI67" s="3"/>
      <c r="IVJ67" s="3"/>
      <c r="IVK67" s="3"/>
      <c r="IVL67" s="3"/>
      <c r="IVM67" s="3"/>
      <c r="IVN67" s="3"/>
      <c r="IVO67" s="3"/>
      <c r="IVP67" s="3"/>
      <c r="IVQ67" s="3"/>
      <c r="IVR67" s="3"/>
      <c r="IVS67" s="3"/>
      <c r="IVT67" s="3"/>
      <c r="IVU67" s="3"/>
      <c r="IVV67" s="3"/>
      <c r="IVW67" s="3"/>
      <c r="IVX67" s="3"/>
      <c r="IVY67" s="3"/>
      <c r="IVZ67" s="3"/>
      <c r="IWA67" s="3"/>
      <c r="IWB67" s="3"/>
      <c r="IWC67" s="3"/>
      <c r="IWD67" s="3"/>
      <c r="IWE67" s="3"/>
      <c r="IWF67" s="3"/>
      <c r="IWG67" s="3"/>
      <c r="IWH67" s="3"/>
      <c r="IWI67" s="3"/>
      <c r="IWJ67" s="3"/>
      <c r="IWK67" s="3"/>
      <c r="IWL67" s="3"/>
      <c r="IWM67" s="3"/>
      <c r="IWN67" s="3"/>
      <c r="IWO67" s="3"/>
      <c r="IWP67" s="3"/>
      <c r="IWQ67" s="3"/>
      <c r="IWR67" s="3"/>
      <c r="IWS67" s="3"/>
      <c r="IWT67" s="3"/>
      <c r="IWU67" s="3"/>
      <c r="IWV67" s="3"/>
      <c r="IWW67" s="3"/>
      <c r="IWX67" s="3"/>
      <c r="IWY67" s="3"/>
      <c r="IWZ67" s="3"/>
      <c r="IXA67" s="3"/>
      <c r="IXB67" s="3"/>
      <c r="IXC67" s="3"/>
      <c r="IXD67" s="3"/>
      <c r="IXE67" s="3"/>
      <c r="IXF67" s="3"/>
      <c r="IXG67" s="3"/>
      <c r="IXH67" s="3"/>
      <c r="IXI67" s="3"/>
      <c r="IXJ67" s="3"/>
      <c r="IXK67" s="3"/>
      <c r="IXL67" s="3"/>
      <c r="IXM67" s="3"/>
      <c r="IXN67" s="3"/>
      <c r="IXO67" s="3"/>
      <c r="IXP67" s="3"/>
      <c r="IXQ67" s="3"/>
      <c r="IXR67" s="3"/>
      <c r="IXS67" s="3"/>
      <c r="IXT67" s="3"/>
      <c r="IXU67" s="3"/>
      <c r="IXV67" s="3"/>
      <c r="IXW67" s="3"/>
      <c r="IXX67" s="3"/>
      <c r="IXY67" s="3"/>
      <c r="IXZ67" s="3"/>
      <c r="IYA67" s="3"/>
      <c r="IYB67" s="3"/>
      <c r="IYC67" s="3"/>
      <c r="IYD67" s="3"/>
      <c r="IYE67" s="3"/>
      <c r="IYF67" s="3"/>
      <c r="IYG67" s="3"/>
      <c r="IYH67" s="3"/>
      <c r="IYI67" s="3"/>
      <c r="IYJ67" s="3"/>
      <c r="IYK67" s="3"/>
      <c r="IYL67" s="3"/>
      <c r="IYM67" s="3"/>
      <c r="IYN67" s="3"/>
      <c r="IYO67" s="3"/>
      <c r="IYP67" s="3"/>
      <c r="IYQ67" s="3"/>
      <c r="IYR67" s="3"/>
      <c r="IYS67" s="3"/>
      <c r="IYT67" s="3"/>
      <c r="IYU67" s="3"/>
      <c r="IYV67" s="3"/>
      <c r="IYW67" s="3"/>
      <c r="IYX67" s="3"/>
      <c r="IYY67" s="3"/>
      <c r="IYZ67" s="3"/>
      <c r="IZA67" s="3"/>
      <c r="IZB67" s="3"/>
      <c r="IZC67" s="3"/>
      <c r="IZD67" s="3"/>
      <c r="IZE67" s="3"/>
      <c r="IZF67" s="3"/>
      <c r="IZG67" s="3"/>
      <c r="IZH67" s="3"/>
      <c r="IZI67" s="3"/>
      <c r="IZJ67" s="3"/>
      <c r="IZK67" s="3"/>
      <c r="IZL67" s="3"/>
      <c r="IZM67" s="3"/>
      <c r="IZN67" s="3"/>
      <c r="IZO67" s="3"/>
      <c r="IZP67" s="3"/>
      <c r="IZQ67" s="3"/>
      <c r="IZR67" s="3"/>
      <c r="IZS67" s="3"/>
      <c r="IZT67" s="3"/>
      <c r="IZU67" s="3"/>
      <c r="IZV67" s="3"/>
      <c r="IZW67" s="3"/>
      <c r="IZX67" s="3"/>
      <c r="IZY67" s="3"/>
      <c r="IZZ67" s="3"/>
      <c r="JAA67" s="3"/>
      <c r="JAB67" s="3"/>
      <c r="JAC67" s="3"/>
      <c r="JAD67" s="3"/>
      <c r="JAE67" s="3"/>
      <c r="JAF67" s="3"/>
      <c r="JAG67" s="3"/>
      <c r="JAH67" s="3"/>
      <c r="JAI67" s="3"/>
      <c r="JAJ67" s="3"/>
      <c r="JAK67" s="3"/>
      <c r="JAL67" s="3"/>
      <c r="JAM67" s="3"/>
      <c r="JAN67" s="3"/>
      <c r="JAO67" s="3"/>
      <c r="JAP67" s="3"/>
      <c r="JAQ67" s="3"/>
      <c r="JAR67" s="3"/>
      <c r="JAS67" s="3"/>
      <c r="JAT67" s="3"/>
      <c r="JAU67" s="3"/>
      <c r="JAV67" s="3"/>
      <c r="JAW67" s="3"/>
      <c r="JAX67" s="3"/>
      <c r="JAY67" s="3"/>
      <c r="JAZ67" s="3"/>
      <c r="JBA67" s="3"/>
      <c r="JBB67" s="3"/>
      <c r="JBC67" s="3"/>
      <c r="JBD67" s="3"/>
      <c r="JBE67" s="3"/>
      <c r="JBF67" s="3"/>
      <c r="JBG67" s="3"/>
      <c r="JBH67" s="3"/>
      <c r="JBI67" s="3"/>
      <c r="JBJ67" s="3"/>
      <c r="JBK67" s="3"/>
      <c r="JBL67" s="3"/>
      <c r="JBM67" s="3"/>
      <c r="JBN67" s="3"/>
      <c r="JBO67" s="3"/>
      <c r="JBP67" s="3"/>
      <c r="JBQ67" s="3"/>
      <c r="JBR67" s="3"/>
      <c r="JBS67" s="3"/>
      <c r="JBT67" s="3"/>
      <c r="JBU67" s="3"/>
      <c r="JBV67" s="3"/>
      <c r="JBW67" s="3"/>
      <c r="JBX67" s="3"/>
      <c r="JBY67" s="3"/>
      <c r="JBZ67" s="3"/>
      <c r="JCA67" s="3"/>
      <c r="JCB67" s="3"/>
      <c r="JCC67" s="3"/>
      <c r="JCD67" s="3"/>
      <c r="JCE67" s="3"/>
      <c r="JCF67" s="3"/>
      <c r="JCG67" s="3"/>
      <c r="JCH67" s="3"/>
      <c r="JCI67" s="3"/>
      <c r="JCJ67" s="3"/>
      <c r="JCK67" s="3"/>
      <c r="JCL67" s="3"/>
      <c r="JCM67" s="3"/>
      <c r="JCN67" s="3"/>
      <c r="JCO67" s="3"/>
      <c r="JCP67" s="3"/>
      <c r="JCQ67" s="3"/>
      <c r="JCR67" s="3"/>
      <c r="JCS67" s="3"/>
      <c r="JCT67" s="3"/>
      <c r="JCU67" s="3"/>
      <c r="JCV67" s="3"/>
      <c r="JCW67" s="3"/>
      <c r="JCX67" s="3"/>
      <c r="JCY67" s="3"/>
      <c r="JCZ67" s="3"/>
      <c r="JDA67" s="3"/>
      <c r="JDB67" s="3"/>
      <c r="JDC67" s="3"/>
      <c r="JDD67" s="3"/>
      <c r="JDE67" s="3"/>
      <c r="JDF67" s="3"/>
      <c r="JDG67" s="3"/>
      <c r="JDH67" s="3"/>
      <c r="JDI67" s="3"/>
      <c r="JDJ67" s="3"/>
      <c r="JDK67" s="3"/>
      <c r="JDL67" s="3"/>
      <c r="JDM67" s="3"/>
      <c r="JDN67" s="3"/>
      <c r="JDO67" s="3"/>
      <c r="JDP67" s="3"/>
      <c r="JDQ67" s="3"/>
      <c r="JDR67" s="3"/>
      <c r="JDS67" s="3"/>
      <c r="JDT67" s="3"/>
      <c r="JDU67" s="3"/>
      <c r="JDV67" s="3"/>
      <c r="JDW67" s="3"/>
      <c r="JDX67" s="3"/>
      <c r="JDY67" s="3"/>
      <c r="JDZ67" s="3"/>
      <c r="JEA67" s="3"/>
      <c r="JEB67" s="3"/>
      <c r="JEC67" s="3"/>
      <c r="JED67" s="3"/>
      <c r="JEE67" s="3"/>
      <c r="JEF67" s="3"/>
      <c r="JEG67" s="3"/>
      <c r="JEH67" s="3"/>
      <c r="JEI67" s="3"/>
      <c r="JEJ67" s="3"/>
      <c r="JEK67" s="3"/>
      <c r="JEL67" s="3"/>
      <c r="JEM67" s="3"/>
      <c r="JEN67" s="3"/>
      <c r="JEO67" s="3"/>
      <c r="JEP67" s="3"/>
      <c r="JEQ67" s="3"/>
      <c r="JER67" s="3"/>
      <c r="JES67" s="3"/>
      <c r="JET67" s="3"/>
      <c r="JEU67" s="3"/>
      <c r="JEV67" s="3"/>
      <c r="JEW67" s="3"/>
      <c r="JEX67" s="3"/>
      <c r="JEY67" s="3"/>
      <c r="JEZ67" s="3"/>
      <c r="JFA67" s="3"/>
      <c r="JFB67" s="3"/>
      <c r="JFC67" s="3"/>
      <c r="JFD67" s="3"/>
      <c r="JFE67" s="3"/>
      <c r="JFF67" s="3"/>
      <c r="JFG67" s="3"/>
      <c r="JFH67" s="3"/>
      <c r="JFI67" s="3"/>
      <c r="JFJ67" s="3"/>
      <c r="JFK67" s="3"/>
      <c r="JFL67" s="3"/>
      <c r="JFM67" s="3"/>
      <c r="JFN67" s="3"/>
      <c r="JFO67" s="3"/>
      <c r="JFP67" s="3"/>
      <c r="JFQ67" s="3"/>
      <c r="JFR67" s="3"/>
      <c r="JFS67" s="3"/>
      <c r="JFT67" s="3"/>
      <c r="JFU67" s="3"/>
      <c r="JFV67" s="3"/>
      <c r="JFW67" s="3"/>
      <c r="JFX67" s="3"/>
      <c r="JFY67" s="3"/>
      <c r="JFZ67" s="3"/>
      <c r="JGA67" s="3"/>
      <c r="JGB67" s="3"/>
      <c r="JGC67" s="3"/>
      <c r="JGD67" s="3"/>
      <c r="JGE67" s="3"/>
      <c r="JGF67" s="3"/>
      <c r="JGG67" s="3"/>
      <c r="JGH67" s="3"/>
      <c r="JGI67" s="3"/>
      <c r="JGJ67" s="3"/>
      <c r="JGK67" s="3"/>
      <c r="JGL67" s="3"/>
      <c r="JGM67" s="3"/>
      <c r="JGN67" s="3"/>
      <c r="JGO67" s="3"/>
      <c r="JGP67" s="3"/>
      <c r="JGQ67" s="3"/>
      <c r="JGR67" s="3"/>
      <c r="JGS67" s="3"/>
      <c r="JGT67" s="3"/>
      <c r="JGU67" s="3"/>
      <c r="JGV67" s="3"/>
      <c r="JGW67" s="3"/>
      <c r="JGX67" s="3"/>
      <c r="JGY67" s="3"/>
      <c r="JGZ67" s="3"/>
      <c r="JHA67" s="3"/>
      <c r="JHB67" s="3"/>
      <c r="JHC67" s="3"/>
      <c r="JHD67" s="3"/>
      <c r="JHE67" s="3"/>
      <c r="JHF67" s="3"/>
      <c r="JHG67" s="3"/>
      <c r="JHH67" s="3"/>
      <c r="JHI67" s="3"/>
      <c r="JHJ67" s="3"/>
      <c r="JHK67" s="3"/>
      <c r="JHL67" s="3"/>
      <c r="JHM67" s="3"/>
      <c r="JHN67" s="3"/>
      <c r="JHO67" s="3"/>
      <c r="JHP67" s="3"/>
      <c r="JHQ67" s="3"/>
      <c r="JHR67" s="3"/>
      <c r="JHS67" s="3"/>
      <c r="JHT67" s="3"/>
      <c r="JHU67" s="3"/>
      <c r="JHV67" s="3"/>
      <c r="JHW67" s="3"/>
      <c r="JHX67" s="3"/>
      <c r="JHY67" s="3"/>
      <c r="JHZ67" s="3"/>
      <c r="JIA67" s="3"/>
      <c r="JIB67" s="3"/>
      <c r="JIC67" s="3"/>
      <c r="JID67" s="3"/>
      <c r="JIE67" s="3"/>
      <c r="JIF67" s="3"/>
      <c r="JIG67" s="3"/>
      <c r="JIH67" s="3"/>
      <c r="JII67" s="3"/>
      <c r="JIJ67" s="3"/>
      <c r="JIK67" s="3"/>
      <c r="JIL67" s="3"/>
      <c r="JIM67" s="3"/>
      <c r="JIN67" s="3"/>
      <c r="JIO67" s="3"/>
      <c r="JIP67" s="3"/>
      <c r="JIQ67" s="3"/>
      <c r="JIR67" s="3"/>
      <c r="JIS67" s="3"/>
      <c r="JIT67" s="3"/>
      <c r="JIU67" s="3"/>
      <c r="JIV67" s="3"/>
      <c r="JIW67" s="3"/>
      <c r="JIX67" s="3"/>
      <c r="JIY67" s="3"/>
      <c r="JIZ67" s="3"/>
      <c r="JJA67" s="3"/>
      <c r="JJB67" s="3"/>
      <c r="JJC67" s="3"/>
      <c r="JJD67" s="3"/>
      <c r="JJE67" s="3"/>
      <c r="JJF67" s="3"/>
      <c r="JJG67" s="3"/>
      <c r="JJH67" s="3"/>
      <c r="JJI67" s="3"/>
      <c r="JJJ67" s="3"/>
      <c r="JJK67" s="3"/>
      <c r="JJL67" s="3"/>
      <c r="JJM67" s="3"/>
      <c r="JJN67" s="3"/>
      <c r="JJO67" s="3"/>
      <c r="JJP67" s="3"/>
      <c r="JJQ67" s="3"/>
      <c r="JJR67" s="3"/>
      <c r="JJS67" s="3"/>
      <c r="JJT67" s="3"/>
      <c r="JJU67" s="3"/>
      <c r="JJV67" s="3"/>
      <c r="JJW67" s="3"/>
      <c r="JJX67" s="3"/>
      <c r="JJY67" s="3"/>
      <c r="JJZ67" s="3"/>
      <c r="JKA67" s="3"/>
      <c r="JKB67" s="3"/>
      <c r="JKC67" s="3"/>
      <c r="JKD67" s="3"/>
      <c r="JKE67" s="3"/>
      <c r="JKF67" s="3"/>
      <c r="JKG67" s="3"/>
      <c r="JKH67" s="3"/>
      <c r="JKI67" s="3"/>
      <c r="JKJ67" s="3"/>
      <c r="JKK67" s="3"/>
      <c r="JKL67" s="3"/>
      <c r="JKM67" s="3"/>
      <c r="JKN67" s="3"/>
      <c r="JKO67" s="3"/>
      <c r="JKP67" s="3"/>
      <c r="JKQ67" s="3"/>
      <c r="JKR67" s="3"/>
      <c r="JKS67" s="3"/>
      <c r="JKT67" s="3"/>
      <c r="JKU67" s="3"/>
      <c r="JKV67" s="3"/>
      <c r="JKW67" s="3"/>
      <c r="JKX67" s="3"/>
      <c r="JKY67" s="3"/>
      <c r="JKZ67" s="3"/>
      <c r="JLA67" s="3"/>
      <c r="JLB67" s="3"/>
      <c r="JLC67" s="3"/>
      <c r="JLD67" s="3"/>
      <c r="JLE67" s="3"/>
      <c r="JLF67" s="3"/>
      <c r="JLG67" s="3"/>
      <c r="JLH67" s="3"/>
      <c r="JLI67" s="3"/>
      <c r="JLJ67" s="3"/>
      <c r="JLK67" s="3"/>
      <c r="JLL67" s="3"/>
      <c r="JLM67" s="3"/>
      <c r="JLN67" s="3"/>
      <c r="JLO67" s="3"/>
      <c r="JLP67" s="3"/>
      <c r="JLQ67" s="3"/>
      <c r="JLR67" s="3"/>
      <c r="JLS67" s="3"/>
      <c r="JLT67" s="3"/>
      <c r="JLU67" s="3"/>
      <c r="JLV67" s="3"/>
      <c r="JLW67" s="3"/>
      <c r="JLX67" s="3"/>
      <c r="JLY67" s="3"/>
      <c r="JLZ67" s="3"/>
      <c r="JMA67" s="3"/>
      <c r="JMB67" s="3"/>
      <c r="JMC67" s="3"/>
      <c r="JMD67" s="3"/>
      <c r="JME67" s="3"/>
      <c r="JMF67" s="3"/>
      <c r="JMG67" s="3"/>
      <c r="JMH67" s="3"/>
      <c r="JMI67" s="3"/>
      <c r="JMJ67" s="3"/>
      <c r="JMK67" s="3"/>
      <c r="JML67" s="3"/>
      <c r="JMM67" s="3"/>
      <c r="JMN67" s="3"/>
      <c r="JMO67" s="3"/>
      <c r="JMP67" s="3"/>
      <c r="JMQ67" s="3"/>
      <c r="JMR67" s="3"/>
      <c r="JMS67" s="3"/>
      <c r="JMT67" s="3"/>
      <c r="JMU67" s="3"/>
      <c r="JMV67" s="3"/>
      <c r="JMW67" s="3"/>
      <c r="JMX67" s="3"/>
      <c r="JMY67" s="3"/>
      <c r="JMZ67" s="3"/>
      <c r="JNA67" s="3"/>
      <c r="JNB67" s="3"/>
      <c r="JNC67" s="3"/>
      <c r="JND67" s="3"/>
      <c r="JNE67" s="3"/>
      <c r="JNF67" s="3"/>
      <c r="JNG67" s="3"/>
      <c r="JNH67" s="3"/>
      <c r="JNI67" s="3"/>
      <c r="JNJ67" s="3"/>
      <c r="JNK67" s="3"/>
      <c r="JNL67" s="3"/>
      <c r="JNM67" s="3"/>
      <c r="JNN67" s="3"/>
      <c r="JNO67" s="3"/>
      <c r="JNP67" s="3"/>
      <c r="JNQ67" s="3"/>
      <c r="JNR67" s="3"/>
      <c r="JNS67" s="3"/>
      <c r="JNT67" s="3"/>
      <c r="JNU67" s="3"/>
      <c r="JNV67" s="3"/>
      <c r="JNW67" s="3"/>
      <c r="JNX67" s="3"/>
      <c r="JNY67" s="3"/>
      <c r="JNZ67" s="3"/>
      <c r="JOA67" s="3"/>
      <c r="JOB67" s="3"/>
      <c r="JOC67" s="3"/>
      <c r="JOD67" s="3"/>
      <c r="JOE67" s="3"/>
      <c r="JOF67" s="3"/>
      <c r="JOG67" s="3"/>
      <c r="JOH67" s="3"/>
      <c r="JOI67" s="3"/>
      <c r="JOJ67" s="3"/>
      <c r="JOK67" s="3"/>
      <c r="JOL67" s="3"/>
      <c r="JOM67" s="3"/>
      <c r="JON67" s="3"/>
      <c r="JOO67" s="3"/>
      <c r="JOP67" s="3"/>
      <c r="JOQ67" s="3"/>
      <c r="JOR67" s="3"/>
      <c r="JOS67" s="3"/>
      <c r="JOT67" s="3"/>
      <c r="JOU67" s="3"/>
      <c r="JOV67" s="3"/>
      <c r="JOW67" s="3"/>
      <c r="JOX67" s="3"/>
      <c r="JOY67" s="3"/>
      <c r="JOZ67" s="3"/>
      <c r="JPA67" s="3"/>
      <c r="JPB67" s="3"/>
      <c r="JPC67" s="3"/>
      <c r="JPD67" s="3"/>
      <c r="JPE67" s="3"/>
      <c r="JPF67" s="3"/>
      <c r="JPG67" s="3"/>
      <c r="JPH67" s="3"/>
      <c r="JPI67" s="3"/>
      <c r="JPJ67" s="3"/>
      <c r="JPK67" s="3"/>
      <c r="JPL67" s="3"/>
      <c r="JPM67" s="3"/>
      <c r="JPN67" s="3"/>
      <c r="JPO67" s="3"/>
      <c r="JPP67" s="3"/>
      <c r="JPQ67" s="3"/>
      <c r="JPR67" s="3"/>
      <c r="JPS67" s="3"/>
      <c r="JPT67" s="3"/>
      <c r="JPU67" s="3"/>
      <c r="JPV67" s="3"/>
      <c r="JPW67" s="3"/>
      <c r="JPX67" s="3"/>
      <c r="JPY67" s="3"/>
      <c r="JPZ67" s="3"/>
      <c r="JQA67" s="3"/>
      <c r="JQB67" s="3"/>
      <c r="JQC67" s="3"/>
      <c r="JQD67" s="3"/>
      <c r="JQE67" s="3"/>
      <c r="JQF67" s="3"/>
      <c r="JQG67" s="3"/>
      <c r="JQH67" s="3"/>
      <c r="JQI67" s="3"/>
      <c r="JQJ67" s="3"/>
      <c r="JQK67" s="3"/>
      <c r="JQL67" s="3"/>
      <c r="JQM67" s="3"/>
      <c r="JQN67" s="3"/>
      <c r="JQO67" s="3"/>
      <c r="JQP67" s="3"/>
      <c r="JQQ67" s="3"/>
      <c r="JQR67" s="3"/>
      <c r="JQS67" s="3"/>
      <c r="JQT67" s="3"/>
      <c r="JQU67" s="3"/>
      <c r="JQV67" s="3"/>
      <c r="JQW67" s="3"/>
      <c r="JQX67" s="3"/>
      <c r="JQY67" s="3"/>
      <c r="JQZ67" s="3"/>
      <c r="JRA67" s="3"/>
      <c r="JRB67" s="3"/>
      <c r="JRC67" s="3"/>
      <c r="JRD67" s="3"/>
      <c r="JRE67" s="3"/>
      <c r="JRF67" s="3"/>
      <c r="JRG67" s="3"/>
      <c r="JRH67" s="3"/>
      <c r="JRI67" s="3"/>
      <c r="JRJ67" s="3"/>
      <c r="JRK67" s="3"/>
      <c r="JRL67" s="3"/>
      <c r="JRM67" s="3"/>
      <c r="JRN67" s="3"/>
      <c r="JRO67" s="3"/>
      <c r="JRP67" s="3"/>
      <c r="JRQ67" s="3"/>
      <c r="JRR67" s="3"/>
      <c r="JRS67" s="3"/>
      <c r="JRT67" s="3"/>
      <c r="JRU67" s="3"/>
      <c r="JRV67" s="3"/>
      <c r="JRW67" s="3"/>
      <c r="JRX67" s="3"/>
      <c r="JRY67" s="3"/>
      <c r="JRZ67" s="3"/>
      <c r="JSA67" s="3"/>
      <c r="JSB67" s="3"/>
      <c r="JSC67" s="3"/>
      <c r="JSD67" s="3"/>
      <c r="JSE67" s="3"/>
      <c r="JSF67" s="3"/>
      <c r="JSG67" s="3"/>
      <c r="JSH67" s="3"/>
      <c r="JSI67" s="3"/>
      <c r="JSJ67" s="3"/>
      <c r="JSK67" s="3"/>
      <c r="JSL67" s="3"/>
      <c r="JSM67" s="3"/>
      <c r="JSN67" s="3"/>
      <c r="JSO67" s="3"/>
      <c r="JSP67" s="3"/>
      <c r="JSQ67" s="3"/>
      <c r="JSR67" s="3"/>
      <c r="JSS67" s="3"/>
      <c r="JST67" s="3"/>
      <c r="JSU67" s="3"/>
      <c r="JSV67" s="3"/>
      <c r="JSW67" s="3"/>
      <c r="JSX67" s="3"/>
      <c r="JSY67" s="3"/>
      <c r="JSZ67" s="3"/>
      <c r="JTA67" s="3"/>
      <c r="JTB67" s="3"/>
      <c r="JTC67" s="3"/>
      <c r="JTD67" s="3"/>
      <c r="JTE67" s="3"/>
      <c r="JTF67" s="3"/>
      <c r="JTG67" s="3"/>
      <c r="JTH67" s="3"/>
      <c r="JTI67" s="3"/>
      <c r="JTJ67" s="3"/>
      <c r="JTK67" s="3"/>
      <c r="JTL67" s="3"/>
      <c r="JTM67" s="3"/>
      <c r="JTN67" s="3"/>
      <c r="JTO67" s="3"/>
      <c r="JTP67" s="3"/>
      <c r="JTQ67" s="3"/>
      <c r="JTR67" s="3"/>
      <c r="JTS67" s="3"/>
      <c r="JTT67" s="3"/>
      <c r="JTU67" s="3"/>
      <c r="JTV67" s="3"/>
      <c r="JTW67" s="3"/>
      <c r="JTX67" s="3"/>
      <c r="JTY67" s="3"/>
      <c r="JTZ67" s="3"/>
      <c r="JUA67" s="3"/>
      <c r="JUB67" s="3"/>
      <c r="JUC67" s="3"/>
      <c r="JUD67" s="3"/>
      <c r="JUE67" s="3"/>
      <c r="JUF67" s="3"/>
      <c r="JUG67" s="3"/>
      <c r="JUH67" s="3"/>
      <c r="JUI67" s="3"/>
      <c r="JUJ67" s="3"/>
      <c r="JUK67" s="3"/>
      <c r="JUL67" s="3"/>
      <c r="JUM67" s="3"/>
      <c r="JUN67" s="3"/>
      <c r="JUO67" s="3"/>
      <c r="JUP67" s="3"/>
      <c r="JUQ67" s="3"/>
      <c r="JUR67" s="3"/>
      <c r="JUS67" s="3"/>
      <c r="JUT67" s="3"/>
      <c r="JUU67" s="3"/>
      <c r="JUV67" s="3"/>
      <c r="JUW67" s="3"/>
      <c r="JUX67" s="3"/>
      <c r="JUY67" s="3"/>
      <c r="JUZ67" s="3"/>
      <c r="JVA67" s="3"/>
      <c r="JVB67" s="3"/>
      <c r="JVC67" s="3"/>
      <c r="JVD67" s="3"/>
      <c r="JVE67" s="3"/>
      <c r="JVF67" s="3"/>
      <c r="JVG67" s="3"/>
      <c r="JVH67" s="3"/>
      <c r="JVI67" s="3"/>
      <c r="JVJ67" s="3"/>
      <c r="JVK67" s="3"/>
      <c r="JVL67" s="3"/>
      <c r="JVM67" s="3"/>
      <c r="JVN67" s="3"/>
      <c r="JVO67" s="3"/>
      <c r="JVP67" s="3"/>
      <c r="JVQ67" s="3"/>
      <c r="JVR67" s="3"/>
      <c r="JVS67" s="3"/>
      <c r="JVT67" s="3"/>
      <c r="JVU67" s="3"/>
      <c r="JVV67" s="3"/>
      <c r="JVW67" s="3"/>
      <c r="JVX67" s="3"/>
      <c r="JVY67" s="3"/>
      <c r="JVZ67" s="3"/>
      <c r="JWA67" s="3"/>
      <c r="JWB67" s="3"/>
      <c r="JWC67" s="3"/>
      <c r="JWD67" s="3"/>
      <c r="JWE67" s="3"/>
      <c r="JWF67" s="3"/>
      <c r="JWG67" s="3"/>
      <c r="JWH67" s="3"/>
      <c r="JWI67" s="3"/>
      <c r="JWJ67" s="3"/>
      <c r="JWK67" s="3"/>
      <c r="JWL67" s="3"/>
      <c r="JWM67" s="3"/>
      <c r="JWN67" s="3"/>
      <c r="JWO67" s="3"/>
      <c r="JWP67" s="3"/>
      <c r="JWQ67" s="3"/>
      <c r="JWR67" s="3"/>
      <c r="JWS67" s="3"/>
      <c r="JWT67" s="3"/>
      <c r="JWU67" s="3"/>
      <c r="JWV67" s="3"/>
      <c r="JWW67" s="3"/>
      <c r="JWX67" s="3"/>
      <c r="JWY67" s="3"/>
      <c r="JWZ67" s="3"/>
      <c r="JXA67" s="3"/>
      <c r="JXB67" s="3"/>
      <c r="JXC67" s="3"/>
      <c r="JXD67" s="3"/>
      <c r="JXE67" s="3"/>
      <c r="JXF67" s="3"/>
      <c r="JXG67" s="3"/>
      <c r="JXH67" s="3"/>
      <c r="JXI67" s="3"/>
      <c r="JXJ67" s="3"/>
      <c r="JXK67" s="3"/>
      <c r="JXL67" s="3"/>
      <c r="JXM67" s="3"/>
      <c r="JXN67" s="3"/>
      <c r="JXO67" s="3"/>
      <c r="JXP67" s="3"/>
      <c r="JXQ67" s="3"/>
      <c r="JXR67" s="3"/>
      <c r="JXS67" s="3"/>
      <c r="JXT67" s="3"/>
      <c r="JXU67" s="3"/>
      <c r="JXV67" s="3"/>
      <c r="JXW67" s="3"/>
      <c r="JXX67" s="3"/>
      <c r="JXY67" s="3"/>
      <c r="JXZ67" s="3"/>
      <c r="JYA67" s="3"/>
      <c r="JYB67" s="3"/>
      <c r="JYC67" s="3"/>
      <c r="JYD67" s="3"/>
      <c r="JYE67" s="3"/>
      <c r="JYF67" s="3"/>
      <c r="JYG67" s="3"/>
      <c r="JYH67" s="3"/>
      <c r="JYI67" s="3"/>
      <c r="JYJ67" s="3"/>
      <c r="JYK67" s="3"/>
      <c r="JYL67" s="3"/>
      <c r="JYM67" s="3"/>
      <c r="JYN67" s="3"/>
      <c r="JYO67" s="3"/>
      <c r="JYP67" s="3"/>
      <c r="JYQ67" s="3"/>
      <c r="JYR67" s="3"/>
      <c r="JYS67" s="3"/>
      <c r="JYT67" s="3"/>
      <c r="JYU67" s="3"/>
      <c r="JYV67" s="3"/>
      <c r="JYW67" s="3"/>
      <c r="JYX67" s="3"/>
      <c r="JYY67" s="3"/>
      <c r="JYZ67" s="3"/>
      <c r="JZA67" s="3"/>
      <c r="JZB67" s="3"/>
      <c r="JZC67" s="3"/>
      <c r="JZD67" s="3"/>
      <c r="JZE67" s="3"/>
      <c r="JZF67" s="3"/>
      <c r="JZG67" s="3"/>
      <c r="JZH67" s="3"/>
      <c r="JZI67" s="3"/>
      <c r="JZJ67" s="3"/>
      <c r="JZK67" s="3"/>
      <c r="JZL67" s="3"/>
      <c r="JZM67" s="3"/>
      <c r="JZN67" s="3"/>
      <c r="JZO67" s="3"/>
      <c r="JZP67" s="3"/>
      <c r="JZQ67" s="3"/>
      <c r="JZR67" s="3"/>
      <c r="JZS67" s="3"/>
      <c r="JZT67" s="3"/>
      <c r="JZU67" s="3"/>
      <c r="JZV67" s="3"/>
      <c r="JZW67" s="3"/>
      <c r="JZX67" s="3"/>
      <c r="JZY67" s="3"/>
      <c r="JZZ67" s="3"/>
      <c r="KAA67" s="3"/>
      <c r="KAB67" s="3"/>
      <c r="KAC67" s="3"/>
      <c r="KAD67" s="3"/>
      <c r="KAE67" s="3"/>
      <c r="KAF67" s="3"/>
      <c r="KAG67" s="3"/>
      <c r="KAH67" s="3"/>
      <c r="KAI67" s="3"/>
      <c r="KAJ67" s="3"/>
      <c r="KAK67" s="3"/>
      <c r="KAL67" s="3"/>
      <c r="KAM67" s="3"/>
      <c r="KAN67" s="3"/>
      <c r="KAO67" s="3"/>
      <c r="KAP67" s="3"/>
      <c r="KAQ67" s="3"/>
      <c r="KAR67" s="3"/>
      <c r="KAS67" s="3"/>
      <c r="KAT67" s="3"/>
      <c r="KAU67" s="3"/>
      <c r="KAV67" s="3"/>
      <c r="KAW67" s="3"/>
      <c r="KAX67" s="3"/>
      <c r="KAY67" s="3"/>
      <c r="KAZ67" s="3"/>
      <c r="KBA67" s="3"/>
      <c r="KBB67" s="3"/>
      <c r="KBC67" s="3"/>
      <c r="KBD67" s="3"/>
      <c r="KBE67" s="3"/>
      <c r="KBF67" s="3"/>
      <c r="KBG67" s="3"/>
      <c r="KBH67" s="3"/>
      <c r="KBI67" s="3"/>
      <c r="KBJ67" s="3"/>
      <c r="KBK67" s="3"/>
      <c r="KBL67" s="3"/>
      <c r="KBM67" s="3"/>
      <c r="KBN67" s="3"/>
      <c r="KBO67" s="3"/>
      <c r="KBP67" s="3"/>
      <c r="KBQ67" s="3"/>
      <c r="KBR67" s="3"/>
      <c r="KBS67" s="3"/>
      <c r="KBT67" s="3"/>
      <c r="KBU67" s="3"/>
      <c r="KBV67" s="3"/>
      <c r="KBW67" s="3"/>
      <c r="KBX67" s="3"/>
      <c r="KBY67" s="3"/>
      <c r="KBZ67" s="3"/>
      <c r="KCA67" s="3"/>
      <c r="KCB67" s="3"/>
      <c r="KCC67" s="3"/>
      <c r="KCD67" s="3"/>
      <c r="KCE67" s="3"/>
      <c r="KCF67" s="3"/>
      <c r="KCG67" s="3"/>
      <c r="KCH67" s="3"/>
      <c r="KCI67" s="3"/>
      <c r="KCJ67" s="3"/>
      <c r="KCK67" s="3"/>
      <c r="KCL67" s="3"/>
      <c r="KCM67" s="3"/>
      <c r="KCN67" s="3"/>
      <c r="KCO67" s="3"/>
      <c r="KCP67" s="3"/>
      <c r="KCQ67" s="3"/>
      <c r="KCR67" s="3"/>
      <c r="KCS67" s="3"/>
      <c r="KCT67" s="3"/>
      <c r="KCU67" s="3"/>
      <c r="KCV67" s="3"/>
      <c r="KCW67" s="3"/>
      <c r="KCX67" s="3"/>
      <c r="KCY67" s="3"/>
      <c r="KCZ67" s="3"/>
      <c r="KDA67" s="3"/>
      <c r="KDB67" s="3"/>
      <c r="KDC67" s="3"/>
      <c r="KDD67" s="3"/>
      <c r="KDE67" s="3"/>
      <c r="KDF67" s="3"/>
      <c r="KDG67" s="3"/>
      <c r="KDH67" s="3"/>
      <c r="KDI67" s="3"/>
      <c r="KDJ67" s="3"/>
      <c r="KDK67" s="3"/>
      <c r="KDL67" s="3"/>
      <c r="KDM67" s="3"/>
      <c r="KDN67" s="3"/>
      <c r="KDO67" s="3"/>
      <c r="KDP67" s="3"/>
      <c r="KDQ67" s="3"/>
      <c r="KDR67" s="3"/>
      <c r="KDS67" s="3"/>
      <c r="KDT67" s="3"/>
      <c r="KDU67" s="3"/>
      <c r="KDV67" s="3"/>
      <c r="KDW67" s="3"/>
      <c r="KDX67" s="3"/>
      <c r="KDY67" s="3"/>
      <c r="KDZ67" s="3"/>
      <c r="KEA67" s="3"/>
      <c r="KEB67" s="3"/>
      <c r="KEC67" s="3"/>
      <c r="KED67" s="3"/>
      <c r="KEE67" s="3"/>
      <c r="KEF67" s="3"/>
      <c r="KEG67" s="3"/>
      <c r="KEH67" s="3"/>
      <c r="KEI67" s="3"/>
      <c r="KEJ67" s="3"/>
      <c r="KEK67" s="3"/>
      <c r="KEL67" s="3"/>
      <c r="KEM67" s="3"/>
      <c r="KEN67" s="3"/>
      <c r="KEO67" s="3"/>
      <c r="KEP67" s="3"/>
      <c r="KEQ67" s="3"/>
      <c r="KER67" s="3"/>
      <c r="KES67" s="3"/>
      <c r="KET67" s="3"/>
      <c r="KEU67" s="3"/>
      <c r="KEV67" s="3"/>
      <c r="KEW67" s="3"/>
      <c r="KEX67" s="3"/>
      <c r="KEY67" s="3"/>
      <c r="KEZ67" s="3"/>
      <c r="KFA67" s="3"/>
      <c r="KFB67" s="3"/>
      <c r="KFC67" s="3"/>
      <c r="KFD67" s="3"/>
      <c r="KFE67" s="3"/>
      <c r="KFF67" s="3"/>
      <c r="KFG67" s="3"/>
      <c r="KFH67" s="3"/>
      <c r="KFI67" s="3"/>
      <c r="KFJ67" s="3"/>
      <c r="KFK67" s="3"/>
      <c r="KFL67" s="3"/>
      <c r="KFM67" s="3"/>
      <c r="KFN67" s="3"/>
      <c r="KFO67" s="3"/>
      <c r="KFP67" s="3"/>
      <c r="KFQ67" s="3"/>
      <c r="KFR67" s="3"/>
      <c r="KFS67" s="3"/>
      <c r="KFT67" s="3"/>
      <c r="KFU67" s="3"/>
      <c r="KFV67" s="3"/>
      <c r="KFW67" s="3"/>
      <c r="KFX67" s="3"/>
      <c r="KFY67" s="3"/>
      <c r="KFZ67" s="3"/>
      <c r="KGA67" s="3"/>
      <c r="KGB67" s="3"/>
      <c r="KGC67" s="3"/>
      <c r="KGD67" s="3"/>
      <c r="KGE67" s="3"/>
      <c r="KGF67" s="3"/>
      <c r="KGG67" s="3"/>
      <c r="KGH67" s="3"/>
      <c r="KGI67" s="3"/>
      <c r="KGJ67" s="3"/>
      <c r="KGK67" s="3"/>
      <c r="KGL67" s="3"/>
      <c r="KGM67" s="3"/>
      <c r="KGN67" s="3"/>
      <c r="KGO67" s="3"/>
      <c r="KGP67" s="3"/>
      <c r="KGQ67" s="3"/>
      <c r="KGR67" s="3"/>
      <c r="KGS67" s="3"/>
      <c r="KGT67" s="3"/>
      <c r="KGU67" s="3"/>
      <c r="KGV67" s="3"/>
      <c r="KGW67" s="3"/>
      <c r="KGX67" s="3"/>
      <c r="KGY67" s="3"/>
      <c r="KGZ67" s="3"/>
      <c r="KHA67" s="3"/>
      <c r="KHB67" s="3"/>
      <c r="KHC67" s="3"/>
      <c r="KHD67" s="3"/>
      <c r="KHE67" s="3"/>
      <c r="KHF67" s="3"/>
      <c r="KHG67" s="3"/>
      <c r="KHH67" s="3"/>
      <c r="KHI67" s="3"/>
      <c r="KHJ67" s="3"/>
      <c r="KHK67" s="3"/>
      <c r="KHL67" s="3"/>
      <c r="KHM67" s="3"/>
      <c r="KHN67" s="3"/>
      <c r="KHO67" s="3"/>
      <c r="KHP67" s="3"/>
      <c r="KHQ67" s="3"/>
      <c r="KHR67" s="3"/>
      <c r="KHS67" s="3"/>
      <c r="KHT67" s="3"/>
      <c r="KHU67" s="3"/>
      <c r="KHV67" s="3"/>
      <c r="KHW67" s="3"/>
      <c r="KHX67" s="3"/>
      <c r="KHY67" s="3"/>
      <c r="KHZ67" s="3"/>
      <c r="KIA67" s="3"/>
      <c r="KIB67" s="3"/>
      <c r="KIC67" s="3"/>
      <c r="KID67" s="3"/>
      <c r="KIE67" s="3"/>
      <c r="KIF67" s="3"/>
      <c r="KIG67" s="3"/>
      <c r="KIH67" s="3"/>
      <c r="KII67" s="3"/>
      <c r="KIJ67" s="3"/>
      <c r="KIK67" s="3"/>
      <c r="KIL67" s="3"/>
      <c r="KIM67" s="3"/>
      <c r="KIN67" s="3"/>
      <c r="KIO67" s="3"/>
      <c r="KIP67" s="3"/>
      <c r="KIQ67" s="3"/>
      <c r="KIR67" s="3"/>
      <c r="KIS67" s="3"/>
      <c r="KIT67" s="3"/>
      <c r="KIU67" s="3"/>
      <c r="KIV67" s="3"/>
      <c r="KIW67" s="3"/>
      <c r="KIX67" s="3"/>
      <c r="KIY67" s="3"/>
      <c r="KIZ67" s="3"/>
      <c r="KJA67" s="3"/>
      <c r="KJB67" s="3"/>
      <c r="KJC67" s="3"/>
      <c r="KJD67" s="3"/>
      <c r="KJE67" s="3"/>
      <c r="KJF67" s="3"/>
      <c r="KJG67" s="3"/>
      <c r="KJH67" s="3"/>
      <c r="KJI67" s="3"/>
      <c r="KJJ67" s="3"/>
      <c r="KJK67" s="3"/>
      <c r="KJL67" s="3"/>
      <c r="KJM67" s="3"/>
      <c r="KJN67" s="3"/>
      <c r="KJO67" s="3"/>
      <c r="KJP67" s="3"/>
      <c r="KJQ67" s="3"/>
      <c r="KJR67" s="3"/>
      <c r="KJS67" s="3"/>
      <c r="KJT67" s="3"/>
      <c r="KJU67" s="3"/>
      <c r="KJV67" s="3"/>
      <c r="KJW67" s="3"/>
      <c r="KJX67" s="3"/>
      <c r="KJY67" s="3"/>
      <c r="KJZ67" s="3"/>
      <c r="KKA67" s="3"/>
      <c r="KKB67" s="3"/>
      <c r="KKC67" s="3"/>
      <c r="KKD67" s="3"/>
      <c r="KKE67" s="3"/>
      <c r="KKF67" s="3"/>
      <c r="KKG67" s="3"/>
      <c r="KKH67" s="3"/>
      <c r="KKI67" s="3"/>
      <c r="KKJ67" s="3"/>
      <c r="KKK67" s="3"/>
      <c r="KKL67" s="3"/>
      <c r="KKM67" s="3"/>
      <c r="KKN67" s="3"/>
      <c r="KKO67" s="3"/>
      <c r="KKP67" s="3"/>
      <c r="KKQ67" s="3"/>
      <c r="KKR67" s="3"/>
      <c r="KKS67" s="3"/>
      <c r="KKT67" s="3"/>
      <c r="KKU67" s="3"/>
      <c r="KKV67" s="3"/>
      <c r="KKW67" s="3"/>
      <c r="KKX67" s="3"/>
      <c r="KKY67" s="3"/>
      <c r="KKZ67" s="3"/>
      <c r="KLA67" s="3"/>
      <c r="KLB67" s="3"/>
      <c r="KLC67" s="3"/>
      <c r="KLD67" s="3"/>
      <c r="KLE67" s="3"/>
      <c r="KLF67" s="3"/>
      <c r="KLG67" s="3"/>
      <c r="KLH67" s="3"/>
      <c r="KLI67" s="3"/>
      <c r="KLJ67" s="3"/>
      <c r="KLK67" s="3"/>
      <c r="KLL67" s="3"/>
      <c r="KLM67" s="3"/>
      <c r="KLN67" s="3"/>
      <c r="KLO67" s="3"/>
      <c r="KLP67" s="3"/>
      <c r="KLQ67" s="3"/>
      <c r="KLR67" s="3"/>
      <c r="KLS67" s="3"/>
      <c r="KLT67" s="3"/>
      <c r="KLU67" s="3"/>
      <c r="KLV67" s="3"/>
      <c r="KLW67" s="3"/>
      <c r="KLX67" s="3"/>
      <c r="KLY67" s="3"/>
      <c r="KLZ67" s="3"/>
      <c r="KMA67" s="3"/>
      <c r="KMB67" s="3"/>
      <c r="KMC67" s="3"/>
      <c r="KMD67" s="3"/>
      <c r="KME67" s="3"/>
      <c r="KMF67" s="3"/>
      <c r="KMG67" s="3"/>
      <c r="KMH67" s="3"/>
      <c r="KMI67" s="3"/>
      <c r="KMJ67" s="3"/>
      <c r="KMK67" s="3"/>
      <c r="KML67" s="3"/>
      <c r="KMM67" s="3"/>
      <c r="KMN67" s="3"/>
      <c r="KMO67" s="3"/>
      <c r="KMP67" s="3"/>
      <c r="KMQ67" s="3"/>
      <c r="KMR67" s="3"/>
      <c r="KMS67" s="3"/>
      <c r="KMT67" s="3"/>
      <c r="KMU67" s="3"/>
      <c r="KMV67" s="3"/>
      <c r="KMW67" s="3"/>
      <c r="KMX67" s="3"/>
      <c r="KMY67" s="3"/>
      <c r="KMZ67" s="3"/>
      <c r="KNA67" s="3"/>
      <c r="KNB67" s="3"/>
      <c r="KNC67" s="3"/>
      <c r="KND67" s="3"/>
      <c r="KNE67" s="3"/>
      <c r="KNF67" s="3"/>
      <c r="KNG67" s="3"/>
      <c r="KNH67" s="3"/>
      <c r="KNI67" s="3"/>
      <c r="KNJ67" s="3"/>
      <c r="KNK67" s="3"/>
      <c r="KNL67" s="3"/>
      <c r="KNM67" s="3"/>
      <c r="KNN67" s="3"/>
      <c r="KNO67" s="3"/>
      <c r="KNP67" s="3"/>
      <c r="KNQ67" s="3"/>
      <c r="KNR67" s="3"/>
      <c r="KNS67" s="3"/>
      <c r="KNT67" s="3"/>
      <c r="KNU67" s="3"/>
      <c r="KNV67" s="3"/>
      <c r="KNW67" s="3"/>
      <c r="KNX67" s="3"/>
      <c r="KNY67" s="3"/>
      <c r="KNZ67" s="3"/>
      <c r="KOA67" s="3"/>
      <c r="KOB67" s="3"/>
      <c r="KOC67" s="3"/>
      <c r="KOD67" s="3"/>
      <c r="KOE67" s="3"/>
      <c r="KOF67" s="3"/>
      <c r="KOG67" s="3"/>
      <c r="KOH67" s="3"/>
      <c r="KOI67" s="3"/>
      <c r="KOJ67" s="3"/>
      <c r="KOK67" s="3"/>
      <c r="KOL67" s="3"/>
      <c r="KOM67" s="3"/>
      <c r="KON67" s="3"/>
      <c r="KOO67" s="3"/>
      <c r="KOP67" s="3"/>
      <c r="KOQ67" s="3"/>
      <c r="KOR67" s="3"/>
      <c r="KOS67" s="3"/>
      <c r="KOT67" s="3"/>
      <c r="KOU67" s="3"/>
      <c r="KOV67" s="3"/>
      <c r="KOW67" s="3"/>
      <c r="KOX67" s="3"/>
      <c r="KOY67" s="3"/>
      <c r="KOZ67" s="3"/>
      <c r="KPA67" s="3"/>
      <c r="KPB67" s="3"/>
      <c r="KPC67" s="3"/>
      <c r="KPD67" s="3"/>
      <c r="KPE67" s="3"/>
      <c r="KPF67" s="3"/>
      <c r="KPG67" s="3"/>
      <c r="KPH67" s="3"/>
      <c r="KPI67" s="3"/>
      <c r="KPJ67" s="3"/>
      <c r="KPK67" s="3"/>
      <c r="KPL67" s="3"/>
      <c r="KPM67" s="3"/>
      <c r="KPN67" s="3"/>
      <c r="KPO67" s="3"/>
      <c r="KPP67" s="3"/>
      <c r="KPQ67" s="3"/>
      <c r="KPR67" s="3"/>
      <c r="KPS67" s="3"/>
      <c r="KPT67" s="3"/>
      <c r="KPU67" s="3"/>
      <c r="KPV67" s="3"/>
      <c r="KPW67" s="3"/>
      <c r="KPX67" s="3"/>
      <c r="KPY67" s="3"/>
      <c r="KPZ67" s="3"/>
      <c r="KQA67" s="3"/>
      <c r="KQB67" s="3"/>
      <c r="KQC67" s="3"/>
      <c r="KQD67" s="3"/>
      <c r="KQE67" s="3"/>
      <c r="KQF67" s="3"/>
      <c r="KQG67" s="3"/>
      <c r="KQH67" s="3"/>
      <c r="KQI67" s="3"/>
      <c r="KQJ67" s="3"/>
      <c r="KQK67" s="3"/>
      <c r="KQL67" s="3"/>
      <c r="KQM67" s="3"/>
      <c r="KQN67" s="3"/>
      <c r="KQO67" s="3"/>
      <c r="KQP67" s="3"/>
      <c r="KQQ67" s="3"/>
      <c r="KQR67" s="3"/>
      <c r="KQS67" s="3"/>
      <c r="KQT67" s="3"/>
      <c r="KQU67" s="3"/>
      <c r="KQV67" s="3"/>
      <c r="KQW67" s="3"/>
      <c r="KQX67" s="3"/>
      <c r="KQY67" s="3"/>
      <c r="KQZ67" s="3"/>
      <c r="KRA67" s="3"/>
      <c r="KRB67" s="3"/>
      <c r="KRC67" s="3"/>
      <c r="KRD67" s="3"/>
      <c r="KRE67" s="3"/>
      <c r="KRF67" s="3"/>
      <c r="KRG67" s="3"/>
      <c r="KRH67" s="3"/>
      <c r="KRI67" s="3"/>
      <c r="KRJ67" s="3"/>
      <c r="KRK67" s="3"/>
      <c r="KRL67" s="3"/>
      <c r="KRM67" s="3"/>
      <c r="KRN67" s="3"/>
      <c r="KRO67" s="3"/>
      <c r="KRP67" s="3"/>
      <c r="KRQ67" s="3"/>
      <c r="KRR67" s="3"/>
      <c r="KRS67" s="3"/>
      <c r="KRT67" s="3"/>
      <c r="KRU67" s="3"/>
      <c r="KRV67" s="3"/>
      <c r="KRW67" s="3"/>
      <c r="KRX67" s="3"/>
      <c r="KRY67" s="3"/>
      <c r="KRZ67" s="3"/>
      <c r="KSA67" s="3"/>
      <c r="KSB67" s="3"/>
      <c r="KSC67" s="3"/>
      <c r="KSD67" s="3"/>
      <c r="KSE67" s="3"/>
      <c r="KSF67" s="3"/>
      <c r="KSG67" s="3"/>
      <c r="KSH67" s="3"/>
      <c r="KSI67" s="3"/>
      <c r="KSJ67" s="3"/>
      <c r="KSK67" s="3"/>
      <c r="KSL67" s="3"/>
      <c r="KSM67" s="3"/>
      <c r="KSN67" s="3"/>
      <c r="KSO67" s="3"/>
      <c r="KSP67" s="3"/>
      <c r="KSQ67" s="3"/>
      <c r="KSR67" s="3"/>
      <c r="KSS67" s="3"/>
      <c r="KST67" s="3"/>
      <c r="KSU67" s="3"/>
      <c r="KSV67" s="3"/>
      <c r="KSW67" s="3"/>
      <c r="KSX67" s="3"/>
      <c r="KSY67" s="3"/>
      <c r="KSZ67" s="3"/>
      <c r="KTA67" s="3"/>
      <c r="KTB67" s="3"/>
      <c r="KTC67" s="3"/>
      <c r="KTD67" s="3"/>
      <c r="KTE67" s="3"/>
      <c r="KTF67" s="3"/>
      <c r="KTG67" s="3"/>
      <c r="KTH67" s="3"/>
      <c r="KTI67" s="3"/>
      <c r="KTJ67" s="3"/>
      <c r="KTK67" s="3"/>
      <c r="KTL67" s="3"/>
      <c r="KTM67" s="3"/>
      <c r="KTN67" s="3"/>
      <c r="KTO67" s="3"/>
      <c r="KTP67" s="3"/>
      <c r="KTQ67" s="3"/>
      <c r="KTR67" s="3"/>
      <c r="KTS67" s="3"/>
      <c r="KTT67" s="3"/>
      <c r="KTU67" s="3"/>
      <c r="KTV67" s="3"/>
      <c r="KTW67" s="3"/>
      <c r="KTX67" s="3"/>
      <c r="KTY67" s="3"/>
      <c r="KTZ67" s="3"/>
      <c r="KUA67" s="3"/>
      <c r="KUB67" s="3"/>
      <c r="KUC67" s="3"/>
      <c r="KUD67" s="3"/>
      <c r="KUE67" s="3"/>
      <c r="KUF67" s="3"/>
      <c r="KUG67" s="3"/>
      <c r="KUH67" s="3"/>
      <c r="KUI67" s="3"/>
      <c r="KUJ67" s="3"/>
      <c r="KUK67" s="3"/>
      <c r="KUL67" s="3"/>
      <c r="KUM67" s="3"/>
      <c r="KUN67" s="3"/>
      <c r="KUO67" s="3"/>
      <c r="KUP67" s="3"/>
      <c r="KUQ67" s="3"/>
      <c r="KUR67" s="3"/>
      <c r="KUS67" s="3"/>
      <c r="KUT67" s="3"/>
      <c r="KUU67" s="3"/>
      <c r="KUV67" s="3"/>
      <c r="KUW67" s="3"/>
      <c r="KUX67" s="3"/>
      <c r="KUY67" s="3"/>
      <c r="KUZ67" s="3"/>
      <c r="KVA67" s="3"/>
      <c r="KVB67" s="3"/>
      <c r="KVC67" s="3"/>
      <c r="KVD67" s="3"/>
      <c r="KVE67" s="3"/>
      <c r="KVF67" s="3"/>
      <c r="KVG67" s="3"/>
      <c r="KVH67" s="3"/>
      <c r="KVI67" s="3"/>
      <c r="KVJ67" s="3"/>
      <c r="KVK67" s="3"/>
      <c r="KVL67" s="3"/>
      <c r="KVM67" s="3"/>
      <c r="KVN67" s="3"/>
      <c r="KVO67" s="3"/>
      <c r="KVP67" s="3"/>
      <c r="KVQ67" s="3"/>
      <c r="KVR67" s="3"/>
      <c r="KVS67" s="3"/>
      <c r="KVT67" s="3"/>
      <c r="KVU67" s="3"/>
      <c r="KVV67" s="3"/>
      <c r="KVW67" s="3"/>
      <c r="KVX67" s="3"/>
      <c r="KVY67" s="3"/>
      <c r="KVZ67" s="3"/>
      <c r="KWA67" s="3"/>
      <c r="KWB67" s="3"/>
      <c r="KWC67" s="3"/>
      <c r="KWD67" s="3"/>
      <c r="KWE67" s="3"/>
      <c r="KWF67" s="3"/>
      <c r="KWG67" s="3"/>
      <c r="KWH67" s="3"/>
      <c r="KWI67" s="3"/>
      <c r="KWJ67" s="3"/>
      <c r="KWK67" s="3"/>
      <c r="KWL67" s="3"/>
      <c r="KWM67" s="3"/>
      <c r="KWN67" s="3"/>
      <c r="KWO67" s="3"/>
      <c r="KWP67" s="3"/>
      <c r="KWQ67" s="3"/>
      <c r="KWR67" s="3"/>
      <c r="KWS67" s="3"/>
      <c r="KWT67" s="3"/>
      <c r="KWU67" s="3"/>
      <c r="KWV67" s="3"/>
      <c r="KWW67" s="3"/>
      <c r="KWX67" s="3"/>
      <c r="KWY67" s="3"/>
      <c r="KWZ67" s="3"/>
      <c r="KXA67" s="3"/>
      <c r="KXB67" s="3"/>
      <c r="KXC67" s="3"/>
      <c r="KXD67" s="3"/>
      <c r="KXE67" s="3"/>
      <c r="KXF67" s="3"/>
      <c r="KXG67" s="3"/>
      <c r="KXH67" s="3"/>
      <c r="KXI67" s="3"/>
      <c r="KXJ67" s="3"/>
      <c r="KXK67" s="3"/>
      <c r="KXL67" s="3"/>
      <c r="KXM67" s="3"/>
      <c r="KXN67" s="3"/>
      <c r="KXO67" s="3"/>
      <c r="KXP67" s="3"/>
      <c r="KXQ67" s="3"/>
      <c r="KXR67" s="3"/>
      <c r="KXS67" s="3"/>
      <c r="KXT67" s="3"/>
      <c r="KXU67" s="3"/>
      <c r="KXV67" s="3"/>
      <c r="KXW67" s="3"/>
      <c r="KXX67" s="3"/>
      <c r="KXY67" s="3"/>
      <c r="KXZ67" s="3"/>
      <c r="KYA67" s="3"/>
      <c r="KYB67" s="3"/>
      <c r="KYC67" s="3"/>
      <c r="KYD67" s="3"/>
      <c r="KYE67" s="3"/>
      <c r="KYF67" s="3"/>
      <c r="KYG67" s="3"/>
      <c r="KYH67" s="3"/>
      <c r="KYI67" s="3"/>
      <c r="KYJ67" s="3"/>
      <c r="KYK67" s="3"/>
      <c r="KYL67" s="3"/>
      <c r="KYM67" s="3"/>
      <c r="KYN67" s="3"/>
      <c r="KYO67" s="3"/>
      <c r="KYP67" s="3"/>
      <c r="KYQ67" s="3"/>
      <c r="KYR67" s="3"/>
      <c r="KYS67" s="3"/>
      <c r="KYT67" s="3"/>
      <c r="KYU67" s="3"/>
      <c r="KYV67" s="3"/>
      <c r="KYW67" s="3"/>
      <c r="KYX67" s="3"/>
      <c r="KYY67" s="3"/>
      <c r="KYZ67" s="3"/>
      <c r="KZA67" s="3"/>
      <c r="KZB67" s="3"/>
      <c r="KZC67" s="3"/>
      <c r="KZD67" s="3"/>
      <c r="KZE67" s="3"/>
      <c r="KZF67" s="3"/>
      <c r="KZG67" s="3"/>
      <c r="KZH67" s="3"/>
      <c r="KZI67" s="3"/>
      <c r="KZJ67" s="3"/>
      <c r="KZK67" s="3"/>
      <c r="KZL67" s="3"/>
      <c r="KZM67" s="3"/>
      <c r="KZN67" s="3"/>
      <c r="KZO67" s="3"/>
      <c r="KZP67" s="3"/>
      <c r="KZQ67" s="3"/>
      <c r="KZR67" s="3"/>
      <c r="KZS67" s="3"/>
      <c r="KZT67" s="3"/>
      <c r="KZU67" s="3"/>
      <c r="KZV67" s="3"/>
      <c r="KZW67" s="3"/>
      <c r="KZX67" s="3"/>
      <c r="KZY67" s="3"/>
      <c r="KZZ67" s="3"/>
      <c r="LAA67" s="3"/>
      <c r="LAB67" s="3"/>
      <c r="LAC67" s="3"/>
      <c r="LAD67" s="3"/>
      <c r="LAE67" s="3"/>
      <c r="LAF67" s="3"/>
      <c r="LAG67" s="3"/>
      <c r="LAH67" s="3"/>
      <c r="LAI67" s="3"/>
      <c r="LAJ67" s="3"/>
      <c r="LAK67" s="3"/>
      <c r="LAL67" s="3"/>
      <c r="LAM67" s="3"/>
      <c r="LAN67" s="3"/>
      <c r="LAO67" s="3"/>
      <c r="LAP67" s="3"/>
      <c r="LAQ67" s="3"/>
      <c r="LAR67" s="3"/>
      <c r="LAS67" s="3"/>
      <c r="LAT67" s="3"/>
      <c r="LAU67" s="3"/>
      <c r="LAV67" s="3"/>
      <c r="LAW67" s="3"/>
      <c r="LAX67" s="3"/>
      <c r="LAY67" s="3"/>
      <c r="LAZ67" s="3"/>
      <c r="LBA67" s="3"/>
      <c r="LBB67" s="3"/>
      <c r="LBC67" s="3"/>
      <c r="LBD67" s="3"/>
      <c r="LBE67" s="3"/>
      <c r="LBF67" s="3"/>
      <c r="LBG67" s="3"/>
      <c r="LBH67" s="3"/>
      <c r="LBI67" s="3"/>
      <c r="LBJ67" s="3"/>
      <c r="LBK67" s="3"/>
      <c r="LBL67" s="3"/>
      <c r="LBM67" s="3"/>
      <c r="LBN67" s="3"/>
      <c r="LBO67" s="3"/>
      <c r="LBP67" s="3"/>
      <c r="LBQ67" s="3"/>
      <c r="LBR67" s="3"/>
      <c r="LBS67" s="3"/>
      <c r="LBT67" s="3"/>
      <c r="LBU67" s="3"/>
      <c r="LBV67" s="3"/>
      <c r="LBW67" s="3"/>
      <c r="LBX67" s="3"/>
      <c r="LBY67" s="3"/>
      <c r="LBZ67" s="3"/>
      <c r="LCA67" s="3"/>
      <c r="LCB67" s="3"/>
      <c r="LCC67" s="3"/>
      <c r="LCD67" s="3"/>
      <c r="LCE67" s="3"/>
      <c r="LCF67" s="3"/>
      <c r="LCG67" s="3"/>
      <c r="LCH67" s="3"/>
      <c r="LCI67" s="3"/>
      <c r="LCJ67" s="3"/>
      <c r="LCK67" s="3"/>
      <c r="LCL67" s="3"/>
      <c r="LCM67" s="3"/>
      <c r="LCN67" s="3"/>
      <c r="LCO67" s="3"/>
      <c r="LCP67" s="3"/>
      <c r="LCQ67" s="3"/>
      <c r="LCR67" s="3"/>
      <c r="LCS67" s="3"/>
      <c r="LCT67" s="3"/>
      <c r="LCU67" s="3"/>
      <c r="LCV67" s="3"/>
      <c r="LCW67" s="3"/>
      <c r="LCX67" s="3"/>
      <c r="LCY67" s="3"/>
      <c r="LCZ67" s="3"/>
      <c r="LDA67" s="3"/>
      <c r="LDB67" s="3"/>
      <c r="LDC67" s="3"/>
      <c r="LDD67" s="3"/>
      <c r="LDE67" s="3"/>
      <c r="LDF67" s="3"/>
      <c r="LDG67" s="3"/>
      <c r="LDH67" s="3"/>
      <c r="LDI67" s="3"/>
      <c r="LDJ67" s="3"/>
      <c r="LDK67" s="3"/>
      <c r="LDL67" s="3"/>
      <c r="LDM67" s="3"/>
      <c r="LDN67" s="3"/>
      <c r="LDO67" s="3"/>
      <c r="LDP67" s="3"/>
      <c r="LDQ67" s="3"/>
      <c r="LDR67" s="3"/>
      <c r="LDS67" s="3"/>
      <c r="LDT67" s="3"/>
      <c r="LDU67" s="3"/>
      <c r="LDV67" s="3"/>
      <c r="LDW67" s="3"/>
      <c r="LDX67" s="3"/>
      <c r="LDY67" s="3"/>
      <c r="LDZ67" s="3"/>
      <c r="LEA67" s="3"/>
      <c r="LEB67" s="3"/>
      <c r="LEC67" s="3"/>
      <c r="LED67" s="3"/>
      <c r="LEE67" s="3"/>
      <c r="LEF67" s="3"/>
      <c r="LEG67" s="3"/>
      <c r="LEH67" s="3"/>
      <c r="LEI67" s="3"/>
      <c r="LEJ67" s="3"/>
      <c r="LEK67" s="3"/>
      <c r="LEL67" s="3"/>
      <c r="LEM67" s="3"/>
      <c r="LEN67" s="3"/>
      <c r="LEO67" s="3"/>
      <c r="LEP67" s="3"/>
      <c r="LEQ67" s="3"/>
      <c r="LER67" s="3"/>
      <c r="LES67" s="3"/>
      <c r="LET67" s="3"/>
      <c r="LEU67" s="3"/>
      <c r="LEV67" s="3"/>
      <c r="LEW67" s="3"/>
      <c r="LEX67" s="3"/>
      <c r="LEY67" s="3"/>
      <c r="LEZ67" s="3"/>
      <c r="LFA67" s="3"/>
      <c r="LFB67" s="3"/>
      <c r="LFC67" s="3"/>
      <c r="LFD67" s="3"/>
      <c r="LFE67" s="3"/>
      <c r="LFF67" s="3"/>
      <c r="LFG67" s="3"/>
      <c r="LFH67" s="3"/>
      <c r="LFI67" s="3"/>
      <c r="LFJ67" s="3"/>
      <c r="LFK67" s="3"/>
      <c r="LFL67" s="3"/>
      <c r="LFM67" s="3"/>
      <c r="LFN67" s="3"/>
      <c r="LFO67" s="3"/>
      <c r="LFP67" s="3"/>
      <c r="LFQ67" s="3"/>
      <c r="LFR67" s="3"/>
      <c r="LFS67" s="3"/>
      <c r="LFT67" s="3"/>
      <c r="LFU67" s="3"/>
      <c r="LFV67" s="3"/>
      <c r="LFW67" s="3"/>
      <c r="LFX67" s="3"/>
      <c r="LFY67" s="3"/>
      <c r="LFZ67" s="3"/>
      <c r="LGA67" s="3"/>
      <c r="LGB67" s="3"/>
      <c r="LGC67" s="3"/>
      <c r="LGD67" s="3"/>
      <c r="LGE67" s="3"/>
      <c r="LGF67" s="3"/>
      <c r="LGG67" s="3"/>
      <c r="LGH67" s="3"/>
      <c r="LGI67" s="3"/>
      <c r="LGJ67" s="3"/>
      <c r="LGK67" s="3"/>
      <c r="LGL67" s="3"/>
      <c r="LGM67" s="3"/>
      <c r="LGN67" s="3"/>
      <c r="LGO67" s="3"/>
      <c r="LGP67" s="3"/>
      <c r="LGQ67" s="3"/>
      <c r="LGR67" s="3"/>
      <c r="LGS67" s="3"/>
      <c r="LGT67" s="3"/>
      <c r="LGU67" s="3"/>
      <c r="LGV67" s="3"/>
      <c r="LGW67" s="3"/>
      <c r="LGX67" s="3"/>
      <c r="LGY67" s="3"/>
      <c r="LGZ67" s="3"/>
      <c r="LHA67" s="3"/>
      <c r="LHB67" s="3"/>
      <c r="LHC67" s="3"/>
      <c r="LHD67" s="3"/>
      <c r="LHE67" s="3"/>
      <c r="LHF67" s="3"/>
      <c r="LHG67" s="3"/>
      <c r="LHH67" s="3"/>
      <c r="LHI67" s="3"/>
      <c r="LHJ67" s="3"/>
      <c r="LHK67" s="3"/>
      <c r="LHL67" s="3"/>
      <c r="LHM67" s="3"/>
      <c r="LHN67" s="3"/>
      <c r="LHO67" s="3"/>
      <c r="LHP67" s="3"/>
      <c r="LHQ67" s="3"/>
      <c r="LHR67" s="3"/>
      <c r="LHS67" s="3"/>
      <c r="LHT67" s="3"/>
      <c r="LHU67" s="3"/>
      <c r="LHV67" s="3"/>
      <c r="LHW67" s="3"/>
      <c r="LHX67" s="3"/>
      <c r="LHY67" s="3"/>
      <c r="LHZ67" s="3"/>
      <c r="LIA67" s="3"/>
      <c r="LIB67" s="3"/>
      <c r="LIC67" s="3"/>
      <c r="LID67" s="3"/>
      <c r="LIE67" s="3"/>
      <c r="LIF67" s="3"/>
      <c r="LIG67" s="3"/>
      <c r="LIH67" s="3"/>
      <c r="LII67" s="3"/>
      <c r="LIJ67" s="3"/>
      <c r="LIK67" s="3"/>
      <c r="LIL67" s="3"/>
      <c r="LIM67" s="3"/>
      <c r="LIN67" s="3"/>
      <c r="LIO67" s="3"/>
      <c r="LIP67" s="3"/>
      <c r="LIQ67" s="3"/>
      <c r="LIR67" s="3"/>
      <c r="LIS67" s="3"/>
      <c r="LIT67" s="3"/>
      <c r="LIU67" s="3"/>
      <c r="LIV67" s="3"/>
      <c r="LIW67" s="3"/>
      <c r="LIX67" s="3"/>
      <c r="LIY67" s="3"/>
      <c r="LIZ67" s="3"/>
      <c r="LJA67" s="3"/>
      <c r="LJB67" s="3"/>
      <c r="LJC67" s="3"/>
      <c r="LJD67" s="3"/>
      <c r="LJE67" s="3"/>
      <c r="LJF67" s="3"/>
      <c r="LJG67" s="3"/>
      <c r="LJH67" s="3"/>
      <c r="LJI67" s="3"/>
      <c r="LJJ67" s="3"/>
      <c r="LJK67" s="3"/>
      <c r="LJL67" s="3"/>
      <c r="LJM67" s="3"/>
      <c r="LJN67" s="3"/>
      <c r="LJO67" s="3"/>
      <c r="LJP67" s="3"/>
      <c r="LJQ67" s="3"/>
      <c r="LJR67" s="3"/>
      <c r="LJS67" s="3"/>
      <c r="LJT67" s="3"/>
      <c r="LJU67" s="3"/>
      <c r="LJV67" s="3"/>
      <c r="LJW67" s="3"/>
      <c r="LJX67" s="3"/>
      <c r="LJY67" s="3"/>
      <c r="LJZ67" s="3"/>
      <c r="LKA67" s="3"/>
      <c r="LKB67" s="3"/>
      <c r="LKC67" s="3"/>
      <c r="LKD67" s="3"/>
      <c r="LKE67" s="3"/>
      <c r="LKF67" s="3"/>
      <c r="LKG67" s="3"/>
      <c r="LKH67" s="3"/>
      <c r="LKI67" s="3"/>
      <c r="LKJ67" s="3"/>
      <c r="LKK67" s="3"/>
      <c r="LKL67" s="3"/>
      <c r="LKM67" s="3"/>
      <c r="LKN67" s="3"/>
      <c r="LKO67" s="3"/>
      <c r="LKP67" s="3"/>
      <c r="LKQ67" s="3"/>
      <c r="LKR67" s="3"/>
      <c r="LKS67" s="3"/>
      <c r="LKT67" s="3"/>
      <c r="LKU67" s="3"/>
      <c r="LKV67" s="3"/>
      <c r="LKW67" s="3"/>
      <c r="LKX67" s="3"/>
      <c r="LKY67" s="3"/>
      <c r="LKZ67" s="3"/>
      <c r="LLA67" s="3"/>
      <c r="LLB67" s="3"/>
      <c r="LLC67" s="3"/>
      <c r="LLD67" s="3"/>
      <c r="LLE67" s="3"/>
      <c r="LLF67" s="3"/>
      <c r="LLG67" s="3"/>
      <c r="LLH67" s="3"/>
      <c r="LLI67" s="3"/>
      <c r="LLJ67" s="3"/>
      <c r="LLK67" s="3"/>
      <c r="LLL67" s="3"/>
      <c r="LLM67" s="3"/>
      <c r="LLN67" s="3"/>
      <c r="LLO67" s="3"/>
      <c r="LLP67" s="3"/>
      <c r="LLQ67" s="3"/>
      <c r="LLR67" s="3"/>
      <c r="LLS67" s="3"/>
      <c r="LLT67" s="3"/>
      <c r="LLU67" s="3"/>
      <c r="LLV67" s="3"/>
      <c r="LLW67" s="3"/>
      <c r="LLX67" s="3"/>
      <c r="LLY67" s="3"/>
      <c r="LLZ67" s="3"/>
      <c r="LMA67" s="3"/>
      <c r="LMB67" s="3"/>
      <c r="LMC67" s="3"/>
      <c r="LMD67" s="3"/>
      <c r="LME67" s="3"/>
      <c r="LMF67" s="3"/>
      <c r="LMG67" s="3"/>
      <c r="LMH67" s="3"/>
      <c r="LMI67" s="3"/>
      <c r="LMJ67" s="3"/>
      <c r="LMK67" s="3"/>
      <c r="LML67" s="3"/>
      <c r="LMM67" s="3"/>
      <c r="LMN67" s="3"/>
      <c r="LMO67" s="3"/>
      <c r="LMP67" s="3"/>
      <c r="LMQ67" s="3"/>
      <c r="LMR67" s="3"/>
      <c r="LMS67" s="3"/>
      <c r="LMT67" s="3"/>
      <c r="LMU67" s="3"/>
      <c r="LMV67" s="3"/>
      <c r="LMW67" s="3"/>
      <c r="LMX67" s="3"/>
      <c r="LMY67" s="3"/>
      <c r="LMZ67" s="3"/>
      <c r="LNA67" s="3"/>
      <c r="LNB67" s="3"/>
      <c r="LNC67" s="3"/>
      <c r="LND67" s="3"/>
      <c r="LNE67" s="3"/>
      <c r="LNF67" s="3"/>
      <c r="LNG67" s="3"/>
      <c r="LNH67" s="3"/>
      <c r="LNI67" s="3"/>
      <c r="LNJ67" s="3"/>
      <c r="LNK67" s="3"/>
      <c r="LNL67" s="3"/>
      <c r="LNM67" s="3"/>
      <c r="LNN67" s="3"/>
      <c r="LNO67" s="3"/>
      <c r="LNP67" s="3"/>
      <c r="LNQ67" s="3"/>
      <c r="LNR67" s="3"/>
      <c r="LNS67" s="3"/>
      <c r="LNT67" s="3"/>
      <c r="LNU67" s="3"/>
      <c r="LNV67" s="3"/>
      <c r="LNW67" s="3"/>
      <c r="LNX67" s="3"/>
      <c r="LNY67" s="3"/>
      <c r="LNZ67" s="3"/>
      <c r="LOA67" s="3"/>
      <c r="LOB67" s="3"/>
      <c r="LOC67" s="3"/>
      <c r="LOD67" s="3"/>
      <c r="LOE67" s="3"/>
      <c r="LOF67" s="3"/>
      <c r="LOG67" s="3"/>
      <c r="LOH67" s="3"/>
      <c r="LOI67" s="3"/>
      <c r="LOJ67" s="3"/>
      <c r="LOK67" s="3"/>
      <c r="LOL67" s="3"/>
      <c r="LOM67" s="3"/>
      <c r="LON67" s="3"/>
      <c r="LOO67" s="3"/>
      <c r="LOP67" s="3"/>
      <c r="LOQ67" s="3"/>
      <c r="LOR67" s="3"/>
      <c r="LOS67" s="3"/>
      <c r="LOT67" s="3"/>
      <c r="LOU67" s="3"/>
      <c r="LOV67" s="3"/>
      <c r="LOW67" s="3"/>
      <c r="LOX67" s="3"/>
      <c r="LOY67" s="3"/>
      <c r="LOZ67" s="3"/>
      <c r="LPA67" s="3"/>
      <c r="LPB67" s="3"/>
      <c r="LPC67" s="3"/>
      <c r="LPD67" s="3"/>
      <c r="LPE67" s="3"/>
      <c r="LPF67" s="3"/>
      <c r="LPG67" s="3"/>
      <c r="LPH67" s="3"/>
      <c r="LPI67" s="3"/>
      <c r="LPJ67" s="3"/>
      <c r="LPK67" s="3"/>
      <c r="LPL67" s="3"/>
      <c r="LPM67" s="3"/>
      <c r="LPN67" s="3"/>
      <c r="LPO67" s="3"/>
      <c r="LPP67" s="3"/>
      <c r="LPQ67" s="3"/>
      <c r="LPR67" s="3"/>
      <c r="LPS67" s="3"/>
      <c r="LPT67" s="3"/>
      <c r="LPU67" s="3"/>
      <c r="LPV67" s="3"/>
      <c r="LPW67" s="3"/>
      <c r="LPX67" s="3"/>
      <c r="LPY67" s="3"/>
      <c r="LPZ67" s="3"/>
      <c r="LQA67" s="3"/>
      <c r="LQB67" s="3"/>
      <c r="LQC67" s="3"/>
      <c r="LQD67" s="3"/>
      <c r="LQE67" s="3"/>
      <c r="LQF67" s="3"/>
      <c r="LQG67" s="3"/>
      <c r="LQH67" s="3"/>
      <c r="LQI67" s="3"/>
      <c r="LQJ67" s="3"/>
      <c r="LQK67" s="3"/>
      <c r="LQL67" s="3"/>
      <c r="LQM67" s="3"/>
      <c r="LQN67" s="3"/>
      <c r="LQO67" s="3"/>
      <c r="LQP67" s="3"/>
      <c r="LQQ67" s="3"/>
      <c r="LQR67" s="3"/>
      <c r="LQS67" s="3"/>
      <c r="LQT67" s="3"/>
      <c r="LQU67" s="3"/>
      <c r="LQV67" s="3"/>
      <c r="LQW67" s="3"/>
      <c r="LQX67" s="3"/>
      <c r="LQY67" s="3"/>
      <c r="LQZ67" s="3"/>
      <c r="LRA67" s="3"/>
      <c r="LRB67" s="3"/>
      <c r="LRC67" s="3"/>
      <c r="LRD67" s="3"/>
      <c r="LRE67" s="3"/>
      <c r="LRF67" s="3"/>
      <c r="LRG67" s="3"/>
      <c r="LRH67" s="3"/>
      <c r="LRI67" s="3"/>
      <c r="LRJ67" s="3"/>
      <c r="LRK67" s="3"/>
      <c r="LRL67" s="3"/>
      <c r="LRM67" s="3"/>
      <c r="LRN67" s="3"/>
      <c r="LRO67" s="3"/>
      <c r="LRP67" s="3"/>
      <c r="LRQ67" s="3"/>
      <c r="LRR67" s="3"/>
      <c r="LRS67" s="3"/>
      <c r="LRT67" s="3"/>
      <c r="LRU67" s="3"/>
      <c r="LRV67" s="3"/>
      <c r="LRW67" s="3"/>
      <c r="LRX67" s="3"/>
      <c r="LRY67" s="3"/>
      <c r="LRZ67" s="3"/>
      <c r="LSA67" s="3"/>
      <c r="LSB67" s="3"/>
      <c r="LSC67" s="3"/>
      <c r="LSD67" s="3"/>
      <c r="LSE67" s="3"/>
      <c r="LSF67" s="3"/>
      <c r="LSG67" s="3"/>
      <c r="LSH67" s="3"/>
      <c r="LSI67" s="3"/>
      <c r="LSJ67" s="3"/>
      <c r="LSK67" s="3"/>
      <c r="LSL67" s="3"/>
      <c r="LSM67" s="3"/>
      <c r="LSN67" s="3"/>
      <c r="LSO67" s="3"/>
      <c r="LSP67" s="3"/>
      <c r="LSQ67" s="3"/>
      <c r="LSR67" s="3"/>
      <c r="LSS67" s="3"/>
      <c r="LST67" s="3"/>
      <c r="LSU67" s="3"/>
      <c r="LSV67" s="3"/>
      <c r="LSW67" s="3"/>
      <c r="LSX67" s="3"/>
      <c r="LSY67" s="3"/>
      <c r="LSZ67" s="3"/>
      <c r="LTA67" s="3"/>
      <c r="LTB67" s="3"/>
      <c r="LTC67" s="3"/>
      <c r="LTD67" s="3"/>
      <c r="LTE67" s="3"/>
      <c r="LTF67" s="3"/>
      <c r="LTG67" s="3"/>
      <c r="LTH67" s="3"/>
      <c r="LTI67" s="3"/>
      <c r="LTJ67" s="3"/>
      <c r="LTK67" s="3"/>
      <c r="LTL67" s="3"/>
      <c r="LTM67" s="3"/>
      <c r="LTN67" s="3"/>
      <c r="LTO67" s="3"/>
      <c r="LTP67" s="3"/>
      <c r="LTQ67" s="3"/>
      <c r="LTR67" s="3"/>
      <c r="LTS67" s="3"/>
      <c r="LTT67" s="3"/>
      <c r="LTU67" s="3"/>
      <c r="LTV67" s="3"/>
      <c r="LTW67" s="3"/>
      <c r="LTX67" s="3"/>
      <c r="LTY67" s="3"/>
      <c r="LTZ67" s="3"/>
      <c r="LUA67" s="3"/>
      <c r="LUB67" s="3"/>
      <c r="LUC67" s="3"/>
      <c r="LUD67" s="3"/>
      <c r="LUE67" s="3"/>
      <c r="LUF67" s="3"/>
      <c r="LUG67" s="3"/>
      <c r="LUH67" s="3"/>
      <c r="LUI67" s="3"/>
      <c r="LUJ67" s="3"/>
      <c r="LUK67" s="3"/>
      <c r="LUL67" s="3"/>
      <c r="LUM67" s="3"/>
      <c r="LUN67" s="3"/>
      <c r="LUO67" s="3"/>
      <c r="LUP67" s="3"/>
      <c r="LUQ67" s="3"/>
      <c r="LUR67" s="3"/>
      <c r="LUS67" s="3"/>
      <c r="LUT67" s="3"/>
      <c r="LUU67" s="3"/>
      <c r="LUV67" s="3"/>
      <c r="LUW67" s="3"/>
      <c r="LUX67" s="3"/>
      <c r="LUY67" s="3"/>
      <c r="LUZ67" s="3"/>
      <c r="LVA67" s="3"/>
      <c r="LVB67" s="3"/>
      <c r="LVC67" s="3"/>
      <c r="LVD67" s="3"/>
      <c r="LVE67" s="3"/>
      <c r="LVF67" s="3"/>
      <c r="LVG67" s="3"/>
      <c r="LVH67" s="3"/>
      <c r="LVI67" s="3"/>
      <c r="LVJ67" s="3"/>
      <c r="LVK67" s="3"/>
      <c r="LVL67" s="3"/>
      <c r="LVM67" s="3"/>
      <c r="LVN67" s="3"/>
      <c r="LVO67" s="3"/>
      <c r="LVP67" s="3"/>
      <c r="LVQ67" s="3"/>
      <c r="LVR67" s="3"/>
      <c r="LVS67" s="3"/>
      <c r="LVT67" s="3"/>
      <c r="LVU67" s="3"/>
      <c r="LVV67" s="3"/>
      <c r="LVW67" s="3"/>
      <c r="LVX67" s="3"/>
      <c r="LVY67" s="3"/>
      <c r="LVZ67" s="3"/>
      <c r="LWA67" s="3"/>
      <c r="LWB67" s="3"/>
      <c r="LWC67" s="3"/>
      <c r="LWD67" s="3"/>
      <c r="LWE67" s="3"/>
      <c r="LWF67" s="3"/>
      <c r="LWG67" s="3"/>
      <c r="LWH67" s="3"/>
      <c r="LWI67" s="3"/>
      <c r="LWJ67" s="3"/>
      <c r="LWK67" s="3"/>
      <c r="LWL67" s="3"/>
      <c r="LWM67" s="3"/>
      <c r="LWN67" s="3"/>
      <c r="LWO67" s="3"/>
      <c r="LWP67" s="3"/>
      <c r="LWQ67" s="3"/>
      <c r="LWR67" s="3"/>
      <c r="LWS67" s="3"/>
      <c r="LWT67" s="3"/>
      <c r="LWU67" s="3"/>
      <c r="LWV67" s="3"/>
      <c r="LWW67" s="3"/>
      <c r="LWX67" s="3"/>
      <c r="LWY67" s="3"/>
      <c r="LWZ67" s="3"/>
      <c r="LXA67" s="3"/>
      <c r="LXB67" s="3"/>
      <c r="LXC67" s="3"/>
      <c r="LXD67" s="3"/>
      <c r="LXE67" s="3"/>
      <c r="LXF67" s="3"/>
      <c r="LXG67" s="3"/>
      <c r="LXH67" s="3"/>
      <c r="LXI67" s="3"/>
      <c r="LXJ67" s="3"/>
      <c r="LXK67" s="3"/>
      <c r="LXL67" s="3"/>
      <c r="LXM67" s="3"/>
      <c r="LXN67" s="3"/>
      <c r="LXO67" s="3"/>
      <c r="LXP67" s="3"/>
      <c r="LXQ67" s="3"/>
      <c r="LXR67" s="3"/>
      <c r="LXS67" s="3"/>
      <c r="LXT67" s="3"/>
      <c r="LXU67" s="3"/>
      <c r="LXV67" s="3"/>
      <c r="LXW67" s="3"/>
      <c r="LXX67" s="3"/>
      <c r="LXY67" s="3"/>
      <c r="LXZ67" s="3"/>
      <c r="LYA67" s="3"/>
      <c r="LYB67" s="3"/>
      <c r="LYC67" s="3"/>
      <c r="LYD67" s="3"/>
      <c r="LYE67" s="3"/>
      <c r="LYF67" s="3"/>
      <c r="LYG67" s="3"/>
      <c r="LYH67" s="3"/>
      <c r="LYI67" s="3"/>
      <c r="LYJ67" s="3"/>
      <c r="LYK67" s="3"/>
      <c r="LYL67" s="3"/>
      <c r="LYM67" s="3"/>
      <c r="LYN67" s="3"/>
      <c r="LYO67" s="3"/>
      <c r="LYP67" s="3"/>
      <c r="LYQ67" s="3"/>
      <c r="LYR67" s="3"/>
      <c r="LYS67" s="3"/>
      <c r="LYT67" s="3"/>
      <c r="LYU67" s="3"/>
      <c r="LYV67" s="3"/>
      <c r="LYW67" s="3"/>
      <c r="LYX67" s="3"/>
      <c r="LYY67" s="3"/>
      <c r="LYZ67" s="3"/>
      <c r="LZA67" s="3"/>
      <c r="LZB67" s="3"/>
      <c r="LZC67" s="3"/>
      <c r="LZD67" s="3"/>
      <c r="LZE67" s="3"/>
      <c r="LZF67" s="3"/>
      <c r="LZG67" s="3"/>
      <c r="LZH67" s="3"/>
      <c r="LZI67" s="3"/>
      <c r="LZJ67" s="3"/>
      <c r="LZK67" s="3"/>
      <c r="LZL67" s="3"/>
      <c r="LZM67" s="3"/>
      <c r="LZN67" s="3"/>
      <c r="LZO67" s="3"/>
      <c r="LZP67" s="3"/>
      <c r="LZQ67" s="3"/>
      <c r="LZR67" s="3"/>
      <c r="LZS67" s="3"/>
      <c r="LZT67" s="3"/>
      <c r="LZU67" s="3"/>
      <c r="LZV67" s="3"/>
      <c r="LZW67" s="3"/>
      <c r="LZX67" s="3"/>
      <c r="LZY67" s="3"/>
      <c r="LZZ67" s="3"/>
      <c r="MAA67" s="3"/>
      <c r="MAB67" s="3"/>
      <c r="MAC67" s="3"/>
      <c r="MAD67" s="3"/>
      <c r="MAE67" s="3"/>
      <c r="MAF67" s="3"/>
      <c r="MAG67" s="3"/>
      <c r="MAH67" s="3"/>
      <c r="MAI67" s="3"/>
      <c r="MAJ67" s="3"/>
      <c r="MAK67" s="3"/>
      <c r="MAL67" s="3"/>
      <c r="MAM67" s="3"/>
      <c r="MAN67" s="3"/>
      <c r="MAO67" s="3"/>
      <c r="MAP67" s="3"/>
      <c r="MAQ67" s="3"/>
      <c r="MAR67" s="3"/>
      <c r="MAS67" s="3"/>
      <c r="MAT67" s="3"/>
      <c r="MAU67" s="3"/>
      <c r="MAV67" s="3"/>
      <c r="MAW67" s="3"/>
      <c r="MAX67" s="3"/>
      <c r="MAY67" s="3"/>
      <c r="MAZ67" s="3"/>
      <c r="MBA67" s="3"/>
      <c r="MBB67" s="3"/>
      <c r="MBC67" s="3"/>
      <c r="MBD67" s="3"/>
      <c r="MBE67" s="3"/>
      <c r="MBF67" s="3"/>
      <c r="MBG67" s="3"/>
      <c r="MBH67" s="3"/>
      <c r="MBI67" s="3"/>
      <c r="MBJ67" s="3"/>
      <c r="MBK67" s="3"/>
      <c r="MBL67" s="3"/>
      <c r="MBM67" s="3"/>
      <c r="MBN67" s="3"/>
      <c r="MBO67" s="3"/>
      <c r="MBP67" s="3"/>
      <c r="MBQ67" s="3"/>
      <c r="MBR67" s="3"/>
      <c r="MBS67" s="3"/>
      <c r="MBT67" s="3"/>
      <c r="MBU67" s="3"/>
      <c r="MBV67" s="3"/>
      <c r="MBW67" s="3"/>
      <c r="MBX67" s="3"/>
      <c r="MBY67" s="3"/>
      <c r="MBZ67" s="3"/>
      <c r="MCA67" s="3"/>
      <c r="MCB67" s="3"/>
      <c r="MCC67" s="3"/>
      <c r="MCD67" s="3"/>
      <c r="MCE67" s="3"/>
      <c r="MCF67" s="3"/>
      <c r="MCG67" s="3"/>
      <c r="MCH67" s="3"/>
      <c r="MCI67" s="3"/>
      <c r="MCJ67" s="3"/>
      <c r="MCK67" s="3"/>
      <c r="MCL67" s="3"/>
      <c r="MCM67" s="3"/>
      <c r="MCN67" s="3"/>
      <c r="MCO67" s="3"/>
      <c r="MCP67" s="3"/>
      <c r="MCQ67" s="3"/>
      <c r="MCR67" s="3"/>
      <c r="MCS67" s="3"/>
      <c r="MCT67" s="3"/>
      <c r="MCU67" s="3"/>
      <c r="MCV67" s="3"/>
      <c r="MCW67" s="3"/>
      <c r="MCX67" s="3"/>
      <c r="MCY67" s="3"/>
      <c r="MCZ67" s="3"/>
      <c r="MDA67" s="3"/>
      <c r="MDB67" s="3"/>
      <c r="MDC67" s="3"/>
      <c r="MDD67" s="3"/>
      <c r="MDE67" s="3"/>
      <c r="MDF67" s="3"/>
      <c r="MDG67" s="3"/>
      <c r="MDH67" s="3"/>
      <c r="MDI67" s="3"/>
      <c r="MDJ67" s="3"/>
      <c r="MDK67" s="3"/>
      <c r="MDL67" s="3"/>
      <c r="MDM67" s="3"/>
      <c r="MDN67" s="3"/>
      <c r="MDO67" s="3"/>
      <c r="MDP67" s="3"/>
      <c r="MDQ67" s="3"/>
      <c r="MDR67" s="3"/>
      <c r="MDS67" s="3"/>
      <c r="MDT67" s="3"/>
      <c r="MDU67" s="3"/>
      <c r="MDV67" s="3"/>
      <c r="MDW67" s="3"/>
      <c r="MDX67" s="3"/>
      <c r="MDY67" s="3"/>
      <c r="MDZ67" s="3"/>
      <c r="MEA67" s="3"/>
      <c r="MEB67" s="3"/>
      <c r="MEC67" s="3"/>
      <c r="MED67" s="3"/>
      <c r="MEE67" s="3"/>
      <c r="MEF67" s="3"/>
      <c r="MEG67" s="3"/>
      <c r="MEH67" s="3"/>
      <c r="MEI67" s="3"/>
      <c r="MEJ67" s="3"/>
      <c r="MEK67" s="3"/>
      <c r="MEL67" s="3"/>
      <c r="MEM67" s="3"/>
      <c r="MEN67" s="3"/>
      <c r="MEO67" s="3"/>
      <c r="MEP67" s="3"/>
      <c r="MEQ67" s="3"/>
      <c r="MER67" s="3"/>
      <c r="MES67" s="3"/>
      <c r="MET67" s="3"/>
      <c r="MEU67" s="3"/>
      <c r="MEV67" s="3"/>
      <c r="MEW67" s="3"/>
      <c r="MEX67" s="3"/>
      <c r="MEY67" s="3"/>
      <c r="MEZ67" s="3"/>
      <c r="MFA67" s="3"/>
      <c r="MFB67" s="3"/>
      <c r="MFC67" s="3"/>
      <c r="MFD67" s="3"/>
      <c r="MFE67" s="3"/>
      <c r="MFF67" s="3"/>
      <c r="MFG67" s="3"/>
      <c r="MFH67" s="3"/>
      <c r="MFI67" s="3"/>
      <c r="MFJ67" s="3"/>
      <c r="MFK67" s="3"/>
      <c r="MFL67" s="3"/>
      <c r="MFM67" s="3"/>
      <c r="MFN67" s="3"/>
      <c r="MFO67" s="3"/>
      <c r="MFP67" s="3"/>
      <c r="MFQ67" s="3"/>
      <c r="MFR67" s="3"/>
      <c r="MFS67" s="3"/>
      <c r="MFT67" s="3"/>
      <c r="MFU67" s="3"/>
      <c r="MFV67" s="3"/>
      <c r="MFW67" s="3"/>
      <c r="MFX67" s="3"/>
      <c r="MFY67" s="3"/>
      <c r="MFZ67" s="3"/>
      <c r="MGA67" s="3"/>
      <c r="MGB67" s="3"/>
      <c r="MGC67" s="3"/>
      <c r="MGD67" s="3"/>
      <c r="MGE67" s="3"/>
      <c r="MGF67" s="3"/>
      <c r="MGG67" s="3"/>
      <c r="MGH67" s="3"/>
      <c r="MGI67" s="3"/>
      <c r="MGJ67" s="3"/>
      <c r="MGK67" s="3"/>
      <c r="MGL67" s="3"/>
      <c r="MGM67" s="3"/>
      <c r="MGN67" s="3"/>
      <c r="MGO67" s="3"/>
      <c r="MGP67" s="3"/>
      <c r="MGQ67" s="3"/>
      <c r="MGR67" s="3"/>
      <c r="MGS67" s="3"/>
      <c r="MGT67" s="3"/>
      <c r="MGU67" s="3"/>
      <c r="MGV67" s="3"/>
      <c r="MGW67" s="3"/>
      <c r="MGX67" s="3"/>
      <c r="MGY67" s="3"/>
      <c r="MGZ67" s="3"/>
      <c r="MHA67" s="3"/>
      <c r="MHB67" s="3"/>
      <c r="MHC67" s="3"/>
      <c r="MHD67" s="3"/>
      <c r="MHE67" s="3"/>
      <c r="MHF67" s="3"/>
      <c r="MHG67" s="3"/>
      <c r="MHH67" s="3"/>
      <c r="MHI67" s="3"/>
      <c r="MHJ67" s="3"/>
      <c r="MHK67" s="3"/>
      <c r="MHL67" s="3"/>
      <c r="MHM67" s="3"/>
      <c r="MHN67" s="3"/>
      <c r="MHO67" s="3"/>
      <c r="MHP67" s="3"/>
      <c r="MHQ67" s="3"/>
      <c r="MHR67" s="3"/>
      <c r="MHS67" s="3"/>
      <c r="MHT67" s="3"/>
      <c r="MHU67" s="3"/>
      <c r="MHV67" s="3"/>
      <c r="MHW67" s="3"/>
      <c r="MHX67" s="3"/>
      <c r="MHY67" s="3"/>
      <c r="MHZ67" s="3"/>
      <c r="MIA67" s="3"/>
      <c r="MIB67" s="3"/>
      <c r="MIC67" s="3"/>
      <c r="MID67" s="3"/>
      <c r="MIE67" s="3"/>
      <c r="MIF67" s="3"/>
      <c r="MIG67" s="3"/>
      <c r="MIH67" s="3"/>
      <c r="MII67" s="3"/>
      <c r="MIJ67" s="3"/>
      <c r="MIK67" s="3"/>
      <c r="MIL67" s="3"/>
      <c r="MIM67" s="3"/>
      <c r="MIN67" s="3"/>
      <c r="MIO67" s="3"/>
      <c r="MIP67" s="3"/>
      <c r="MIQ67" s="3"/>
      <c r="MIR67" s="3"/>
      <c r="MIS67" s="3"/>
      <c r="MIT67" s="3"/>
      <c r="MIU67" s="3"/>
      <c r="MIV67" s="3"/>
      <c r="MIW67" s="3"/>
      <c r="MIX67" s="3"/>
      <c r="MIY67" s="3"/>
      <c r="MIZ67" s="3"/>
      <c r="MJA67" s="3"/>
      <c r="MJB67" s="3"/>
      <c r="MJC67" s="3"/>
      <c r="MJD67" s="3"/>
      <c r="MJE67" s="3"/>
      <c r="MJF67" s="3"/>
      <c r="MJG67" s="3"/>
      <c r="MJH67" s="3"/>
      <c r="MJI67" s="3"/>
      <c r="MJJ67" s="3"/>
      <c r="MJK67" s="3"/>
      <c r="MJL67" s="3"/>
      <c r="MJM67" s="3"/>
      <c r="MJN67" s="3"/>
      <c r="MJO67" s="3"/>
      <c r="MJP67" s="3"/>
      <c r="MJQ67" s="3"/>
      <c r="MJR67" s="3"/>
      <c r="MJS67" s="3"/>
      <c r="MJT67" s="3"/>
      <c r="MJU67" s="3"/>
      <c r="MJV67" s="3"/>
      <c r="MJW67" s="3"/>
      <c r="MJX67" s="3"/>
      <c r="MJY67" s="3"/>
      <c r="MJZ67" s="3"/>
      <c r="MKA67" s="3"/>
      <c r="MKB67" s="3"/>
      <c r="MKC67" s="3"/>
      <c r="MKD67" s="3"/>
      <c r="MKE67" s="3"/>
      <c r="MKF67" s="3"/>
      <c r="MKG67" s="3"/>
      <c r="MKH67" s="3"/>
      <c r="MKI67" s="3"/>
      <c r="MKJ67" s="3"/>
      <c r="MKK67" s="3"/>
      <c r="MKL67" s="3"/>
      <c r="MKM67" s="3"/>
      <c r="MKN67" s="3"/>
      <c r="MKO67" s="3"/>
      <c r="MKP67" s="3"/>
      <c r="MKQ67" s="3"/>
      <c r="MKR67" s="3"/>
      <c r="MKS67" s="3"/>
      <c r="MKT67" s="3"/>
      <c r="MKU67" s="3"/>
      <c r="MKV67" s="3"/>
      <c r="MKW67" s="3"/>
      <c r="MKX67" s="3"/>
      <c r="MKY67" s="3"/>
      <c r="MKZ67" s="3"/>
      <c r="MLA67" s="3"/>
      <c r="MLB67" s="3"/>
      <c r="MLC67" s="3"/>
      <c r="MLD67" s="3"/>
      <c r="MLE67" s="3"/>
      <c r="MLF67" s="3"/>
      <c r="MLG67" s="3"/>
      <c r="MLH67" s="3"/>
      <c r="MLI67" s="3"/>
      <c r="MLJ67" s="3"/>
      <c r="MLK67" s="3"/>
      <c r="MLL67" s="3"/>
      <c r="MLM67" s="3"/>
      <c r="MLN67" s="3"/>
      <c r="MLO67" s="3"/>
      <c r="MLP67" s="3"/>
      <c r="MLQ67" s="3"/>
      <c r="MLR67" s="3"/>
      <c r="MLS67" s="3"/>
      <c r="MLT67" s="3"/>
      <c r="MLU67" s="3"/>
      <c r="MLV67" s="3"/>
      <c r="MLW67" s="3"/>
      <c r="MLX67" s="3"/>
      <c r="MLY67" s="3"/>
      <c r="MLZ67" s="3"/>
      <c r="MMA67" s="3"/>
      <c r="MMB67" s="3"/>
      <c r="MMC67" s="3"/>
      <c r="MMD67" s="3"/>
      <c r="MME67" s="3"/>
      <c r="MMF67" s="3"/>
      <c r="MMG67" s="3"/>
      <c r="MMH67" s="3"/>
      <c r="MMI67" s="3"/>
      <c r="MMJ67" s="3"/>
      <c r="MMK67" s="3"/>
      <c r="MML67" s="3"/>
      <c r="MMM67" s="3"/>
      <c r="MMN67" s="3"/>
      <c r="MMO67" s="3"/>
      <c r="MMP67" s="3"/>
      <c r="MMQ67" s="3"/>
      <c r="MMR67" s="3"/>
      <c r="MMS67" s="3"/>
      <c r="MMT67" s="3"/>
      <c r="MMU67" s="3"/>
      <c r="MMV67" s="3"/>
      <c r="MMW67" s="3"/>
      <c r="MMX67" s="3"/>
      <c r="MMY67" s="3"/>
      <c r="MMZ67" s="3"/>
      <c r="MNA67" s="3"/>
      <c r="MNB67" s="3"/>
      <c r="MNC67" s="3"/>
      <c r="MND67" s="3"/>
      <c r="MNE67" s="3"/>
      <c r="MNF67" s="3"/>
      <c r="MNG67" s="3"/>
      <c r="MNH67" s="3"/>
      <c r="MNI67" s="3"/>
      <c r="MNJ67" s="3"/>
      <c r="MNK67" s="3"/>
      <c r="MNL67" s="3"/>
      <c r="MNM67" s="3"/>
      <c r="MNN67" s="3"/>
      <c r="MNO67" s="3"/>
      <c r="MNP67" s="3"/>
      <c r="MNQ67" s="3"/>
      <c r="MNR67" s="3"/>
      <c r="MNS67" s="3"/>
      <c r="MNT67" s="3"/>
      <c r="MNU67" s="3"/>
      <c r="MNV67" s="3"/>
      <c r="MNW67" s="3"/>
      <c r="MNX67" s="3"/>
      <c r="MNY67" s="3"/>
      <c r="MNZ67" s="3"/>
      <c r="MOA67" s="3"/>
      <c r="MOB67" s="3"/>
      <c r="MOC67" s="3"/>
      <c r="MOD67" s="3"/>
      <c r="MOE67" s="3"/>
      <c r="MOF67" s="3"/>
      <c r="MOG67" s="3"/>
      <c r="MOH67" s="3"/>
      <c r="MOI67" s="3"/>
      <c r="MOJ67" s="3"/>
      <c r="MOK67" s="3"/>
      <c r="MOL67" s="3"/>
      <c r="MOM67" s="3"/>
      <c r="MON67" s="3"/>
      <c r="MOO67" s="3"/>
      <c r="MOP67" s="3"/>
      <c r="MOQ67" s="3"/>
      <c r="MOR67" s="3"/>
      <c r="MOS67" s="3"/>
      <c r="MOT67" s="3"/>
      <c r="MOU67" s="3"/>
      <c r="MOV67" s="3"/>
      <c r="MOW67" s="3"/>
      <c r="MOX67" s="3"/>
      <c r="MOY67" s="3"/>
      <c r="MOZ67" s="3"/>
      <c r="MPA67" s="3"/>
      <c r="MPB67" s="3"/>
      <c r="MPC67" s="3"/>
      <c r="MPD67" s="3"/>
      <c r="MPE67" s="3"/>
      <c r="MPF67" s="3"/>
      <c r="MPG67" s="3"/>
      <c r="MPH67" s="3"/>
      <c r="MPI67" s="3"/>
      <c r="MPJ67" s="3"/>
      <c r="MPK67" s="3"/>
      <c r="MPL67" s="3"/>
      <c r="MPM67" s="3"/>
      <c r="MPN67" s="3"/>
      <c r="MPO67" s="3"/>
      <c r="MPP67" s="3"/>
      <c r="MPQ67" s="3"/>
      <c r="MPR67" s="3"/>
      <c r="MPS67" s="3"/>
      <c r="MPT67" s="3"/>
      <c r="MPU67" s="3"/>
      <c r="MPV67" s="3"/>
      <c r="MPW67" s="3"/>
      <c r="MPX67" s="3"/>
      <c r="MPY67" s="3"/>
      <c r="MPZ67" s="3"/>
      <c r="MQA67" s="3"/>
      <c r="MQB67" s="3"/>
      <c r="MQC67" s="3"/>
      <c r="MQD67" s="3"/>
      <c r="MQE67" s="3"/>
      <c r="MQF67" s="3"/>
      <c r="MQG67" s="3"/>
      <c r="MQH67" s="3"/>
      <c r="MQI67" s="3"/>
      <c r="MQJ67" s="3"/>
      <c r="MQK67" s="3"/>
      <c r="MQL67" s="3"/>
      <c r="MQM67" s="3"/>
      <c r="MQN67" s="3"/>
      <c r="MQO67" s="3"/>
      <c r="MQP67" s="3"/>
      <c r="MQQ67" s="3"/>
      <c r="MQR67" s="3"/>
      <c r="MQS67" s="3"/>
      <c r="MQT67" s="3"/>
      <c r="MQU67" s="3"/>
      <c r="MQV67" s="3"/>
      <c r="MQW67" s="3"/>
      <c r="MQX67" s="3"/>
      <c r="MQY67" s="3"/>
      <c r="MQZ67" s="3"/>
      <c r="MRA67" s="3"/>
      <c r="MRB67" s="3"/>
      <c r="MRC67" s="3"/>
      <c r="MRD67" s="3"/>
      <c r="MRE67" s="3"/>
      <c r="MRF67" s="3"/>
      <c r="MRG67" s="3"/>
      <c r="MRH67" s="3"/>
      <c r="MRI67" s="3"/>
      <c r="MRJ67" s="3"/>
      <c r="MRK67" s="3"/>
      <c r="MRL67" s="3"/>
      <c r="MRM67" s="3"/>
      <c r="MRN67" s="3"/>
      <c r="MRO67" s="3"/>
      <c r="MRP67" s="3"/>
      <c r="MRQ67" s="3"/>
      <c r="MRR67" s="3"/>
      <c r="MRS67" s="3"/>
      <c r="MRT67" s="3"/>
      <c r="MRU67" s="3"/>
      <c r="MRV67" s="3"/>
      <c r="MRW67" s="3"/>
      <c r="MRX67" s="3"/>
      <c r="MRY67" s="3"/>
      <c r="MRZ67" s="3"/>
      <c r="MSA67" s="3"/>
      <c r="MSB67" s="3"/>
      <c r="MSC67" s="3"/>
      <c r="MSD67" s="3"/>
      <c r="MSE67" s="3"/>
      <c r="MSF67" s="3"/>
      <c r="MSG67" s="3"/>
      <c r="MSH67" s="3"/>
      <c r="MSI67" s="3"/>
      <c r="MSJ67" s="3"/>
      <c r="MSK67" s="3"/>
      <c r="MSL67" s="3"/>
      <c r="MSM67" s="3"/>
      <c r="MSN67" s="3"/>
      <c r="MSO67" s="3"/>
      <c r="MSP67" s="3"/>
      <c r="MSQ67" s="3"/>
      <c r="MSR67" s="3"/>
      <c r="MSS67" s="3"/>
      <c r="MST67" s="3"/>
      <c r="MSU67" s="3"/>
      <c r="MSV67" s="3"/>
      <c r="MSW67" s="3"/>
      <c r="MSX67" s="3"/>
      <c r="MSY67" s="3"/>
      <c r="MSZ67" s="3"/>
      <c r="MTA67" s="3"/>
      <c r="MTB67" s="3"/>
      <c r="MTC67" s="3"/>
      <c r="MTD67" s="3"/>
      <c r="MTE67" s="3"/>
      <c r="MTF67" s="3"/>
      <c r="MTG67" s="3"/>
      <c r="MTH67" s="3"/>
      <c r="MTI67" s="3"/>
      <c r="MTJ67" s="3"/>
      <c r="MTK67" s="3"/>
      <c r="MTL67" s="3"/>
      <c r="MTM67" s="3"/>
      <c r="MTN67" s="3"/>
      <c r="MTO67" s="3"/>
      <c r="MTP67" s="3"/>
      <c r="MTQ67" s="3"/>
      <c r="MTR67" s="3"/>
      <c r="MTS67" s="3"/>
      <c r="MTT67" s="3"/>
      <c r="MTU67" s="3"/>
      <c r="MTV67" s="3"/>
      <c r="MTW67" s="3"/>
      <c r="MTX67" s="3"/>
      <c r="MTY67" s="3"/>
      <c r="MTZ67" s="3"/>
      <c r="MUA67" s="3"/>
      <c r="MUB67" s="3"/>
      <c r="MUC67" s="3"/>
      <c r="MUD67" s="3"/>
      <c r="MUE67" s="3"/>
      <c r="MUF67" s="3"/>
      <c r="MUG67" s="3"/>
      <c r="MUH67" s="3"/>
      <c r="MUI67" s="3"/>
      <c r="MUJ67" s="3"/>
      <c r="MUK67" s="3"/>
      <c r="MUL67" s="3"/>
      <c r="MUM67" s="3"/>
      <c r="MUN67" s="3"/>
      <c r="MUO67" s="3"/>
      <c r="MUP67" s="3"/>
      <c r="MUQ67" s="3"/>
      <c r="MUR67" s="3"/>
      <c r="MUS67" s="3"/>
      <c r="MUT67" s="3"/>
      <c r="MUU67" s="3"/>
      <c r="MUV67" s="3"/>
      <c r="MUW67" s="3"/>
      <c r="MUX67" s="3"/>
      <c r="MUY67" s="3"/>
      <c r="MUZ67" s="3"/>
      <c r="MVA67" s="3"/>
      <c r="MVB67" s="3"/>
      <c r="MVC67" s="3"/>
      <c r="MVD67" s="3"/>
      <c r="MVE67" s="3"/>
      <c r="MVF67" s="3"/>
      <c r="MVG67" s="3"/>
      <c r="MVH67" s="3"/>
      <c r="MVI67" s="3"/>
      <c r="MVJ67" s="3"/>
      <c r="MVK67" s="3"/>
      <c r="MVL67" s="3"/>
      <c r="MVM67" s="3"/>
      <c r="MVN67" s="3"/>
      <c r="MVO67" s="3"/>
      <c r="MVP67" s="3"/>
      <c r="MVQ67" s="3"/>
      <c r="MVR67" s="3"/>
      <c r="MVS67" s="3"/>
      <c r="MVT67" s="3"/>
      <c r="MVU67" s="3"/>
      <c r="MVV67" s="3"/>
      <c r="MVW67" s="3"/>
      <c r="MVX67" s="3"/>
      <c r="MVY67" s="3"/>
      <c r="MVZ67" s="3"/>
      <c r="MWA67" s="3"/>
      <c r="MWB67" s="3"/>
      <c r="MWC67" s="3"/>
      <c r="MWD67" s="3"/>
      <c r="MWE67" s="3"/>
      <c r="MWF67" s="3"/>
      <c r="MWG67" s="3"/>
      <c r="MWH67" s="3"/>
      <c r="MWI67" s="3"/>
      <c r="MWJ67" s="3"/>
      <c r="MWK67" s="3"/>
      <c r="MWL67" s="3"/>
      <c r="MWM67" s="3"/>
      <c r="MWN67" s="3"/>
      <c r="MWO67" s="3"/>
      <c r="MWP67" s="3"/>
      <c r="MWQ67" s="3"/>
      <c r="MWR67" s="3"/>
      <c r="MWS67" s="3"/>
      <c r="MWT67" s="3"/>
      <c r="MWU67" s="3"/>
      <c r="MWV67" s="3"/>
      <c r="MWW67" s="3"/>
      <c r="MWX67" s="3"/>
      <c r="MWY67" s="3"/>
      <c r="MWZ67" s="3"/>
      <c r="MXA67" s="3"/>
      <c r="MXB67" s="3"/>
      <c r="MXC67" s="3"/>
      <c r="MXD67" s="3"/>
      <c r="MXE67" s="3"/>
      <c r="MXF67" s="3"/>
      <c r="MXG67" s="3"/>
      <c r="MXH67" s="3"/>
      <c r="MXI67" s="3"/>
      <c r="MXJ67" s="3"/>
      <c r="MXK67" s="3"/>
      <c r="MXL67" s="3"/>
      <c r="MXM67" s="3"/>
      <c r="MXN67" s="3"/>
      <c r="MXO67" s="3"/>
      <c r="MXP67" s="3"/>
      <c r="MXQ67" s="3"/>
      <c r="MXR67" s="3"/>
      <c r="MXS67" s="3"/>
      <c r="MXT67" s="3"/>
      <c r="MXU67" s="3"/>
      <c r="MXV67" s="3"/>
      <c r="MXW67" s="3"/>
      <c r="MXX67" s="3"/>
      <c r="MXY67" s="3"/>
      <c r="MXZ67" s="3"/>
      <c r="MYA67" s="3"/>
      <c r="MYB67" s="3"/>
      <c r="MYC67" s="3"/>
      <c r="MYD67" s="3"/>
      <c r="MYE67" s="3"/>
      <c r="MYF67" s="3"/>
      <c r="MYG67" s="3"/>
      <c r="MYH67" s="3"/>
      <c r="MYI67" s="3"/>
      <c r="MYJ67" s="3"/>
      <c r="MYK67" s="3"/>
      <c r="MYL67" s="3"/>
      <c r="MYM67" s="3"/>
      <c r="MYN67" s="3"/>
      <c r="MYO67" s="3"/>
      <c r="MYP67" s="3"/>
      <c r="MYQ67" s="3"/>
      <c r="MYR67" s="3"/>
      <c r="MYS67" s="3"/>
      <c r="MYT67" s="3"/>
      <c r="MYU67" s="3"/>
      <c r="MYV67" s="3"/>
      <c r="MYW67" s="3"/>
      <c r="MYX67" s="3"/>
      <c r="MYY67" s="3"/>
      <c r="MYZ67" s="3"/>
      <c r="MZA67" s="3"/>
      <c r="MZB67" s="3"/>
      <c r="MZC67" s="3"/>
      <c r="MZD67" s="3"/>
      <c r="MZE67" s="3"/>
      <c r="MZF67" s="3"/>
      <c r="MZG67" s="3"/>
      <c r="MZH67" s="3"/>
      <c r="MZI67" s="3"/>
      <c r="MZJ67" s="3"/>
      <c r="MZK67" s="3"/>
      <c r="MZL67" s="3"/>
      <c r="MZM67" s="3"/>
      <c r="MZN67" s="3"/>
      <c r="MZO67" s="3"/>
      <c r="MZP67" s="3"/>
      <c r="MZQ67" s="3"/>
      <c r="MZR67" s="3"/>
      <c r="MZS67" s="3"/>
      <c r="MZT67" s="3"/>
      <c r="MZU67" s="3"/>
      <c r="MZV67" s="3"/>
      <c r="MZW67" s="3"/>
      <c r="MZX67" s="3"/>
      <c r="MZY67" s="3"/>
      <c r="MZZ67" s="3"/>
      <c r="NAA67" s="3"/>
      <c r="NAB67" s="3"/>
      <c r="NAC67" s="3"/>
      <c r="NAD67" s="3"/>
      <c r="NAE67" s="3"/>
      <c r="NAF67" s="3"/>
      <c r="NAG67" s="3"/>
      <c r="NAH67" s="3"/>
      <c r="NAI67" s="3"/>
      <c r="NAJ67" s="3"/>
      <c r="NAK67" s="3"/>
      <c r="NAL67" s="3"/>
      <c r="NAM67" s="3"/>
      <c r="NAN67" s="3"/>
      <c r="NAO67" s="3"/>
      <c r="NAP67" s="3"/>
      <c r="NAQ67" s="3"/>
      <c r="NAR67" s="3"/>
      <c r="NAS67" s="3"/>
      <c r="NAT67" s="3"/>
      <c r="NAU67" s="3"/>
      <c r="NAV67" s="3"/>
      <c r="NAW67" s="3"/>
      <c r="NAX67" s="3"/>
      <c r="NAY67" s="3"/>
      <c r="NAZ67" s="3"/>
      <c r="NBA67" s="3"/>
      <c r="NBB67" s="3"/>
      <c r="NBC67" s="3"/>
      <c r="NBD67" s="3"/>
      <c r="NBE67" s="3"/>
      <c r="NBF67" s="3"/>
      <c r="NBG67" s="3"/>
      <c r="NBH67" s="3"/>
      <c r="NBI67" s="3"/>
      <c r="NBJ67" s="3"/>
      <c r="NBK67" s="3"/>
      <c r="NBL67" s="3"/>
      <c r="NBM67" s="3"/>
      <c r="NBN67" s="3"/>
      <c r="NBO67" s="3"/>
      <c r="NBP67" s="3"/>
      <c r="NBQ67" s="3"/>
      <c r="NBR67" s="3"/>
      <c r="NBS67" s="3"/>
      <c r="NBT67" s="3"/>
      <c r="NBU67" s="3"/>
      <c r="NBV67" s="3"/>
      <c r="NBW67" s="3"/>
      <c r="NBX67" s="3"/>
      <c r="NBY67" s="3"/>
      <c r="NBZ67" s="3"/>
      <c r="NCA67" s="3"/>
      <c r="NCB67" s="3"/>
      <c r="NCC67" s="3"/>
      <c r="NCD67" s="3"/>
      <c r="NCE67" s="3"/>
      <c r="NCF67" s="3"/>
      <c r="NCG67" s="3"/>
      <c r="NCH67" s="3"/>
      <c r="NCI67" s="3"/>
      <c r="NCJ67" s="3"/>
      <c r="NCK67" s="3"/>
      <c r="NCL67" s="3"/>
      <c r="NCM67" s="3"/>
      <c r="NCN67" s="3"/>
      <c r="NCO67" s="3"/>
      <c r="NCP67" s="3"/>
      <c r="NCQ67" s="3"/>
      <c r="NCR67" s="3"/>
      <c r="NCS67" s="3"/>
      <c r="NCT67" s="3"/>
      <c r="NCU67" s="3"/>
      <c r="NCV67" s="3"/>
      <c r="NCW67" s="3"/>
      <c r="NCX67" s="3"/>
      <c r="NCY67" s="3"/>
      <c r="NCZ67" s="3"/>
      <c r="NDA67" s="3"/>
      <c r="NDB67" s="3"/>
      <c r="NDC67" s="3"/>
      <c r="NDD67" s="3"/>
      <c r="NDE67" s="3"/>
      <c r="NDF67" s="3"/>
      <c r="NDG67" s="3"/>
      <c r="NDH67" s="3"/>
      <c r="NDI67" s="3"/>
      <c r="NDJ67" s="3"/>
      <c r="NDK67" s="3"/>
      <c r="NDL67" s="3"/>
      <c r="NDM67" s="3"/>
      <c r="NDN67" s="3"/>
      <c r="NDO67" s="3"/>
      <c r="NDP67" s="3"/>
      <c r="NDQ67" s="3"/>
      <c r="NDR67" s="3"/>
      <c r="NDS67" s="3"/>
      <c r="NDT67" s="3"/>
      <c r="NDU67" s="3"/>
      <c r="NDV67" s="3"/>
      <c r="NDW67" s="3"/>
      <c r="NDX67" s="3"/>
      <c r="NDY67" s="3"/>
      <c r="NDZ67" s="3"/>
      <c r="NEA67" s="3"/>
      <c r="NEB67" s="3"/>
      <c r="NEC67" s="3"/>
      <c r="NED67" s="3"/>
      <c r="NEE67" s="3"/>
      <c r="NEF67" s="3"/>
      <c r="NEG67" s="3"/>
      <c r="NEH67" s="3"/>
      <c r="NEI67" s="3"/>
      <c r="NEJ67" s="3"/>
      <c r="NEK67" s="3"/>
      <c r="NEL67" s="3"/>
      <c r="NEM67" s="3"/>
      <c r="NEN67" s="3"/>
      <c r="NEO67" s="3"/>
      <c r="NEP67" s="3"/>
      <c r="NEQ67" s="3"/>
      <c r="NER67" s="3"/>
      <c r="NES67" s="3"/>
      <c r="NET67" s="3"/>
      <c r="NEU67" s="3"/>
      <c r="NEV67" s="3"/>
      <c r="NEW67" s="3"/>
      <c r="NEX67" s="3"/>
      <c r="NEY67" s="3"/>
      <c r="NEZ67" s="3"/>
      <c r="NFA67" s="3"/>
      <c r="NFB67" s="3"/>
      <c r="NFC67" s="3"/>
      <c r="NFD67" s="3"/>
      <c r="NFE67" s="3"/>
      <c r="NFF67" s="3"/>
      <c r="NFG67" s="3"/>
      <c r="NFH67" s="3"/>
      <c r="NFI67" s="3"/>
      <c r="NFJ67" s="3"/>
      <c r="NFK67" s="3"/>
      <c r="NFL67" s="3"/>
      <c r="NFM67" s="3"/>
      <c r="NFN67" s="3"/>
      <c r="NFO67" s="3"/>
      <c r="NFP67" s="3"/>
      <c r="NFQ67" s="3"/>
      <c r="NFR67" s="3"/>
      <c r="NFS67" s="3"/>
      <c r="NFT67" s="3"/>
      <c r="NFU67" s="3"/>
      <c r="NFV67" s="3"/>
      <c r="NFW67" s="3"/>
      <c r="NFX67" s="3"/>
      <c r="NFY67" s="3"/>
      <c r="NFZ67" s="3"/>
      <c r="NGA67" s="3"/>
      <c r="NGB67" s="3"/>
      <c r="NGC67" s="3"/>
      <c r="NGD67" s="3"/>
      <c r="NGE67" s="3"/>
      <c r="NGF67" s="3"/>
      <c r="NGG67" s="3"/>
      <c r="NGH67" s="3"/>
      <c r="NGI67" s="3"/>
      <c r="NGJ67" s="3"/>
      <c r="NGK67" s="3"/>
      <c r="NGL67" s="3"/>
      <c r="NGM67" s="3"/>
      <c r="NGN67" s="3"/>
      <c r="NGO67" s="3"/>
      <c r="NGP67" s="3"/>
      <c r="NGQ67" s="3"/>
      <c r="NGR67" s="3"/>
      <c r="NGS67" s="3"/>
      <c r="NGT67" s="3"/>
      <c r="NGU67" s="3"/>
      <c r="NGV67" s="3"/>
      <c r="NGW67" s="3"/>
      <c r="NGX67" s="3"/>
      <c r="NGY67" s="3"/>
      <c r="NGZ67" s="3"/>
      <c r="NHA67" s="3"/>
      <c r="NHB67" s="3"/>
      <c r="NHC67" s="3"/>
      <c r="NHD67" s="3"/>
      <c r="NHE67" s="3"/>
      <c r="NHF67" s="3"/>
      <c r="NHG67" s="3"/>
      <c r="NHH67" s="3"/>
      <c r="NHI67" s="3"/>
      <c r="NHJ67" s="3"/>
      <c r="NHK67" s="3"/>
      <c r="NHL67" s="3"/>
      <c r="NHM67" s="3"/>
      <c r="NHN67" s="3"/>
      <c r="NHO67" s="3"/>
      <c r="NHP67" s="3"/>
      <c r="NHQ67" s="3"/>
      <c r="NHR67" s="3"/>
      <c r="NHS67" s="3"/>
      <c r="NHT67" s="3"/>
      <c r="NHU67" s="3"/>
      <c r="NHV67" s="3"/>
      <c r="NHW67" s="3"/>
      <c r="NHX67" s="3"/>
      <c r="NHY67" s="3"/>
      <c r="NHZ67" s="3"/>
      <c r="NIA67" s="3"/>
      <c r="NIB67" s="3"/>
      <c r="NIC67" s="3"/>
      <c r="NID67" s="3"/>
      <c r="NIE67" s="3"/>
      <c r="NIF67" s="3"/>
      <c r="NIG67" s="3"/>
      <c r="NIH67" s="3"/>
      <c r="NII67" s="3"/>
      <c r="NIJ67" s="3"/>
      <c r="NIK67" s="3"/>
      <c r="NIL67" s="3"/>
      <c r="NIM67" s="3"/>
      <c r="NIN67" s="3"/>
      <c r="NIO67" s="3"/>
      <c r="NIP67" s="3"/>
      <c r="NIQ67" s="3"/>
      <c r="NIR67" s="3"/>
      <c r="NIS67" s="3"/>
      <c r="NIT67" s="3"/>
      <c r="NIU67" s="3"/>
      <c r="NIV67" s="3"/>
      <c r="NIW67" s="3"/>
      <c r="NIX67" s="3"/>
      <c r="NIY67" s="3"/>
      <c r="NIZ67" s="3"/>
      <c r="NJA67" s="3"/>
      <c r="NJB67" s="3"/>
      <c r="NJC67" s="3"/>
      <c r="NJD67" s="3"/>
      <c r="NJE67" s="3"/>
      <c r="NJF67" s="3"/>
      <c r="NJG67" s="3"/>
      <c r="NJH67" s="3"/>
      <c r="NJI67" s="3"/>
      <c r="NJJ67" s="3"/>
      <c r="NJK67" s="3"/>
      <c r="NJL67" s="3"/>
      <c r="NJM67" s="3"/>
      <c r="NJN67" s="3"/>
      <c r="NJO67" s="3"/>
      <c r="NJP67" s="3"/>
      <c r="NJQ67" s="3"/>
      <c r="NJR67" s="3"/>
      <c r="NJS67" s="3"/>
      <c r="NJT67" s="3"/>
      <c r="NJU67" s="3"/>
      <c r="NJV67" s="3"/>
      <c r="NJW67" s="3"/>
      <c r="NJX67" s="3"/>
      <c r="NJY67" s="3"/>
      <c r="NJZ67" s="3"/>
      <c r="NKA67" s="3"/>
      <c r="NKB67" s="3"/>
      <c r="NKC67" s="3"/>
      <c r="NKD67" s="3"/>
      <c r="NKE67" s="3"/>
      <c r="NKF67" s="3"/>
      <c r="NKG67" s="3"/>
      <c r="NKH67" s="3"/>
      <c r="NKI67" s="3"/>
      <c r="NKJ67" s="3"/>
      <c r="NKK67" s="3"/>
      <c r="NKL67" s="3"/>
      <c r="NKM67" s="3"/>
      <c r="NKN67" s="3"/>
      <c r="NKO67" s="3"/>
      <c r="NKP67" s="3"/>
      <c r="NKQ67" s="3"/>
      <c r="NKR67" s="3"/>
      <c r="NKS67" s="3"/>
      <c r="NKT67" s="3"/>
      <c r="NKU67" s="3"/>
      <c r="NKV67" s="3"/>
      <c r="NKW67" s="3"/>
      <c r="NKX67" s="3"/>
      <c r="NKY67" s="3"/>
      <c r="NKZ67" s="3"/>
      <c r="NLA67" s="3"/>
      <c r="NLB67" s="3"/>
      <c r="NLC67" s="3"/>
      <c r="NLD67" s="3"/>
      <c r="NLE67" s="3"/>
      <c r="NLF67" s="3"/>
      <c r="NLG67" s="3"/>
      <c r="NLH67" s="3"/>
      <c r="NLI67" s="3"/>
      <c r="NLJ67" s="3"/>
      <c r="NLK67" s="3"/>
      <c r="NLL67" s="3"/>
      <c r="NLM67" s="3"/>
      <c r="NLN67" s="3"/>
      <c r="NLO67" s="3"/>
      <c r="NLP67" s="3"/>
      <c r="NLQ67" s="3"/>
      <c r="NLR67" s="3"/>
      <c r="NLS67" s="3"/>
      <c r="NLT67" s="3"/>
      <c r="NLU67" s="3"/>
      <c r="NLV67" s="3"/>
      <c r="NLW67" s="3"/>
      <c r="NLX67" s="3"/>
      <c r="NLY67" s="3"/>
      <c r="NLZ67" s="3"/>
      <c r="NMA67" s="3"/>
      <c r="NMB67" s="3"/>
      <c r="NMC67" s="3"/>
      <c r="NMD67" s="3"/>
      <c r="NME67" s="3"/>
      <c r="NMF67" s="3"/>
      <c r="NMG67" s="3"/>
      <c r="NMH67" s="3"/>
      <c r="NMI67" s="3"/>
      <c r="NMJ67" s="3"/>
      <c r="NMK67" s="3"/>
      <c r="NML67" s="3"/>
      <c r="NMM67" s="3"/>
      <c r="NMN67" s="3"/>
      <c r="NMO67" s="3"/>
      <c r="NMP67" s="3"/>
      <c r="NMQ67" s="3"/>
      <c r="NMR67" s="3"/>
      <c r="NMS67" s="3"/>
      <c r="NMT67" s="3"/>
      <c r="NMU67" s="3"/>
      <c r="NMV67" s="3"/>
      <c r="NMW67" s="3"/>
      <c r="NMX67" s="3"/>
      <c r="NMY67" s="3"/>
      <c r="NMZ67" s="3"/>
      <c r="NNA67" s="3"/>
      <c r="NNB67" s="3"/>
      <c r="NNC67" s="3"/>
      <c r="NND67" s="3"/>
      <c r="NNE67" s="3"/>
      <c r="NNF67" s="3"/>
      <c r="NNG67" s="3"/>
      <c r="NNH67" s="3"/>
      <c r="NNI67" s="3"/>
      <c r="NNJ67" s="3"/>
      <c r="NNK67" s="3"/>
      <c r="NNL67" s="3"/>
      <c r="NNM67" s="3"/>
      <c r="NNN67" s="3"/>
      <c r="NNO67" s="3"/>
      <c r="NNP67" s="3"/>
      <c r="NNQ67" s="3"/>
      <c r="NNR67" s="3"/>
      <c r="NNS67" s="3"/>
      <c r="NNT67" s="3"/>
      <c r="NNU67" s="3"/>
      <c r="NNV67" s="3"/>
      <c r="NNW67" s="3"/>
      <c r="NNX67" s="3"/>
      <c r="NNY67" s="3"/>
      <c r="NNZ67" s="3"/>
      <c r="NOA67" s="3"/>
      <c r="NOB67" s="3"/>
      <c r="NOC67" s="3"/>
      <c r="NOD67" s="3"/>
      <c r="NOE67" s="3"/>
      <c r="NOF67" s="3"/>
      <c r="NOG67" s="3"/>
      <c r="NOH67" s="3"/>
      <c r="NOI67" s="3"/>
      <c r="NOJ67" s="3"/>
      <c r="NOK67" s="3"/>
      <c r="NOL67" s="3"/>
      <c r="NOM67" s="3"/>
      <c r="NON67" s="3"/>
      <c r="NOO67" s="3"/>
      <c r="NOP67" s="3"/>
      <c r="NOQ67" s="3"/>
      <c r="NOR67" s="3"/>
      <c r="NOS67" s="3"/>
      <c r="NOT67" s="3"/>
      <c r="NOU67" s="3"/>
      <c r="NOV67" s="3"/>
      <c r="NOW67" s="3"/>
      <c r="NOX67" s="3"/>
      <c r="NOY67" s="3"/>
      <c r="NOZ67" s="3"/>
      <c r="NPA67" s="3"/>
      <c r="NPB67" s="3"/>
      <c r="NPC67" s="3"/>
      <c r="NPD67" s="3"/>
      <c r="NPE67" s="3"/>
      <c r="NPF67" s="3"/>
      <c r="NPG67" s="3"/>
      <c r="NPH67" s="3"/>
      <c r="NPI67" s="3"/>
      <c r="NPJ67" s="3"/>
      <c r="NPK67" s="3"/>
      <c r="NPL67" s="3"/>
      <c r="NPM67" s="3"/>
      <c r="NPN67" s="3"/>
      <c r="NPO67" s="3"/>
      <c r="NPP67" s="3"/>
      <c r="NPQ67" s="3"/>
      <c r="NPR67" s="3"/>
      <c r="NPS67" s="3"/>
      <c r="NPT67" s="3"/>
      <c r="NPU67" s="3"/>
      <c r="NPV67" s="3"/>
      <c r="NPW67" s="3"/>
      <c r="NPX67" s="3"/>
      <c r="NPY67" s="3"/>
      <c r="NPZ67" s="3"/>
      <c r="NQA67" s="3"/>
      <c r="NQB67" s="3"/>
      <c r="NQC67" s="3"/>
      <c r="NQD67" s="3"/>
      <c r="NQE67" s="3"/>
      <c r="NQF67" s="3"/>
      <c r="NQG67" s="3"/>
      <c r="NQH67" s="3"/>
      <c r="NQI67" s="3"/>
      <c r="NQJ67" s="3"/>
      <c r="NQK67" s="3"/>
      <c r="NQL67" s="3"/>
      <c r="NQM67" s="3"/>
      <c r="NQN67" s="3"/>
      <c r="NQO67" s="3"/>
      <c r="NQP67" s="3"/>
      <c r="NQQ67" s="3"/>
      <c r="NQR67" s="3"/>
      <c r="NQS67" s="3"/>
      <c r="NQT67" s="3"/>
      <c r="NQU67" s="3"/>
      <c r="NQV67" s="3"/>
      <c r="NQW67" s="3"/>
      <c r="NQX67" s="3"/>
      <c r="NQY67" s="3"/>
      <c r="NQZ67" s="3"/>
      <c r="NRA67" s="3"/>
      <c r="NRB67" s="3"/>
      <c r="NRC67" s="3"/>
      <c r="NRD67" s="3"/>
      <c r="NRE67" s="3"/>
      <c r="NRF67" s="3"/>
      <c r="NRG67" s="3"/>
      <c r="NRH67" s="3"/>
      <c r="NRI67" s="3"/>
      <c r="NRJ67" s="3"/>
      <c r="NRK67" s="3"/>
      <c r="NRL67" s="3"/>
      <c r="NRM67" s="3"/>
      <c r="NRN67" s="3"/>
      <c r="NRO67" s="3"/>
      <c r="NRP67" s="3"/>
      <c r="NRQ67" s="3"/>
      <c r="NRR67" s="3"/>
      <c r="NRS67" s="3"/>
      <c r="NRT67" s="3"/>
      <c r="NRU67" s="3"/>
      <c r="NRV67" s="3"/>
      <c r="NRW67" s="3"/>
      <c r="NRX67" s="3"/>
      <c r="NRY67" s="3"/>
      <c r="NRZ67" s="3"/>
      <c r="NSA67" s="3"/>
      <c r="NSB67" s="3"/>
      <c r="NSC67" s="3"/>
      <c r="NSD67" s="3"/>
      <c r="NSE67" s="3"/>
      <c r="NSF67" s="3"/>
      <c r="NSG67" s="3"/>
      <c r="NSH67" s="3"/>
      <c r="NSI67" s="3"/>
      <c r="NSJ67" s="3"/>
      <c r="NSK67" s="3"/>
      <c r="NSL67" s="3"/>
      <c r="NSM67" s="3"/>
      <c r="NSN67" s="3"/>
      <c r="NSO67" s="3"/>
      <c r="NSP67" s="3"/>
      <c r="NSQ67" s="3"/>
      <c r="NSR67" s="3"/>
      <c r="NSS67" s="3"/>
      <c r="NST67" s="3"/>
      <c r="NSU67" s="3"/>
      <c r="NSV67" s="3"/>
      <c r="NSW67" s="3"/>
      <c r="NSX67" s="3"/>
      <c r="NSY67" s="3"/>
      <c r="NSZ67" s="3"/>
      <c r="NTA67" s="3"/>
      <c r="NTB67" s="3"/>
      <c r="NTC67" s="3"/>
      <c r="NTD67" s="3"/>
      <c r="NTE67" s="3"/>
      <c r="NTF67" s="3"/>
      <c r="NTG67" s="3"/>
      <c r="NTH67" s="3"/>
      <c r="NTI67" s="3"/>
      <c r="NTJ67" s="3"/>
      <c r="NTK67" s="3"/>
      <c r="NTL67" s="3"/>
      <c r="NTM67" s="3"/>
      <c r="NTN67" s="3"/>
      <c r="NTO67" s="3"/>
      <c r="NTP67" s="3"/>
      <c r="NTQ67" s="3"/>
      <c r="NTR67" s="3"/>
      <c r="NTS67" s="3"/>
      <c r="NTT67" s="3"/>
      <c r="NTU67" s="3"/>
      <c r="NTV67" s="3"/>
      <c r="NTW67" s="3"/>
      <c r="NTX67" s="3"/>
      <c r="NTY67" s="3"/>
      <c r="NTZ67" s="3"/>
      <c r="NUA67" s="3"/>
      <c r="NUB67" s="3"/>
      <c r="NUC67" s="3"/>
      <c r="NUD67" s="3"/>
      <c r="NUE67" s="3"/>
      <c r="NUF67" s="3"/>
      <c r="NUG67" s="3"/>
      <c r="NUH67" s="3"/>
      <c r="NUI67" s="3"/>
      <c r="NUJ67" s="3"/>
      <c r="NUK67" s="3"/>
      <c r="NUL67" s="3"/>
      <c r="NUM67" s="3"/>
      <c r="NUN67" s="3"/>
      <c r="NUO67" s="3"/>
      <c r="NUP67" s="3"/>
      <c r="NUQ67" s="3"/>
      <c r="NUR67" s="3"/>
      <c r="NUS67" s="3"/>
      <c r="NUT67" s="3"/>
      <c r="NUU67" s="3"/>
      <c r="NUV67" s="3"/>
      <c r="NUW67" s="3"/>
      <c r="NUX67" s="3"/>
      <c r="NUY67" s="3"/>
      <c r="NUZ67" s="3"/>
      <c r="NVA67" s="3"/>
      <c r="NVB67" s="3"/>
      <c r="NVC67" s="3"/>
      <c r="NVD67" s="3"/>
      <c r="NVE67" s="3"/>
      <c r="NVF67" s="3"/>
      <c r="NVG67" s="3"/>
      <c r="NVH67" s="3"/>
      <c r="NVI67" s="3"/>
      <c r="NVJ67" s="3"/>
      <c r="NVK67" s="3"/>
      <c r="NVL67" s="3"/>
      <c r="NVM67" s="3"/>
      <c r="NVN67" s="3"/>
      <c r="NVO67" s="3"/>
      <c r="NVP67" s="3"/>
      <c r="NVQ67" s="3"/>
      <c r="NVR67" s="3"/>
      <c r="NVS67" s="3"/>
      <c r="NVT67" s="3"/>
      <c r="NVU67" s="3"/>
      <c r="NVV67" s="3"/>
      <c r="NVW67" s="3"/>
      <c r="NVX67" s="3"/>
      <c r="NVY67" s="3"/>
      <c r="NVZ67" s="3"/>
      <c r="NWA67" s="3"/>
      <c r="NWB67" s="3"/>
      <c r="NWC67" s="3"/>
      <c r="NWD67" s="3"/>
      <c r="NWE67" s="3"/>
      <c r="NWF67" s="3"/>
      <c r="NWG67" s="3"/>
      <c r="NWH67" s="3"/>
      <c r="NWI67" s="3"/>
      <c r="NWJ67" s="3"/>
      <c r="NWK67" s="3"/>
      <c r="NWL67" s="3"/>
      <c r="NWM67" s="3"/>
      <c r="NWN67" s="3"/>
      <c r="NWO67" s="3"/>
      <c r="NWP67" s="3"/>
      <c r="NWQ67" s="3"/>
      <c r="NWR67" s="3"/>
      <c r="NWS67" s="3"/>
      <c r="NWT67" s="3"/>
      <c r="NWU67" s="3"/>
      <c r="NWV67" s="3"/>
      <c r="NWW67" s="3"/>
      <c r="NWX67" s="3"/>
      <c r="NWY67" s="3"/>
      <c r="NWZ67" s="3"/>
      <c r="NXA67" s="3"/>
      <c r="NXB67" s="3"/>
      <c r="NXC67" s="3"/>
      <c r="NXD67" s="3"/>
      <c r="NXE67" s="3"/>
      <c r="NXF67" s="3"/>
      <c r="NXG67" s="3"/>
      <c r="NXH67" s="3"/>
      <c r="NXI67" s="3"/>
      <c r="NXJ67" s="3"/>
      <c r="NXK67" s="3"/>
      <c r="NXL67" s="3"/>
      <c r="NXM67" s="3"/>
      <c r="NXN67" s="3"/>
      <c r="NXO67" s="3"/>
      <c r="NXP67" s="3"/>
      <c r="NXQ67" s="3"/>
      <c r="NXR67" s="3"/>
      <c r="NXS67" s="3"/>
      <c r="NXT67" s="3"/>
      <c r="NXU67" s="3"/>
      <c r="NXV67" s="3"/>
      <c r="NXW67" s="3"/>
      <c r="NXX67" s="3"/>
      <c r="NXY67" s="3"/>
      <c r="NXZ67" s="3"/>
      <c r="NYA67" s="3"/>
      <c r="NYB67" s="3"/>
      <c r="NYC67" s="3"/>
      <c r="NYD67" s="3"/>
      <c r="NYE67" s="3"/>
      <c r="NYF67" s="3"/>
      <c r="NYG67" s="3"/>
      <c r="NYH67" s="3"/>
      <c r="NYI67" s="3"/>
      <c r="NYJ67" s="3"/>
      <c r="NYK67" s="3"/>
      <c r="NYL67" s="3"/>
      <c r="NYM67" s="3"/>
      <c r="NYN67" s="3"/>
      <c r="NYO67" s="3"/>
      <c r="NYP67" s="3"/>
      <c r="NYQ67" s="3"/>
      <c r="NYR67" s="3"/>
      <c r="NYS67" s="3"/>
      <c r="NYT67" s="3"/>
      <c r="NYU67" s="3"/>
      <c r="NYV67" s="3"/>
      <c r="NYW67" s="3"/>
      <c r="NYX67" s="3"/>
      <c r="NYY67" s="3"/>
      <c r="NYZ67" s="3"/>
      <c r="NZA67" s="3"/>
      <c r="NZB67" s="3"/>
      <c r="NZC67" s="3"/>
      <c r="NZD67" s="3"/>
      <c r="NZE67" s="3"/>
      <c r="NZF67" s="3"/>
      <c r="NZG67" s="3"/>
      <c r="NZH67" s="3"/>
      <c r="NZI67" s="3"/>
      <c r="NZJ67" s="3"/>
      <c r="NZK67" s="3"/>
      <c r="NZL67" s="3"/>
      <c r="NZM67" s="3"/>
      <c r="NZN67" s="3"/>
      <c r="NZO67" s="3"/>
      <c r="NZP67" s="3"/>
      <c r="NZQ67" s="3"/>
      <c r="NZR67" s="3"/>
      <c r="NZS67" s="3"/>
      <c r="NZT67" s="3"/>
      <c r="NZU67" s="3"/>
      <c r="NZV67" s="3"/>
      <c r="NZW67" s="3"/>
      <c r="NZX67" s="3"/>
      <c r="NZY67" s="3"/>
      <c r="NZZ67" s="3"/>
      <c r="OAA67" s="3"/>
      <c r="OAB67" s="3"/>
      <c r="OAC67" s="3"/>
      <c r="OAD67" s="3"/>
      <c r="OAE67" s="3"/>
      <c r="OAF67" s="3"/>
      <c r="OAG67" s="3"/>
      <c r="OAH67" s="3"/>
      <c r="OAI67" s="3"/>
      <c r="OAJ67" s="3"/>
      <c r="OAK67" s="3"/>
      <c r="OAL67" s="3"/>
      <c r="OAM67" s="3"/>
      <c r="OAN67" s="3"/>
      <c r="OAO67" s="3"/>
      <c r="OAP67" s="3"/>
      <c r="OAQ67" s="3"/>
      <c r="OAR67" s="3"/>
      <c r="OAS67" s="3"/>
      <c r="OAT67" s="3"/>
      <c r="OAU67" s="3"/>
      <c r="OAV67" s="3"/>
      <c r="OAW67" s="3"/>
      <c r="OAX67" s="3"/>
      <c r="OAY67" s="3"/>
      <c r="OAZ67" s="3"/>
      <c r="OBA67" s="3"/>
      <c r="OBB67" s="3"/>
      <c r="OBC67" s="3"/>
      <c r="OBD67" s="3"/>
      <c r="OBE67" s="3"/>
      <c r="OBF67" s="3"/>
      <c r="OBG67" s="3"/>
      <c r="OBH67" s="3"/>
      <c r="OBI67" s="3"/>
      <c r="OBJ67" s="3"/>
      <c r="OBK67" s="3"/>
      <c r="OBL67" s="3"/>
      <c r="OBM67" s="3"/>
      <c r="OBN67" s="3"/>
      <c r="OBO67" s="3"/>
      <c r="OBP67" s="3"/>
      <c r="OBQ67" s="3"/>
      <c r="OBR67" s="3"/>
      <c r="OBS67" s="3"/>
      <c r="OBT67" s="3"/>
      <c r="OBU67" s="3"/>
      <c r="OBV67" s="3"/>
      <c r="OBW67" s="3"/>
      <c r="OBX67" s="3"/>
      <c r="OBY67" s="3"/>
      <c r="OBZ67" s="3"/>
      <c r="OCA67" s="3"/>
      <c r="OCB67" s="3"/>
      <c r="OCC67" s="3"/>
      <c r="OCD67" s="3"/>
      <c r="OCE67" s="3"/>
      <c r="OCF67" s="3"/>
      <c r="OCG67" s="3"/>
      <c r="OCH67" s="3"/>
      <c r="OCI67" s="3"/>
      <c r="OCJ67" s="3"/>
      <c r="OCK67" s="3"/>
      <c r="OCL67" s="3"/>
      <c r="OCM67" s="3"/>
      <c r="OCN67" s="3"/>
      <c r="OCO67" s="3"/>
      <c r="OCP67" s="3"/>
      <c r="OCQ67" s="3"/>
      <c r="OCR67" s="3"/>
      <c r="OCS67" s="3"/>
      <c r="OCT67" s="3"/>
      <c r="OCU67" s="3"/>
      <c r="OCV67" s="3"/>
      <c r="OCW67" s="3"/>
      <c r="OCX67" s="3"/>
      <c r="OCY67" s="3"/>
      <c r="OCZ67" s="3"/>
      <c r="ODA67" s="3"/>
      <c r="ODB67" s="3"/>
      <c r="ODC67" s="3"/>
      <c r="ODD67" s="3"/>
      <c r="ODE67" s="3"/>
      <c r="ODF67" s="3"/>
      <c r="ODG67" s="3"/>
      <c r="ODH67" s="3"/>
      <c r="ODI67" s="3"/>
      <c r="ODJ67" s="3"/>
      <c r="ODK67" s="3"/>
      <c r="ODL67" s="3"/>
      <c r="ODM67" s="3"/>
      <c r="ODN67" s="3"/>
      <c r="ODO67" s="3"/>
      <c r="ODP67" s="3"/>
      <c r="ODQ67" s="3"/>
      <c r="ODR67" s="3"/>
      <c r="ODS67" s="3"/>
      <c r="ODT67" s="3"/>
      <c r="ODU67" s="3"/>
      <c r="ODV67" s="3"/>
      <c r="ODW67" s="3"/>
      <c r="ODX67" s="3"/>
      <c r="ODY67" s="3"/>
      <c r="ODZ67" s="3"/>
      <c r="OEA67" s="3"/>
      <c r="OEB67" s="3"/>
      <c r="OEC67" s="3"/>
      <c r="OED67" s="3"/>
      <c r="OEE67" s="3"/>
      <c r="OEF67" s="3"/>
      <c r="OEG67" s="3"/>
      <c r="OEH67" s="3"/>
      <c r="OEI67" s="3"/>
      <c r="OEJ67" s="3"/>
      <c r="OEK67" s="3"/>
      <c r="OEL67" s="3"/>
      <c r="OEM67" s="3"/>
      <c r="OEN67" s="3"/>
      <c r="OEO67" s="3"/>
      <c r="OEP67" s="3"/>
      <c r="OEQ67" s="3"/>
      <c r="OER67" s="3"/>
      <c r="OES67" s="3"/>
      <c r="OET67" s="3"/>
      <c r="OEU67" s="3"/>
      <c r="OEV67" s="3"/>
      <c r="OEW67" s="3"/>
      <c r="OEX67" s="3"/>
      <c r="OEY67" s="3"/>
      <c r="OEZ67" s="3"/>
      <c r="OFA67" s="3"/>
      <c r="OFB67" s="3"/>
      <c r="OFC67" s="3"/>
      <c r="OFD67" s="3"/>
      <c r="OFE67" s="3"/>
      <c r="OFF67" s="3"/>
      <c r="OFG67" s="3"/>
      <c r="OFH67" s="3"/>
      <c r="OFI67" s="3"/>
      <c r="OFJ67" s="3"/>
      <c r="OFK67" s="3"/>
      <c r="OFL67" s="3"/>
      <c r="OFM67" s="3"/>
      <c r="OFN67" s="3"/>
      <c r="OFO67" s="3"/>
      <c r="OFP67" s="3"/>
      <c r="OFQ67" s="3"/>
      <c r="OFR67" s="3"/>
      <c r="OFS67" s="3"/>
      <c r="OFT67" s="3"/>
      <c r="OFU67" s="3"/>
      <c r="OFV67" s="3"/>
      <c r="OFW67" s="3"/>
      <c r="OFX67" s="3"/>
      <c r="OFY67" s="3"/>
      <c r="OFZ67" s="3"/>
      <c r="OGA67" s="3"/>
      <c r="OGB67" s="3"/>
      <c r="OGC67" s="3"/>
      <c r="OGD67" s="3"/>
      <c r="OGE67" s="3"/>
      <c r="OGF67" s="3"/>
      <c r="OGG67" s="3"/>
      <c r="OGH67" s="3"/>
      <c r="OGI67" s="3"/>
      <c r="OGJ67" s="3"/>
      <c r="OGK67" s="3"/>
      <c r="OGL67" s="3"/>
      <c r="OGM67" s="3"/>
      <c r="OGN67" s="3"/>
      <c r="OGO67" s="3"/>
      <c r="OGP67" s="3"/>
      <c r="OGQ67" s="3"/>
      <c r="OGR67" s="3"/>
      <c r="OGS67" s="3"/>
      <c r="OGT67" s="3"/>
      <c r="OGU67" s="3"/>
      <c r="OGV67" s="3"/>
      <c r="OGW67" s="3"/>
      <c r="OGX67" s="3"/>
      <c r="OGY67" s="3"/>
      <c r="OGZ67" s="3"/>
      <c r="OHA67" s="3"/>
      <c r="OHB67" s="3"/>
      <c r="OHC67" s="3"/>
      <c r="OHD67" s="3"/>
      <c r="OHE67" s="3"/>
      <c r="OHF67" s="3"/>
      <c r="OHG67" s="3"/>
      <c r="OHH67" s="3"/>
      <c r="OHI67" s="3"/>
      <c r="OHJ67" s="3"/>
      <c r="OHK67" s="3"/>
      <c r="OHL67" s="3"/>
      <c r="OHM67" s="3"/>
      <c r="OHN67" s="3"/>
      <c r="OHO67" s="3"/>
      <c r="OHP67" s="3"/>
      <c r="OHQ67" s="3"/>
      <c r="OHR67" s="3"/>
      <c r="OHS67" s="3"/>
      <c r="OHT67" s="3"/>
      <c r="OHU67" s="3"/>
      <c r="OHV67" s="3"/>
      <c r="OHW67" s="3"/>
      <c r="OHX67" s="3"/>
      <c r="OHY67" s="3"/>
      <c r="OHZ67" s="3"/>
      <c r="OIA67" s="3"/>
      <c r="OIB67" s="3"/>
      <c r="OIC67" s="3"/>
      <c r="OID67" s="3"/>
      <c r="OIE67" s="3"/>
      <c r="OIF67" s="3"/>
      <c r="OIG67" s="3"/>
      <c r="OIH67" s="3"/>
      <c r="OII67" s="3"/>
      <c r="OIJ67" s="3"/>
      <c r="OIK67" s="3"/>
      <c r="OIL67" s="3"/>
      <c r="OIM67" s="3"/>
      <c r="OIN67" s="3"/>
      <c r="OIO67" s="3"/>
      <c r="OIP67" s="3"/>
      <c r="OIQ67" s="3"/>
      <c r="OIR67" s="3"/>
      <c r="OIS67" s="3"/>
      <c r="OIT67" s="3"/>
      <c r="OIU67" s="3"/>
      <c r="OIV67" s="3"/>
      <c r="OIW67" s="3"/>
      <c r="OIX67" s="3"/>
      <c r="OIY67" s="3"/>
      <c r="OIZ67" s="3"/>
      <c r="OJA67" s="3"/>
      <c r="OJB67" s="3"/>
      <c r="OJC67" s="3"/>
      <c r="OJD67" s="3"/>
      <c r="OJE67" s="3"/>
      <c r="OJF67" s="3"/>
      <c r="OJG67" s="3"/>
      <c r="OJH67" s="3"/>
      <c r="OJI67" s="3"/>
      <c r="OJJ67" s="3"/>
      <c r="OJK67" s="3"/>
      <c r="OJL67" s="3"/>
      <c r="OJM67" s="3"/>
      <c r="OJN67" s="3"/>
      <c r="OJO67" s="3"/>
      <c r="OJP67" s="3"/>
      <c r="OJQ67" s="3"/>
      <c r="OJR67" s="3"/>
      <c r="OJS67" s="3"/>
      <c r="OJT67" s="3"/>
      <c r="OJU67" s="3"/>
      <c r="OJV67" s="3"/>
      <c r="OJW67" s="3"/>
      <c r="OJX67" s="3"/>
      <c r="OJY67" s="3"/>
      <c r="OJZ67" s="3"/>
      <c r="OKA67" s="3"/>
      <c r="OKB67" s="3"/>
      <c r="OKC67" s="3"/>
      <c r="OKD67" s="3"/>
      <c r="OKE67" s="3"/>
      <c r="OKF67" s="3"/>
      <c r="OKG67" s="3"/>
      <c r="OKH67" s="3"/>
      <c r="OKI67" s="3"/>
      <c r="OKJ67" s="3"/>
      <c r="OKK67" s="3"/>
      <c r="OKL67" s="3"/>
      <c r="OKM67" s="3"/>
      <c r="OKN67" s="3"/>
      <c r="OKO67" s="3"/>
      <c r="OKP67" s="3"/>
      <c r="OKQ67" s="3"/>
      <c r="OKR67" s="3"/>
      <c r="OKS67" s="3"/>
      <c r="OKT67" s="3"/>
      <c r="OKU67" s="3"/>
      <c r="OKV67" s="3"/>
      <c r="OKW67" s="3"/>
      <c r="OKX67" s="3"/>
      <c r="OKY67" s="3"/>
      <c r="OKZ67" s="3"/>
      <c r="OLA67" s="3"/>
      <c r="OLB67" s="3"/>
      <c r="OLC67" s="3"/>
      <c r="OLD67" s="3"/>
      <c r="OLE67" s="3"/>
      <c r="OLF67" s="3"/>
      <c r="OLG67" s="3"/>
      <c r="OLH67" s="3"/>
      <c r="OLI67" s="3"/>
      <c r="OLJ67" s="3"/>
      <c r="OLK67" s="3"/>
      <c r="OLL67" s="3"/>
      <c r="OLM67" s="3"/>
      <c r="OLN67" s="3"/>
      <c r="OLO67" s="3"/>
      <c r="OLP67" s="3"/>
      <c r="OLQ67" s="3"/>
      <c r="OLR67" s="3"/>
      <c r="OLS67" s="3"/>
      <c r="OLT67" s="3"/>
      <c r="OLU67" s="3"/>
      <c r="OLV67" s="3"/>
      <c r="OLW67" s="3"/>
      <c r="OLX67" s="3"/>
      <c r="OLY67" s="3"/>
      <c r="OLZ67" s="3"/>
      <c r="OMA67" s="3"/>
      <c r="OMB67" s="3"/>
      <c r="OMC67" s="3"/>
      <c r="OMD67" s="3"/>
      <c r="OME67" s="3"/>
      <c r="OMF67" s="3"/>
      <c r="OMG67" s="3"/>
      <c r="OMH67" s="3"/>
      <c r="OMI67" s="3"/>
      <c r="OMJ67" s="3"/>
      <c r="OMK67" s="3"/>
      <c r="OML67" s="3"/>
      <c r="OMM67" s="3"/>
      <c r="OMN67" s="3"/>
      <c r="OMO67" s="3"/>
      <c r="OMP67" s="3"/>
      <c r="OMQ67" s="3"/>
      <c r="OMR67" s="3"/>
      <c r="OMS67" s="3"/>
      <c r="OMT67" s="3"/>
      <c r="OMU67" s="3"/>
      <c r="OMV67" s="3"/>
      <c r="OMW67" s="3"/>
      <c r="OMX67" s="3"/>
      <c r="OMY67" s="3"/>
      <c r="OMZ67" s="3"/>
      <c r="ONA67" s="3"/>
      <c r="ONB67" s="3"/>
      <c r="ONC67" s="3"/>
      <c r="OND67" s="3"/>
      <c r="ONE67" s="3"/>
      <c r="ONF67" s="3"/>
      <c r="ONG67" s="3"/>
      <c r="ONH67" s="3"/>
      <c r="ONI67" s="3"/>
      <c r="ONJ67" s="3"/>
      <c r="ONK67" s="3"/>
      <c r="ONL67" s="3"/>
      <c r="ONM67" s="3"/>
      <c r="ONN67" s="3"/>
      <c r="ONO67" s="3"/>
      <c r="ONP67" s="3"/>
      <c r="ONQ67" s="3"/>
      <c r="ONR67" s="3"/>
      <c r="ONS67" s="3"/>
      <c r="ONT67" s="3"/>
      <c r="ONU67" s="3"/>
      <c r="ONV67" s="3"/>
      <c r="ONW67" s="3"/>
      <c r="ONX67" s="3"/>
      <c r="ONY67" s="3"/>
      <c r="ONZ67" s="3"/>
      <c r="OOA67" s="3"/>
      <c r="OOB67" s="3"/>
      <c r="OOC67" s="3"/>
      <c r="OOD67" s="3"/>
      <c r="OOE67" s="3"/>
      <c r="OOF67" s="3"/>
      <c r="OOG67" s="3"/>
      <c r="OOH67" s="3"/>
      <c r="OOI67" s="3"/>
      <c r="OOJ67" s="3"/>
      <c r="OOK67" s="3"/>
      <c r="OOL67" s="3"/>
      <c r="OOM67" s="3"/>
      <c r="OON67" s="3"/>
      <c r="OOO67" s="3"/>
      <c r="OOP67" s="3"/>
      <c r="OOQ67" s="3"/>
      <c r="OOR67" s="3"/>
      <c r="OOS67" s="3"/>
      <c r="OOT67" s="3"/>
      <c r="OOU67" s="3"/>
      <c r="OOV67" s="3"/>
      <c r="OOW67" s="3"/>
      <c r="OOX67" s="3"/>
      <c r="OOY67" s="3"/>
      <c r="OOZ67" s="3"/>
      <c r="OPA67" s="3"/>
      <c r="OPB67" s="3"/>
      <c r="OPC67" s="3"/>
      <c r="OPD67" s="3"/>
      <c r="OPE67" s="3"/>
      <c r="OPF67" s="3"/>
      <c r="OPG67" s="3"/>
      <c r="OPH67" s="3"/>
      <c r="OPI67" s="3"/>
      <c r="OPJ67" s="3"/>
      <c r="OPK67" s="3"/>
      <c r="OPL67" s="3"/>
      <c r="OPM67" s="3"/>
      <c r="OPN67" s="3"/>
      <c r="OPO67" s="3"/>
      <c r="OPP67" s="3"/>
      <c r="OPQ67" s="3"/>
      <c r="OPR67" s="3"/>
      <c r="OPS67" s="3"/>
      <c r="OPT67" s="3"/>
      <c r="OPU67" s="3"/>
      <c r="OPV67" s="3"/>
      <c r="OPW67" s="3"/>
      <c r="OPX67" s="3"/>
      <c r="OPY67" s="3"/>
      <c r="OPZ67" s="3"/>
      <c r="OQA67" s="3"/>
      <c r="OQB67" s="3"/>
      <c r="OQC67" s="3"/>
      <c r="OQD67" s="3"/>
      <c r="OQE67" s="3"/>
      <c r="OQF67" s="3"/>
      <c r="OQG67" s="3"/>
      <c r="OQH67" s="3"/>
      <c r="OQI67" s="3"/>
      <c r="OQJ67" s="3"/>
      <c r="OQK67" s="3"/>
      <c r="OQL67" s="3"/>
      <c r="OQM67" s="3"/>
      <c r="OQN67" s="3"/>
      <c r="OQO67" s="3"/>
      <c r="OQP67" s="3"/>
      <c r="OQQ67" s="3"/>
      <c r="OQR67" s="3"/>
      <c r="OQS67" s="3"/>
      <c r="OQT67" s="3"/>
      <c r="OQU67" s="3"/>
      <c r="OQV67" s="3"/>
      <c r="OQW67" s="3"/>
      <c r="OQX67" s="3"/>
      <c r="OQY67" s="3"/>
      <c r="OQZ67" s="3"/>
      <c r="ORA67" s="3"/>
      <c r="ORB67" s="3"/>
      <c r="ORC67" s="3"/>
      <c r="ORD67" s="3"/>
      <c r="ORE67" s="3"/>
      <c r="ORF67" s="3"/>
      <c r="ORG67" s="3"/>
      <c r="ORH67" s="3"/>
      <c r="ORI67" s="3"/>
      <c r="ORJ67" s="3"/>
      <c r="ORK67" s="3"/>
      <c r="ORL67" s="3"/>
      <c r="ORM67" s="3"/>
      <c r="ORN67" s="3"/>
      <c r="ORO67" s="3"/>
      <c r="ORP67" s="3"/>
      <c r="ORQ67" s="3"/>
      <c r="ORR67" s="3"/>
      <c r="ORS67" s="3"/>
      <c r="ORT67" s="3"/>
      <c r="ORU67" s="3"/>
      <c r="ORV67" s="3"/>
      <c r="ORW67" s="3"/>
      <c r="ORX67" s="3"/>
      <c r="ORY67" s="3"/>
      <c r="ORZ67" s="3"/>
      <c r="OSA67" s="3"/>
      <c r="OSB67" s="3"/>
      <c r="OSC67" s="3"/>
      <c r="OSD67" s="3"/>
      <c r="OSE67" s="3"/>
      <c r="OSF67" s="3"/>
      <c r="OSG67" s="3"/>
      <c r="OSH67" s="3"/>
      <c r="OSI67" s="3"/>
      <c r="OSJ67" s="3"/>
      <c r="OSK67" s="3"/>
      <c r="OSL67" s="3"/>
      <c r="OSM67" s="3"/>
      <c r="OSN67" s="3"/>
      <c r="OSO67" s="3"/>
      <c r="OSP67" s="3"/>
      <c r="OSQ67" s="3"/>
      <c r="OSR67" s="3"/>
      <c r="OSS67" s="3"/>
      <c r="OST67" s="3"/>
      <c r="OSU67" s="3"/>
      <c r="OSV67" s="3"/>
      <c r="OSW67" s="3"/>
      <c r="OSX67" s="3"/>
      <c r="OSY67" s="3"/>
      <c r="OSZ67" s="3"/>
      <c r="OTA67" s="3"/>
      <c r="OTB67" s="3"/>
      <c r="OTC67" s="3"/>
      <c r="OTD67" s="3"/>
      <c r="OTE67" s="3"/>
      <c r="OTF67" s="3"/>
      <c r="OTG67" s="3"/>
      <c r="OTH67" s="3"/>
      <c r="OTI67" s="3"/>
      <c r="OTJ67" s="3"/>
      <c r="OTK67" s="3"/>
      <c r="OTL67" s="3"/>
      <c r="OTM67" s="3"/>
      <c r="OTN67" s="3"/>
      <c r="OTO67" s="3"/>
      <c r="OTP67" s="3"/>
      <c r="OTQ67" s="3"/>
      <c r="OTR67" s="3"/>
      <c r="OTS67" s="3"/>
      <c r="OTT67" s="3"/>
      <c r="OTU67" s="3"/>
      <c r="OTV67" s="3"/>
      <c r="OTW67" s="3"/>
      <c r="OTX67" s="3"/>
      <c r="OTY67" s="3"/>
      <c r="OTZ67" s="3"/>
      <c r="OUA67" s="3"/>
      <c r="OUB67" s="3"/>
      <c r="OUC67" s="3"/>
      <c r="OUD67" s="3"/>
      <c r="OUE67" s="3"/>
      <c r="OUF67" s="3"/>
      <c r="OUG67" s="3"/>
      <c r="OUH67" s="3"/>
      <c r="OUI67" s="3"/>
      <c r="OUJ67" s="3"/>
      <c r="OUK67" s="3"/>
      <c r="OUL67" s="3"/>
      <c r="OUM67" s="3"/>
      <c r="OUN67" s="3"/>
      <c r="OUO67" s="3"/>
      <c r="OUP67" s="3"/>
      <c r="OUQ67" s="3"/>
      <c r="OUR67" s="3"/>
      <c r="OUS67" s="3"/>
      <c r="OUT67" s="3"/>
      <c r="OUU67" s="3"/>
      <c r="OUV67" s="3"/>
      <c r="OUW67" s="3"/>
      <c r="OUX67" s="3"/>
      <c r="OUY67" s="3"/>
      <c r="OUZ67" s="3"/>
      <c r="OVA67" s="3"/>
      <c r="OVB67" s="3"/>
      <c r="OVC67" s="3"/>
      <c r="OVD67" s="3"/>
      <c r="OVE67" s="3"/>
      <c r="OVF67" s="3"/>
      <c r="OVG67" s="3"/>
      <c r="OVH67" s="3"/>
      <c r="OVI67" s="3"/>
      <c r="OVJ67" s="3"/>
      <c r="OVK67" s="3"/>
      <c r="OVL67" s="3"/>
      <c r="OVM67" s="3"/>
      <c r="OVN67" s="3"/>
      <c r="OVO67" s="3"/>
      <c r="OVP67" s="3"/>
      <c r="OVQ67" s="3"/>
      <c r="OVR67" s="3"/>
      <c r="OVS67" s="3"/>
      <c r="OVT67" s="3"/>
      <c r="OVU67" s="3"/>
      <c r="OVV67" s="3"/>
      <c r="OVW67" s="3"/>
      <c r="OVX67" s="3"/>
      <c r="OVY67" s="3"/>
      <c r="OVZ67" s="3"/>
      <c r="OWA67" s="3"/>
      <c r="OWB67" s="3"/>
      <c r="OWC67" s="3"/>
      <c r="OWD67" s="3"/>
      <c r="OWE67" s="3"/>
      <c r="OWF67" s="3"/>
      <c r="OWG67" s="3"/>
      <c r="OWH67" s="3"/>
      <c r="OWI67" s="3"/>
      <c r="OWJ67" s="3"/>
      <c r="OWK67" s="3"/>
      <c r="OWL67" s="3"/>
      <c r="OWM67" s="3"/>
      <c r="OWN67" s="3"/>
      <c r="OWO67" s="3"/>
      <c r="OWP67" s="3"/>
      <c r="OWQ67" s="3"/>
      <c r="OWR67" s="3"/>
      <c r="OWS67" s="3"/>
      <c r="OWT67" s="3"/>
      <c r="OWU67" s="3"/>
      <c r="OWV67" s="3"/>
      <c r="OWW67" s="3"/>
      <c r="OWX67" s="3"/>
      <c r="OWY67" s="3"/>
      <c r="OWZ67" s="3"/>
      <c r="OXA67" s="3"/>
      <c r="OXB67" s="3"/>
      <c r="OXC67" s="3"/>
      <c r="OXD67" s="3"/>
      <c r="OXE67" s="3"/>
      <c r="OXF67" s="3"/>
      <c r="OXG67" s="3"/>
      <c r="OXH67" s="3"/>
      <c r="OXI67" s="3"/>
      <c r="OXJ67" s="3"/>
      <c r="OXK67" s="3"/>
      <c r="OXL67" s="3"/>
      <c r="OXM67" s="3"/>
      <c r="OXN67" s="3"/>
      <c r="OXO67" s="3"/>
      <c r="OXP67" s="3"/>
      <c r="OXQ67" s="3"/>
      <c r="OXR67" s="3"/>
      <c r="OXS67" s="3"/>
      <c r="OXT67" s="3"/>
      <c r="OXU67" s="3"/>
      <c r="OXV67" s="3"/>
      <c r="OXW67" s="3"/>
      <c r="OXX67" s="3"/>
      <c r="OXY67" s="3"/>
      <c r="OXZ67" s="3"/>
      <c r="OYA67" s="3"/>
      <c r="OYB67" s="3"/>
      <c r="OYC67" s="3"/>
      <c r="OYD67" s="3"/>
      <c r="OYE67" s="3"/>
      <c r="OYF67" s="3"/>
      <c r="OYG67" s="3"/>
      <c r="OYH67" s="3"/>
      <c r="OYI67" s="3"/>
      <c r="OYJ67" s="3"/>
      <c r="OYK67" s="3"/>
      <c r="OYL67" s="3"/>
      <c r="OYM67" s="3"/>
      <c r="OYN67" s="3"/>
      <c r="OYO67" s="3"/>
      <c r="OYP67" s="3"/>
      <c r="OYQ67" s="3"/>
      <c r="OYR67" s="3"/>
      <c r="OYS67" s="3"/>
      <c r="OYT67" s="3"/>
      <c r="OYU67" s="3"/>
      <c r="OYV67" s="3"/>
      <c r="OYW67" s="3"/>
      <c r="OYX67" s="3"/>
      <c r="OYY67" s="3"/>
      <c r="OYZ67" s="3"/>
      <c r="OZA67" s="3"/>
      <c r="OZB67" s="3"/>
      <c r="OZC67" s="3"/>
      <c r="OZD67" s="3"/>
      <c r="OZE67" s="3"/>
      <c r="OZF67" s="3"/>
      <c r="OZG67" s="3"/>
      <c r="OZH67" s="3"/>
      <c r="OZI67" s="3"/>
      <c r="OZJ67" s="3"/>
      <c r="OZK67" s="3"/>
      <c r="OZL67" s="3"/>
      <c r="OZM67" s="3"/>
      <c r="OZN67" s="3"/>
      <c r="OZO67" s="3"/>
      <c r="OZP67" s="3"/>
      <c r="OZQ67" s="3"/>
      <c r="OZR67" s="3"/>
      <c r="OZS67" s="3"/>
      <c r="OZT67" s="3"/>
      <c r="OZU67" s="3"/>
      <c r="OZV67" s="3"/>
      <c r="OZW67" s="3"/>
      <c r="OZX67" s="3"/>
      <c r="OZY67" s="3"/>
      <c r="OZZ67" s="3"/>
      <c r="PAA67" s="3"/>
      <c r="PAB67" s="3"/>
      <c r="PAC67" s="3"/>
      <c r="PAD67" s="3"/>
      <c r="PAE67" s="3"/>
      <c r="PAF67" s="3"/>
      <c r="PAG67" s="3"/>
      <c r="PAH67" s="3"/>
      <c r="PAI67" s="3"/>
      <c r="PAJ67" s="3"/>
      <c r="PAK67" s="3"/>
      <c r="PAL67" s="3"/>
      <c r="PAM67" s="3"/>
      <c r="PAN67" s="3"/>
      <c r="PAO67" s="3"/>
      <c r="PAP67" s="3"/>
      <c r="PAQ67" s="3"/>
      <c r="PAR67" s="3"/>
      <c r="PAS67" s="3"/>
      <c r="PAT67" s="3"/>
      <c r="PAU67" s="3"/>
      <c r="PAV67" s="3"/>
      <c r="PAW67" s="3"/>
      <c r="PAX67" s="3"/>
      <c r="PAY67" s="3"/>
      <c r="PAZ67" s="3"/>
      <c r="PBA67" s="3"/>
      <c r="PBB67" s="3"/>
      <c r="PBC67" s="3"/>
      <c r="PBD67" s="3"/>
      <c r="PBE67" s="3"/>
      <c r="PBF67" s="3"/>
      <c r="PBG67" s="3"/>
      <c r="PBH67" s="3"/>
      <c r="PBI67" s="3"/>
      <c r="PBJ67" s="3"/>
      <c r="PBK67" s="3"/>
      <c r="PBL67" s="3"/>
      <c r="PBM67" s="3"/>
      <c r="PBN67" s="3"/>
      <c r="PBO67" s="3"/>
      <c r="PBP67" s="3"/>
      <c r="PBQ67" s="3"/>
      <c r="PBR67" s="3"/>
      <c r="PBS67" s="3"/>
      <c r="PBT67" s="3"/>
      <c r="PBU67" s="3"/>
      <c r="PBV67" s="3"/>
      <c r="PBW67" s="3"/>
      <c r="PBX67" s="3"/>
      <c r="PBY67" s="3"/>
      <c r="PBZ67" s="3"/>
      <c r="PCA67" s="3"/>
      <c r="PCB67" s="3"/>
      <c r="PCC67" s="3"/>
      <c r="PCD67" s="3"/>
      <c r="PCE67" s="3"/>
      <c r="PCF67" s="3"/>
      <c r="PCG67" s="3"/>
      <c r="PCH67" s="3"/>
      <c r="PCI67" s="3"/>
      <c r="PCJ67" s="3"/>
      <c r="PCK67" s="3"/>
      <c r="PCL67" s="3"/>
      <c r="PCM67" s="3"/>
      <c r="PCN67" s="3"/>
      <c r="PCO67" s="3"/>
      <c r="PCP67" s="3"/>
      <c r="PCQ67" s="3"/>
      <c r="PCR67" s="3"/>
      <c r="PCS67" s="3"/>
      <c r="PCT67" s="3"/>
      <c r="PCU67" s="3"/>
      <c r="PCV67" s="3"/>
      <c r="PCW67" s="3"/>
      <c r="PCX67" s="3"/>
      <c r="PCY67" s="3"/>
      <c r="PCZ67" s="3"/>
      <c r="PDA67" s="3"/>
      <c r="PDB67" s="3"/>
      <c r="PDC67" s="3"/>
      <c r="PDD67" s="3"/>
      <c r="PDE67" s="3"/>
      <c r="PDF67" s="3"/>
      <c r="PDG67" s="3"/>
      <c r="PDH67" s="3"/>
      <c r="PDI67" s="3"/>
      <c r="PDJ67" s="3"/>
      <c r="PDK67" s="3"/>
      <c r="PDL67" s="3"/>
      <c r="PDM67" s="3"/>
      <c r="PDN67" s="3"/>
      <c r="PDO67" s="3"/>
      <c r="PDP67" s="3"/>
      <c r="PDQ67" s="3"/>
      <c r="PDR67" s="3"/>
      <c r="PDS67" s="3"/>
      <c r="PDT67" s="3"/>
      <c r="PDU67" s="3"/>
      <c r="PDV67" s="3"/>
      <c r="PDW67" s="3"/>
      <c r="PDX67" s="3"/>
      <c r="PDY67" s="3"/>
      <c r="PDZ67" s="3"/>
      <c r="PEA67" s="3"/>
      <c r="PEB67" s="3"/>
      <c r="PEC67" s="3"/>
      <c r="PED67" s="3"/>
      <c r="PEE67" s="3"/>
      <c r="PEF67" s="3"/>
      <c r="PEG67" s="3"/>
      <c r="PEH67" s="3"/>
      <c r="PEI67" s="3"/>
      <c r="PEJ67" s="3"/>
      <c r="PEK67" s="3"/>
      <c r="PEL67" s="3"/>
      <c r="PEM67" s="3"/>
      <c r="PEN67" s="3"/>
      <c r="PEO67" s="3"/>
      <c r="PEP67" s="3"/>
      <c r="PEQ67" s="3"/>
      <c r="PER67" s="3"/>
      <c r="PES67" s="3"/>
      <c r="PET67" s="3"/>
      <c r="PEU67" s="3"/>
      <c r="PEV67" s="3"/>
      <c r="PEW67" s="3"/>
      <c r="PEX67" s="3"/>
      <c r="PEY67" s="3"/>
      <c r="PEZ67" s="3"/>
      <c r="PFA67" s="3"/>
      <c r="PFB67" s="3"/>
      <c r="PFC67" s="3"/>
      <c r="PFD67" s="3"/>
      <c r="PFE67" s="3"/>
      <c r="PFF67" s="3"/>
      <c r="PFG67" s="3"/>
      <c r="PFH67" s="3"/>
      <c r="PFI67" s="3"/>
      <c r="PFJ67" s="3"/>
      <c r="PFK67" s="3"/>
      <c r="PFL67" s="3"/>
      <c r="PFM67" s="3"/>
      <c r="PFN67" s="3"/>
      <c r="PFO67" s="3"/>
      <c r="PFP67" s="3"/>
      <c r="PFQ67" s="3"/>
      <c r="PFR67" s="3"/>
      <c r="PFS67" s="3"/>
      <c r="PFT67" s="3"/>
      <c r="PFU67" s="3"/>
      <c r="PFV67" s="3"/>
      <c r="PFW67" s="3"/>
      <c r="PFX67" s="3"/>
      <c r="PFY67" s="3"/>
      <c r="PFZ67" s="3"/>
      <c r="PGA67" s="3"/>
      <c r="PGB67" s="3"/>
      <c r="PGC67" s="3"/>
      <c r="PGD67" s="3"/>
      <c r="PGE67" s="3"/>
      <c r="PGF67" s="3"/>
      <c r="PGG67" s="3"/>
      <c r="PGH67" s="3"/>
      <c r="PGI67" s="3"/>
      <c r="PGJ67" s="3"/>
      <c r="PGK67" s="3"/>
      <c r="PGL67" s="3"/>
      <c r="PGM67" s="3"/>
      <c r="PGN67" s="3"/>
      <c r="PGO67" s="3"/>
      <c r="PGP67" s="3"/>
      <c r="PGQ67" s="3"/>
      <c r="PGR67" s="3"/>
      <c r="PGS67" s="3"/>
      <c r="PGT67" s="3"/>
      <c r="PGU67" s="3"/>
      <c r="PGV67" s="3"/>
      <c r="PGW67" s="3"/>
      <c r="PGX67" s="3"/>
      <c r="PGY67" s="3"/>
      <c r="PGZ67" s="3"/>
      <c r="PHA67" s="3"/>
      <c r="PHB67" s="3"/>
      <c r="PHC67" s="3"/>
      <c r="PHD67" s="3"/>
      <c r="PHE67" s="3"/>
      <c r="PHF67" s="3"/>
      <c r="PHG67" s="3"/>
      <c r="PHH67" s="3"/>
      <c r="PHI67" s="3"/>
      <c r="PHJ67" s="3"/>
      <c r="PHK67" s="3"/>
      <c r="PHL67" s="3"/>
      <c r="PHM67" s="3"/>
      <c r="PHN67" s="3"/>
      <c r="PHO67" s="3"/>
      <c r="PHP67" s="3"/>
      <c r="PHQ67" s="3"/>
      <c r="PHR67" s="3"/>
      <c r="PHS67" s="3"/>
      <c r="PHT67" s="3"/>
      <c r="PHU67" s="3"/>
      <c r="PHV67" s="3"/>
      <c r="PHW67" s="3"/>
      <c r="PHX67" s="3"/>
      <c r="PHY67" s="3"/>
      <c r="PHZ67" s="3"/>
      <c r="PIA67" s="3"/>
      <c r="PIB67" s="3"/>
      <c r="PIC67" s="3"/>
      <c r="PID67" s="3"/>
      <c r="PIE67" s="3"/>
      <c r="PIF67" s="3"/>
      <c r="PIG67" s="3"/>
      <c r="PIH67" s="3"/>
      <c r="PII67" s="3"/>
      <c r="PIJ67" s="3"/>
      <c r="PIK67" s="3"/>
      <c r="PIL67" s="3"/>
      <c r="PIM67" s="3"/>
      <c r="PIN67" s="3"/>
      <c r="PIO67" s="3"/>
      <c r="PIP67" s="3"/>
      <c r="PIQ67" s="3"/>
      <c r="PIR67" s="3"/>
      <c r="PIS67" s="3"/>
      <c r="PIT67" s="3"/>
      <c r="PIU67" s="3"/>
      <c r="PIV67" s="3"/>
      <c r="PIW67" s="3"/>
      <c r="PIX67" s="3"/>
      <c r="PIY67" s="3"/>
      <c r="PIZ67" s="3"/>
      <c r="PJA67" s="3"/>
      <c r="PJB67" s="3"/>
      <c r="PJC67" s="3"/>
      <c r="PJD67" s="3"/>
      <c r="PJE67" s="3"/>
      <c r="PJF67" s="3"/>
      <c r="PJG67" s="3"/>
      <c r="PJH67" s="3"/>
      <c r="PJI67" s="3"/>
      <c r="PJJ67" s="3"/>
      <c r="PJK67" s="3"/>
      <c r="PJL67" s="3"/>
      <c r="PJM67" s="3"/>
      <c r="PJN67" s="3"/>
      <c r="PJO67" s="3"/>
      <c r="PJP67" s="3"/>
      <c r="PJQ67" s="3"/>
      <c r="PJR67" s="3"/>
      <c r="PJS67" s="3"/>
      <c r="PJT67" s="3"/>
      <c r="PJU67" s="3"/>
      <c r="PJV67" s="3"/>
      <c r="PJW67" s="3"/>
      <c r="PJX67" s="3"/>
      <c r="PJY67" s="3"/>
      <c r="PJZ67" s="3"/>
      <c r="PKA67" s="3"/>
      <c r="PKB67" s="3"/>
      <c r="PKC67" s="3"/>
      <c r="PKD67" s="3"/>
      <c r="PKE67" s="3"/>
      <c r="PKF67" s="3"/>
      <c r="PKG67" s="3"/>
      <c r="PKH67" s="3"/>
      <c r="PKI67" s="3"/>
      <c r="PKJ67" s="3"/>
      <c r="PKK67" s="3"/>
      <c r="PKL67" s="3"/>
      <c r="PKM67" s="3"/>
      <c r="PKN67" s="3"/>
      <c r="PKO67" s="3"/>
      <c r="PKP67" s="3"/>
      <c r="PKQ67" s="3"/>
      <c r="PKR67" s="3"/>
      <c r="PKS67" s="3"/>
      <c r="PKT67" s="3"/>
      <c r="PKU67" s="3"/>
      <c r="PKV67" s="3"/>
      <c r="PKW67" s="3"/>
      <c r="PKX67" s="3"/>
      <c r="PKY67" s="3"/>
      <c r="PKZ67" s="3"/>
      <c r="PLA67" s="3"/>
      <c r="PLB67" s="3"/>
      <c r="PLC67" s="3"/>
      <c r="PLD67" s="3"/>
      <c r="PLE67" s="3"/>
      <c r="PLF67" s="3"/>
      <c r="PLG67" s="3"/>
      <c r="PLH67" s="3"/>
      <c r="PLI67" s="3"/>
      <c r="PLJ67" s="3"/>
      <c r="PLK67" s="3"/>
      <c r="PLL67" s="3"/>
      <c r="PLM67" s="3"/>
      <c r="PLN67" s="3"/>
      <c r="PLO67" s="3"/>
      <c r="PLP67" s="3"/>
      <c r="PLQ67" s="3"/>
      <c r="PLR67" s="3"/>
      <c r="PLS67" s="3"/>
      <c r="PLT67" s="3"/>
      <c r="PLU67" s="3"/>
      <c r="PLV67" s="3"/>
      <c r="PLW67" s="3"/>
      <c r="PLX67" s="3"/>
      <c r="PLY67" s="3"/>
      <c r="PLZ67" s="3"/>
      <c r="PMA67" s="3"/>
      <c r="PMB67" s="3"/>
      <c r="PMC67" s="3"/>
      <c r="PMD67" s="3"/>
      <c r="PME67" s="3"/>
      <c r="PMF67" s="3"/>
      <c r="PMG67" s="3"/>
      <c r="PMH67" s="3"/>
      <c r="PMI67" s="3"/>
      <c r="PMJ67" s="3"/>
      <c r="PMK67" s="3"/>
      <c r="PML67" s="3"/>
      <c r="PMM67" s="3"/>
      <c r="PMN67" s="3"/>
      <c r="PMO67" s="3"/>
      <c r="PMP67" s="3"/>
      <c r="PMQ67" s="3"/>
      <c r="PMR67" s="3"/>
      <c r="PMS67" s="3"/>
      <c r="PMT67" s="3"/>
      <c r="PMU67" s="3"/>
      <c r="PMV67" s="3"/>
      <c r="PMW67" s="3"/>
      <c r="PMX67" s="3"/>
      <c r="PMY67" s="3"/>
      <c r="PMZ67" s="3"/>
      <c r="PNA67" s="3"/>
      <c r="PNB67" s="3"/>
      <c r="PNC67" s="3"/>
      <c r="PND67" s="3"/>
      <c r="PNE67" s="3"/>
      <c r="PNF67" s="3"/>
      <c r="PNG67" s="3"/>
      <c r="PNH67" s="3"/>
      <c r="PNI67" s="3"/>
      <c r="PNJ67" s="3"/>
      <c r="PNK67" s="3"/>
      <c r="PNL67" s="3"/>
      <c r="PNM67" s="3"/>
      <c r="PNN67" s="3"/>
      <c r="PNO67" s="3"/>
      <c r="PNP67" s="3"/>
      <c r="PNQ67" s="3"/>
      <c r="PNR67" s="3"/>
      <c r="PNS67" s="3"/>
      <c r="PNT67" s="3"/>
      <c r="PNU67" s="3"/>
      <c r="PNV67" s="3"/>
      <c r="PNW67" s="3"/>
      <c r="PNX67" s="3"/>
      <c r="PNY67" s="3"/>
      <c r="PNZ67" s="3"/>
      <c r="POA67" s="3"/>
      <c r="POB67" s="3"/>
      <c r="POC67" s="3"/>
      <c r="POD67" s="3"/>
      <c r="POE67" s="3"/>
      <c r="POF67" s="3"/>
      <c r="POG67" s="3"/>
      <c r="POH67" s="3"/>
      <c r="POI67" s="3"/>
      <c r="POJ67" s="3"/>
      <c r="POK67" s="3"/>
      <c r="POL67" s="3"/>
      <c r="POM67" s="3"/>
      <c r="PON67" s="3"/>
      <c r="POO67" s="3"/>
      <c r="POP67" s="3"/>
      <c r="POQ67" s="3"/>
      <c r="POR67" s="3"/>
      <c r="POS67" s="3"/>
      <c r="POT67" s="3"/>
      <c r="POU67" s="3"/>
      <c r="POV67" s="3"/>
      <c r="POW67" s="3"/>
      <c r="POX67" s="3"/>
      <c r="POY67" s="3"/>
      <c r="POZ67" s="3"/>
      <c r="PPA67" s="3"/>
      <c r="PPB67" s="3"/>
      <c r="PPC67" s="3"/>
      <c r="PPD67" s="3"/>
      <c r="PPE67" s="3"/>
      <c r="PPF67" s="3"/>
      <c r="PPG67" s="3"/>
      <c r="PPH67" s="3"/>
      <c r="PPI67" s="3"/>
      <c r="PPJ67" s="3"/>
      <c r="PPK67" s="3"/>
      <c r="PPL67" s="3"/>
      <c r="PPM67" s="3"/>
      <c r="PPN67" s="3"/>
      <c r="PPO67" s="3"/>
      <c r="PPP67" s="3"/>
      <c r="PPQ67" s="3"/>
      <c r="PPR67" s="3"/>
      <c r="PPS67" s="3"/>
      <c r="PPT67" s="3"/>
      <c r="PPU67" s="3"/>
      <c r="PPV67" s="3"/>
      <c r="PPW67" s="3"/>
      <c r="PPX67" s="3"/>
      <c r="PPY67" s="3"/>
      <c r="PPZ67" s="3"/>
      <c r="PQA67" s="3"/>
      <c r="PQB67" s="3"/>
      <c r="PQC67" s="3"/>
      <c r="PQD67" s="3"/>
      <c r="PQE67" s="3"/>
      <c r="PQF67" s="3"/>
      <c r="PQG67" s="3"/>
      <c r="PQH67" s="3"/>
      <c r="PQI67" s="3"/>
      <c r="PQJ67" s="3"/>
      <c r="PQK67" s="3"/>
      <c r="PQL67" s="3"/>
      <c r="PQM67" s="3"/>
      <c r="PQN67" s="3"/>
      <c r="PQO67" s="3"/>
      <c r="PQP67" s="3"/>
      <c r="PQQ67" s="3"/>
      <c r="PQR67" s="3"/>
      <c r="PQS67" s="3"/>
      <c r="PQT67" s="3"/>
      <c r="PQU67" s="3"/>
      <c r="PQV67" s="3"/>
      <c r="PQW67" s="3"/>
      <c r="PQX67" s="3"/>
      <c r="PQY67" s="3"/>
      <c r="PQZ67" s="3"/>
      <c r="PRA67" s="3"/>
      <c r="PRB67" s="3"/>
      <c r="PRC67" s="3"/>
      <c r="PRD67" s="3"/>
      <c r="PRE67" s="3"/>
      <c r="PRF67" s="3"/>
      <c r="PRG67" s="3"/>
      <c r="PRH67" s="3"/>
      <c r="PRI67" s="3"/>
      <c r="PRJ67" s="3"/>
      <c r="PRK67" s="3"/>
      <c r="PRL67" s="3"/>
      <c r="PRM67" s="3"/>
      <c r="PRN67" s="3"/>
      <c r="PRO67" s="3"/>
      <c r="PRP67" s="3"/>
      <c r="PRQ67" s="3"/>
      <c r="PRR67" s="3"/>
      <c r="PRS67" s="3"/>
      <c r="PRT67" s="3"/>
      <c r="PRU67" s="3"/>
      <c r="PRV67" s="3"/>
      <c r="PRW67" s="3"/>
      <c r="PRX67" s="3"/>
      <c r="PRY67" s="3"/>
      <c r="PRZ67" s="3"/>
      <c r="PSA67" s="3"/>
      <c r="PSB67" s="3"/>
      <c r="PSC67" s="3"/>
      <c r="PSD67" s="3"/>
      <c r="PSE67" s="3"/>
      <c r="PSF67" s="3"/>
      <c r="PSG67" s="3"/>
      <c r="PSH67" s="3"/>
      <c r="PSI67" s="3"/>
      <c r="PSJ67" s="3"/>
      <c r="PSK67" s="3"/>
      <c r="PSL67" s="3"/>
      <c r="PSM67" s="3"/>
      <c r="PSN67" s="3"/>
      <c r="PSO67" s="3"/>
      <c r="PSP67" s="3"/>
      <c r="PSQ67" s="3"/>
      <c r="PSR67" s="3"/>
      <c r="PSS67" s="3"/>
      <c r="PST67" s="3"/>
      <c r="PSU67" s="3"/>
      <c r="PSV67" s="3"/>
      <c r="PSW67" s="3"/>
      <c r="PSX67" s="3"/>
      <c r="PSY67" s="3"/>
      <c r="PSZ67" s="3"/>
      <c r="PTA67" s="3"/>
      <c r="PTB67" s="3"/>
      <c r="PTC67" s="3"/>
      <c r="PTD67" s="3"/>
      <c r="PTE67" s="3"/>
      <c r="PTF67" s="3"/>
      <c r="PTG67" s="3"/>
      <c r="PTH67" s="3"/>
      <c r="PTI67" s="3"/>
      <c r="PTJ67" s="3"/>
      <c r="PTK67" s="3"/>
      <c r="PTL67" s="3"/>
      <c r="PTM67" s="3"/>
      <c r="PTN67" s="3"/>
      <c r="PTO67" s="3"/>
      <c r="PTP67" s="3"/>
      <c r="PTQ67" s="3"/>
      <c r="PTR67" s="3"/>
      <c r="PTS67" s="3"/>
      <c r="PTT67" s="3"/>
      <c r="PTU67" s="3"/>
      <c r="PTV67" s="3"/>
      <c r="PTW67" s="3"/>
      <c r="PTX67" s="3"/>
      <c r="PTY67" s="3"/>
      <c r="PTZ67" s="3"/>
      <c r="PUA67" s="3"/>
      <c r="PUB67" s="3"/>
      <c r="PUC67" s="3"/>
      <c r="PUD67" s="3"/>
      <c r="PUE67" s="3"/>
      <c r="PUF67" s="3"/>
      <c r="PUG67" s="3"/>
      <c r="PUH67" s="3"/>
      <c r="PUI67" s="3"/>
      <c r="PUJ67" s="3"/>
      <c r="PUK67" s="3"/>
      <c r="PUL67" s="3"/>
      <c r="PUM67" s="3"/>
      <c r="PUN67" s="3"/>
      <c r="PUO67" s="3"/>
      <c r="PUP67" s="3"/>
      <c r="PUQ67" s="3"/>
      <c r="PUR67" s="3"/>
      <c r="PUS67" s="3"/>
      <c r="PUT67" s="3"/>
      <c r="PUU67" s="3"/>
      <c r="PUV67" s="3"/>
      <c r="PUW67" s="3"/>
      <c r="PUX67" s="3"/>
      <c r="PUY67" s="3"/>
      <c r="PUZ67" s="3"/>
      <c r="PVA67" s="3"/>
      <c r="PVB67" s="3"/>
      <c r="PVC67" s="3"/>
      <c r="PVD67" s="3"/>
      <c r="PVE67" s="3"/>
      <c r="PVF67" s="3"/>
      <c r="PVG67" s="3"/>
      <c r="PVH67" s="3"/>
      <c r="PVI67" s="3"/>
      <c r="PVJ67" s="3"/>
      <c r="PVK67" s="3"/>
      <c r="PVL67" s="3"/>
      <c r="PVM67" s="3"/>
      <c r="PVN67" s="3"/>
      <c r="PVO67" s="3"/>
      <c r="PVP67" s="3"/>
      <c r="PVQ67" s="3"/>
      <c r="PVR67" s="3"/>
      <c r="PVS67" s="3"/>
      <c r="PVT67" s="3"/>
      <c r="PVU67" s="3"/>
      <c r="PVV67" s="3"/>
      <c r="PVW67" s="3"/>
      <c r="PVX67" s="3"/>
      <c r="PVY67" s="3"/>
      <c r="PVZ67" s="3"/>
      <c r="PWA67" s="3"/>
      <c r="PWB67" s="3"/>
      <c r="PWC67" s="3"/>
      <c r="PWD67" s="3"/>
      <c r="PWE67" s="3"/>
      <c r="PWF67" s="3"/>
      <c r="PWG67" s="3"/>
      <c r="PWH67" s="3"/>
      <c r="PWI67" s="3"/>
      <c r="PWJ67" s="3"/>
      <c r="PWK67" s="3"/>
      <c r="PWL67" s="3"/>
      <c r="PWM67" s="3"/>
      <c r="PWN67" s="3"/>
      <c r="PWO67" s="3"/>
      <c r="PWP67" s="3"/>
      <c r="PWQ67" s="3"/>
      <c r="PWR67" s="3"/>
      <c r="PWS67" s="3"/>
      <c r="PWT67" s="3"/>
      <c r="PWU67" s="3"/>
      <c r="PWV67" s="3"/>
      <c r="PWW67" s="3"/>
      <c r="PWX67" s="3"/>
      <c r="PWY67" s="3"/>
      <c r="PWZ67" s="3"/>
      <c r="PXA67" s="3"/>
      <c r="PXB67" s="3"/>
      <c r="PXC67" s="3"/>
      <c r="PXD67" s="3"/>
      <c r="PXE67" s="3"/>
      <c r="PXF67" s="3"/>
      <c r="PXG67" s="3"/>
      <c r="PXH67" s="3"/>
      <c r="PXI67" s="3"/>
      <c r="PXJ67" s="3"/>
      <c r="PXK67" s="3"/>
      <c r="PXL67" s="3"/>
      <c r="PXM67" s="3"/>
      <c r="PXN67" s="3"/>
      <c r="PXO67" s="3"/>
      <c r="PXP67" s="3"/>
      <c r="PXQ67" s="3"/>
      <c r="PXR67" s="3"/>
      <c r="PXS67" s="3"/>
      <c r="PXT67" s="3"/>
      <c r="PXU67" s="3"/>
      <c r="PXV67" s="3"/>
      <c r="PXW67" s="3"/>
      <c r="PXX67" s="3"/>
      <c r="PXY67" s="3"/>
      <c r="PXZ67" s="3"/>
      <c r="PYA67" s="3"/>
      <c r="PYB67" s="3"/>
      <c r="PYC67" s="3"/>
      <c r="PYD67" s="3"/>
      <c r="PYE67" s="3"/>
      <c r="PYF67" s="3"/>
      <c r="PYG67" s="3"/>
      <c r="PYH67" s="3"/>
      <c r="PYI67" s="3"/>
      <c r="PYJ67" s="3"/>
      <c r="PYK67" s="3"/>
      <c r="PYL67" s="3"/>
      <c r="PYM67" s="3"/>
      <c r="PYN67" s="3"/>
      <c r="PYO67" s="3"/>
      <c r="PYP67" s="3"/>
      <c r="PYQ67" s="3"/>
      <c r="PYR67" s="3"/>
      <c r="PYS67" s="3"/>
      <c r="PYT67" s="3"/>
      <c r="PYU67" s="3"/>
      <c r="PYV67" s="3"/>
      <c r="PYW67" s="3"/>
      <c r="PYX67" s="3"/>
      <c r="PYY67" s="3"/>
      <c r="PYZ67" s="3"/>
      <c r="PZA67" s="3"/>
      <c r="PZB67" s="3"/>
      <c r="PZC67" s="3"/>
      <c r="PZD67" s="3"/>
      <c r="PZE67" s="3"/>
      <c r="PZF67" s="3"/>
      <c r="PZG67" s="3"/>
      <c r="PZH67" s="3"/>
      <c r="PZI67" s="3"/>
      <c r="PZJ67" s="3"/>
      <c r="PZK67" s="3"/>
      <c r="PZL67" s="3"/>
      <c r="PZM67" s="3"/>
      <c r="PZN67" s="3"/>
      <c r="PZO67" s="3"/>
      <c r="PZP67" s="3"/>
      <c r="PZQ67" s="3"/>
      <c r="PZR67" s="3"/>
      <c r="PZS67" s="3"/>
      <c r="PZT67" s="3"/>
      <c r="PZU67" s="3"/>
      <c r="PZV67" s="3"/>
      <c r="PZW67" s="3"/>
      <c r="PZX67" s="3"/>
      <c r="PZY67" s="3"/>
      <c r="PZZ67" s="3"/>
      <c r="QAA67" s="3"/>
      <c r="QAB67" s="3"/>
      <c r="QAC67" s="3"/>
      <c r="QAD67" s="3"/>
      <c r="QAE67" s="3"/>
      <c r="QAF67" s="3"/>
      <c r="QAG67" s="3"/>
      <c r="QAH67" s="3"/>
      <c r="QAI67" s="3"/>
      <c r="QAJ67" s="3"/>
      <c r="QAK67" s="3"/>
      <c r="QAL67" s="3"/>
      <c r="QAM67" s="3"/>
      <c r="QAN67" s="3"/>
      <c r="QAO67" s="3"/>
      <c r="QAP67" s="3"/>
      <c r="QAQ67" s="3"/>
      <c r="QAR67" s="3"/>
      <c r="QAS67" s="3"/>
      <c r="QAT67" s="3"/>
      <c r="QAU67" s="3"/>
      <c r="QAV67" s="3"/>
      <c r="QAW67" s="3"/>
      <c r="QAX67" s="3"/>
      <c r="QAY67" s="3"/>
      <c r="QAZ67" s="3"/>
      <c r="QBA67" s="3"/>
      <c r="QBB67" s="3"/>
      <c r="QBC67" s="3"/>
      <c r="QBD67" s="3"/>
      <c r="QBE67" s="3"/>
      <c r="QBF67" s="3"/>
      <c r="QBG67" s="3"/>
      <c r="QBH67" s="3"/>
      <c r="QBI67" s="3"/>
      <c r="QBJ67" s="3"/>
      <c r="QBK67" s="3"/>
      <c r="QBL67" s="3"/>
      <c r="QBM67" s="3"/>
      <c r="QBN67" s="3"/>
      <c r="QBO67" s="3"/>
      <c r="QBP67" s="3"/>
      <c r="QBQ67" s="3"/>
      <c r="QBR67" s="3"/>
      <c r="QBS67" s="3"/>
      <c r="QBT67" s="3"/>
      <c r="QBU67" s="3"/>
      <c r="QBV67" s="3"/>
      <c r="QBW67" s="3"/>
      <c r="QBX67" s="3"/>
      <c r="QBY67" s="3"/>
      <c r="QBZ67" s="3"/>
      <c r="QCA67" s="3"/>
      <c r="QCB67" s="3"/>
      <c r="QCC67" s="3"/>
      <c r="QCD67" s="3"/>
      <c r="QCE67" s="3"/>
      <c r="QCF67" s="3"/>
      <c r="QCG67" s="3"/>
      <c r="QCH67" s="3"/>
      <c r="QCI67" s="3"/>
      <c r="QCJ67" s="3"/>
      <c r="QCK67" s="3"/>
      <c r="QCL67" s="3"/>
      <c r="QCM67" s="3"/>
      <c r="QCN67" s="3"/>
      <c r="QCO67" s="3"/>
      <c r="QCP67" s="3"/>
      <c r="QCQ67" s="3"/>
      <c r="QCR67" s="3"/>
      <c r="QCS67" s="3"/>
      <c r="QCT67" s="3"/>
      <c r="QCU67" s="3"/>
      <c r="QCV67" s="3"/>
      <c r="QCW67" s="3"/>
      <c r="QCX67" s="3"/>
      <c r="QCY67" s="3"/>
      <c r="QCZ67" s="3"/>
      <c r="QDA67" s="3"/>
      <c r="QDB67" s="3"/>
      <c r="QDC67" s="3"/>
      <c r="QDD67" s="3"/>
      <c r="QDE67" s="3"/>
      <c r="QDF67" s="3"/>
      <c r="QDG67" s="3"/>
      <c r="QDH67" s="3"/>
      <c r="QDI67" s="3"/>
      <c r="QDJ67" s="3"/>
      <c r="QDK67" s="3"/>
      <c r="QDL67" s="3"/>
      <c r="QDM67" s="3"/>
      <c r="QDN67" s="3"/>
      <c r="QDO67" s="3"/>
      <c r="QDP67" s="3"/>
      <c r="QDQ67" s="3"/>
      <c r="QDR67" s="3"/>
      <c r="QDS67" s="3"/>
      <c r="QDT67" s="3"/>
      <c r="QDU67" s="3"/>
      <c r="QDV67" s="3"/>
      <c r="QDW67" s="3"/>
      <c r="QDX67" s="3"/>
      <c r="QDY67" s="3"/>
      <c r="QDZ67" s="3"/>
      <c r="QEA67" s="3"/>
      <c r="QEB67" s="3"/>
      <c r="QEC67" s="3"/>
      <c r="QED67" s="3"/>
      <c r="QEE67" s="3"/>
      <c r="QEF67" s="3"/>
      <c r="QEG67" s="3"/>
      <c r="QEH67" s="3"/>
      <c r="QEI67" s="3"/>
      <c r="QEJ67" s="3"/>
      <c r="QEK67" s="3"/>
      <c r="QEL67" s="3"/>
      <c r="QEM67" s="3"/>
      <c r="QEN67" s="3"/>
      <c r="QEO67" s="3"/>
      <c r="QEP67" s="3"/>
      <c r="QEQ67" s="3"/>
      <c r="QER67" s="3"/>
      <c r="QES67" s="3"/>
      <c r="QET67" s="3"/>
      <c r="QEU67" s="3"/>
      <c r="QEV67" s="3"/>
      <c r="QEW67" s="3"/>
      <c r="QEX67" s="3"/>
      <c r="QEY67" s="3"/>
      <c r="QEZ67" s="3"/>
      <c r="QFA67" s="3"/>
      <c r="QFB67" s="3"/>
      <c r="QFC67" s="3"/>
      <c r="QFD67" s="3"/>
      <c r="QFE67" s="3"/>
      <c r="QFF67" s="3"/>
      <c r="QFG67" s="3"/>
      <c r="QFH67" s="3"/>
      <c r="QFI67" s="3"/>
      <c r="QFJ67" s="3"/>
      <c r="QFK67" s="3"/>
      <c r="QFL67" s="3"/>
      <c r="QFM67" s="3"/>
      <c r="QFN67" s="3"/>
      <c r="QFO67" s="3"/>
      <c r="QFP67" s="3"/>
      <c r="QFQ67" s="3"/>
      <c r="QFR67" s="3"/>
      <c r="QFS67" s="3"/>
      <c r="QFT67" s="3"/>
      <c r="QFU67" s="3"/>
      <c r="QFV67" s="3"/>
      <c r="QFW67" s="3"/>
      <c r="QFX67" s="3"/>
      <c r="QFY67" s="3"/>
      <c r="QFZ67" s="3"/>
      <c r="QGA67" s="3"/>
      <c r="QGB67" s="3"/>
      <c r="QGC67" s="3"/>
      <c r="QGD67" s="3"/>
      <c r="QGE67" s="3"/>
      <c r="QGF67" s="3"/>
      <c r="QGG67" s="3"/>
      <c r="QGH67" s="3"/>
      <c r="QGI67" s="3"/>
      <c r="QGJ67" s="3"/>
      <c r="QGK67" s="3"/>
      <c r="QGL67" s="3"/>
      <c r="QGM67" s="3"/>
      <c r="QGN67" s="3"/>
      <c r="QGO67" s="3"/>
      <c r="QGP67" s="3"/>
      <c r="QGQ67" s="3"/>
      <c r="QGR67" s="3"/>
      <c r="QGS67" s="3"/>
      <c r="QGT67" s="3"/>
      <c r="QGU67" s="3"/>
      <c r="QGV67" s="3"/>
      <c r="QGW67" s="3"/>
      <c r="QGX67" s="3"/>
      <c r="QGY67" s="3"/>
      <c r="QGZ67" s="3"/>
      <c r="QHA67" s="3"/>
      <c r="QHB67" s="3"/>
      <c r="QHC67" s="3"/>
      <c r="QHD67" s="3"/>
      <c r="QHE67" s="3"/>
      <c r="QHF67" s="3"/>
      <c r="QHG67" s="3"/>
      <c r="QHH67" s="3"/>
      <c r="QHI67" s="3"/>
      <c r="QHJ67" s="3"/>
      <c r="QHK67" s="3"/>
      <c r="QHL67" s="3"/>
      <c r="QHM67" s="3"/>
      <c r="QHN67" s="3"/>
      <c r="QHO67" s="3"/>
      <c r="QHP67" s="3"/>
      <c r="QHQ67" s="3"/>
      <c r="QHR67" s="3"/>
      <c r="QHS67" s="3"/>
      <c r="QHT67" s="3"/>
      <c r="QHU67" s="3"/>
      <c r="QHV67" s="3"/>
      <c r="QHW67" s="3"/>
      <c r="QHX67" s="3"/>
      <c r="QHY67" s="3"/>
      <c r="QHZ67" s="3"/>
      <c r="QIA67" s="3"/>
      <c r="QIB67" s="3"/>
      <c r="QIC67" s="3"/>
      <c r="QID67" s="3"/>
      <c r="QIE67" s="3"/>
      <c r="QIF67" s="3"/>
      <c r="QIG67" s="3"/>
      <c r="QIH67" s="3"/>
      <c r="QII67" s="3"/>
      <c r="QIJ67" s="3"/>
      <c r="QIK67" s="3"/>
      <c r="QIL67" s="3"/>
      <c r="QIM67" s="3"/>
      <c r="QIN67" s="3"/>
      <c r="QIO67" s="3"/>
      <c r="QIP67" s="3"/>
      <c r="QIQ67" s="3"/>
      <c r="QIR67" s="3"/>
      <c r="QIS67" s="3"/>
      <c r="QIT67" s="3"/>
      <c r="QIU67" s="3"/>
      <c r="QIV67" s="3"/>
      <c r="QIW67" s="3"/>
      <c r="QIX67" s="3"/>
      <c r="QIY67" s="3"/>
      <c r="QIZ67" s="3"/>
      <c r="QJA67" s="3"/>
      <c r="QJB67" s="3"/>
      <c r="QJC67" s="3"/>
      <c r="QJD67" s="3"/>
      <c r="QJE67" s="3"/>
      <c r="QJF67" s="3"/>
      <c r="QJG67" s="3"/>
      <c r="QJH67" s="3"/>
      <c r="QJI67" s="3"/>
      <c r="QJJ67" s="3"/>
      <c r="QJK67" s="3"/>
      <c r="QJL67" s="3"/>
      <c r="QJM67" s="3"/>
      <c r="QJN67" s="3"/>
      <c r="QJO67" s="3"/>
      <c r="QJP67" s="3"/>
      <c r="QJQ67" s="3"/>
      <c r="QJR67" s="3"/>
      <c r="QJS67" s="3"/>
      <c r="QJT67" s="3"/>
      <c r="QJU67" s="3"/>
      <c r="QJV67" s="3"/>
      <c r="QJW67" s="3"/>
      <c r="QJX67" s="3"/>
      <c r="QJY67" s="3"/>
      <c r="QJZ67" s="3"/>
      <c r="QKA67" s="3"/>
      <c r="QKB67" s="3"/>
      <c r="QKC67" s="3"/>
      <c r="QKD67" s="3"/>
      <c r="QKE67" s="3"/>
      <c r="QKF67" s="3"/>
      <c r="QKG67" s="3"/>
      <c r="QKH67" s="3"/>
      <c r="QKI67" s="3"/>
      <c r="QKJ67" s="3"/>
      <c r="QKK67" s="3"/>
      <c r="QKL67" s="3"/>
      <c r="QKM67" s="3"/>
      <c r="QKN67" s="3"/>
      <c r="QKO67" s="3"/>
      <c r="QKP67" s="3"/>
      <c r="QKQ67" s="3"/>
      <c r="QKR67" s="3"/>
      <c r="QKS67" s="3"/>
      <c r="QKT67" s="3"/>
      <c r="QKU67" s="3"/>
      <c r="QKV67" s="3"/>
      <c r="QKW67" s="3"/>
      <c r="QKX67" s="3"/>
      <c r="QKY67" s="3"/>
      <c r="QKZ67" s="3"/>
      <c r="QLA67" s="3"/>
      <c r="QLB67" s="3"/>
      <c r="QLC67" s="3"/>
      <c r="QLD67" s="3"/>
      <c r="QLE67" s="3"/>
      <c r="QLF67" s="3"/>
      <c r="QLG67" s="3"/>
      <c r="QLH67" s="3"/>
      <c r="QLI67" s="3"/>
      <c r="QLJ67" s="3"/>
      <c r="QLK67" s="3"/>
      <c r="QLL67" s="3"/>
      <c r="QLM67" s="3"/>
      <c r="QLN67" s="3"/>
      <c r="QLO67" s="3"/>
      <c r="QLP67" s="3"/>
      <c r="QLQ67" s="3"/>
      <c r="QLR67" s="3"/>
      <c r="QLS67" s="3"/>
      <c r="QLT67" s="3"/>
      <c r="QLU67" s="3"/>
      <c r="QLV67" s="3"/>
      <c r="QLW67" s="3"/>
      <c r="QLX67" s="3"/>
      <c r="QLY67" s="3"/>
      <c r="QLZ67" s="3"/>
      <c r="QMA67" s="3"/>
      <c r="QMB67" s="3"/>
      <c r="QMC67" s="3"/>
      <c r="QMD67" s="3"/>
      <c r="QME67" s="3"/>
      <c r="QMF67" s="3"/>
      <c r="QMG67" s="3"/>
      <c r="QMH67" s="3"/>
      <c r="QMI67" s="3"/>
      <c r="QMJ67" s="3"/>
      <c r="QMK67" s="3"/>
      <c r="QML67" s="3"/>
      <c r="QMM67" s="3"/>
      <c r="QMN67" s="3"/>
      <c r="QMO67" s="3"/>
      <c r="QMP67" s="3"/>
      <c r="QMQ67" s="3"/>
      <c r="QMR67" s="3"/>
      <c r="QMS67" s="3"/>
      <c r="QMT67" s="3"/>
      <c r="QMU67" s="3"/>
      <c r="QMV67" s="3"/>
      <c r="QMW67" s="3"/>
      <c r="QMX67" s="3"/>
      <c r="QMY67" s="3"/>
      <c r="QMZ67" s="3"/>
      <c r="QNA67" s="3"/>
      <c r="QNB67" s="3"/>
      <c r="QNC67" s="3"/>
      <c r="QND67" s="3"/>
      <c r="QNE67" s="3"/>
      <c r="QNF67" s="3"/>
      <c r="QNG67" s="3"/>
      <c r="QNH67" s="3"/>
      <c r="QNI67" s="3"/>
      <c r="QNJ67" s="3"/>
      <c r="QNK67" s="3"/>
      <c r="QNL67" s="3"/>
      <c r="QNM67" s="3"/>
      <c r="QNN67" s="3"/>
      <c r="QNO67" s="3"/>
      <c r="QNP67" s="3"/>
      <c r="QNQ67" s="3"/>
      <c r="QNR67" s="3"/>
      <c r="QNS67" s="3"/>
      <c r="QNT67" s="3"/>
      <c r="QNU67" s="3"/>
      <c r="QNV67" s="3"/>
      <c r="QNW67" s="3"/>
      <c r="QNX67" s="3"/>
      <c r="QNY67" s="3"/>
      <c r="QNZ67" s="3"/>
      <c r="QOA67" s="3"/>
      <c r="QOB67" s="3"/>
      <c r="QOC67" s="3"/>
      <c r="QOD67" s="3"/>
      <c r="QOE67" s="3"/>
      <c r="QOF67" s="3"/>
      <c r="QOG67" s="3"/>
      <c r="QOH67" s="3"/>
      <c r="QOI67" s="3"/>
      <c r="QOJ67" s="3"/>
      <c r="QOK67" s="3"/>
      <c r="QOL67" s="3"/>
      <c r="QOM67" s="3"/>
      <c r="QON67" s="3"/>
      <c r="QOO67" s="3"/>
      <c r="QOP67" s="3"/>
      <c r="QOQ67" s="3"/>
      <c r="QOR67" s="3"/>
      <c r="QOS67" s="3"/>
      <c r="QOT67" s="3"/>
      <c r="QOU67" s="3"/>
      <c r="QOV67" s="3"/>
      <c r="QOW67" s="3"/>
      <c r="QOX67" s="3"/>
      <c r="QOY67" s="3"/>
      <c r="QOZ67" s="3"/>
      <c r="QPA67" s="3"/>
      <c r="QPB67" s="3"/>
      <c r="QPC67" s="3"/>
      <c r="QPD67" s="3"/>
      <c r="QPE67" s="3"/>
      <c r="QPF67" s="3"/>
      <c r="QPG67" s="3"/>
      <c r="QPH67" s="3"/>
      <c r="QPI67" s="3"/>
      <c r="QPJ67" s="3"/>
      <c r="QPK67" s="3"/>
      <c r="QPL67" s="3"/>
      <c r="QPM67" s="3"/>
      <c r="QPN67" s="3"/>
      <c r="QPO67" s="3"/>
      <c r="QPP67" s="3"/>
      <c r="QPQ67" s="3"/>
      <c r="QPR67" s="3"/>
      <c r="QPS67" s="3"/>
      <c r="QPT67" s="3"/>
      <c r="QPU67" s="3"/>
      <c r="QPV67" s="3"/>
      <c r="QPW67" s="3"/>
      <c r="QPX67" s="3"/>
      <c r="QPY67" s="3"/>
      <c r="QPZ67" s="3"/>
      <c r="QQA67" s="3"/>
      <c r="QQB67" s="3"/>
      <c r="QQC67" s="3"/>
      <c r="QQD67" s="3"/>
      <c r="QQE67" s="3"/>
      <c r="QQF67" s="3"/>
      <c r="QQG67" s="3"/>
      <c r="QQH67" s="3"/>
      <c r="QQI67" s="3"/>
      <c r="QQJ67" s="3"/>
      <c r="QQK67" s="3"/>
      <c r="QQL67" s="3"/>
      <c r="QQM67" s="3"/>
      <c r="QQN67" s="3"/>
      <c r="QQO67" s="3"/>
      <c r="QQP67" s="3"/>
      <c r="QQQ67" s="3"/>
      <c r="QQR67" s="3"/>
      <c r="QQS67" s="3"/>
      <c r="QQT67" s="3"/>
      <c r="QQU67" s="3"/>
      <c r="QQV67" s="3"/>
      <c r="QQW67" s="3"/>
      <c r="QQX67" s="3"/>
      <c r="QQY67" s="3"/>
      <c r="QQZ67" s="3"/>
      <c r="QRA67" s="3"/>
      <c r="QRB67" s="3"/>
      <c r="QRC67" s="3"/>
      <c r="QRD67" s="3"/>
      <c r="QRE67" s="3"/>
      <c r="QRF67" s="3"/>
      <c r="QRG67" s="3"/>
      <c r="QRH67" s="3"/>
      <c r="QRI67" s="3"/>
      <c r="QRJ67" s="3"/>
      <c r="QRK67" s="3"/>
      <c r="QRL67" s="3"/>
      <c r="QRM67" s="3"/>
      <c r="QRN67" s="3"/>
      <c r="QRO67" s="3"/>
      <c r="QRP67" s="3"/>
      <c r="QRQ67" s="3"/>
      <c r="QRR67" s="3"/>
      <c r="QRS67" s="3"/>
      <c r="QRT67" s="3"/>
      <c r="QRU67" s="3"/>
      <c r="QRV67" s="3"/>
      <c r="QRW67" s="3"/>
      <c r="QRX67" s="3"/>
      <c r="QRY67" s="3"/>
      <c r="QRZ67" s="3"/>
      <c r="QSA67" s="3"/>
      <c r="QSB67" s="3"/>
      <c r="QSC67" s="3"/>
      <c r="QSD67" s="3"/>
      <c r="QSE67" s="3"/>
      <c r="QSF67" s="3"/>
      <c r="QSG67" s="3"/>
      <c r="QSH67" s="3"/>
      <c r="QSI67" s="3"/>
      <c r="QSJ67" s="3"/>
      <c r="QSK67" s="3"/>
      <c r="QSL67" s="3"/>
      <c r="QSM67" s="3"/>
      <c r="QSN67" s="3"/>
      <c r="QSO67" s="3"/>
      <c r="QSP67" s="3"/>
      <c r="QSQ67" s="3"/>
      <c r="QSR67" s="3"/>
      <c r="QSS67" s="3"/>
      <c r="QST67" s="3"/>
      <c r="QSU67" s="3"/>
      <c r="QSV67" s="3"/>
      <c r="QSW67" s="3"/>
      <c r="QSX67" s="3"/>
      <c r="QSY67" s="3"/>
      <c r="QSZ67" s="3"/>
      <c r="QTA67" s="3"/>
      <c r="QTB67" s="3"/>
      <c r="QTC67" s="3"/>
      <c r="QTD67" s="3"/>
      <c r="QTE67" s="3"/>
      <c r="QTF67" s="3"/>
      <c r="QTG67" s="3"/>
      <c r="QTH67" s="3"/>
      <c r="QTI67" s="3"/>
      <c r="QTJ67" s="3"/>
      <c r="QTK67" s="3"/>
      <c r="QTL67" s="3"/>
      <c r="QTM67" s="3"/>
      <c r="QTN67" s="3"/>
      <c r="QTO67" s="3"/>
      <c r="QTP67" s="3"/>
      <c r="QTQ67" s="3"/>
      <c r="QTR67" s="3"/>
      <c r="QTS67" s="3"/>
      <c r="QTT67" s="3"/>
      <c r="QTU67" s="3"/>
      <c r="QTV67" s="3"/>
      <c r="QTW67" s="3"/>
      <c r="QTX67" s="3"/>
      <c r="QTY67" s="3"/>
      <c r="QTZ67" s="3"/>
      <c r="QUA67" s="3"/>
      <c r="QUB67" s="3"/>
      <c r="QUC67" s="3"/>
      <c r="QUD67" s="3"/>
      <c r="QUE67" s="3"/>
      <c r="QUF67" s="3"/>
      <c r="QUG67" s="3"/>
      <c r="QUH67" s="3"/>
      <c r="QUI67" s="3"/>
      <c r="QUJ67" s="3"/>
      <c r="QUK67" s="3"/>
      <c r="QUL67" s="3"/>
      <c r="QUM67" s="3"/>
      <c r="QUN67" s="3"/>
      <c r="QUO67" s="3"/>
      <c r="QUP67" s="3"/>
      <c r="QUQ67" s="3"/>
      <c r="QUR67" s="3"/>
      <c r="QUS67" s="3"/>
      <c r="QUT67" s="3"/>
      <c r="QUU67" s="3"/>
      <c r="QUV67" s="3"/>
      <c r="QUW67" s="3"/>
      <c r="QUX67" s="3"/>
      <c r="QUY67" s="3"/>
      <c r="QUZ67" s="3"/>
      <c r="QVA67" s="3"/>
      <c r="QVB67" s="3"/>
      <c r="QVC67" s="3"/>
      <c r="QVD67" s="3"/>
      <c r="QVE67" s="3"/>
      <c r="QVF67" s="3"/>
      <c r="QVG67" s="3"/>
      <c r="QVH67" s="3"/>
      <c r="QVI67" s="3"/>
      <c r="QVJ67" s="3"/>
      <c r="QVK67" s="3"/>
      <c r="QVL67" s="3"/>
      <c r="QVM67" s="3"/>
      <c r="QVN67" s="3"/>
      <c r="QVO67" s="3"/>
      <c r="QVP67" s="3"/>
      <c r="QVQ67" s="3"/>
      <c r="QVR67" s="3"/>
      <c r="QVS67" s="3"/>
      <c r="QVT67" s="3"/>
      <c r="QVU67" s="3"/>
      <c r="QVV67" s="3"/>
      <c r="QVW67" s="3"/>
      <c r="QVX67" s="3"/>
      <c r="QVY67" s="3"/>
      <c r="QVZ67" s="3"/>
      <c r="QWA67" s="3"/>
      <c r="QWB67" s="3"/>
      <c r="QWC67" s="3"/>
      <c r="QWD67" s="3"/>
      <c r="QWE67" s="3"/>
      <c r="QWF67" s="3"/>
      <c r="QWG67" s="3"/>
      <c r="QWH67" s="3"/>
      <c r="QWI67" s="3"/>
      <c r="QWJ67" s="3"/>
      <c r="QWK67" s="3"/>
      <c r="QWL67" s="3"/>
      <c r="QWM67" s="3"/>
      <c r="QWN67" s="3"/>
      <c r="QWO67" s="3"/>
      <c r="QWP67" s="3"/>
      <c r="QWQ67" s="3"/>
      <c r="QWR67" s="3"/>
      <c r="QWS67" s="3"/>
      <c r="QWT67" s="3"/>
      <c r="QWU67" s="3"/>
      <c r="QWV67" s="3"/>
      <c r="QWW67" s="3"/>
      <c r="QWX67" s="3"/>
      <c r="QWY67" s="3"/>
      <c r="QWZ67" s="3"/>
      <c r="QXA67" s="3"/>
      <c r="QXB67" s="3"/>
      <c r="QXC67" s="3"/>
      <c r="QXD67" s="3"/>
      <c r="QXE67" s="3"/>
      <c r="QXF67" s="3"/>
      <c r="QXG67" s="3"/>
      <c r="QXH67" s="3"/>
      <c r="QXI67" s="3"/>
      <c r="QXJ67" s="3"/>
      <c r="QXK67" s="3"/>
      <c r="QXL67" s="3"/>
      <c r="QXM67" s="3"/>
      <c r="QXN67" s="3"/>
      <c r="QXO67" s="3"/>
      <c r="QXP67" s="3"/>
      <c r="QXQ67" s="3"/>
      <c r="QXR67" s="3"/>
      <c r="QXS67" s="3"/>
      <c r="QXT67" s="3"/>
      <c r="QXU67" s="3"/>
      <c r="QXV67" s="3"/>
      <c r="QXW67" s="3"/>
      <c r="QXX67" s="3"/>
      <c r="QXY67" s="3"/>
      <c r="QXZ67" s="3"/>
      <c r="QYA67" s="3"/>
      <c r="QYB67" s="3"/>
      <c r="QYC67" s="3"/>
      <c r="QYD67" s="3"/>
      <c r="QYE67" s="3"/>
      <c r="QYF67" s="3"/>
      <c r="QYG67" s="3"/>
      <c r="QYH67" s="3"/>
      <c r="QYI67" s="3"/>
      <c r="QYJ67" s="3"/>
      <c r="QYK67" s="3"/>
      <c r="QYL67" s="3"/>
      <c r="QYM67" s="3"/>
      <c r="QYN67" s="3"/>
      <c r="QYO67" s="3"/>
      <c r="QYP67" s="3"/>
      <c r="QYQ67" s="3"/>
      <c r="QYR67" s="3"/>
      <c r="QYS67" s="3"/>
      <c r="QYT67" s="3"/>
      <c r="QYU67" s="3"/>
      <c r="QYV67" s="3"/>
      <c r="QYW67" s="3"/>
      <c r="QYX67" s="3"/>
      <c r="QYY67" s="3"/>
      <c r="QYZ67" s="3"/>
      <c r="QZA67" s="3"/>
      <c r="QZB67" s="3"/>
      <c r="QZC67" s="3"/>
      <c r="QZD67" s="3"/>
      <c r="QZE67" s="3"/>
      <c r="QZF67" s="3"/>
      <c r="QZG67" s="3"/>
      <c r="QZH67" s="3"/>
      <c r="QZI67" s="3"/>
      <c r="QZJ67" s="3"/>
      <c r="QZK67" s="3"/>
      <c r="QZL67" s="3"/>
      <c r="QZM67" s="3"/>
      <c r="QZN67" s="3"/>
      <c r="QZO67" s="3"/>
      <c r="QZP67" s="3"/>
      <c r="QZQ67" s="3"/>
      <c r="QZR67" s="3"/>
      <c r="QZS67" s="3"/>
      <c r="QZT67" s="3"/>
      <c r="QZU67" s="3"/>
      <c r="QZV67" s="3"/>
      <c r="QZW67" s="3"/>
      <c r="QZX67" s="3"/>
      <c r="QZY67" s="3"/>
      <c r="QZZ67" s="3"/>
      <c r="RAA67" s="3"/>
      <c r="RAB67" s="3"/>
      <c r="RAC67" s="3"/>
      <c r="RAD67" s="3"/>
      <c r="RAE67" s="3"/>
      <c r="RAF67" s="3"/>
      <c r="RAG67" s="3"/>
      <c r="RAH67" s="3"/>
      <c r="RAI67" s="3"/>
      <c r="RAJ67" s="3"/>
      <c r="RAK67" s="3"/>
      <c r="RAL67" s="3"/>
      <c r="RAM67" s="3"/>
      <c r="RAN67" s="3"/>
      <c r="RAO67" s="3"/>
      <c r="RAP67" s="3"/>
      <c r="RAQ67" s="3"/>
      <c r="RAR67" s="3"/>
      <c r="RAS67" s="3"/>
      <c r="RAT67" s="3"/>
      <c r="RAU67" s="3"/>
      <c r="RAV67" s="3"/>
      <c r="RAW67" s="3"/>
      <c r="RAX67" s="3"/>
      <c r="RAY67" s="3"/>
      <c r="RAZ67" s="3"/>
      <c r="RBA67" s="3"/>
      <c r="RBB67" s="3"/>
      <c r="RBC67" s="3"/>
      <c r="RBD67" s="3"/>
      <c r="RBE67" s="3"/>
      <c r="RBF67" s="3"/>
      <c r="RBG67" s="3"/>
      <c r="RBH67" s="3"/>
      <c r="RBI67" s="3"/>
      <c r="RBJ67" s="3"/>
      <c r="RBK67" s="3"/>
      <c r="RBL67" s="3"/>
      <c r="RBM67" s="3"/>
      <c r="RBN67" s="3"/>
      <c r="RBO67" s="3"/>
      <c r="RBP67" s="3"/>
      <c r="RBQ67" s="3"/>
      <c r="RBR67" s="3"/>
      <c r="RBS67" s="3"/>
      <c r="RBT67" s="3"/>
      <c r="RBU67" s="3"/>
      <c r="RBV67" s="3"/>
      <c r="RBW67" s="3"/>
      <c r="RBX67" s="3"/>
      <c r="RBY67" s="3"/>
      <c r="RBZ67" s="3"/>
      <c r="RCA67" s="3"/>
      <c r="RCB67" s="3"/>
      <c r="RCC67" s="3"/>
      <c r="RCD67" s="3"/>
      <c r="RCE67" s="3"/>
      <c r="RCF67" s="3"/>
      <c r="RCG67" s="3"/>
      <c r="RCH67" s="3"/>
      <c r="RCI67" s="3"/>
      <c r="RCJ67" s="3"/>
      <c r="RCK67" s="3"/>
      <c r="RCL67" s="3"/>
      <c r="RCM67" s="3"/>
      <c r="RCN67" s="3"/>
      <c r="RCO67" s="3"/>
      <c r="RCP67" s="3"/>
      <c r="RCQ67" s="3"/>
      <c r="RCR67" s="3"/>
      <c r="RCS67" s="3"/>
      <c r="RCT67" s="3"/>
      <c r="RCU67" s="3"/>
      <c r="RCV67" s="3"/>
      <c r="RCW67" s="3"/>
      <c r="RCX67" s="3"/>
      <c r="RCY67" s="3"/>
      <c r="RCZ67" s="3"/>
      <c r="RDA67" s="3"/>
      <c r="RDB67" s="3"/>
      <c r="RDC67" s="3"/>
      <c r="RDD67" s="3"/>
      <c r="RDE67" s="3"/>
      <c r="RDF67" s="3"/>
      <c r="RDG67" s="3"/>
      <c r="RDH67" s="3"/>
      <c r="RDI67" s="3"/>
      <c r="RDJ67" s="3"/>
      <c r="RDK67" s="3"/>
      <c r="RDL67" s="3"/>
      <c r="RDM67" s="3"/>
      <c r="RDN67" s="3"/>
      <c r="RDO67" s="3"/>
      <c r="RDP67" s="3"/>
      <c r="RDQ67" s="3"/>
      <c r="RDR67" s="3"/>
      <c r="RDS67" s="3"/>
      <c r="RDT67" s="3"/>
      <c r="RDU67" s="3"/>
      <c r="RDV67" s="3"/>
      <c r="RDW67" s="3"/>
      <c r="RDX67" s="3"/>
      <c r="RDY67" s="3"/>
      <c r="RDZ67" s="3"/>
      <c r="REA67" s="3"/>
      <c r="REB67" s="3"/>
      <c r="REC67" s="3"/>
      <c r="RED67" s="3"/>
      <c r="REE67" s="3"/>
      <c r="REF67" s="3"/>
      <c r="REG67" s="3"/>
      <c r="REH67" s="3"/>
      <c r="REI67" s="3"/>
      <c r="REJ67" s="3"/>
      <c r="REK67" s="3"/>
      <c r="REL67" s="3"/>
      <c r="REM67" s="3"/>
      <c r="REN67" s="3"/>
      <c r="REO67" s="3"/>
      <c r="REP67" s="3"/>
      <c r="REQ67" s="3"/>
      <c r="RER67" s="3"/>
      <c r="RES67" s="3"/>
      <c r="RET67" s="3"/>
      <c r="REU67" s="3"/>
      <c r="REV67" s="3"/>
      <c r="REW67" s="3"/>
      <c r="REX67" s="3"/>
      <c r="REY67" s="3"/>
      <c r="REZ67" s="3"/>
      <c r="RFA67" s="3"/>
      <c r="RFB67" s="3"/>
      <c r="RFC67" s="3"/>
      <c r="RFD67" s="3"/>
      <c r="RFE67" s="3"/>
      <c r="RFF67" s="3"/>
      <c r="RFG67" s="3"/>
      <c r="RFH67" s="3"/>
      <c r="RFI67" s="3"/>
      <c r="RFJ67" s="3"/>
      <c r="RFK67" s="3"/>
      <c r="RFL67" s="3"/>
      <c r="RFM67" s="3"/>
      <c r="RFN67" s="3"/>
      <c r="RFO67" s="3"/>
      <c r="RFP67" s="3"/>
      <c r="RFQ67" s="3"/>
      <c r="RFR67" s="3"/>
      <c r="RFS67" s="3"/>
      <c r="RFT67" s="3"/>
      <c r="RFU67" s="3"/>
      <c r="RFV67" s="3"/>
      <c r="RFW67" s="3"/>
      <c r="RFX67" s="3"/>
      <c r="RFY67" s="3"/>
      <c r="RFZ67" s="3"/>
      <c r="RGA67" s="3"/>
      <c r="RGB67" s="3"/>
      <c r="RGC67" s="3"/>
      <c r="RGD67" s="3"/>
      <c r="RGE67" s="3"/>
      <c r="RGF67" s="3"/>
      <c r="RGG67" s="3"/>
      <c r="RGH67" s="3"/>
      <c r="RGI67" s="3"/>
      <c r="RGJ67" s="3"/>
      <c r="RGK67" s="3"/>
      <c r="RGL67" s="3"/>
      <c r="RGM67" s="3"/>
      <c r="RGN67" s="3"/>
      <c r="RGO67" s="3"/>
      <c r="RGP67" s="3"/>
      <c r="RGQ67" s="3"/>
      <c r="RGR67" s="3"/>
      <c r="RGS67" s="3"/>
      <c r="RGT67" s="3"/>
      <c r="RGU67" s="3"/>
      <c r="RGV67" s="3"/>
      <c r="RGW67" s="3"/>
      <c r="RGX67" s="3"/>
      <c r="RGY67" s="3"/>
      <c r="RGZ67" s="3"/>
      <c r="RHA67" s="3"/>
      <c r="RHB67" s="3"/>
      <c r="RHC67" s="3"/>
      <c r="RHD67" s="3"/>
      <c r="RHE67" s="3"/>
      <c r="RHF67" s="3"/>
      <c r="RHG67" s="3"/>
      <c r="RHH67" s="3"/>
      <c r="RHI67" s="3"/>
      <c r="RHJ67" s="3"/>
      <c r="RHK67" s="3"/>
      <c r="RHL67" s="3"/>
      <c r="RHM67" s="3"/>
      <c r="RHN67" s="3"/>
      <c r="RHO67" s="3"/>
      <c r="RHP67" s="3"/>
      <c r="RHQ67" s="3"/>
      <c r="RHR67" s="3"/>
      <c r="RHS67" s="3"/>
      <c r="RHT67" s="3"/>
      <c r="RHU67" s="3"/>
      <c r="RHV67" s="3"/>
      <c r="RHW67" s="3"/>
      <c r="RHX67" s="3"/>
      <c r="RHY67" s="3"/>
      <c r="RHZ67" s="3"/>
      <c r="RIA67" s="3"/>
      <c r="RIB67" s="3"/>
      <c r="RIC67" s="3"/>
      <c r="RID67" s="3"/>
      <c r="RIE67" s="3"/>
      <c r="RIF67" s="3"/>
      <c r="RIG67" s="3"/>
      <c r="RIH67" s="3"/>
      <c r="RII67" s="3"/>
      <c r="RIJ67" s="3"/>
      <c r="RIK67" s="3"/>
      <c r="RIL67" s="3"/>
      <c r="RIM67" s="3"/>
      <c r="RIN67" s="3"/>
      <c r="RIO67" s="3"/>
      <c r="RIP67" s="3"/>
      <c r="RIQ67" s="3"/>
      <c r="RIR67" s="3"/>
      <c r="RIS67" s="3"/>
      <c r="RIT67" s="3"/>
      <c r="RIU67" s="3"/>
      <c r="RIV67" s="3"/>
      <c r="RIW67" s="3"/>
      <c r="RIX67" s="3"/>
      <c r="RIY67" s="3"/>
      <c r="RIZ67" s="3"/>
      <c r="RJA67" s="3"/>
      <c r="RJB67" s="3"/>
      <c r="RJC67" s="3"/>
      <c r="RJD67" s="3"/>
      <c r="RJE67" s="3"/>
      <c r="RJF67" s="3"/>
      <c r="RJG67" s="3"/>
      <c r="RJH67" s="3"/>
      <c r="RJI67" s="3"/>
      <c r="RJJ67" s="3"/>
      <c r="RJK67" s="3"/>
      <c r="RJL67" s="3"/>
      <c r="RJM67" s="3"/>
      <c r="RJN67" s="3"/>
      <c r="RJO67" s="3"/>
      <c r="RJP67" s="3"/>
      <c r="RJQ67" s="3"/>
      <c r="RJR67" s="3"/>
      <c r="RJS67" s="3"/>
      <c r="RJT67" s="3"/>
      <c r="RJU67" s="3"/>
      <c r="RJV67" s="3"/>
      <c r="RJW67" s="3"/>
      <c r="RJX67" s="3"/>
      <c r="RJY67" s="3"/>
      <c r="RJZ67" s="3"/>
      <c r="RKA67" s="3"/>
      <c r="RKB67" s="3"/>
      <c r="RKC67" s="3"/>
      <c r="RKD67" s="3"/>
      <c r="RKE67" s="3"/>
      <c r="RKF67" s="3"/>
      <c r="RKG67" s="3"/>
      <c r="RKH67" s="3"/>
      <c r="RKI67" s="3"/>
      <c r="RKJ67" s="3"/>
      <c r="RKK67" s="3"/>
      <c r="RKL67" s="3"/>
      <c r="RKM67" s="3"/>
      <c r="RKN67" s="3"/>
      <c r="RKO67" s="3"/>
      <c r="RKP67" s="3"/>
      <c r="RKQ67" s="3"/>
      <c r="RKR67" s="3"/>
      <c r="RKS67" s="3"/>
      <c r="RKT67" s="3"/>
      <c r="RKU67" s="3"/>
      <c r="RKV67" s="3"/>
      <c r="RKW67" s="3"/>
      <c r="RKX67" s="3"/>
      <c r="RKY67" s="3"/>
      <c r="RKZ67" s="3"/>
      <c r="RLA67" s="3"/>
      <c r="RLB67" s="3"/>
      <c r="RLC67" s="3"/>
      <c r="RLD67" s="3"/>
      <c r="RLE67" s="3"/>
      <c r="RLF67" s="3"/>
      <c r="RLG67" s="3"/>
      <c r="RLH67" s="3"/>
      <c r="RLI67" s="3"/>
      <c r="RLJ67" s="3"/>
      <c r="RLK67" s="3"/>
      <c r="RLL67" s="3"/>
      <c r="RLM67" s="3"/>
      <c r="RLN67" s="3"/>
      <c r="RLO67" s="3"/>
      <c r="RLP67" s="3"/>
      <c r="RLQ67" s="3"/>
      <c r="RLR67" s="3"/>
      <c r="RLS67" s="3"/>
      <c r="RLT67" s="3"/>
      <c r="RLU67" s="3"/>
      <c r="RLV67" s="3"/>
      <c r="RLW67" s="3"/>
      <c r="RLX67" s="3"/>
      <c r="RLY67" s="3"/>
      <c r="RLZ67" s="3"/>
      <c r="RMA67" s="3"/>
      <c r="RMB67" s="3"/>
      <c r="RMC67" s="3"/>
      <c r="RMD67" s="3"/>
      <c r="RME67" s="3"/>
      <c r="RMF67" s="3"/>
      <c r="RMG67" s="3"/>
      <c r="RMH67" s="3"/>
      <c r="RMI67" s="3"/>
      <c r="RMJ67" s="3"/>
      <c r="RMK67" s="3"/>
      <c r="RML67" s="3"/>
      <c r="RMM67" s="3"/>
      <c r="RMN67" s="3"/>
      <c r="RMO67" s="3"/>
      <c r="RMP67" s="3"/>
      <c r="RMQ67" s="3"/>
      <c r="RMR67" s="3"/>
      <c r="RMS67" s="3"/>
      <c r="RMT67" s="3"/>
      <c r="RMU67" s="3"/>
      <c r="RMV67" s="3"/>
      <c r="RMW67" s="3"/>
      <c r="RMX67" s="3"/>
      <c r="RMY67" s="3"/>
      <c r="RMZ67" s="3"/>
      <c r="RNA67" s="3"/>
      <c r="RNB67" s="3"/>
      <c r="RNC67" s="3"/>
      <c r="RND67" s="3"/>
      <c r="RNE67" s="3"/>
      <c r="RNF67" s="3"/>
      <c r="RNG67" s="3"/>
      <c r="RNH67" s="3"/>
      <c r="RNI67" s="3"/>
      <c r="RNJ67" s="3"/>
      <c r="RNK67" s="3"/>
      <c r="RNL67" s="3"/>
      <c r="RNM67" s="3"/>
      <c r="RNN67" s="3"/>
      <c r="RNO67" s="3"/>
      <c r="RNP67" s="3"/>
      <c r="RNQ67" s="3"/>
      <c r="RNR67" s="3"/>
      <c r="RNS67" s="3"/>
      <c r="RNT67" s="3"/>
      <c r="RNU67" s="3"/>
      <c r="RNV67" s="3"/>
      <c r="RNW67" s="3"/>
      <c r="RNX67" s="3"/>
      <c r="RNY67" s="3"/>
      <c r="RNZ67" s="3"/>
      <c r="ROA67" s="3"/>
      <c r="ROB67" s="3"/>
      <c r="ROC67" s="3"/>
      <c r="ROD67" s="3"/>
      <c r="ROE67" s="3"/>
      <c r="ROF67" s="3"/>
      <c r="ROG67" s="3"/>
      <c r="ROH67" s="3"/>
      <c r="ROI67" s="3"/>
      <c r="ROJ67" s="3"/>
      <c r="ROK67" s="3"/>
      <c r="ROL67" s="3"/>
      <c r="ROM67" s="3"/>
      <c r="RON67" s="3"/>
      <c r="ROO67" s="3"/>
      <c r="ROP67" s="3"/>
      <c r="ROQ67" s="3"/>
      <c r="ROR67" s="3"/>
      <c r="ROS67" s="3"/>
      <c r="ROT67" s="3"/>
      <c r="ROU67" s="3"/>
      <c r="ROV67" s="3"/>
      <c r="ROW67" s="3"/>
      <c r="ROX67" s="3"/>
      <c r="ROY67" s="3"/>
      <c r="ROZ67" s="3"/>
      <c r="RPA67" s="3"/>
      <c r="RPB67" s="3"/>
      <c r="RPC67" s="3"/>
      <c r="RPD67" s="3"/>
      <c r="RPE67" s="3"/>
      <c r="RPF67" s="3"/>
      <c r="RPG67" s="3"/>
      <c r="RPH67" s="3"/>
      <c r="RPI67" s="3"/>
      <c r="RPJ67" s="3"/>
      <c r="RPK67" s="3"/>
      <c r="RPL67" s="3"/>
      <c r="RPM67" s="3"/>
      <c r="RPN67" s="3"/>
      <c r="RPO67" s="3"/>
      <c r="RPP67" s="3"/>
      <c r="RPQ67" s="3"/>
      <c r="RPR67" s="3"/>
      <c r="RPS67" s="3"/>
      <c r="RPT67" s="3"/>
      <c r="RPU67" s="3"/>
      <c r="RPV67" s="3"/>
      <c r="RPW67" s="3"/>
      <c r="RPX67" s="3"/>
      <c r="RPY67" s="3"/>
      <c r="RPZ67" s="3"/>
      <c r="RQA67" s="3"/>
      <c r="RQB67" s="3"/>
      <c r="RQC67" s="3"/>
      <c r="RQD67" s="3"/>
      <c r="RQE67" s="3"/>
      <c r="RQF67" s="3"/>
      <c r="RQG67" s="3"/>
      <c r="RQH67" s="3"/>
      <c r="RQI67" s="3"/>
      <c r="RQJ67" s="3"/>
      <c r="RQK67" s="3"/>
      <c r="RQL67" s="3"/>
      <c r="RQM67" s="3"/>
      <c r="RQN67" s="3"/>
      <c r="RQO67" s="3"/>
      <c r="RQP67" s="3"/>
      <c r="RQQ67" s="3"/>
      <c r="RQR67" s="3"/>
      <c r="RQS67" s="3"/>
      <c r="RQT67" s="3"/>
      <c r="RQU67" s="3"/>
      <c r="RQV67" s="3"/>
      <c r="RQW67" s="3"/>
      <c r="RQX67" s="3"/>
      <c r="RQY67" s="3"/>
      <c r="RQZ67" s="3"/>
      <c r="RRA67" s="3"/>
      <c r="RRB67" s="3"/>
      <c r="RRC67" s="3"/>
      <c r="RRD67" s="3"/>
      <c r="RRE67" s="3"/>
      <c r="RRF67" s="3"/>
      <c r="RRG67" s="3"/>
      <c r="RRH67" s="3"/>
      <c r="RRI67" s="3"/>
      <c r="RRJ67" s="3"/>
      <c r="RRK67" s="3"/>
      <c r="RRL67" s="3"/>
      <c r="RRM67" s="3"/>
      <c r="RRN67" s="3"/>
      <c r="RRO67" s="3"/>
      <c r="RRP67" s="3"/>
      <c r="RRQ67" s="3"/>
      <c r="RRR67" s="3"/>
      <c r="RRS67" s="3"/>
      <c r="RRT67" s="3"/>
      <c r="RRU67" s="3"/>
      <c r="RRV67" s="3"/>
      <c r="RRW67" s="3"/>
      <c r="RRX67" s="3"/>
      <c r="RRY67" s="3"/>
      <c r="RRZ67" s="3"/>
      <c r="RSA67" s="3"/>
      <c r="RSB67" s="3"/>
      <c r="RSC67" s="3"/>
      <c r="RSD67" s="3"/>
      <c r="RSE67" s="3"/>
      <c r="RSF67" s="3"/>
      <c r="RSG67" s="3"/>
      <c r="RSH67" s="3"/>
      <c r="RSI67" s="3"/>
      <c r="RSJ67" s="3"/>
      <c r="RSK67" s="3"/>
      <c r="RSL67" s="3"/>
      <c r="RSM67" s="3"/>
      <c r="RSN67" s="3"/>
      <c r="RSO67" s="3"/>
      <c r="RSP67" s="3"/>
      <c r="RSQ67" s="3"/>
      <c r="RSR67" s="3"/>
      <c r="RSS67" s="3"/>
      <c r="RST67" s="3"/>
      <c r="RSU67" s="3"/>
      <c r="RSV67" s="3"/>
      <c r="RSW67" s="3"/>
      <c r="RSX67" s="3"/>
      <c r="RSY67" s="3"/>
      <c r="RSZ67" s="3"/>
      <c r="RTA67" s="3"/>
      <c r="RTB67" s="3"/>
      <c r="RTC67" s="3"/>
      <c r="RTD67" s="3"/>
      <c r="RTE67" s="3"/>
      <c r="RTF67" s="3"/>
      <c r="RTG67" s="3"/>
      <c r="RTH67" s="3"/>
      <c r="RTI67" s="3"/>
      <c r="RTJ67" s="3"/>
      <c r="RTK67" s="3"/>
      <c r="RTL67" s="3"/>
      <c r="RTM67" s="3"/>
      <c r="RTN67" s="3"/>
      <c r="RTO67" s="3"/>
      <c r="RTP67" s="3"/>
      <c r="RTQ67" s="3"/>
      <c r="RTR67" s="3"/>
      <c r="RTS67" s="3"/>
      <c r="RTT67" s="3"/>
      <c r="RTU67" s="3"/>
      <c r="RTV67" s="3"/>
      <c r="RTW67" s="3"/>
      <c r="RTX67" s="3"/>
      <c r="RTY67" s="3"/>
      <c r="RTZ67" s="3"/>
      <c r="RUA67" s="3"/>
      <c r="RUB67" s="3"/>
      <c r="RUC67" s="3"/>
      <c r="RUD67" s="3"/>
      <c r="RUE67" s="3"/>
      <c r="RUF67" s="3"/>
      <c r="RUG67" s="3"/>
      <c r="RUH67" s="3"/>
      <c r="RUI67" s="3"/>
      <c r="RUJ67" s="3"/>
      <c r="RUK67" s="3"/>
      <c r="RUL67" s="3"/>
      <c r="RUM67" s="3"/>
      <c r="RUN67" s="3"/>
      <c r="RUO67" s="3"/>
      <c r="RUP67" s="3"/>
      <c r="RUQ67" s="3"/>
      <c r="RUR67" s="3"/>
      <c r="RUS67" s="3"/>
      <c r="RUT67" s="3"/>
      <c r="RUU67" s="3"/>
      <c r="RUV67" s="3"/>
      <c r="RUW67" s="3"/>
      <c r="RUX67" s="3"/>
      <c r="RUY67" s="3"/>
      <c r="RUZ67" s="3"/>
      <c r="RVA67" s="3"/>
      <c r="RVB67" s="3"/>
      <c r="RVC67" s="3"/>
      <c r="RVD67" s="3"/>
      <c r="RVE67" s="3"/>
      <c r="RVF67" s="3"/>
      <c r="RVG67" s="3"/>
      <c r="RVH67" s="3"/>
      <c r="RVI67" s="3"/>
      <c r="RVJ67" s="3"/>
      <c r="RVK67" s="3"/>
      <c r="RVL67" s="3"/>
      <c r="RVM67" s="3"/>
      <c r="RVN67" s="3"/>
      <c r="RVO67" s="3"/>
      <c r="RVP67" s="3"/>
      <c r="RVQ67" s="3"/>
      <c r="RVR67" s="3"/>
      <c r="RVS67" s="3"/>
      <c r="RVT67" s="3"/>
      <c r="RVU67" s="3"/>
      <c r="RVV67" s="3"/>
      <c r="RVW67" s="3"/>
      <c r="RVX67" s="3"/>
      <c r="RVY67" s="3"/>
      <c r="RVZ67" s="3"/>
      <c r="RWA67" s="3"/>
      <c r="RWB67" s="3"/>
      <c r="RWC67" s="3"/>
      <c r="RWD67" s="3"/>
      <c r="RWE67" s="3"/>
      <c r="RWF67" s="3"/>
      <c r="RWG67" s="3"/>
      <c r="RWH67" s="3"/>
      <c r="RWI67" s="3"/>
      <c r="RWJ67" s="3"/>
      <c r="RWK67" s="3"/>
      <c r="RWL67" s="3"/>
      <c r="RWM67" s="3"/>
      <c r="RWN67" s="3"/>
      <c r="RWO67" s="3"/>
      <c r="RWP67" s="3"/>
      <c r="RWQ67" s="3"/>
      <c r="RWR67" s="3"/>
      <c r="RWS67" s="3"/>
      <c r="RWT67" s="3"/>
      <c r="RWU67" s="3"/>
      <c r="RWV67" s="3"/>
      <c r="RWW67" s="3"/>
      <c r="RWX67" s="3"/>
      <c r="RWY67" s="3"/>
      <c r="RWZ67" s="3"/>
      <c r="RXA67" s="3"/>
      <c r="RXB67" s="3"/>
      <c r="RXC67" s="3"/>
      <c r="RXD67" s="3"/>
      <c r="RXE67" s="3"/>
      <c r="RXF67" s="3"/>
      <c r="RXG67" s="3"/>
      <c r="RXH67" s="3"/>
      <c r="RXI67" s="3"/>
      <c r="RXJ67" s="3"/>
      <c r="RXK67" s="3"/>
      <c r="RXL67" s="3"/>
      <c r="RXM67" s="3"/>
      <c r="RXN67" s="3"/>
      <c r="RXO67" s="3"/>
      <c r="RXP67" s="3"/>
      <c r="RXQ67" s="3"/>
      <c r="RXR67" s="3"/>
      <c r="RXS67" s="3"/>
      <c r="RXT67" s="3"/>
      <c r="RXU67" s="3"/>
      <c r="RXV67" s="3"/>
      <c r="RXW67" s="3"/>
      <c r="RXX67" s="3"/>
      <c r="RXY67" s="3"/>
      <c r="RXZ67" s="3"/>
      <c r="RYA67" s="3"/>
      <c r="RYB67" s="3"/>
      <c r="RYC67" s="3"/>
      <c r="RYD67" s="3"/>
      <c r="RYE67" s="3"/>
      <c r="RYF67" s="3"/>
      <c r="RYG67" s="3"/>
      <c r="RYH67" s="3"/>
      <c r="RYI67" s="3"/>
      <c r="RYJ67" s="3"/>
      <c r="RYK67" s="3"/>
      <c r="RYL67" s="3"/>
      <c r="RYM67" s="3"/>
      <c r="RYN67" s="3"/>
      <c r="RYO67" s="3"/>
      <c r="RYP67" s="3"/>
      <c r="RYQ67" s="3"/>
      <c r="RYR67" s="3"/>
      <c r="RYS67" s="3"/>
      <c r="RYT67" s="3"/>
      <c r="RYU67" s="3"/>
      <c r="RYV67" s="3"/>
      <c r="RYW67" s="3"/>
      <c r="RYX67" s="3"/>
      <c r="RYY67" s="3"/>
      <c r="RYZ67" s="3"/>
      <c r="RZA67" s="3"/>
      <c r="RZB67" s="3"/>
      <c r="RZC67" s="3"/>
      <c r="RZD67" s="3"/>
      <c r="RZE67" s="3"/>
      <c r="RZF67" s="3"/>
      <c r="RZG67" s="3"/>
      <c r="RZH67" s="3"/>
      <c r="RZI67" s="3"/>
      <c r="RZJ67" s="3"/>
      <c r="RZK67" s="3"/>
      <c r="RZL67" s="3"/>
      <c r="RZM67" s="3"/>
      <c r="RZN67" s="3"/>
      <c r="RZO67" s="3"/>
      <c r="RZP67" s="3"/>
      <c r="RZQ67" s="3"/>
      <c r="RZR67" s="3"/>
      <c r="RZS67" s="3"/>
      <c r="RZT67" s="3"/>
      <c r="RZU67" s="3"/>
      <c r="RZV67" s="3"/>
      <c r="RZW67" s="3"/>
      <c r="RZX67" s="3"/>
      <c r="RZY67" s="3"/>
      <c r="RZZ67" s="3"/>
      <c r="SAA67" s="3"/>
      <c r="SAB67" s="3"/>
      <c r="SAC67" s="3"/>
      <c r="SAD67" s="3"/>
      <c r="SAE67" s="3"/>
      <c r="SAF67" s="3"/>
      <c r="SAG67" s="3"/>
      <c r="SAH67" s="3"/>
      <c r="SAI67" s="3"/>
      <c r="SAJ67" s="3"/>
      <c r="SAK67" s="3"/>
      <c r="SAL67" s="3"/>
      <c r="SAM67" s="3"/>
      <c r="SAN67" s="3"/>
      <c r="SAO67" s="3"/>
      <c r="SAP67" s="3"/>
      <c r="SAQ67" s="3"/>
      <c r="SAR67" s="3"/>
      <c r="SAS67" s="3"/>
      <c r="SAT67" s="3"/>
      <c r="SAU67" s="3"/>
      <c r="SAV67" s="3"/>
      <c r="SAW67" s="3"/>
      <c r="SAX67" s="3"/>
      <c r="SAY67" s="3"/>
      <c r="SAZ67" s="3"/>
      <c r="SBA67" s="3"/>
      <c r="SBB67" s="3"/>
      <c r="SBC67" s="3"/>
      <c r="SBD67" s="3"/>
      <c r="SBE67" s="3"/>
      <c r="SBF67" s="3"/>
      <c r="SBG67" s="3"/>
      <c r="SBH67" s="3"/>
      <c r="SBI67" s="3"/>
      <c r="SBJ67" s="3"/>
      <c r="SBK67" s="3"/>
      <c r="SBL67" s="3"/>
      <c r="SBM67" s="3"/>
      <c r="SBN67" s="3"/>
      <c r="SBO67" s="3"/>
      <c r="SBP67" s="3"/>
      <c r="SBQ67" s="3"/>
      <c r="SBR67" s="3"/>
      <c r="SBS67" s="3"/>
      <c r="SBT67" s="3"/>
      <c r="SBU67" s="3"/>
      <c r="SBV67" s="3"/>
      <c r="SBW67" s="3"/>
      <c r="SBX67" s="3"/>
      <c r="SBY67" s="3"/>
      <c r="SBZ67" s="3"/>
      <c r="SCA67" s="3"/>
      <c r="SCB67" s="3"/>
      <c r="SCC67" s="3"/>
      <c r="SCD67" s="3"/>
      <c r="SCE67" s="3"/>
      <c r="SCF67" s="3"/>
      <c r="SCG67" s="3"/>
      <c r="SCH67" s="3"/>
      <c r="SCI67" s="3"/>
      <c r="SCJ67" s="3"/>
      <c r="SCK67" s="3"/>
      <c r="SCL67" s="3"/>
      <c r="SCM67" s="3"/>
      <c r="SCN67" s="3"/>
      <c r="SCO67" s="3"/>
      <c r="SCP67" s="3"/>
      <c r="SCQ67" s="3"/>
      <c r="SCR67" s="3"/>
      <c r="SCS67" s="3"/>
      <c r="SCT67" s="3"/>
      <c r="SCU67" s="3"/>
      <c r="SCV67" s="3"/>
      <c r="SCW67" s="3"/>
      <c r="SCX67" s="3"/>
      <c r="SCY67" s="3"/>
      <c r="SCZ67" s="3"/>
      <c r="SDA67" s="3"/>
      <c r="SDB67" s="3"/>
      <c r="SDC67" s="3"/>
      <c r="SDD67" s="3"/>
      <c r="SDE67" s="3"/>
      <c r="SDF67" s="3"/>
      <c r="SDG67" s="3"/>
      <c r="SDH67" s="3"/>
      <c r="SDI67" s="3"/>
      <c r="SDJ67" s="3"/>
      <c r="SDK67" s="3"/>
      <c r="SDL67" s="3"/>
      <c r="SDM67" s="3"/>
      <c r="SDN67" s="3"/>
      <c r="SDO67" s="3"/>
      <c r="SDP67" s="3"/>
      <c r="SDQ67" s="3"/>
      <c r="SDR67" s="3"/>
      <c r="SDS67" s="3"/>
      <c r="SDT67" s="3"/>
      <c r="SDU67" s="3"/>
      <c r="SDV67" s="3"/>
      <c r="SDW67" s="3"/>
      <c r="SDX67" s="3"/>
      <c r="SDY67" s="3"/>
      <c r="SDZ67" s="3"/>
      <c r="SEA67" s="3"/>
      <c r="SEB67" s="3"/>
      <c r="SEC67" s="3"/>
      <c r="SED67" s="3"/>
      <c r="SEE67" s="3"/>
      <c r="SEF67" s="3"/>
      <c r="SEG67" s="3"/>
      <c r="SEH67" s="3"/>
      <c r="SEI67" s="3"/>
      <c r="SEJ67" s="3"/>
      <c r="SEK67" s="3"/>
      <c r="SEL67" s="3"/>
      <c r="SEM67" s="3"/>
      <c r="SEN67" s="3"/>
      <c r="SEO67" s="3"/>
      <c r="SEP67" s="3"/>
      <c r="SEQ67" s="3"/>
      <c r="SER67" s="3"/>
      <c r="SES67" s="3"/>
      <c r="SET67" s="3"/>
      <c r="SEU67" s="3"/>
      <c r="SEV67" s="3"/>
      <c r="SEW67" s="3"/>
      <c r="SEX67" s="3"/>
      <c r="SEY67" s="3"/>
      <c r="SEZ67" s="3"/>
      <c r="SFA67" s="3"/>
      <c r="SFB67" s="3"/>
      <c r="SFC67" s="3"/>
      <c r="SFD67" s="3"/>
      <c r="SFE67" s="3"/>
      <c r="SFF67" s="3"/>
      <c r="SFG67" s="3"/>
      <c r="SFH67" s="3"/>
      <c r="SFI67" s="3"/>
      <c r="SFJ67" s="3"/>
      <c r="SFK67" s="3"/>
      <c r="SFL67" s="3"/>
      <c r="SFM67" s="3"/>
      <c r="SFN67" s="3"/>
      <c r="SFO67" s="3"/>
      <c r="SFP67" s="3"/>
      <c r="SFQ67" s="3"/>
      <c r="SFR67" s="3"/>
      <c r="SFS67" s="3"/>
      <c r="SFT67" s="3"/>
      <c r="SFU67" s="3"/>
      <c r="SFV67" s="3"/>
      <c r="SFW67" s="3"/>
      <c r="SFX67" s="3"/>
      <c r="SFY67" s="3"/>
      <c r="SFZ67" s="3"/>
      <c r="SGA67" s="3"/>
      <c r="SGB67" s="3"/>
      <c r="SGC67" s="3"/>
      <c r="SGD67" s="3"/>
      <c r="SGE67" s="3"/>
      <c r="SGF67" s="3"/>
      <c r="SGG67" s="3"/>
      <c r="SGH67" s="3"/>
      <c r="SGI67" s="3"/>
      <c r="SGJ67" s="3"/>
      <c r="SGK67" s="3"/>
      <c r="SGL67" s="3"/>
      <c r="SGM67" s="3"/>
      <c r="SGN67" s="3"/>
      <c r="SGO67" s="3"/>
      <c r="SGP67" s="3"/>
      <c r="SGQ67" s="3"/>
      <c r="SGR67" s="3"/>
      <c r="SGS67" s="3"/>
      <c r="SGT67" s="3"/>
      <c r="SGU67" s="3"/>
      <c r="SGV67" s="3"/>
      <c r="SGW67" s="3"/>
      <c r="SGX67" s="3"/>
      <c r="SGY67" s="3"/>
      <c r="SGZ67" s="3"/>
      <c r="SHA67" s="3"/>
      <c r="SHB67" s="3"/>
      <c r="SHC67" s="3"/>
      <c r="SHD67" s="3"/>
      <c r="SHE67" s="3"/>
      <c r="SHF67" s="3"/>
      <c r="SHG67" s="3"/>
      <c r="SHH67" s="3"/>
      <c r="SHI67" s="3"/>
      <c r="SHJ67" s="3"/>
      <c r="SHK67" s="3"/>
      <c r="SHL67" s="3"/>
      <c r="SHM67" s="3"/>
      <c r="SHN67" s="3"/>
      <c r="SHO67" s="3"/>
      <c r="SHP67" s="3"/>
      <c r="SHQ67" s="3"/>
      <c r="SHR67" s="3"/>
      <c r="SHS67" s="3"/>
      <c r="SHT67" s="3"/>
      <c r="SHU67" s="3"/>
      <c r="SHV67" s="3"/>
      <c r="SHW67" s="3"/>
      <c r="SHX67" s="3"/>
      <c r="SHY67" s="3"/>
      <c r="SHZ67" s="3"/>
      <c r="SIA67" s="3"/>
      <c r="SIB67" s="3"/>
      <c r="SIC67" s="3"/>
      <c r="SID67" s="3"/>
      <c r="SIE67" s="3"/>
      <c r="SIF67" s="3"/>
      <c r="SIG67" s="3"/>
      <c r="SIH67" s="3"/>
      <c r="SII67" s="3"/>
      <c r="SIJ67" s="3"/>
      <c r="SIK67" s="3"/>
      <c r="SIL67" s="3"/>
      <c r="SIM67" s="3"/>
      <c r="SIN67" s="3"/>
      <c r="SIO67" s="3"/>
      <c r="SIP67" s="3"/>
      <c r="SIQ67" s="3"/>
      <c r="SIR67" s="3"/>
      <c r="SIS67" s="3"/>
      <c r="SIT67" s="3"/>
      <c r="SIU67" s="3"/>
      <c r="SIV67" s="3"/>
      <c r="SIW67" s="3"/>
      <c r="SIX67" s="3"/>
      <c r="SIY67" s="3"/>
      <c r="SIZ67" s="3"/>
      <c r="SJA67" s="3"/>
      <c r="SJB67" s="3"/>
      <c r="SJC67" s="3"/>
      <c r="SJD67" s="3"/>
      <c r="SJE67" s="3"/>
      <c r="SJF67" s="3"/>
      <c r="SJG67" s="3"/>
      <c r="SJH67" s="3"/>
      <c r="SJI67" s="3"/>
      <c r="SJJ67" s="3"/>
      <c r="SJK67" s="3"/>
      <c r="SJL67" s="3"/>
      <c r="SJM67" s="3"/>
      <c r="SJN67" s="3"/>
      <c r="SJO67" s="3"/>
      <c r="SJP67" s="3"/>
      <c r="SJQ67" s="3"/>
      <c r="SJR67" s="3"/>
      <c r="SJS67" s="3"/>
      <c r="SJT67" s="3"/>
      <c r="SJU67" s="3"/>
      <c r="SJV67" s="3"/>
      <c r="SJW67" s="3"/>
      <c r="SJX67" s="3"/>
      <c r="SJY67" s="3"/>
      <c r="SJZ67" s="3"/>
      <c r="SKA67" s="3"/>
      <c r="SKB67" s="3"/>
      <c r="SKC67" s="3"/>
      <c r="SKD67" s="3"/>
      <c r="SKE67" s="3"/>
      <c r="SKF67" s="3"/>
      <c r="SKG67" s="3"/>
      <c r="SKH67" s="3"/>
      <c r="SKI67" s="3"/>
      <c r="SKJ67" s="3"/>
      <c r="SKK67" s="3"/>
      <c r="SKL67" s="3"/>
      <c r="SKM67" s="3"/>
      <c r="SKN67" s="3"/>
      <c r="SKO67" s="3"/>
      <c r="SKP67" s="3"/>
      <c r="SKQ67" s="3"/>
      <c r="SKR67" s="3"/>
      <c r="SKS67" s="3"/>
      <c r="SKT67" s="3"/>
      <c r="SKU67" s="3"/>
      <c r="SKV67" s="3"/>
      <c r="SKW67" s="3"/>
      <c r="SKX67" s="3"/>
      <c r="SKY67" s="3"/>
      <c r="SKZ67" s="3"/>
      <c r="SLA67" s="3"/>
      <c r="SLB67" s="3"/>
      <c r="SLC67" s="3"/>
      <c r="SLD67" s="3"/>
      <c r="SLE67" s="3"/>
      <c r="SLF67" s="3"/>
      <c r="SLG67" s="3"/>
      <c r="SLH67" s="3"/>
      <c r="SLI67" s="3"/>
      <c r="SLJ67" s="3"/>
      <c r="SLK67" s="3"/>
      <c r="SLL67" s="3"/>
      <c r="SLM67" s="3"/>
      <c r="SLN67" s="3"/>
      <c r="SLO67" s="3"/>
      <c r="SLP67" s="3"/>
      <c r="SLQ67" s="3"/>
      <c r="SLR67" s="3"/>
      <c r="SLS67" s="3"/>
      <c r="SLT67" s="3"/>
      <c r="SLU67" s="3"/>
      <c r="SLV67" s="3"/>
      <c r="SLW67" s="3"/>
      <c r="SLX67" s="3"/>
      <c r="SLY67" s="3"/>
      <c r="SLZ67" s="3"/>
      <c r="SMA67" s="3"/>
      <c r="SMB67" s="3"/>
      <c r="SMC67" s="3"/>
      <c r="SMD67" s="3"/>
      <c r="SME67" s="3"/>
      <c r="SMF67" s="3"/>
      <c r="SMG67" s="3"/>
      <c r="SMH67" s="3"/>
      <c r="SMI67" s="3"/>
      <c r="SMJ67" s="3"/>
      <c r="SMK67" s="3"/>
      <c r="SML67" s="3"/>
      <c r="SMM67" s="3"/>
      <c r="SMN67" s="3"/>
      <c r="SMO67" s="3"/>
      <c r="SMP67" s="3"/>
      <c r="SMQ67" s="3"/>
      <c r="SMR67" s="3"/>
      <c r="SMS67" s="3"/>
      <c r="SMT67" s="3"/>
      <c r="SMU67" s="3"/>
      <c r="SMV67" s="3"/>
      <c r="SMW67" s="3"/>
      <c r="SMX67" s="3"/>
      <c r="SMY67" s="3"/>
      <c r="SMZ67" s="3"/>
      <c r="SNA67" s="3"/>
      <c r="SNB67" s="3"/>
      <c r="SNC67" s="3"/>
      <c r="SND67" s="3"/>
      <c r="SNE67" s="3"/>
      <c r="SNF67" s="3"/>
      <c r="SNG67" s="3"/>
      <c r="SNH67" s="3"/>
      <c r="SNI67" s="3"/>
      <c r="SNJ67" s="3"/>
      <c r="SNK67" s="3"/>
      <c r="SNL67" s="3"/>
      <c r="SNM67" s="3"/>
      <c r="SNN67" s="3"/>
      <c r="SNO67" s="3"/>
      <c r="SNP67" s="3"/>
      <c r="SNQ67" s="3"/>
      <c r="SNR67" s="3"/>
      <c r="SNS67" s="3"/>
      <c r="SNT67" s="3"/>
      <c r="SNU67" s="3"/>
      <c r="SNV67" s="3"/>
      <c r="SNW67" s="3"/>
      <c r="SNX67" s="3"/>
      <c r="SNY67" s="3"/>
      <c r="SNZ67" s="3"/>
      <c r="SOA67" s="3"/>
      <c r="SOB67" s="3"/>
      <c r="SOC67" s="3"/>
      <c r="SOD67" s="3"/>
      <c r="SOE67" s="3"/>
      <c r="SOF67" s="3"/>
      <c r="SOG67" s="3"/>
      <c r="SOH67" s="3"/>
      <c r="SOI67" s="3"/>
      <c r="SOJ67" s="3"/>
      <c r="SOK67" s="3"/>
      <c r="SOL67" s="3"/>
      <c r="SOM67" s="3"/>
      <c r="SON67" s="3"/>
      <c r="SOO67" s="3"/>
      <c r="SOP67" s="3"/>
      <c r="SOQ67" s="3"/>
      <c r="SOR67" s="3"/>
      <c r="SOS67" s="3"/>
      <c r="SOT67" s="3"/>
      <c r="SOU67" s="3"/>
      <c r="SOV67" s="3"/>
      <c r="SOW67" s="3"/>
      <c r="SOX67" s="3"/>
      <c r="SOY67" s="3"/>
      <c r="SOZ67" s="3"/>
      <c r="SPA67" s="3"/>
      <c r="SPB67" s="3"/>
      <c r="SPC67" s="3"/>
      <c r="SPD67" s="3"/>
      <c r="SPE67" s="3"/>
      <c r="SPF67" s="3"/>
      <c r="SPG67" s="3"/>
      <c r="SPH67" s="3"/>
      <c r="SPI67" s="3"/>
      <c r="SPJ67" s="3"/>
      <c r="SPK67" s="3"/>
      <c r="SPL67" s="3"/>
      <c r="SPM67" s="3"/>
      <c r="SPN67" s="3"/>
      <c r="SPO67" s="3"/>
      <c r="SPP67" s="3"/>
      <c r="SPQ67" s="3"/>
      <c r="SPR67" s="3"/>
      <c r="SPS67" s="3"/>
      <c r="SPT67" s="3"/>
      <c r="SPU67" s="3"/>
      <c r="SPV67" s="3"/>
      <c r="SPW67" s="3"/>
      <c r="SPX67" s="3"/>
      <c r="SPY67" s="3"/>
      <c r="SPZ67" s="3"/>
      <c r="SQA67" s="3"/>
      <c r="SQB67" s="3"/>
      <c r="SQC67" s="3"/>
      <c r="SQD67" s="3"/>
      <c r="SQE67" s="3"/>
      <c r="SQF67" s="3"/>
      <c r="SQG67" s="3"/>
      <c r="SQH67" s="3"/>
      <c r="SQI67" s="3"/>
      <c r="SQJ67" s="3"/>
      <c r="SQK67" s="3"/>
      <c r="SQL67" s="3"/>
      <c r="SQM67" s="3"/>
      <c r="SQN67" s="3"/>
      <c r="SQO67" s="3"/>
      <c r="SQP67" s="3"/>
      <c r="SQQ67" s="3"/>
      <c r="SQR67" s="3"/>
      <c r="SQS67" s="3"/>
      <c r="SQT67" s="3"/>
      <c r="SQU67" s="3"/>
      <c r="SQV67" s="3"/>
      <c r="SQW67" s="3"/>
      <c r="SQX67" s="3"/>
      <c r="SQY67" s="3"/>
      <c r="SQZ67" s="3"/>
      <c r="SRA67" s="3"/>
      <c r="SRB67" s="3"/>
      <c r="SRC67" s="3"/>
      <c r="SRD67" s="3"/>
      <c r="SRE67" s="3"/>
      <c r="SRF67" s="3"/>
      <c r="SRG67" s="3"/>
      <c r="SRH67" s="3"/>
      <c r="SRI67" s="3"/>
      <c r="SRJ67" s="3"/>
      <c r="SRK67" s="3"/>
      <c r="SRL67" s="3"/>
      <c r="SRM67" s="3"/>
      <c r="SRN67" s="3"/>
      <c r="SRO67" s="3"/>
      <c r="SRP67" s="3"/>
      <c r="SRQ67" s="3"/>
      <c r="SRR67" s="3"/>
      <c r="SRS67" s="3"/>
      <c r="SRT67" s="3"/>
      <c r="SRU67" s="3"/>
      <c r="SRV67" s="3"/>
      <c r="SRW67" s="3"/>
      <c r="SRX67" s="3"/>
      <c r="SRY67" s="3"/>
      <c r="SRZ67" s="3"/>
      <c r="SSA67" s="3"/>
      <c r="SSB67" s="3"/>
      <c r="SSC67" s="3"/>
      <c r="SSD67" s="3"/>
      <c r="SSE67" s="3"/>
      <c r="SSF67" s="3"/>
      <c r="SSG67" s="3"/>
      <c r="SSH67" s="3"/>
      <c r="SSI67" s="3"/>
      <c r="SSJ67" s="3"/>
      <c r="SSK67" s="3"/>
      <c r="SSL67" s="3"/>
      <c r="SSM67" s="3"/>
      <c r="SSN67" s="3"/>
      <c r="SSO67" s="3"/>
      <c r="SSP67" s="3"/>
      <c r="SSQ67" s="3"/>
      <c r="SSR67" s="3"/>
      <c r="SSS67" s="3"/>
      <c r="SST67" s="3"/>
      <c r="SSU67" s="3"/>
      <c r="SSV67" s="3"/>
      <c r="SSW67" s="3"/>
      <c r="SSX67" s="3"/>
      <c r="SSY67" s="3"/>
      <c r="SSZ67" s="3"/>
      <c r="STA67" s="3"/>
      <c r="STB67" s="3"/>
      <c r="STC67" s="3"/>
      <c r="STD67" s="3"/>
      <c r="STE67" s="3"/>
      <c r="STF67" s="3"/>
      <c r="STG67" s="3"/>
      <c r="STH67" s="3"/>
      <c r="STI67" s="3"/>
      <c r="STJ67" s="3"/>
      <c r="STK67" s="3"/>
      <c r="STL67" s="3"/>
      <c r="STM67" s="3"/>
      <c r="STN67" s="3"/>
      <c r="STO67" s="3"/>
      <c r="STP67" s="3"/>
      <c r="STQ67" s="3"/>
      <c r="STR67" s="3"/>
      <c r="STS67" s="3"/>
      <c r="STT67" s="3"/>
      <c r="STU67" s="3"/>
      <c r="STV67" s="3"/>
      <c r="STW67" s="3"/>
      <c r="STX67" s="3"/>
      <c r="STY67" s="3"/>
      <c r="STZ67" s="3"/>
      <c r="SUA67" s="3"/>
      <c r="SUB67" s="3"/>
      <c r="SUC67" s="3"/>
      <c r="SUD67" s="3"/>
      <c r="SUE67" s="3"/>
      <c r="SUF67" s="3"/>
      <c r="SUG67" s="3"/>
      <c r="SUH67" s="3"/>
      <c r="SUI67" s="3"/>
      <c r="SUJ67" s="3"/>
      <c r="SUK67" s="3"/>
      <c r="SUL67" s="3"/>
      <c r="SUM67" s="3"/>
      <c r="SUN67" s="3"/>
      <c r="SUO67" s="3"/>
      <c r="SUP67" s="3"/>
      <c r="SUQ67" s="3"/>
      <c r="SUR67" s="3"/>
      <c r="SUS67" s="3"/>
      <c r="SUT67" s="3"/>
      <c r="SUU67" s="3"/>
      <c r="SUV67" s="3"/>
      <c r="SUW67" s="3"/>
      <c r="SUX67" s="3"/>
      <c r="SUY67" s="3"/>
      <c r="SUZ67" s="3"/>
      <c r="SVA67" s="3"/>
      <c r="SVB67" s="3"/>
      <c r="SVC67" s="3"/>
      <c r="SVD67" s="3"/>
      <c r="SVE67" s="3"/>
      <c r="SVF67" s="3"/>
      <c r="SVG67" s="3"/>
      <c r="SVH67" s="3"/>
      <c r="SVI67" s="3"/>
      <c r="SVJ67" s="3"/>
      <c r="SVK67" s="3"/>
      <c r="SVL67" s="3"/>
      <c r="SVM67" s="3"/>
      <c r="SVN67" s="3"/>
      <c r="SVO67" s="3"/>
      <c r="SVP67" s="3"/>
      <c r="SVQ67" s="3"/>
      <c r="SVR67" s="3"/>
      <c r="SVS67" s="3"/>
      <c r="SVT67" s="3"/>
      <c r="SVU67" s="3"/>
      <c r="SVV67" s="3"/>
      <c r="SVW67" s="3"/>
      <c r="SVX67" s="3"/>
      <c r="SVY67" s="3"/>
      <c r="SVZ67" s="3"/>
      <c r="SWA67" s="3"/>
      <c r="SWB67" s="3"/>
      <c r="SWC67" s="3"/>
      <c r="SWD67" s="3"/>
      <c r="SWE67" s="3"/>
      <c r="SWF67" s="3"/>
      <c r="SWG67" s="3"/>
      <c r="SWH67" s="3"/>
      <c r="SWI67" s="3"/>
      <c r="SWJ67" s="3"/>
      <c r="SWK67" s="3"/>
      <c r="SWL67" s="3"/>
      <c r="SWM67" s="3"/>
      <c r="SWN67" s="3"/>
      <c r="SWO67" s="3"/>
      <c r="SWP67" s="3"/>
      <c r="SWQ67" s="3"/>
      <c r="SWR67" s="3"/>
      <c r="SWS67" s="3"/>
      <c r="SWT67" s="3"/>
      <c r="SWU67" s="3"/>
      <c r="SWV67" s="3"/>
      <c r="SWW67" s="3"/>
      <c r="SWX67" s="3"/>
      <c r="SWY67" s="3"/>
      <c r="SWZ67" s="3"/>
      <c r="SXA67" s="3"/>
      <c r="SXB67" s="3"/>
      <c r="SXC67" s="3"/>
      <c r="SXD67" s="3"/>
      <c r="SXE67" s="3"/>
      <c r="SXF67" s="3"/>
      <c r="SXG67" s="3"/>
      <c r="SXH67" s="3"/>
      <c r="SXI67" s="3"/>
      <c r="SXJ67" s="3"/>
      <c r="SXK67" s="3"/>
      <c r="SXL67" s="3"/>
      <c r="SXM67" s="3"/>
      <c r="SXN67" s="3"/>
      <c r="SXO67" s="3"/>
      <c r="SXP67" s="3"/>
      <c r="SXQ67" s="3"/>
      <c r="SXR67" s="3"/>
      <c r="SXS67" s="3"/>
      <c r="SXT67" s="3"/>
      <c r="SXU67" s="3"/>
      <c r="SXV67" s="3"/>
      <c r="SXW67" s="3"/>
      <c r="SXX67" s="3"/>
      <c r="SXY67" s="3"/>
      <c r="SXZ67" s="3"/>
      <c r="SYA67" s="3"/>
      <c r="SYB67" s="3"/>
      <c r="SYC67" s="3"/>
      <c r="SYD67" s="3"/>
      <c r="SYE67" s="3"/>
      <c r="SYF67" s="3"/>
      <c r="SYG67" s="3"/>
      <c r="SYH67" s="3"/>
      <c r="SYI67" s="3"/>
      <c r="SYJ67" s="3"/>
      <c r="SYK67" s="3"/>
      <c r="SYL67" s="3"/>
      <c r="SYM67" s="3"/>
      <c r="SYN67" s="3"/>
      <c r="SYO67" s="3"/>
      <c r="SYP67" s="3"/>
      <c r="SYQ67" s="3"/>
      <c r="SYR67" s="3"/>
      <c r="SYS67" s="3"/>
      <c r="SYT67" s="3"/>
      <c r="SYU67" s="3"/>
      <c r="SYV67" s="3"/>
      <c r="SYW67" s="3"/>
      <c r="SYX67" s="3"/>
      <c r="SYY67" s="3"/>
      <c r="SYZ67" s="3"/>
      <c r="SZA67" s="3"/>
      <c r="SZB67" s="3"/>
      <c r="SZC67" s="3"/>
      <c r="SZD67" s="3"/>
      <c r="SZE67" s="3"/>
      <c r="SZF67" s="3"/>
      <c r="SZG67" s="3"/>
      <c r="SZH67" s="3"/>
      <c r="SZI67" s="3"/>
      <c r="SZJ67" s="3"/>
      <c r="SZK67" s="3"/>
      <c r="SZL67" s="3"/>
      <c r="SZM67" s="3"/>
      <c r="SZN67" s="3"/>
      <c r="SZO67" s="3"/>
      <c r="SZP67" s="3"/>
      <c r="SZQ67" s="3"/>
      <c r="SZR67" s="3"/>
      <c r="SZS67" s="3"/>
      <c r="SZT67" s="3"/>
      <c r="SZU67" s="3"/>
      <c r="SZV67" s="3"/>
      <c r="SZW67" s="3"/>
      <c r="SZX67" s="3"/>
      <c r="SZY67" s="3"/>
      <c r="SZZ67" s="3"/>
      <c r="TAA67" s="3"/>
      <c r="TAB67" s="3"/>
      <c r="TAC67" s="3"/>
      <c r="TAD67" s="3"/>
      <c r="TAE67" s="3"/>
      <c r="TAF67" s="3"/>
      <c r="TAG67" s="3"/>
      <c r="TAH67" s="3"/>
      <c r="TAI67" s="3"/>
      <c r="TAJ67" s="3"/>
      <c r="TAK67" s="3"/>
      <c r="TAL67" s="3"/>
      <c r="TAM67" s="3"/>
      <c r="TAN67" s="3"/>
      <c r="TAO67" s="3"/>
      <c r="TAP67" s="3"/>
      <c r="TAQ67" s="3"/>
      <c r="TAR67" s="3"/>
      <c r="TAS67" s="3"/>
      <c r="TAT67" s="3"/>
      <c r="TAU67" s="3"/>
      <c r="TAV67" s="3"/>
      <c r="TAW67" s="3"/>
      <c r="TAX67" s="3"/>
      <c r="TAY67" s="3"/>
      <c r="TAZ67" s="3"/>
      <c r="TBA67" s="3"/>
      <c r="TBB67" s="3"/>
      <c r="TBC67" s="3"/>
      <c r="TBD67" s="3"/>
      <c r="TBE67" s="3"/>
      <c r="TBF67" s="3"/>
      <c r="TBG67" s="3"/>
      <c r="TBH67" s="3"/>
      <c r="TBI67" s="3"/>
      <c r="TBJ67" s="3"/>
      <c r="TBK67" s="3"/>
      <c r="TBL67" s="3"/>
      <c r="TBM67" s="3"/>
      <c r="TBN67" s="3"/>
      <c r="TBO67" s="3"/>
      <c r="TBP67" s="3"/>
      <c r="TBQ67" s="3"/>
      <c r="TBR67" s="3"/>
      <c r="TBS67" s="3"/>
      <c r="TBT67" s="3"/>
      <c r="TBU67" s="3"/>
      <c r="TBV67" s="3"/>
      <c r="TBW67" s="3"/>
      <c r="TBX67" s="3"/>
      <c r="TBY67" s="3"/>
      <c r="TBZ67" s="3"/>
      <c r="TCA67" s="3"/>
      <c r="TCB67" s="3"/>
      <c r="TCC67" s="3"/>
      <c r="TCD67" s="3"/>
      <c r="TCE67" s="3"/>
      <c r="TCF67" s="3"/>
      <c r="TCG67" s="3"/>
      <c r="TCH67" s="3"/>
      <c r="TCI67" s="3"/>
      <c r="TCJ67" s="3"/>
      <c r="TCK67" s="3"/>
      <c r="TCL67" s="3"/>
      <c r="TCM67" s="3"/>
      <c r="TCN67" s="3"/>
      <c r="TCO67" s="3"/>
      <c r="TCP67" s="3"/>
      <c r="TCQ67" s="3"/>
      <c r="TCR67" s="3"/>
      <c r="TCS67" s="3"/>
      <c r="TCT67" s="3"/>
      <c r="TCU67" s="3"/>
      <c r="TCV67" s="3"/>
      <c r="TCW67" s="3"/>
      <c r="TCX67" s="3"/>
      <c r="TCY67" s="3"/>
      <c r="TCZ67" s="3"/>
      <c r="TDA67" s="3"/>
      <c r="TDB67" s="3"/>
      <c r="TDC67" s="3"/>
      <c r="TDD67" s="3"/>
      <c r="TDE67" s="3"/>
      <c r="TDF67" s="3"/>
      <c r="TDG67" s="3"/>
      <c r="TDH67" s="3"/>
      <c r="TDI67" s="3"/>
      <c r="TDJ67" s="3"/>
      <c r="TDK67" s="3"/>
      <c r="TDL67" s="3"/>
      <c r="TDM67" s="3"/>
      <c r="TDN67" s="3"/>
      <c r="TDO67" s="3"/>
      <c r="TDP67" s="3"/>
      <c r="TDQ67" s="3"/>
      <c r="TDR67" s="3"/>
      <c r="TDS67" s="3"/>
      <c r="TDT67" s="3"/>
      <c r="TDU67" s="3"/>
      <c r="TDV67" s="3"/>
      <c r="TDW67" s="3"/>
      <c r="TDX67" s="3"/>
      <c r="TDY67" s="3"/>
      <c r="TDZ67" s="3"/>
      <c r="TEA67" s="3"/>
      <c r="TEB67" s="3"/>
      <c r="TEC67" s="3"/>
      <c r="TED67" s="3"/>
      <c r="TEE67" s="3"/>
      <c r="TEF67" s="3"/>
      <c r="TEG67" s="3"/>
      <c r="TEH67" s="3"/>
      <c r="TEI67" s="3"/>
      <c r="TEJ67" s="3"/>
      <c r="TEK67" s="3"/>
      <c r="TEL67" s="3"/>
      <c r="TEM67" s="3"/>
      <c r="TEN67" s="3"/>
      <c r="TEO67" s="3"/>
      <c r="TEP67" s="3"/>
      <c r="TEQ67" s="3"/>
      <c r="TER67" s="3"/>
      <c r="TES67" s="3"/>
      <c r="TET67" s="3"/>
      <c r="TEU67" s="3"/>
      <c r="TEV67" s="3"/>
      <c r="TEW67" s="3"/>
      <c r="TEX67" s="3"/>
      <c r="TEY67" s="3"/>
      <c r="TEZ67" s="3"/>
      <c r="TFA67" s="3"/>
      <c r="TFB67" s="3"/>
      <c r="TFC67" s="3"/>
      <c r="TFD67" s="3"/>
      <c r="TFE67" s="3"/>
      <c r="TFF67" s="3"/>
      <c r="TFG67" s="3"/>
      <c r="TFH67" s="3"/>
      <c r="TFI67" s="3"/>
      <c r="TFJ67" s="3"/>
      <c r="TFK67" s="3"/>
      <c r="TFL67" s="3"/>
      <c r="TFM67" s="3"/>
      <c r="TFN67" s="3"/>
      <c r="TFO67" s="3"/>
      <c r="TFP67" s="3"/>
      <c r="TFQ67" s="3"/>
      <c r="TFR67" s="3"/>
      <c r="TFS67" s="3"/>
      <c r="TFT67" s="3"/>
      <c r="TFU67" s="3"/>
      <c r="TFV67" s="3"/>
      <c r="TFW67" s="3"/>
      <c r="TFX67" s="3"/>
      <c r="TFY67" s="3"/>
      <c r="TFZ67" s="3"/>
      <c r="TGA67" s="3"/>
      <c r="TGB67" s="3"/>
      <c r="TGC67" s="3"/>
      <c r="TGD67" s="3"/>
      <c r="TGE67" s="3"/>
      <c r="TGF67" s="3"/>
      <c r="TGG67" s="3"/>
      <c r="TGH67" s="3"/>
      <c r="TGI67" s="3"/>
      <c r="TGJ67" s="3"/>
      <c r="TGK67" s="3"/>
      <c r="TGL67" s="3"/>
      <c r="TGM67" s="3"/>
      <c r="TGN67" s="3"/>
      <c r="TGO67" s="3"/>
      <c r="TGP67" s="3"/>
      <c r="TGQ67" s="3"/>
      <c r="TGR67" s="3"/>
      <c r="TGS67" s="3"/>
      <c r="TGT67" s="3"/>
      <c r="TGU67" s="3"/>
      <c r="TGV67" s="3"/>
      <c r="TGW67" s="3"/>
      <c r="TGX67" s="3"/>
      <c r="TGY67" s="3"/>
      <c r="TGZ67" s="3"/>
      <c r="THA67" s="3"/>
      <c r="THB67" s="3"/>
      <c r="THC67" s="3"/>
      <c r="THD67" s="3"/>
      <c r="THE67" s="3"/>
      <c r="THF67" s="3"/>
      <c r="THG67" s="3"/>
      <c r="THH67" s="3"/>
      <c r="THI67" s="3"/>
      <c r="THJ67" s="3"/>
      <c r="THK67" s="3"/>
      <c r="THL67" s="3"/>
      <c r="THM67" s="3"/>
      <c r="THN67" s="3"/>
      <c r="THO67" s="3"/>
      <c r="THP67" s="3"/>
      <c r="THQ67" s="3"/>
      <c r="THR67" s="3"/>
      <c r="THS67" s="3"/>
      <c r="THT67" s="3"/>
      <c r="THU67" s="3"/>
      <c r="THV67" s="3"/>
      <c r="THW67" s="3"/>
      <c r="THX67" s="3"/>
      <c r="THY67" s="3"/>
      <c r="THZ67" s="3"/>
      <c r="TIA67" s="3"/>
      <c r="TIB67" s="3"/>
      <c r="TIC67" s="3"/>
      <c r="TID67" s="3"/>
      <c r="TIE67" s="3"/>
      <c r="TIF67" s="3"/>
      <c r="TIG67" s="3"/>
      <c r="TIH67" s="3"/>
      <c r="TII67" s="3"/>
      <c r="TIJ67" s="3"/>
      <c r="TIK67" s="3"/>
      <c r="TIL67" s="3"/>
      <c r="TIM67" s="3"/>
      <c r="TIN67" s="3"/>
      <c r="TIO67" s="3"/>
      <c r="TIP67" s="3"/>
      <c r="TIQ67" s="3"/>
      <c r="TIR67" s="3"/>
      <c r="TIS67" s="3"/>
      <c r="TIT67" s="3"/>
      <c r="TIU67" s="3"/>
      <c r="TIV67" s="3"/>
      <c r="TIW67" s="3"/>
      <c r="TIX67" s="3"/>
      <c r="TIY67" s="3"/>
      <c r="TIZ67" s="3"/>
      <c r="TJA67" s="3"/>
      <c r="TJB67" s="3"/>
      <c r="TJC67" s="3"/>
      <c r="TJD67" s="3"/>
      <c r="TJE67" s="3"/>
      <c r="TJF67" s="3"/>
      <c r="TJG67" s="3"/>
      <c r="TJH67" s="3"/>
      <c r="TJI67" s="3"/>
      <c r="TJJ67" s="3"/>
      <c r="TJK67" s="3"/>
      <c r="TJL67" s="3"/>
      <c r="TJM67" s="3"/>
      <c r="TJN67" s="3"/>
      <c r="TJO67" s="3"/>
      <c r="TJP67" s="3"/>
      <c r="TJQ67" s="3"/>
      <c r="TJR67" s="3"/>
      <c r="TJS67" s="3"/>
      <c r="TJT67" s="3"/>
      <c r="TJU67" s="3"/>
      <c r="TJV67" s="3"/>
      <c r="TJW67" s="3"/>
      <c r="TJX67" s="3"/>
      <c r="TJY67" s="3"/>
      <c r="TJZ67" s="3"/>
      <c r="TKA67" s="3"/>
      <c r="TKB67" s="3"/>
      <c r="TKC67" s="3"/>
      <c r="TKD67" s="3"/>
      <c r="TKE67" s="3"/>
      <c r="TKF67" s="3"/>
      <c r="TKG67" s="3"/>
      <c r="TKH67" s="3"/>
      <c r="TKI67" s="3"/>
      <c r="TKJ67" s="3"/>
      <c r="TKK67" s="3"/>
      <c r="TKL67" s="3"/>
      <c r="TKM67" s="3"/>
      <c r="TKN67" s="3"/>
      <c r="TKO67" s="3"/>
      <c r="TKP67" s="3"/>
      <c r="TKQ67" s="3"/>
      <c r="TKR67" s="3"/>
      <c r="TKS67" s="3"/>
      <c r="TKT67" s="3"/>
      <c r="TKU67" s="3"/>
      <c r="TKV67" s="3"/>
      <c r="TKW67" s="3"/>
      <c r="TKX67" s="3"/>
      <c r="TKY67" s="3"/>
      <c r="TKZ67" s="3"/>
      <c r="TLA67" s="3"/>
      <c r="TLB67" s="3"/>
      <c r="TLC67" s="3"/>
      <c r="TLD67" s="3"/>
      <c r="TLE67" s="3"/>
      <c r="TLF67" s="3"/>
      <c r="TLG67" s="3"/>
      <c r="TLH67" s="3"/>
      <c r="TLI67" s="3"/>
      <c r="TLJ67" s="3"/>
      <c r="TLK67" s="3"/>
      <c r="TLL67" s="3"/>
      <c r="TLM67" s="3"/>
      <c r="TLN67" s="3"/>
      <c r="TLO67" s="3"/>
      <c r="TLP67" s="3"/>
      <c r="TLQ67" s="3"/>
      <c r="TLR67" s="3"/>
      <c r="TLS67" s="3"/>
      <c r="TLT67" s="3"/>
      <c r="TLU67" s="3"/>
      <c r="TLV67" s="3"/>
      <c r="TLW67" s="3"/>
      <c r="TLX67" s="3"/>
      <c r="TLY67" s="3"/>
      <c r="TLZ67" s="3"/>
      <c r="TMA67" s="3"/>
      <c r="TMB67" s="3"/>
      <c r="TMC67" s="3"/>
      <c r="TMD67" s="3"/>
      <c r="TME67" s="3"/>
      <c r="TMF67" s="3"/>
      <c r="TMG67" s="3"/>
      <c r="TMH67" s="3"/>
      <c r="TMI67" s="3"/>
      <c r="TMJ67" s="3"/>
      <c r="TMK67" s="3"/>
      <c r="TML67" s="3"/>
      <c r="TMM67" s="3"/>
      <c r="TMN67" s="3"/>
      <c r="TMO67" s="3"/>
      <c r="TMP67" s="3"/>
      <c r="TMQ67" s="3"/>
      <c r="TMR67" s="3"/>
      <c r="TMS67" s="3"/>
      <c r="TMT67" s="3"/>
      <c r="TMU67" s="3"/>
      <c r="TMV67" s="3"/>
      <c r="TMW67" s="3"/>
      <c r="TMX67" s="3"/>
      <c r="TMY67" s="3"/>
      <c r="TMZ67" s="3"/>
      <c r="TNA67" s="3"/>
      <c r="TNB67" s="3"/>
      <c r="TNC67" s="3"/>
      <c r="TND67" s="3"/>
      <c r="TNE67" s="3"/>
      <c r="TNF67" s="3"/>
      <c r="TNG67" s="3"/>
      <c r="TNH67" s="3"/>
      <c r="TNI67" s="3"/>
      <c r="TNJ67" s="3"/>
      <c r="TNK67" s="3"/>
      <c r="TNL67" s="3"/>
      <c r="TNM67" s="3"/>
      <c r="TNN67" s="3"/>
      <c r="TNO67" s="3"/>
      <c r="TNP67" s="3"/>
      <c r="TNQ67" s="3"/>
      <c r="TNR67" s="3"/>
      <c r="TNS67" s="3"/>
      <c r="TNT67" s="3"/>
      <c r="TNU67" s="3"/>
      <c r="TNV67" s="3"/>
      <c r="TNW67" s="3"/>
      <c r="TNX67" s="3"/>
      <c r="TNY67" s="3"/>
      <c r="TNZ67" s="3"/>
      <c r="TOA67" s="3"/>
      <c r="TOB67" s="3"/>
      <c r="TOC67" s="3"/>
      <c r="TOD67" s="3"/>
      <c r="TOE67" s="3"/>
      <c r="TOF67" s="3"/>
      <c r="TOG67" s="3"/>
      <c r="TOH67" s="3"/>
      <c r="TOI67" s="3"/>
      <c r="TOJ67" s="3"/>
      <c r="TOK67" s="3"/>
      <c r="TOL67" s="3"/>
      <c r="TOM67" s="3"/>
      <c r="TON67" s="3"/>
      <c r="TOO67" s="3"/>
      <c r="TOP67" s="3"/>
      <c r="TOQ67" s="3"/>
      <c r="TOR67" s="3"/>
      <c r="TOS67" s="3"/>
      <c r="TOT67" s="3"/>
      <c r="TOU67" s="3"/>
      <c r="TOV67" s="3"/>
      <c r="TOW67" s="3"/>
      <c r="TOX67" s="3"/>
      <c r="TOY67" s="3"/>
      <c r="TOZ67" s="3"/>
      <c r="TPA67" s="3"/>
      <c r="TPB67" s="3"/>
      <c r="TPC67" s="3"/>
      <c r="TPD67" s="3"/>
      <c r="TPE67" s="3"/>
      <c r="TPF67" s="3"/>
      <c r="TPG67" s="3"/>
      <c r="TPH67" s="3"/>
      <c r="TPI67" s="3"/>
      <c r="TPJ67" s="3"/>
      <c r="TPK67" s="3"/>
      <c r="TPL67" s="3"/>
      <c r="TPM67" s="3"/>
      <c r="TPN67" s="3"/>
      <c r="TPO67" s="3"/>
      <c r="TPP67" s="3"/>
      <c r="TPQ67" s="3"/>
      <c r="TPR67" s="3"/>
      <c r="TPS67" s="3"/>
      <c r="TPT67" s="3"/>
      <c r="TPU67" s="3"/>
      <c r="TPV67" s="3"/>
      <c r="TPW67" s="3"/>
      <c r="TPX67" s="3"/>
      <c r="TPY67" s="3"/>
      <c r="TPZ67" s="3"/>
      <c r="TQA67" s="3"/>
      <c r="TQB67" s="3"/>
      <c r="TQC67" s="3"/>
      <c r="TQD67" s="3"/>
      <c r="TQE67" s="3"/>
      <c r="TQF67" s="3"/>
      <c r="TQG67" s="3"/>
      <c r="TQH67" s="3"/>
      <c r="TQI67" s="3"/>
      <c r="TQJ67" s="3"/>
      <c r="TQK67" s="3"/>
      <c r="TQL67" s="3"/>
      <c r="TQM67" s="3"/>
      <c r="TQN67" s="3"/>
      <c r="TQO67" s="3"/>
      <c r="TQP67" s="3"/>
      <c r="TQQ67" s="3"/>
      <c r="TQR67" s="3"/>
      <c r="TQS67" s="3"/>
      <c r="TQT67" s="3"/>
      <c r="TQU67" s="3"/>
      <c r="TQV67" s="3"/>
      <c r="TQW67" s="3"/>
      <c r="TQX67" s="3"/>
      <c r="TQY67" s="3"/>
      <c r="TQZ67" s="3"/>
      <c r="TRA67" s="3"/>
      <c r="TRB67" s="3"/>
      <c r="TRC67" s="3"/>
      <c r="TRD67" s="3"/>
      <c r="TRE67" s="3"/>
      <c r="TRF67" s="3"/>
      <c r="TRG67" s="3"/>
      <c r="TRH67" s="3"/>
      <c r="TRI67" s="3"/>
      <c r="TRJ67" s="3"/>
      <c r="TRK67" s="3"/>
      <c r="TRL67" s="3"/>
      <c r="TRM67" s="3"/>
      <c r="TRN67" s="3"/>
      <c r="TRO67" s="3"/>
      <c r="TRP67" s="3"/>
      <c r="TRQ67" s="3"/>
      <c r="TRR67" s="3"/>
      <c r="TRS67" s="3"/>
      <c r="TRT67" s="3"/>
      <c r="TRU67" s="3"/>
      <c r="TRV67" s="3"/>
      <c r="TRW67" s="3"/>
      <c r="TRX67" s="3"/>
      <c r="TRY67" s="3"/>
      <c r="TRZ67" s="3"/>
      <c r="TSA67" s="3"/>
      <c r="TSB67" s="3"/>
      <c r="TSC67" s="3"/>
      <c r="TSD67" s="3"/>
      <c r="TSE67" s="3"/>
      <c r="TSF67" s="3"/>
      <c r="TSG67" s="3"/>
      <c r="TSH67" s="3"/>
      <c r="TSI67" s="3"/>
      <c r="TSJ67" s="3"/>
      <c r="TSK67" s="3"/>
      <c r="TSL67" s="3"/>
      <c r="TSM67" s="3"/>
      <c r="TSN67" s="3"/>
      <c r="TSO67" s="3"/>
      <c r="TSP67" s="3"/>
      <c r="TSQ67" s="3"/>
      <c r="TSR67" s="3"/>
      <c r="TSS67" s="3"/>
      <c r="TST67" s="3"/>
      <c r="TSU67" s="3"/>
      <c r="TSV67" s="3"/>
      <c r="TSW67" s="3"/>
      <c r="TSX67" s="3"/>
      <c r="TSY67" s="3"/>
      <c r="TSZ67" s="3"/>
      <c r="TTA67" s="3"/>
      <c r="TTB67" s="3"/>
      <c r="TTC67" s="3"/>
      <c r="TTD67" s="3"/>
      <c r="TTE67" s="3"/>
      <c r="TTF67" s="3"/>
      <c r="TTG67" s="3"/>
      <c r="TTH67" s="3"/>
      <c r="TTI67" s="3"/>
      <c r="TTJ67" s="3"/>
      <c r="TTK67" s="3"/>
      <c r="TTL67" s="3"/>
      <c r="TTM67" s="3"/>
      <c r="TTN67" s="3"/>
      <c r="TTO67" s="3"/>
      <c r="TTP67" s="3"/>
      <c r="TTQ67" s="3"/>
      <c r="TTR67" s="3"/>
      <c r="TTS67" s="3"/>
      <c r="TTT67" s="3"/>
      <c r="TTU67" s="3"/>
      <c r="TTV67" s="3"/>
      <c r="TTW67" s="3"/>
      <c r="TTX67" s="3"/>
      <c r="TTY67" s="3"/>
      <c r="TTZ67" s="3"/>
      <c r="TUA67" s="3"/>
      <c r="TUB67" s="3"/>
      <c r="TUC67" s="3"/>
      <c r="TUD67" s="3"/>
      <c r="TUE67" s="3"/>
      <c r="TUF67" s="3"/>
      <c r="TUG67" s="3"/>
      <c r="TUH67" s="3"/>
      <c r="TUI67" s="3"/>
      <c r="TUJ67" s="3"/>
      <c r="TUK67" s="3"/>
      <c r="TUL67" s="3"/>
      <c r="TUM67" s="3"/>
      <c r="TUN67" s="3"/>
      <c r="TUO67" s="3"/>
      <c r="TUP67" s="3"/>
      <c r="TUQ67" s="3"/>
      <c r="TUR67" s="3"/>
      <c r="TUS67" s="3"/>
      <c r="TUT67" s="3"/>
      <c r="TUU67" s="3"/>
      <c r="TUV67" s="3"/>
      <c r="TUW67" s="3"/>
      <c r="TUX67" s="3"/>
      <c r="TUY67" s="3"/>
      <c r="TUZ67" s="3"/>
      <c r="TVA67" s="3"/>
      <c r="TVB67" s="3"/>
      <c r="TVC67" s="3"/>
      <c r="TVD67" s="3"/>
      <c r="TVE67" s="3"/>
      <c r="TVF67" s="3"/>
      <c r="TVG67" s="3"/>
      <c r="TVH67" s="3"/>
      <c r="TVI67" s="3"/>
      <c r="TVJ67" s="3"/>
      <c r="TVK67" s="3"/>
      <c r="TVL67" s="3"/>
      <c r="TVM67" s="3"/>
      <c r="TVN67" s="3"/>
      <c r="TVO67" s="3"/>
      <c r="TVP67" s="3"/>
      <c r="TVQ67" s="3"/>
      <c r="TVR67" s="3"/>
      <c r="TVS67" s="3"/>
      <c r="TVT67" s="3"/>
      <c r="TVU67" s="3"/>
      <c r="TVV67" s="3"/>
      <c r="TVW67" s="3"/>
      <c r="TVX67" s="3"/>
      <c r="TVY67" s="3"/>
      <c r="TVZ67" s="3"/>
      <c r="TWA67" s="3"/>
      <c r="TWB67" s="3"/>
      <c r="TWC67" s="3"/>
      <c r="TWD67" s="3"/>
      <c r="TWE67" s="3"/>
      <c r="TWF67" s="3"/>
      <c r="TWG67" s="3"/>
      <c r="TWH67" s="3"/>
      <c r="TWI67" s="3"/>
      <c r="TWJ67" s="3"/>
      <c r="TWK67" s="3"/>
      <c r="TWL67" s="3"/>
      <c r="TWM67" s="3"/>
      <c r="TWN67" s="3"/>
      <c r="TWO67" s="3"/>
      <c r="TWP67" s="3"/>
      <c r="TWQ67" s="3"/>
      <c r="TWR67" s="3"/>
      <c r="TWS67" s="3"/>
      <c r="TWT67" s="3"/>
      <c r="TWU67" s="3"/>
      <c r="TWV67" s="3"/>
      <c r="TWW67" s="3"/>
      <c r="TWX67" s="3"/>
      <c r="TWY67" s="3"/>
      <c r="TWZ67" s="3"/>
      <c r="TXA67" s="3"/>
      <c r="TXB67" s="3"/>
      <c r="TXC67" s="3"/>
      <c r="TXD67" s="3"/>
      <c r="TXE67" s="3"/>
      <c r="TXF67" s="3"/>
      <c r="TXG67" s="3"/>
      <c r="TXH67" s="3"/>
      <c r="TXI67" s="3"/>
      <c r="TXJ67" s="3"/>
      <c r="TXK67" s="3"/>
      <c r="TXL67" s="3"/>
      <c r="TXM67" s="3"/>
      <c r="TXN67" s="3"/>
      <c r="TXO67" s="3"/>
      <c r="TXP67" s="3"/>
      <c r="TXQ67" s="3"/>
      <c r="TXR67" s="3"/>
      <c r="TXS67" s="3"/>
      <c r="TXT67" s="3"/>
      <c r="TXU67" s="3"/>
      <c r="TXV67" s="3"/>
      <c r="TXW67" s="3"/>
      <c r="TXX67" s="3"/>
      <c r="TXY67" s="3"/>
      <c r="TXZ67" s="3"/>
      <c r="TYA67" s="3"/>
      <c r="TYB67" s="3"/>
      <c r="TYC67" s="3"/>
      <c r="TYD67" s="3"/>
      <c r="TYE67" s="3"/>
      <c r="TYF67" s="3"/>
      <c r="TYG67" s="3"/>
      <c r="TYH67" s="3"/>
      <c r="TYI67" s="3"/>
      <c r="TYJ67" s="3"/>
      <c r="TYK67" s="3"/>
      <c r="TYL67" s="3"/>
      <c r="TYM67" s="3"/>
      <c r="TYN67" s="3"/>
      <c r="TYO67" s="3"/>
      <c r="TYP67" s="3"/>
      <c r="TYQ67" s="3"/>
      <c r="TYR67" s="3"/>
      <c r="TYS67" s="3"/>
      <c r="TYT67" s="3"/>
      <c r="TYU67" s="3"/>
      <c r="TYV67" s="3"/>
      <c r="TYW67" s="3"/>
      <c r="TYX67" s="3"/>
      <c r="TYY67" s="3"/>
      <c r="TYZ67" s="3"/>
      <c r="TZA67" s="3"/>
      <c r="TZB67" s="3"/>
      <c r="TZC67" s="3"/>
      <c r="TZD67" s="3"/>
      <c r="TZE67" s="3"/>
      <c r="TZF67" s="3"/>
      <c r="TZG67" s="3"/>
      <c r="TZH67" s="3"/>
      <c r="TZI67" s="3"/>
      <c r="TZJ67" s="3"/>
      <c r="TZK67" s="3"/>
      <c r="TZL67" s="3"/>
      <c r="TZM67" s="3"/>
      <c r="TZN67" s="3"/>
      <c r="TZO67" s="3"/>
      <c r="TZP67" s="3"/>
      <c r="TZQ67" s="3"/>
      <c r="TZR67" s="3"/>
      <c r="TZS67" s="3"/>
      <c r="TZT67" s="3"/>
      <c r="TZU67" s="3"/>
      <c r="TZV67" s="3"/>
      <c r="TZW67" s="3"/>
      <c r="TZX67" s="3"/>
      <c r="TZY67" s="3"/>
      <c r="TZZ67" s="3"/>
      <c r="UAA67" s="3"/>
      <c r="UAB67" s="3"/>
      <c r="UAC67" s="3"/>
      <c r="UAD67" s="3"/>
      <c r="UAE67" s="3"/>
      <c r="UAF67" s="3"/>
      <c r="UAG67" s="3"/>
      <c r="UAH67" s="3"/>
      <c r="UAI67" s="3"/>
      <c r="UAJ67" s="3"/>
      <c r="UAK67" s="3"/>
      <c r="UAL67" s="3"/>
      <c r="UAM67" s="3"/>
      <c r="UAN67" s="3"/>
      <c r="UAO67" s="3"/>
      <c r="UAP67" s="3"/>
      <c r="UAQ67" s="3"/>
      <c r="UAR67" s="3"/>
      <c r="UAS67" s="3"/>
      <c r="UAT67" s="3"/>
      <c r="UAU67" s="3"/>
      <c r="UAV67" s="3"/>
      <c r="UAW67" s="3"/>
      <c r="UAX67" s="3"/>
      <c r="UAY67" s="3"/>
      <c r="UAZ67" s="3"/>
      <c r="UBA67" s="3"/>
      <c r="UBB67" s="3"/>
      <c r="UBC67" s="3"/>
      <c r="UBD67" s="3"/>
      <c r="UBE67" s="3"/>
      <c r="UBF67" s="3"/>
      <c r="UBG67" s="3"/>
      <c r="UBH67" s="3"/>
      <c r="UBI67" s="3"/>
      <c r="UBJ67" s="3"/>
      <c r="UBK67" s="3"/>
      <c r="UBL67" s="3"/>
      <c r="UBM67" s="3"/>
      <c r="UBN67" s="3"/>
      <c r="UBO67" s="3"/>
      <c r="UBP67" s="3"/>
      <c r="UBQ67" s="3"/>
      <c r="UBR67" s="3"/>
      <c r="UBS67" s="3"/>
      <c r="UBT67" s="3"/>
      <c r="UBU67" s="3"/>
      <c r="UBV67" s="3"/>
      <c r="UBW67" s="3"/>
      <c r="UBX67" s="3"/>
      <c r="UBY67" s="3"/>
      <c r="UBZ67" s="3"/>
      <c r="UCA67" s="3"/>
      <c r="UCB67" s="3"/>
      <c r="UCC67" s="3"/>
      <c r="UCD67" s="3"/>
      <c r="UCE67" s="3"/>
      <c r="UCF67" s="3"/>
      <c r="UCG67" s="3"/>
      <c r="UCH67" s="3"/>
      <c r="UCI67" s="3"/>
      <c r="UCJ67" s="3"/>
      <c r="UCK67" s="3"/>
      <c r="UCL67" s="3"/>
      <c r="UCM67" s="3"/>
      <c r="UCN67" s="3"/>
      <c r="UCO67" s="3"/>
      <c r="UCP67" s="3"/>
      <c r="UCQ67" s="3"/>
      <c r="UCR67" s="3"/>
      <c r="UCS67" s="3"/>
      <c r="UCT67" s="3"/>
      <c r="UCU67" s="3"/>
      <c r="UCV67" s="3"/>
      <c r="UCW67" s="3"/>
      <c r="UCX67" s="3"/>
      <c r="UCY67" s="3"/>
      <c r="UCZ67" s="3"/>
      <c r="UDA67" s="3"/>
      <c r="UDB67" s="3"/>
      <c r="UDC67" s="3"/>
      <c r="UDD67" s="3"/>
      <c r="UDE67" s="3"/>
      <c r="UDF67" s="3"/>
      <c r="UDG67" s="3"/>
      <c r="UDH67" s="3"/>
      <c r="UDI67" s="3"/>
      <c r="UDJ67" s="3"/>
      <c r="UDK67" s="3"/>
      <c r="UDL67" s="3"/>
      <c r="UDM67" s="3"/>
      <c r="UDN67" s="3"/>
      <c r="UDO67" s="3"/>
      <c r="UDP67" s="3"/>
      <c r="UDQ67" s="3"/>
      <c r="UDR67" s="3"/>
      <c r="UDS67" s="3"/>
      <c r="UDT67" s="3"/>
      <c r="UDU67" s="3"/>
      <c r="UDV67" s="3"/>
      <c r="UDW67" s="3"/>
      <c r="UDX67" s="3"/>
      <c r="UDY67" s="3"/>
      <c r="UDZ67" s="3"/>
      <c r="UEA67" s="3"/>
      <c r="UEB67" s="3"/>
      <c r="UEC67" s="3"/>
      <c r="UED67" s="3"/>
      <c r="UEE67" s="3"/>
      <c r="UEF67" s="3"/>
      <c r="UEG67" s="3"/>
      <c r="UEH67" s="3"/>
      <c r="UEI67" s="3"/>
      <c r="UEJ67" s="3"/>
      <c r="UEK67" s="3"/>
      <c r="UEL67" s="3"/>
      <c r="UEM67" s="3"/>
      <c r="UEN67" s="3"/>
      <c r="UEO67" s="3"/>
      <c r="UEP67" s="3"/>
      <c r="UEQ67" s="3"/>
      <c r="UER67" s="3"/>
      <c r="UES67" s="3"/>
      <c r="UET67" s="3"/>
      <c r="UEU67" s="3"/>
      <c r="UEV67" s="3"/>
      <c r="UEW67" s="3"/>
      <c r="UEX67" s="3"/>
      <c r="UEY67" s="3"/>
      <c r="UEZ67" s="3"/>
      <c r="UFA67" s="3"/>
      <c r="UFB67" s="3"/>
      <c r="UFC67" s="3"/>
      <c r="UFD67" s="3"/>
      <c r="UFE67" s="3"/>
      <c r="UFF67" s="3"/>
      <c r="UFG67" s="3"/>
      <c r="UFH67" s="3"/>
      <c r="UFI67" s="3"/>
      <c r="UFJ67" s="3"/>
      <c r="UFK67" s="3"/>
      <c r="UFL67" s="3"/>
      <c r="UFM67" s="3"/>
      <c r="UFN67" s="3"/>
      <c r="UFO67" s="3"/>
      <c r="UFP67" s="3"/>
      <c r="UFQ67" s="3"/>
      <c r="UFR67" s="3"/>
      <c r="UFS67" s="3"/>
      <c r="UFT67" s="3"/>
      <c r="UFU67" s="3"/>
      <c r="UFV67" s="3"/>
      <c r="UFW67" s="3"/>
      <c r="UFX67" s="3"/>
      <c r="UFY67" s="3"/>
      <c r="UFZ67" s="3"/>
      <c r="UGA67" s="3"/>
      <c r="UGB67" s="3"/>
      <c r="UGC67" s="3"/>
      <c r="UGD67" s="3"/>
      <c r="UGE67" s="3"/>
      <c r="UGF67" s="3"/>
      <c r="UGG67" s="3"/>
      <c r="UGH67" s="3"/>
      <c r="UGI67" s="3"/>
      <c r="UGJ67" s="3"/>
      <c r="UGK67" s="3"/>
      <c r="UGL67" s="3"/>
      <c r="UGM67" s="3"/>
      <c r="UGN67" s="3"/>
      <c r="UGO67" s="3"/>
      <c r="UGP67" s="3"/>
      <c r="UGQ67" s="3"/>
      <c r="UGR67" s="3"/>
      <c r="UGS67" s="3"/>
      <c r="UGT67" s="3"/>
      <c r="UGU67" s="3"/>
      <c r="UGV67" s="3"/>
      <c r="UGW67" s="3"/>
      <c r="UGX67" s="3"/>
      <c r="UGY67" s="3"/>
      <c r="UGZ67" s="3"/>
      <c r="UHA67" s="3"/>
      <c r="UHB67" s="3"/>
      <c r="UHC67" s="3"/>
      <c r="UHD67" s="3"/>
      <c r="UHE67" s="3"/>
      <c r="UHF67" s="3"/>
      <c r="UHG67" s="3"/>
      <c r="UHH67" s="3"/>
      <c r="UHI67" s="3"/>
      <c r="UHJ67" s="3"/>
      <c r="UHK67" s="3"/>
      <c r="UHL67" s="3"/>
      <c r="UHM67" s="3"/>
      <c r="UHN67" s="3"/>
      <c r="UHO67" s="3"/>
      <c r="UHP67" s="3"/>
      <c r="UHQ67" s="3"/>
      <c r="UHR67" s="3"/>
      <c r="UHS67" s="3"/>
      <c r="UHT67" s="3"/>
      <c r="UHU67" s="3"/>
      <c r="UHV67" s="3"/>
      <c r="UHW67" s="3"/>
      <c r="UHX67" s="3"/>
      <c r="UHY67" s="3"/>
      <c r="UHZ67" s="3"/>
      <c r="UIA67" s="3"/>
      <c r="UIB67" s="3"/>
      <c r="UIC67" s="3"/>
      <c r="UID67" s="3"/>
      <c r="UIE67" s="3"/>
      <c r="UIF67" s="3"/>
      <c r="UIG67" s="3"/>
      <c r="UIH67" s="3"/>
      <c r="UII67" s="3"/>
      <c r="UIJ67" s="3"/>
      <c r="UIK67" s="3"/>
      <c r="UIL67" s="3"/>
      <c r="UIM67" s="3"/>
      <c r="UIN67" s="3"/>
      <c r="UIO67" s="3"/>
      <c r="UIP67" s="3"/>
      <c r="UIQ67" s="3"/>
      <c r="UIR67" s="3"/>
      <c r="UIS67" s="3"/>
      <c r="UIT67" s="3"/>
      <c r="UIU67" s="3"/>
      <c r="UIV67" s="3"/>
      <c r="UIW67" s="3"/>
      <c r="UIX67" s="3"/>
      <c r="UIY67" s="3"/>
      <c r="UIZ67" s="3"/>
      <c r="UJA67" s="3"/>
      <c r="UJB67" s="3"/>
      <c r="UJC67" s="3"/>
      <c r="UJD67" s="3"/>
      <c r="UJE67" s="3"/>
      <c r="UJF67" s="3"/>
      <c r="UJG67" s="3"/>
      <c r="UJH67" s="3"/>
      <c r="UJI67" s="3"/>
      <c r="UJJ67" s="3"/>
      <c r="UJK67" s="3"/>
      <c r="UJL67" s="3"/>
      <c r="UJM67" s="3"/>
      <c r="UJN67" s="3"/>
      <c r="UJO67" s="3"/>
      <c r="UJP67" s="3"/>
      <c r="UJQ67" s="3"/>
      <c r="UJR67" s="3"/>
      <c r="UJS67" s="3"/>
      <c r="UJT67" s="3"/>
      <c r="UJU67" s="3"/>
      <c r="UJV67" s="3"/>
      <c r="UJW67" s="3"/>
      <c r="UJX67" s="3"/>
      <c r="UJY67" s="3"/>
      <c r="UJZ67" s="3"/>
      <c r="UKA67" s="3"/>
      <c r="UKB67" s="3"/>
      <c r="UKC67" s="3"/>
      <c r="UKD67" s="3"/>
      <c r="UKE67" s="3"/>
      <c r="UKF67" s="3"/>
      <c r="UKG67" s="3"/>
      <c r="UKH67" s="3"/>
      <c r="UKI67" s="3"/>
      <c r="UKJ67" s="3"/>
      <c r="UKK67" s="3"/>
      <c r="UKL67" s="3"/>
      <c r="UKM67" s="3"/>
      <c r="UKN67" s="3"/>
      <c r="UKO67" s="3"/>
      <c r="UKP67" s="3"/>
      <c r="UKQ67" s="3"/>
      <c r="UKR67" s="3"/>
      <c r="UKS67" s="3"/>
      <c r="UKT67" s="3"/>
      <c r="UKU67" s="3"/>
      <c r="UKV67" s="3"/>
      <c r="UKW67" s="3"/>
      <c r="UKX67" s="3"/>
      <c r="UKY67" s="3"/>
      <c r="UKZ67" s="3"/>
      <c r="ULA67" s="3"/>
      <c r="ULB67" s="3"/>
      <c r="ULC67" s="3"/>
      <c r="ULD67" s="3"/>
      <c r="ULE67" s="3"/>
      <c r="ULF67" s="3"/>
      <c r="ULG67" s="3"/>
      <c r="ULH67" s="3"/>
      <c r="ULI67" s="3"/>
      <c r="ULJ67" s="3"/>
      <c r="ULK67" s="3"/>
      <c r="ULL67" s="3"/>
      <c r="ULM67" s="3"/>
      <c r="ULN67" s="3"/>
      <c r="ULO67" s="3"/>
      <c r="ULP67" s="3"/>
      <c r="ULQ67" s="3"/>
      <c r="ULR67" s="3"/>
      <c r="ULS67" s="3"/>
      <c r="ULT67" s="3"/>
      <c r="ULU67" s="3"/>
      <c r="ULV67" s="3"/>
      <c r="ULW67" s="3"/>
      <c r="ULX67" s="3"/>
      <c r="ULY67" s="3"/>
      <c r="ULZ67" s="3"/>
      <c r="UMA67" s="3"/>
      <c r="UMB67" s="3"/>
      <c r="UMC67" s="3"/>
      <c r="UMD67" s="3"/>
      <c r="UME67" s="3"/>
      <c r="UMF67" s="3"/>
      <c r="UMG67" s="3"/>
      <c r="UMH67" s="3"/>
      <c r="UMI67" s="3"/>
      <c r="UMJ67" s="3"/>
      <c r="UMK67" s="3"/>
      <c r="UML67" s="3"/>
      <c r="UMM67" s="3"/>
      <c r="UMN67" s="3"/>
      <c r="UMO67" s="3"/>
      <c r="UMP67" s="3"/>
      <c r="UMQ67" s="3"/>
      <c r="UMR67" s="3"/>
      <c r="UMS67" s="3"/>
      <c r="UMT67" s="3"/>
      <c r="UMU67" s="3"/>
      <c r="UMV67" s="3"/>
      <c r="UMW67" s="3"/>
      <c r="UMX67" s="3"/>
      <c r="UMY67" s="3"/>
      <c r="UMZ67" s="3"/>
      <c r="UNA67" s="3"/>
      <c r="UNB67" s="3"/>
      <c r="UNC67" s="3"/>
      <c r="UND67" s="3"/>
      <c r="UNE67" s="3"/>
      <c r="UNF67" s="3"/>
      <c r="UNG67" s="3"/>
      <c r="UNH67" s="3"/>
      <c r="UNI67" s="3"/>
      <c r="UNJ67" s="3"/>
      <c r="UNK67" s="3"/>
      <c r="UNL67" s="3"/>
      <c r="UNM67" s="3"/>
      <c r="UNN67" s="3"/>
      <c r="UNO67" s="3"/>
      <c r="UNP67" s="3"/>
      <c r="UNQ67" s="3"/>
      <c r="UNR67" s="3"/>
      <c r="UNS67" s="3"/>
      <c r="UNT67" s="3"/>
      <c r="UNU67" s="3"/>
      <c r="UNV67" s="3"/>
      <c r="UNW67" s="3"/>
      <c r="UNX67" s="3"/>
      <c r="UNY67" s="3"/>
      <c r="UNZ67" s="3"/>
      <c r="UOA67" s="3"/>
      <c r="UOB67" s="3"/>
      <c r="UOC67" s="3"/>
      <c r="UOD67" s="3"/>
      <c r="UOE67" s="3"/>
      <c r="UOF67" s="3"/>
      <c r="UOG67" s="3"/>
      <c r="UOH67" s="3"/>
      <c r="UOI67" s="3"/>
      <c r="UOJ67" s="3"/>
      <c r="UOK67" s="3"/>
      <c r="UOL67" s="3"/>
      <c r="UOM67" s="3"/>
      <c r="UON67" s="3"/>
      <c r="UOO67" s="3"/>
      <c r="UOP67" s="3"/>
      <c r="UOQ67" s="3"/>
      <c r="UOR67" s="3"/>
      <c r="UOS67" s="3"/>
      <c r="UOT67" s="3"/>
      <c r="UOU67" s="3"/>
      <c r="UOV67" s="3"/>
      <c r="UOW67" s="3"/>
      <c r="UOX67" s="3"/>
      <c r="UOY67" s="3"/>
      <c r="UOZ67" s="3"/>
      <c r="UPA67" s="3"/>
      <c r="UPB67" s="3"/>
      <c r="UPC67" s="3"/>
      <c r="UPD67" s="3"/>
      <c r="UPE67" s="3"/>
      <c r="UPF67" s="3"/>
      <c r="UPG67" s="3"/>
      <c r="UPH67" s="3"/>
      <c r="UPI67" s="3"/>
      <c r="UPJ67" s="3"/>
      <c r="UPK67" s="3"/>
      <c r="UPL67" s="3"/>
      <c r="UPM67" s="3"/>
      <c r="UPN67" s="3"/>
      <c r="UPO67" s="3"/>
      <c r="UPP67" s="3"/>
      <c r="UPQ67" s="3"/>
      <c r="UPR67" s="3"/>
      <c r="UPS67" s="3"/>
      <c r="UPT67" s="3"/>
      <c r="UPU67" s="3"/>
      <c r="UPV67" s="3"/>
      <c r="UPW67" s="3"/>
      <c r="UPX67" s="3"/>
      <c r="UPY67" s="3"/>
      <c r="UPZ67" s="3"/>
      <c r="UQA67" s="3"/>
      <c r="UQB67" s="3"/>
      <c r="UQC67" s="3"/>
      <c r="UQD67" s="3"/>
      <c r="UQE67" s="3"/>
      <c r="UQF67" s="3"/>
      <c r="UQG67" s="3"/>
      <c r="UQH67" s="3"/>
      <c r="UQI67" s="3"/>
      <c r="UQJ67" s="3"/>
      <c r="UQK67" s="3"/>
      <c r="UQL67" s="3"/>
      <c r="UQM67" s="3"/>
      <c r="UQN67" s="3"/>
      <c r="UQO67" s="3"/>
      <c r="UQP67" s="3"/>
      <c r="UQQ67" s="3"/>
      <c r="UQR67" s="3"/>
      <c r="UQS67" s="3"/>
      <c r="UQT67" s="3"/>
      <c r="UQU67" s="3"/>
      <c r="UQV67" s="3"/>
      <c r="UQW67" s="3"/>
      <c r="UQX67" s="3"/>
      <c r="UQY67" s="3"/>
      <c r="UQZ67" s="3"/>
      <c r="URA67" s="3"/>
      <c r="URB67" s="3"/>
      <c r="URC67" s="3"/>
      <c r="URD67" s="3"/>
      <c r="URE67" s="3"/>
      <c r="URF67" s="3"/>
      <c r="URG67" s="3"/>
      <c r="URH67" s="3"/>
      <c r="URI67" s="3"/>
      <c r="URJ67" s="3"/>
      <c r="URK67" s="3"/>
      <c r="URL67" s="3"/>
      <c r="URM67" s="3"/>
      <c r="URN67" s="3"/>
      <c r="URO67" s="3"/>
      <c r="URP67" s="3"/>
      <c r="URQ67" s="3"/>
      <c r="URR67" s="3"/>
      <c r="URS67" s="3"/>
      <c r="URT67" s="3"/>
      <c r="URU67" s="3"/>
      <c r="URV67" s="3"/>
      <c r="URW67" s="3"/>
      <c r="URX67" s="3"/>
      <c r="URY67" s="3"/>
      <c r="URZ67" s="3"/>
      <c r="USA67" s="3"/>
      <c r="USB67" s="3"/>
      <c r="USC67" s="3"/>
      <c r="USD67" s="3"/>
      <c r="USE67" s="3"/>
      <c r="USF67" s="3"/>
      <c r="USG67" s="3"/>
      <c r="USH67" s="3"/>
      <c r="USI67" s="3"/>
      <c r="USJ67" s="3"/>
      <c r="USK67" s="3"/>
      <c r="USL67" s="3"/>
      <c r="USM67" s="3"/>
      <c r="USN67" s="3"/>
      <c r="USO67" s="3"/>
      <c r="USP67" s="3"/>
      <c r="USQ67" s="3"/>
      <c r="USR67" s="3"/>
      <c r="USS67" s="3"/>
      <c r="UST67" s="3"/>
      <c r="USU67" s="3"/>
      <c r="USV67" s="3"/>
      <c r="USW67" s="3"/>
      <c r="USX67" s="3"/>
      <c r="USY67" s="3"/>
      <c r="USZ67" s="3"/>
      <c r="UTA67" s="3"/>
      <c r="UTB67" s="3"/>
      <c r="UTC67" s="3"/>
      <c r="UTD67" s="3"/>
      <c r="UTE67" s="3"/>
      <c r="UTF67" s="3"/>
      <c r="UTG67" s="3"/>
      <c r="UTH67" s="3"/>
      <c r="UTI67" s="3"/>
      <c r="UTJ67" s="3"/>
      <c r="UTK67" s="3"/>
      <c r="UTL67" s="3"/>
      <c r="UTM67" s="3"/>
      <c r="UTN67" s="3"/>
      <c r="UTO67" s="3"/>
      <c r="UTP67" s="3"/>
      <c r="UTQ67" s="3"/>
      <c r="UTR67" s="3"/>
      <c r="UTS67" s="3"/>
      <c r="UTT67" s="3"/>
      <c r="UTU67" s="3"/>
      <c r="UTV67" s="3"/>
      <c r="UTW67" s="3"/>
      <c r="UTX67" s="3"/>
      <c r="UTY67" s="3"/>
      <c r="UTZ67" s="3"/>
      <c r="UUA67" s="3"/>
      <c r="UUB67" s="3"/>
      <c r="UUC67" s="3"/>
      <c r="UUD67" s="3"/>
      <c r="UUE67" s="3"/>
      <c r="UUF67" s="3"/>
      <c r="UUG67" s="3"/>
      <c r="UUH67" s="3"/>
      <c r="UUI67" s="3"/>
      <c r="UUJ67" s="3"/>
      <c r="UUK67" s="3"/>
      <c r="UUL67" s="3"/>
      <c r="UUM67" s="3"/>
      <c r="UUN67" s="3"/>
      <c r="UUO67" s="3"/>
      <c r="UUP67" s="3"/>
      <c r="UUQ67" s="3"/>
      <c r="UUR67" s="3"/>
      <c r="UUS67" s="3"/>
      <c r="UUT67" s="3"/>
      <c r="UUU67" s="3"/>
      <c r="UUV67" s="3"/>
      <c r="UUW67" s="3"/>
      <c r="UUX67" s="3"/>
      <c r="UUY67" s="3"/>
      <c r="UUZ67" s="3"/>
      <c r="UVA67" s="3"/>
      <c r="UVB67" s="3"/>
      <c r="UVC67" s="3"/>
      <c r="UVD67" s="3"/>
      <c r="UVE67" s="3"/>
      <c r="UVF67" s="3"/>
      <c r="UVG67" s="3"/>
      <c r="UVH67" s="3"/>
      <c r="UVI67" s="3"/>
      <c r="UVJ67" s="3"/>
      <c r="UVK67" s="3"/>
      <c r="UVL67" s="3"/>
      <c r="UVM67" s="3"/>
      <c r="UVN67" s="3"/>
      <c r="UVO67" s="3"/>
      <c r="UVP67" s="3"/>
      <c r="UVQ67" s="3"/>
      <c r="UVR67" s="3"/>
      <c r="UVS67" s="3"/>
      <c r="UVT67" s="3"/>
      <c r="UVU67" s="3"/>
      <c r="UVV67" s="3"/>
      <c r="UVW67" s="3"/>
      <c r="UVX67" s="3"/>
      <c r="UVY67" s="3"/>
      <c r="UVZ67" s="3"/>
      <c r="UWA67" s="3"/>
      <c r="UWB67" s="3"/>
      <c r="UWC67" s="3"/>
      <c r="UWD67" s="3"/>
      <c r="UWE67" s="3"/>
      <c r="UWF67" s="3"/>
      <c r="UWG67" s="3"/>
      <c r="UWH67" s="3"/>
      <c r="UWI67" s="3"/>
      <c r="UWJ67" s="3"/>
      <c r="UWK67" s="3"/>
      <c r="UWL67" s="3"/>
      <c r="UWM67" s="3"/>
      <c r="UWN67" s="3"/>
      <c r="UWO67" s="3"/>
      <c r="UWP67" s="3"/>
      <c r="UWQ67" s="3"/>
      <c r="UWR67" s="3"/>
      <c r="UWS67" s="3"/>
      <c r="UWT67" s="3"/>
      <c r="UWU67" s="3"/>
      <c r="UWV67" s="3"/>
      <c r="UWW67" s="3"/>
      <c r="UWX67" s="3"/>
      <c r="UWY67" s="3"/>
      <c r="UWZ67" s="3"/>
      <c r="UXA67" s="3"/>
      <c r="UXB67" s="3"/>
      <c r="UXC67" s="3"/>
      <c r="UXD67" s="3"/>
      <c r="UXE67" s="3"/>
      <c r="UXF67" s="3"/>
      <c r="UXG67" s="3"/>
      <c r="UXH67" s="3"/>
      <c r="UXI67" s="3"/>
      <c r="UXJ67" s="3"/>
      <c r="UXK67" s="3"/>
      <c r="UXL67" s="3"/>
      <c r="UXM67" s="3"/>
      <c r="UXN67" s="3"/>
      <c r="UXO67" s="3"/>
      <c r="UXP67" s="3"/>
      <c r="UXQ67" s="3"/>
      <c r="UXR67" s="3"/>
      <c r="UXS67" s="3"/>
      <c r="UXT67" s="3"/>
      <c r="UXU67" s="3"/>
      <c r="UXV67" s="3"/>
      <c r="UXW67" s="3"/>
      <c r="UXX67" s="3"/>
      <c r="UXY67" s="3"/>
      <c r="UXZ67" s="3"/>
      <c r="UYA67" s="3"/>
      <c r="UYB67" s="3"/>
      <c r="UYC67" s="3"/>
      <c r="UYD67" s="3"/>
      <c r="UYE67" s="3"/>
      <c r="UYF67" s="3"/>
      <c r="UYG67" s="3"/>
      <c r="UYH67" s="3"/>
      <c r="UYI67" s="3"/>
      <c r="UYJ67" s="3"/>
      <c r="UYK67" s="3"/>
      <c r="UYL67" s="3"/>
      <c r="UYM67" s="3"/>
      <c r="UYN67" s="3"/>
      <c r="UYO67" s="3"/>
      <c r="UYP67" s="3"/>
      <c r="UYQ67" s="3"/>
      <c r="UYR67" s="3"/>
      <c r="UYS67" s="3"/>
      <c r="UYT67" s="3"/>
      <c r="UYU67" s="3"/>
      <c r="UYV67" s="3"/>
      <c r="UYW67" s="3"/>
      <c r="UYX67" s="3"/>
      <c r="UYY67" s="3"/>
      <c r="UYZ67" s="3"/>
      <c r="UZA67" s="3"/>
      <c r="UZB67" s="3"/>
      <c r="UZC67" s="3"/>
      <c r="UZD67" s="3"/>
      <c r="UZE67" s="3"/>
      <c r="UZF67" s="3"/>
      <c r="UZG67" s="3"/>
      <c r="UZH67" s="3"/>
      <c r="UZI67" s="3"/>
      <c r="UZJ67" s="3"/>
      <c r="UZK67" s="3"/>
      <c r="UZL67" s="3"/>
      <c r="UZM67" s="3"/>
      <c r="UZN67" s="3"/>
      <c r="UZO67" s="3"/>
      <c r="UZP67" s="3"/>
      <c r="UZQ67" s="3"/>
      <c r="UZR67" s="3"/>
      <c r="UZS67" s="3"/>
      <c r="UZT67" s="3"/>
      <c r="UZU67" s="3"/>
      <c r="UZV67" s="3"/>
      <c r="UZW67" s="3"/>
      <c r="UZX67" s="3"/>
      <c r="UZY67" s="3"/>
      <c r="UZZ67" s="3"/>
      <c r="VAA67" s="3"/>
      <c r="VAB67" s="3"/>
      <c r="VAC67" s="3"/>
      <c r="VAD67" s="3"/>
      <c r="VAE67" s="3"/>
      <c r="VAF67" s="3"/>
      <c r="VAG67" s="3"/>
      <c r="VAH67" s="3"/>
      <c r="VAI67" s="3"/>
      <c r="VAJ67" s="3"/>
      <c r="VAK67" s="3"/>
      <c r="VAL67" s="3"/>
      <c r="VAM67" s="3"/>
      <c r="VAN67" s="3"/>
      <c r="VAO67" s="3"/>
      <c r="VAP67" s="3"/>
      <c r="VAQ67" s="3"/>
      <c r="VAR67" s="3"/>
      <c r="VAS67" s="3"/>
      <c r="VAT67" s="3"/>
      <c r="VAU67" s="3"/>
      <c r="VAV67" s="3"/>
      <c r="VAW67" s="3"/>
      <c r="VAX67" s="3"/>
      <c r="VAY67" s="3"/>
      <c r="VAZ67" s="3"/>
      <c r="VBA67" s="3"/>
      <c r="VBB67" s="3"/>
      <c r="VBC67" s="3"/>
      <c r="VBD67" s="3"/>
      <c r="VBE67" s="3"/>
      <c r="VBF67" s="3"/>
      <c r="VBG67" s="3"/>
      <c r="VBH67" s="3"/>
      <c r="VBI67" s="3"/>
      <c r="VBJ67" s="3"/>
      <c r="VBK67" s="3"/>
      <c r="VBL67" s="3"/>
      <c r="VBM67" s="3"/>
      <c r="VBN67" s="3"/>
      <c r="VBO67" s="3"/>
      <c r="VBP67" s="3"/>
      <c r="VBQ67" s="3"/>
      <c r="VBR67" s="3"/>
      <c r="VBS67" s="3"/>
      <c r="VBT67" s="3"/>
      <c r="VBU67" s="3"/>
      <c r="VBV67" s="3"/>
      <c r="VBW67" s="3"/>
      <c r="VBX67" s="3"/>
      <c r="VBY67" s="3"/>
      <c r="VBZ67" s="3"/>
      <c r="VCA67" s="3"/>
      <c r="VCB67" s="3"/>
      <c r="VCC67" s="3"/>
      <c r="VCD67" s="3"/>
      <c r="VCE67" s="3"/>
      <c r="VCF67" s="3"/>
      <c r="VCG67" s="3"/>
      <c r="VCH67" s="3"/>
      <c r="VCI67" s="3"/>
      <c r="VCJ67" s="3"/>
      <c r="VCK67" s="3"/>
      <c r="VCL67" s="3"/>
      <c r="VCM67" s="3"/>
      <c r="VCN67" s="3"/>
      <c r="VCO67" s="3"/>
      <c r="VCP67" s="3"/>
      <c r="VCQ67" s="3"/>
      <c r="VCR67" s="3"/>
      <c r="VCS67" s="3"/>
      <c r="VCT67" s="3"/>
      <c r="VCU67" s="3"/>
      <c r="VCV67" s="3"/>
      <c r="VCW67" s="3"/>
      <c r="VCX67" s="3"/>
      <c r="VCY67" s="3"/>
      <c r="VCZ67" s="3"/>
      <c r="VDA67" s="3"/>
      <c r="VDB67" s="3"/>
      <c r="VDC67" s="3"/>
      <c r="VDD67" s="3"/>
      <c r="VDE67" s="3"/>
      <c r="VDF67" s="3"/>
      <c r="VDG67" s="3"/>
      <c r="VDH67" s="3"/>
      <c r="VDI67" s="3"/>
      <c r="VDJ67" s="3"/>
      <c r="VDK67" s="3"/>
      <c r="VDL67" s="3"/>
      <c r="VDM67" s="3"/>
      <c r="VDN67" s="3"/>
      <c r="VDO67" s="3"/>
      <c r="VDP67" s="3"/>
      <c r="VDQ67" s="3"/>
      <c r="VDR67" s="3"/>
      <c r="VDS67" s="3"/>
      <c r="VDT67" s="3"/>
      <c r="VDU67" s="3"/>
      <c r="VDV67" s="3"/>
      <c r="VDW67" s="3"/>
      <c r="VDX67" s="3"/>
      <c r="VDY67" s="3"/>
      <c r="VDZ67" s="3"/>
      <c r="VEA67" s="3"/>
      <c r="VEB67" s="3"/>
      <c r="VEC67" s="3"/>
      <c r="VED67" s="3"/>
      <c r="VEE67" s="3"/>
      <c r="VEF67" s="3"/>
      <c r="VEG67" s="3"/>
      <c r="VEH67" s="3"/>
      <c r="VEI67" s="3"/>
      <c r="VEJ67" s="3"/>
      <c r="VEK67" s="3"/>
      <c r="VEL67" s="3"/>
      <c r="VEM67" s="3"/>
      <c r="VEN67" s="3"/>
      <c r="VEO67" s="3"/>
      <c r="VEP67" s="3"/>
      <c r="VEQ67" s="3"/>
      <c r="VER67" s="3"/>
      <c r="VES67" s="3"/>
      <c r="VET67" s="3"/>
      <c r="VEU67" s="3"/>
      <c r="VEV67" s="3"/>
      <c r="VEW67" s="3"/>
      <c r="VEX67" s="3"/>
      <c r="VEY67" s="3"/>
      <c r="VEZ67" s="3"/>
      <c r="VFA67" s="3"/>
      <c r="VFB67" s="3"/>
      <c r="VFC67" s="3"/>
      <c r="VFD67" s="3"/>
      <c r="VFE67" s="3"/>
      <c r="VFF67" s="3"/>
      <c r="VFG67" s="3"/>
      <c r="VFH67" s="3"/>
      <c r="VFI67" s="3"/>
      <c r="VFJ67" s="3"/>
      <c r="VFK67" s="3"/>
      <c r="VFL67" s="3"/>
      <c r="VFM67" s="3"/>
      <c r="VFN67" s="3"/>
      <c r="VFO67" s="3"/>
      <c r="VFP67" s="3"/>
      <c r="VFQ67" s="3"/>
      <c r="VFR67" s="3"/>
      <c r="VFS67" s="3"/>
      <c r="VFT67" s="3"/>
      <c r="VFU67" s="3"/>
      <c r="VFV67" s="3"/>
      <c r="VFW67" s="3"/>
      <c r="VFX67" s="3"/>
      <c r="VFY67" s="3"/>
      <c r="VFZ67" s="3"/>
      <c r="VGA67" s="3"/>
      <c r="VGB67" s="3"/>
      <c r="VGC67" s="3"/>
      <c r="VGD67" s="3"/>
      <c r="VGE67" s="3"/>
      <c r="VGF67" s="3"/>
      <c r="VGG67" s="3"/>
      <c r="VGH67" s="3"/>
      <c r="VGI67" s="3"/>
      <c r="VGJ67" s="3"/>
      <c r="VGK67" s="3"/>
      <c r="VGL67" s="3"/>
      <c r="VGM67" s="3"/>
      <c r="VGN67" s="3"/>
      <c r="VGO67" s="3"/>
      <c r="VGP67" s="3"/>
      <c r="VGQ67" s="3"/>
      <c r="VGR67" s="3"/>
      <c r="VGS67" s="3"/>
      <c r="VGT67" s="3"/>
      <c r="VGU67" s="3"/>
      <c r="VGV67" s="3"/>
      <c r="VGW67" s="3"/>
      <c r="VGX67" s="3"/>
      <c r="VGY67" s="3"/>
      <c r="VGZ67" s="3"/>
      <c r="VHA67" s="3"/>
      <c r="VHB67" s="3"/>
      <c r="VHC67" s="3"/>
      <c r="VHD67" s="3"/>
      <c r="VHE67" s="3"/>
      <c r="VHF67" s="3"/>
      <c r="VHG67" s="3"/>
      <c r="VHH67" s="3"/>
      <c r="VHI67" s="3"/>
      <c r="VHJ67" s="3"/>
      <c r="VHK67" s="3"/>
      <c r="VHL67" s="3"/>
      <c r="VHM67" s="3"/>
      <c r="VHN67" s="3"/>
      <c r="VHO67" s="3"/>
      <c r="VHP67" s="3"/>
      <c r="VHQ67" s="3"/>
      <c r="VHR67" s="3"/>
      <c r="VHS67" s="3"/>
      <c r="VHT67" s="3"/>
      <c r="VHU67" s="3"/>
      <c r="VHV67" s="3"/>
      <c r="VHW67" s="3"/>
      <c r="VHX67" s="3"/>
      <c r="VHY67" s="3"/>
      <c r="VHZ67" s="3"/>
      <c r="VIA67" s="3"/>
      <c r="VIB67" s="3"/>
      <c r="VIC67" s="3"/>
      <c r="VID67" s="3"/>
      <c r="VIE67" s="3"/>
      <c r="VIF67" s="3"/>
      <c r="VIG67" s="3"/>
      <c r="VIH67" s="3"/>
      <c r="VII67" s="3"/>
      <c r="VIJ67" s="3"/>
      <c r="VIK67" s="3"/>
      <c r="VIL67" s="3"/>
      <c r="VIM67" s="3"/>
      <c r="VIN67" s="3"/>
      <c r="VIO67" s="3"/>
      <c r="VIP67" s="3"/>
      <c r="VIQ67" s="3"/>
      <c r="VIR67" s="3"/>
      <c r="VIS67" s="3"/>
      <c r="VIT67" s="3"/>
      <c r="VIU67" s="3"/>
      <c r="VIV67" s="3"/>
      <c r="VIW67" s="3"/>
      <c r="VIX67" s="3"/>
      <c r="VIY67" s="3"/>
      <c r="VIZ67" s="3"/>
      <c r="VJA67" s="3"/>
      <c r="VJB67" s="3"/>
      <c r="VJC67" s="3"/>
      <c r="VJD67" s="3"/>
      <c r="VJE67" s="3"/>
      <c r="VJF67" s="3"/>
      <c r="VJG67" s="3"/>
      <c r="VJH67" s="3"/>
      <c r="VJI67" s="3"/>
      <c r="VJJ67" s="3"/>
      <c r="VJK67" s="3"/>
      <c r="VJL67" s="3"/>
      <c r="VJM67" s="3"/>
      <c r="VJN67" s="3"/>
      <c r="VJO67" s="3"/>
      <c r="VJP67" s="3"/>
      <c r="VJQ67" s="3"/>
      <c r="VJR67" s="3"/>
      <c r="VJS67" s="3"/>
      <c r="VJT67" s="3"/>
      <c r="VJU67" s="3"/>
      <c r="VJV67" s="3"/>
      <c r="VJW67" s="3"/>
      <c r="VJX67" s="3"/>
      <c r="VJY67" s="3"/>
      <c r="VJZ67" s="3"/>
      <c r="VKA67" s="3"/>
      <c r="VKB67" s="3"/>
      <c r="VKC67" s="3"/>
      <c r="VKD67" s="3"/>
      <c r="VKE67" s="3"/>
      <c r="VKF67" s="3"/>
      <c r="VKG67" s="3"/>
      <c r="VKH67" s="3"/>
      <c r="VKI67" s="3"/>
      <c r="VKJ67" s="3"/>
      <c r="VKK67" s="3"/>
      <c r="VKL67" s="3"/>
      <c r="VKM67" s="3"/>
      <c r="VKN67" s="3"/>
      <c r="VKO67" s="3"/>
      <c r="VKP67" s="3"/>
      <c r="VKQ67" s="3"/>
      <c r="VKR67" s="3"/>
      <c r="VKS67" s="3"/>
      <c r="VKT67" s="3"/>
      <c r="VKU67" s="3"/>
      <c r="VKV67" s="3"/>
      <c r="VKW67" s="3"/>
      <c r="VKX67" s="3"/>
      <c r="VKY67" s="3"/>
      <c r="VKZ67" s="3"/>
      <c r="VLA67" s="3"/>
      <c r="VLB67" s="3"/>
      <c r="VLC67" s="3"/>
      <c r="VLD67" s="3"/>
      <c r="VLE67" s="3"/>
      <c r="VLF67" s="3"/>
      <c r="VLG67" s="3"/>
      <c r="VLH67" s="3"/>
      <c r="VLI67" s="3"/>
      <c r="VLJ67" s="3"/>
      <c r="VLK67" s="3"/>
      <c r="VLL67" s="3"/>
      <c r="VLM67" s="3"/>
      <c r="VLN67" s="3"/>
      <c r="VLO67" s="3"/>
      <c r="VLP67" s="3"/>
      <c r="VLQ67" s="3"/>
      <c r="VLR67" s="3"/>
      <c r="VLS67" s="3"/>
      <c r="VLT67" s="3"/>
      <c r="VLU67" s="3"/>
      <c r="VLV67" s="3"/>
      <c r="VLW67" s="3"/>
      <c r="VLX67" s="3"/>
      <c r="VLY67" s="3"/>
      <c r="VLZ67" s="3"/>
      <c r="VMA67" s="3"/>
      <c r="VMB67" s="3"/>
      <c r="VMC67" s="3"/>
      <c r="VMD67" s="3"/>
      <c r="VME67" s="3"/>
      <c r="VMF67" s="3"/>
      <c r="VMG67" s="3"/>
      <c r="VMH67" s="3"/>
      <c r="VMI67" s="3"/>
      <c r="VMJ67" s="3"/>
      <c r="VMK67" s="3"/>
      <c r="VML67" s="3"/>
      <c r="VMM67" s="3"/>
      <c r="VMN67" s="3"/>
      <c r="VMO67" s="3"/>
      <c r="VMP67" s="3"/>
      <c r="VMQ67" s="3"/>
      <c r="VMR67" s="3"/>
      <c r="VMS67" s="3"/>
      <c r="VMT67" s="3"/>
      <c r="VMU67" s="3"/>
      <c r="VMV67" s="3"/>
      <c r="VMW67" s="3"/>
      <c r="VMX67" s="3"/>
      <c r="VMY67" s="3"/>
      <c r="VMZ67" s="3"/>
      <c r="VNA67" s="3"/>
      <c r="VNB67" s="3"/>
      <c r="VNC67" s="3"/>
      <c r="VND67" s="3"/>
      <c r="VNE67" s="3"/>
      <c r="VNF67" s="3"/>
      <c r="VNG67" s="3"/>
      <c r="VNH67" s="3"/>
      <c r="VNI67" s="3"/>
      <c r="VNJ67" s="3"/>
      <c r="VNK67" s="3"/>
      <c r="VNL67" s="3"/>
      <c r="VNM67" s="3"/>
      <c r="VNN67" s="3"/>
      <c r="VNO67" s="3"/>
      <c r="VNP67" s="3"/>
      <c r="VNQ67" s="3"/>
      <c r="VNR67" s="3"/>
      <c r="VNS67" s="3"/>
      <c r="VNT67" s="3"/>
      <c r="VNU67" s="3"/>
      <c r="VNV67" s="3"/>
      <c r="VNW67" s="3"/>
      <c r="VNX67" s="3"/>
      <c r="VNY67" s="3"/>
      <c r="VNZ67" s="3"/>
      <c r="VOA67" s="3"/>
      <c r="VOB67" s="3"/>
      <c r="VOC67" s="3"/>
      <c r="VOD67" s="3"/>
      <c r="VOE67" s="3"/>
      <c r="VOF67" s="3"/>
      <c r="VOG67" s="3"/>
      <c r="VOH67" s="3"/>
      <c r="VOI67" s="3"/>
      <c r="VOJ67" s="3"/>
      <c r="VOK67" s="3"/>
      <c r="VOL67" s="3"/>
      <c r="VOM67" s="3"/>
      <c r="VON67" s="3"/>
      <c r="VOO67" s="3"/>
      <c r="VOP67" s="3"/>
      <c r="VOQ67" s="3"/>
      <c r="VOR67" s="3"/>
      <c r="VOS67" s="3"/>
      <c r="VOT67" s="3"/>
      <c r="VOU67" s="3"/>
      <c r="VOV67" s="3"/>
      <c r="VOW67" s="3"/>
      <c r="VOX67" s="3"/>
      <c r="VOY67" s="3"/>
      <c r="VOZ67" s="3"/>
      <c r="VPA67" s="3"/>
      <c r="VPB67" s="3"/>
      <c r="VPC67" s="3"/>
      <c r="VPD67" s="3"/>
      <c r="VPE67" s="3"/>
      <c r="VPF67" s="3"/>
      <c r="VPG67" s="3"/>
      <c r="VPH67" s="3"/>
      <c r="VPI67" s="3"/>
      <c r="VPJ67" s="3"/>
      <c r="VPK67" s="3"/>
      <c r="VPL67" s="3"/>
      <c r="VPM67" s="3"/>
      <c r="VPN67" s="3"/>
      <c r="VPO67" s="3"/>
      <c r="VPP67" s="3"/>
      <c r="VPQ67" s="3"/>
      <c r="VPR67" s="3"/>
      <c r="VPS67" s="3"/>
      <c r="VPT67" s="3"/>
      <c r="VPU67" s="3"/>
      <c r="VPV67" s="3"/>
      <c r="VPW67" s="3"/>
      <c r="VPX67" s="3"/>
      <c r="VPY67" s="3"/>
      <c r="VPZ67" s="3"/>
      <c r="VQA67" s="3"/>
      <c r="VQB67" s="3"/>
      <c r="VQC67" s="3"/>
      <c r="VQD67" s="3"/>
      <c r="VQE67" s="3"/>
      <c r="VQF67" s="3"/>
      <c r="VQG67" s="3"/>
      <c r="VQH67" s="3"/>
      <c r="VQI67" s="3"/>
      <c r="VQJ67" s="3"/>
      <c r="VQK67" s="3"/>
      <c r="VQL67" s="3"/>
      <c r="VQM67" s="3"/>
      <c r="VQN67" s="3"/>
      <c r="VQO67" s="3"/>
      <c r="VQP67" s="3"/>
      <c r="VQQ67" s="3"/>
      <c r="VQR67" s="3"/>
      <c r="VQS67" s="3"/>
      <c r="VQT67" s="3"/>
      <c r="VQU67" s="3"/>
      <c r="VQV67" s="3"/>
      <c r="VQW67" s="3"/>
      <c r="VQX67" s="3"/>
      <c r="VQY67" s="3"/>
      <c r="VQZ67" s="3"/>
      <c r="VRA67" s="3"/>
      <c r="VRB67" s="3"/>
      <c r="VRC67" s="3"/>
      <c r="VRD67" s="3"/>
      <c r="VRE67" s="3"/>
      <c r="VRF67" s="3"/>
      <c r="VRG67" s="3"/>
      <c r="VRH67" s="3"/>
      <c r="VRI67" s="3"/>
      <c r="VRJ67" s="3"/>
      <c r="VRK67" s="3"/>
      <c r="VRL67" s="3"/>
      <c r="VRM67" s="3"/>
      <c r="VRN67" s="3"/>
      <c r="VRO67" s="3"/>
      <c r="VRP67" s="3"/>
      <c r="VRQ67" s="3"/>
      <c r="VRR67" s="3"/>
      <c r="VRS67" s="3"/>
      <c r="VRT67" s="3"/>
      <c r="VRU67" s="3"/>
      <c r="VRV67" s="3"/>
      <c r="VRW67" s="3"/>
      <c r="VRX67" s="3"/>
      <c r="VRY67" s="3"/>
      <c r="VRZ67" s="3"/>
      <c r="VSA67" s="3"/>
      <c r="VSB67" s="3"/>
      <c r="VSC67" s="3"/>
      <c r="VSD67" s="3"/>
      <c r="VSE67" s="3"/>
      <c r="VSF67" s="3"/>
      <c r="VSG67" s="3"/>
      <c r="VSH67" s="3"/>
      <c r="VSI67" s="3"/>
      <c r="VSJ67" s="3"/>
      <c r="VSK67" s="3"/>
      <c r="VSL67" s="3"/>
      <c r="VSM67" s="3"/>
      <c r="VSN67" s="3"/>
      <c r="VSO67" s="3"/>
      <c r="VSP67" s="3"/>
      <c r="VSQ67" s="3"/>
      <c r="VSR67" s="3"/>
      <c r="VSS67" s="3"/>
      <c r="VST67" s="3"/>
      <c r="VSU67" s="3"/>
      <c r="VSV67" s="3"/>
      <c r="VSW67" s="3"/>
      <c r="VSX67" s="3"/>
      <c r="VSY67" s="3"/>
      <c r="VSZ67" s="3"/>
      <c r="VTA67" s="3"/>
      <c r="VTB67" s="3"/>
      <c r="VTC67" s="3"/>
      <c r="VTD67" s="3"/>
      <c r="VTE67" s="3"/>
      <c r="VTF67" s="3"/>
      <c r="VTG67" s="3"/>
      <c r="VTH67" s="3"/>
      <c r="VTI67" s="3"/>
      <c r="VTJ67" s="3"/>
      <c r="VTK67" s="3"/>
      <c r="VTL67" s="3"/>
      <c r="VTM67" s="3"/>
      <c r="VTN67" s="3"/>
      <c r="VTO67" s="3"/>
      <c r="VTP67" s="3"/>
      <c r="VTQ67" s="3"/>
      <c r="VTR67" s="3"/>
      <c r="VTS67" s="3"/>
      <c r="VTT67" s="3"/>
      <c r="VTU67" s="3"/>
      <c r="VTV67" s="3"/>
      <c r="VTW67" s="3"/>
      <c r="VTX67" s="3"/>
      <c r="VTY67" s="3"/>
      <c r="VTZ67" s="3"/>
      <c r="VUA67" s="3"/>
      <c r="VUB67" s="3"/>
      <c r="VUC67" s="3"/>
      <c r="VUD67" s="3"/>
      <c r="VUE67" s="3"/>
      <c r="VUF67" s="3"/>
      <c r="VUG67" s="3"/>
      <c r="VUH67" s="3"/>
      <c r="VUI67" s="3"/>
      <c r="VUJ67" s="3"/>
      <c r="VUK67" s="3"/>
      <c r="VUL67" s="3"/>
      <c r="VUM67" s="3"/>
      <c r="VUN67" s="3"/>
      <c r="VUO67" s="3"/>
      <c r="VUP67" s="3"/>
      <c r="VUQ67" s="3"/>
      <c r="VUR67" s="3"/>
      <c r="VUS67" s="3"/>
      <c r="VUT67" s="3"/>
      <c r="VUU67" s="3"/>
      <c r="VUV67" s="3"/>
      <c r="VUW67" s="3"/>
      <c r="VUX67" s="3"/>
      <c r="VUY67" s="3"/>
      <c r="VUZ67" s="3"/>
      <c r="VVA67" s="3"/>
      <c r="VVB67" s="3"/>
      <c r="VVC67" s="3"/>
      <c r="VVD67" s="3"/>
      <c r="VVE67" s="3"/>
      <c r="VVF67" s="3"/>
      <c r="VVG67" s="3"/>
      <c r="VVH67" s="3"/>
      <c r="VVI67" s="3"/>
      <c r="VVJ67" s="3"/>
      <c r="VVK67" s="3"/>
      <c r="VVL67" s="3"/>
      <c r="VVM67" s="3"/>
      <c r="VVN67" s="3"/>
      <c r="VVO67" s="3"/>
      <c r="VVP67" s="3"/>
      <c r="VVQ67" s="3"/>
      <c r="VVR67" s="3"/>
      <c r="VVS67" s="3"/>
      <c r="VVT67" s="3"/>
      <c r="VVU67" s="3"/>
      <c r="VVV67" s="3"/>
      <c r="VVW67" s="3"/>
      <c r="VVX67" s="3"/>
      <c r="VVY67" s="3"/>
      <c r="VVZ67" s="3"/>
      <c r="VWA67" s="3"/>
      <c r="VWB67" s="3"/>
      <c r="VWC67" s="3"/>
      <c r="VWD67" s="3"/>
      <c r="VWE67" s="3"/>
      <c r="VWF67" s="3"/>
      <c r="VWG67" s="3"/>
      <c r="VWH67" s="3"/>
      <c r="VWI67" s="3"/>
      <c r="VWJ67" s="3"/>
      <c r="VWK67" s="3"/>
      <c r="VWL67" s="3"/>
      <c r="VWM67" s="3"/>
      <c r="VWN67" s="3"/>
      <c r="VWO67" s="3"/>
      <c r="VWP67" s="3"/>
      <c r="VWQ67" s="3"/>
      <c r="VWR67" s="3"/>
      <c r="VWS67" s="3"/>
      <c r="VWT67" s="3"/>
      <c r="VWU67" s="3"/>
      <c r="VWV67" s="3"/>
      <c r="VWW67" s="3"/>
      <c r="VWX67" s="3"/>
      <c r="VWY67" s="3"/>
      <c r="VWZ67" s="3"/>
      <c r="VXA67" s="3"/>
      <c r="VXB67" s="3"/>
      <c r="VXC67" s="3"/>
      <c r="VXD67" s="3"/>
      <c r="VXE67" s="3"/>
      <c r="VXF67" s="3"/>
      <c r="VXG67" s="3"/>
      <c r="VXH67" s="3"/>
      <c r="VXI67" s="3"/>
      <c r="VXJ67" s="3"/>
      <c r="VXK67" s="3"/>
      <c r="VXL67" s="3"/>
      <c r="VXM67" s="3"/>
      <c r="VXN67" s="3"/>
      <c r="VXO67" s="3"/>
      <c r="VXP67" s="3"/>
      <c r="VXQ67" s="3"/>
      <c r="VXR67" s="3"/>
      <c r="VXS67" s="3"/>
      <c r="VXT67" s="3"/>
      <c r="VXU67" s="3"/>
      <c r="VXV67" s="3"/>
      <c r="VXW67" s="3"/>
      <c r="VXX67" s="3"/>
      <c r="VXY67" s="3"/>
      <c r="VXZ67" s="3"/>
      <c r="VYA67" s="3"/>
      <c r="VYB67" s="3"/>
      <c r="VYC67" s="3"/>
      <c r="VYD67" s="3"/>
      <c r="VYE67" s="3"/>
      <c r="VYF67" s="3"/>
      <c r="VYG67" s="3"/>
      <c r="VYH67" s="3"/>
      <c r="VYI67" s="3"/>
      <c r="VYJ67" s="3"/>
      <c r="VYK67" s="3"/>
      <c r="VYL67" s="3"/>
      <c r="VYM67" s="3"/>
      <c r="VYN67" s="3"/>
      <c r="VYO67" s="3"/>
      <c r="VYP67" s="3"/>
      <c r="VYQ67" s="3"/>
      <c r="VYR67" s="3"/>
      <c r="VYS67" s="3"/>
      <c r="VYT67" s="3"/>
      <c r="VYU67" s="3"/>
      <c r="VYV67" s="3"/>
      <c r="VYW67" s="3"/>
      <c r="VYX67" s="3"/>
      <c r="VYY67" s="3"/>
      <c r="VYZ67" s="3"/>
      <c r="VZA67" s="3"/>
      <c r="VZB67" s="3"/>
      <c r="VZC67" s="3"/>
      <c r="VZD67" s="3"/>
      <c r="VZE67" s="3"/>
      <c r="VZF67" s="3"/>
      <c r="VZG67" s="3"/>
      <c r="VZH67" s="3"/>
      <c r="VZI67" s="3"/>
      <c r="VZJ67" s="3"/>
      <c r="VZK67" s="3"/>
      <c r="VZL67" s="3"/>
      <c r="VZM67" s="3"/>
      <c r="VZN67" s="3"/>
      <c r="VZO67" s="3"/>
      <c r="VZP67" s="3"/>
      <c r="VZQ67" s="3"/>
      <c r="VZR67" s="3"/>
      <c r="VZS67" s="3"/>
      <c r="VZT67" s="3"/>
      <c r="VZU67" s="3"/>
      <c r="VZV67" s="3"/>
      <c r="VZW67" s="3"/>
      <c r="VZX67" s="3"/>
      <c r="VZY67" s="3"/>
      <c r="VZZ67" s="3"/>
      <c r="WAA67" s="3"/>
      <c r="WAB67" s="3"/>
      <c r="WAC67" s="3"/>
      <c r="WAD67" s="3"/>
      <c r="WAE67" s="3"/>
      <c r="WAF67" s="3"/>
      <c r="WAG67" s="3"/>
      <c r="WAH67" s="3"/>
      <c r="WAI67" s="3"/>
      <c r="WAJ67" s="3"/>
      <c r="WAK67" s="3"/>
      <c r="WAL67" s="3"/>
      <c r="WAM67" s="3"/>
      <c r="WAN67" s="3"/>
      <c r="WAO67" s="3"/>
      <c r="WAP67" s="3"/>
      <c r="WAQ67" s="3"/>
      <c r="WAR67" s="3"/>
      <c r="WAS67" s="3"/>
      <c r="WAT67" s="3"/>
      <c r="WAU67" s="3"/>
      <c r="WAV67" s="3"/>
      <c r="WAW67" s="3"/>
      <c r="WAX67" s="3"/>
      <c r="WAY67" s="3"/>
      <c r="WAZ67" s="3"/>
      <c r="WBA67" s="3"/>
      <c r="WBB67" s="3"/>
      <c r="WBC67" s="3"/>
      <c r="WBD67" s="3"/>
      <c r="WBE67" s="3"/>
      <c r="WBF67" s="3"/>
      <c r="WBG67" s="3"/>
      <c r="WBH67" s="3"/>
      <c r="WBI67" s="3"/>
      <c r="WBJ67" s="3"/>
      <c r="WBK67" s="3"/>
      <c r="WBL67" s="3"/>
      <c r="WBM67" s="3"/>
      <c r="WBN67" s="3"/>
      <c r="WBO67" s="3"/>
      <c r="WBP67" s="3"/>
      <c r="WBQ67" s="3"/>
      <c r="WBR67" s="3"/>
      <c r="WBS67" s="3"/>
      <c r="WBT67" s="3"/>
      <c r="WBU67" s="3"/>
      <c r="WBV67" s="3"/>
      <c r="WBW67" s="3"/>
      <c r="WBX67" s="3"/>
      <c r="WBY67" s="3"/>
      <c r="WBZ67" s="3"/>
      <c r="WCA67" s="3"/>
      <c r="WCB67" s="3"/>
      <c r="WCC67" s="3"/>
      <c r="WCD67" s="3"/>
      <c r="WCE67" s="3"/>
      <c r="WCF67" s="3"/>
      <c r="WCG67" s="3"/>
      <c r="WCH67" s="3"/>
      <c r="WCI67" s="3"/>
      <c r="WCJ67" s="3"/>
      <c r="WCK67" s="3"/>
      <c r="WCL67" s="3"/>
      <c r="WCM67" s="3"/>
      <c r="WCN67" s="3"/>
      <c r="WCO67" s="3"/>
      <c r="WCP67" s="3"/>
      <c r="WCQ67" s="3"/>
      <c r="WCR67" s="3"/>
      <c r="WCS67" s="3"/>
      <c r="WCT67" s="3"/>
      <c r="WCU67" s="3"/>
      <c r="WCV67" s="3"/>
      <c r="WCW67" s="3"/>
      <c r="WCX67" s="3"/>
      <c r="WCY67" s="3"/>
      <c r="WCZ67" s="3"/>
      <c r="WDA67" s="3"/>
      <c r="WDB67" s="3"/>
      <c r="WDC67" s="3"/>
      <c r="WDD67" s="3"/>
      <c r="WDE67" s="3"/>
      <c r="WDF67" s="3"/>
      <c r="WDG67" s="3"/>
      <c r="WDH67" s="3"/>
      <c r="WDI67" s="3"/>
      <c r="WDJ67" s="3"/>
      <c r="WDK67" s="3"/>
      <c r="WDL67" s="3"/>
      <c r="WDM67" s="3"/>
      <c r="WDN67" s="3"/>
      <c r="WDO67" s="3"/>
      <c r="WDP67" s="3"/>
      <c r="WDQ67" s="3"/>
      <c r="WDR67" s="3"/>
      <c r="WDS67" s="3"/>
      <c r="WDT67" s="3"/>
      <c r="WDU67" s="3"/>
      <c r="WDV67" s="3"/>
      <c r="WDW67" s="3"/>
      <c r="WDX67" s="3"/>
      <c r="WDY67" s="3"/>
      <c r="WDZ67" s="3"/>
      <c r="WEA67" s="3"/>
      <c r="WEB67" s="3"/>
      <c r="WEC67" s="3"/>
      <c r="WED67" s="3"/>
      <c r="WEE67" s="3"/>
      <c r="WEF67" s="3"/>
      <c r="WEG67" s="3"/>
      <c r="WEH67" s="3"/>
      <c r="WEI67" s="3"/>
      <c r="WEJ67" s="3"/>
      <c r="WEK67" s="3"/>
      <c r="WEL67" s="3"/>
      <c r="WEM67" s="3"/>
      <c r="WEN67" s="3"/>
      <c r="WEO67" s="3"/>
      <c r="WEP67" s="3"/>
      <c r="WEQ67" s="3"/>
      <c r="WER67" s="3"/>
      <c r="WES67" s="3"/>
      <c r="WET67" s="3"/>
      <c r="WEU67" s="3"/>
      <c r="WEV67" s="3"/>
      <c r="WEW67" s="3"/>
      <c r="WEX67" s="3"/>
      <c r="WEY67" s="3"/>
      <c r="WEZ67" s="3"/>
      <c r="WFA67" s="3"/>
      <c r="WFB67" s="3"/>
      <c r="WFC67" s="3"/>
      <c r="WFD67" s="3"/>
      <c r="WFE67" s="3"/>
      <c r="WFF67" s="3"/>
      <c r="WFG67" s="3"/>
      <c r="WFH67" s="3"/>
      <c r="WFI67" s="3"/>
      <c r="WFJ67" s="3"/>
      <c r="WFK67" s="3"/>
      <c r="WFL67" s="3"/>
      <c r="WFM67" s="3"/>
      <c r="WFN67" s="3"/>
      <c r="WFO67" s="3"/>
      <c r="WFP67" s="3"/>
      <c r="WFQ67" s="3"/>
      <c r="WFR67" s="3"/>
      <c r="WFS67" s="3"/>
      <c r="WFT67" s="3"/>
      <c r="WFU67" s="3"/>
      <c r="WFV67" s="3"/>
      <c r="WFW67" s="3"/>
      <c r="WFX67" s="3"/>
      <c r="WFY67" s="3"/>
      <c r="WFZ67" s="3"/>
      <c r="WGA67" s="3"/>
      <c r="WGB67" s="3"/>
      <c r="WGC67" s="3"/>
      <c r="WGD67" s="3"/>
      <c r="WGE67" s="3"/>
      <c r="WGF67" s="3"/>
      <c r="WGG67" s="3"/>
      <c r="WGH67" s="3"/>
      <c r="WGI67" s="3"/>
      <c r="WGJ67" s="3"/>
      <c r="WGK67" s="3"/>
      <c r="WGL67" s="3"/>
      <c r="WGM67" s="3"/>
      <c r="WGN67" s="3"/>
      <c r="WGO67" s="3"/>
      <c r="WGP67" s="3"/>
      <c r="WGQ67" s="3"/>
      <c r="WGR67" s="3"/>
      <c r="WGS67" s="3"/>
      <c r="WGT67" s="3"/>
      <c r="WGU67" s="3"/>
      <c r="WGV67" s="3"/>
      <c r="WGW67" s="3"/>
      <c r="WGX67" s="3"/>
      <c r="WGY67" s="3"/>
      <c r="WGZ67" s="3"/>
      <c r="WHA67" s="3"/>
      <c r="WHB67" s="3"/>
      <c r="WHC67" s="3"/>
      <c r="WHD67" s="3"/>
      <c r="WHE67" s="3"/>
      <c r="WHF67" s="3"/>
      <c r="WHG67" s="3"/>
      <c r="WHH67" s="3"/>
      <c r="WHI67" s="3"/>
      <c r="WHJ67" s="3"/>
      <c r="WHK67" s="3"/>
      <c r="WHL67" s="3"/>
      <c r="WHM67" s="3"/>
      <c r="WHN67" s="3"/>
      <c r="WHO67" s="3"/>
      <c r="WHP67" s="3"/>
      <c r="WHQ67" s="3"/>
      <c r="WHR67" s="3"/>
      <c r="WHS67" s="3"/>
      <c r="WHT67" s="3"/>
      <c r="WHU67" s="3"/>
      <c r="WHV67" s="3"/>
      <c r="WHW67" s="3"/>
      <c r="WHX67" s="3"/>
      <c r="WHY67" s="3"/>
      <c r="WHZ67" s="3"/>
      <c r="WIA67" s="3"/>
      <c r="WIB67" s="3"/>
      <c r="WIC67" s="3"/>
      <c r="WID67" s="3"/>
      <c r="WIE67" s="3"/>
      <c r="WIF67" s="3"/>
      <c r="WIG67" s="3"/>
      <c r="WIH67" s="3"/>
      <c r="WII67" s="3"/>
      <c r="WIJ67" s="3"/>
      <c r="WIK67" s="3"/>
      <c r="WIL67" s="3"/>
      <c r="WIM67" s="3"/>
      <c r="WIN67" s="3"/>
      <c r="WIO67" s="3"/>
      <c r="WIP67" s="3"/>
      <c r="WIQ67" s="3"/>
      <c r="WIR67" s="3"/>
      <c r="WIS67" s="3"/>
      <c r="WIT67" s="3"/>
      <c r="WIU67" s="3"/>
      <c r="WIV67" s="3"/>
      <c r="WIW67" s="3"/>
      <c r="WIX67" s="3"/>
      <c r="WIY67" s="3"/>
      <c r="WIZ67" s="3"/>
      <c r="WJA67" s="3"/>
      <c r="WJB67" s="3"/>
      <c r="WJC67" s="3"/>
      <c r="WJD67" s="3"/>
      <c r="WJE67" s="3"/>
      <c r="WJF67" s="3"/>
      <c r="WJG67" s="3"/>
      <c r="WJH67" s="3"/>
      <c r="WJI67" s="3"/>
      <c r="WJJ67" s="3"/>
      <c r="WJK67" s="3"/>
      <c r="WJL67" s="3"/>
      <c r="WJM67" s="3"/>
      <c r="WJN67" s="3"/>
      <c r="WJO67" s="3"/>
      <c r="WJP67" s="3"/>
      <c r="WJQ67" s="3"/>
      <c r="WJR67" s="3"/>
      <c r="WJS67" s="3"/>
      <c r="WJT67" s="3"/>
      <c r="WJU67" s="3"/>
      <c r="WJV67" s="3"/>
      <c r="WJW67" s="3"/>
      <c r="WJX67" s="3"/>
      <c r="WJY67" s="3"/>
      <c r="WJZ67" s="3"/>
      <c r="WKA67" s="3"/>
      <c r="WKB67" s="3"/>
      <c r="WKC67" s="3"/>
      <c r="WKD67" s="3"/>
      <c r="WKE67" s="3"/>
      <c r="WKF67" s="3"/>
      <c r="WKG67" s="3"/>
      <c r="WKH67" s="3"/>
      <c r="WKI67" s="3"/>
      <c r="WKJ67" s="3"/>
      <c r="WKK67" s="3"/>
      <c r="WKL67" s="3"/>
      <c r="WKM67" s="3"/>
      <c r="WKN67" s="3"/>
      <c r="WKO67" s="3"/>
      <c r="WKP67" s="3"/>
      <c r="WKQ67" s="3"/>
      <c r="WKR67" s="3"/>
      <c r="WKS67" s="3"/>
      <c r="WKT67" s="3"/>
      <c r="WKU67" s="3"/>
      <c r="WKV67" s="3"/>
      <c r="WKW67" s="3"/>
      <c r="WKX67" s="3"/>
      <c r="WKY67" s="3"/>
      <c r="WKZ67" s="3"/>
      <c r="WLA67" s="3"/>
      <c r="WLB67" s="3"/>
      <c r="WLC67" s="3"/>
      <c r="WLD67" s="3"/>
      <c r="WLE67" s="3"/>
      <c r="WLF67" s="3"/>
      <c r="WLG67" s="3"/>
      <c r="WLH67" s="3"/>
      <c r="WLI67" s="3"/>
      <c r="WLJ67" s="3"/>
      <c r="WLK67" s="3"/>
      <c r="WLL67" s="3"/>
      <c r="WLM67" s="3"/>
      <c r="WLN67" s="3"/>
      <c r="WLO67" s="3"/>
      <c r="WLP67" s="3"/>
      <c r="WLQ67" s="3"/>
      <c r="WLR67" s="3"/>
      <c r="WLS67" s="3"/>
      <c r="WLT67" s="3"/>
      <c r="WLU67" s="3"/>
      <c r="WLV67" s="3"/>
      <c r="WLW67" s="3"/>
      <c r="WLX67" s="3"/>
      <c r="WLY67" s="3"/>
      <c r="WLZ67" s="3"/>
      <c r="WMA67" s="3"/>
      <c r="WMB67" s="3"/>
      <c r="WMC67" s="3"/>
      <c r="WMD67" s="3"/>
      <c r="WME67" s="3"/>
      <c r="WMF67" s="3"/>
      <c r="WMG67" s="3"/>
      <c r="WMH67" s="3"/>
      <c r="WMI67" s="3"/>
      <c r="WMJ67" s="3"/>
      <c r="WMK67" s="3"/>
      <c r="WML67" s="3"/>
      <c r="WMM67" s="3"/>
      <c r="WMN67" s="3"/>
      <c r="WMO67" s="3"/>
      <c r="WMP67" s="3"/>
      <c r="WMQ67" s="3"/>
      <c r="WMR67" s="3"/>
      <c r="WMS67" s="3"/>
      <c r="WMT67" s="3"/>
      <c r="WMU67" s="3"/>
      <c r="WMV67" s="3"/>
      <c r="WMW67" s="3"/>
      <c r="WMX67" s="3"/>
      <c r="WMY67" s="3"/>
      <c r="WMZ67" s="3"/>
      <c r="WNA67" s="3"/>
      <c r="WNB67" s="3"/>
      <c r="WNC67" s="3"/>
      <c r="WND67" s="3"/>
      <c r="WNE67" s="3"/>
      <c r="WNF67" s="3"/>
      <c r="WNG67" s="3"/>
      <c r="WNH67" s="3"/>
      <c r="WNI67" s="3"/>
      <c r="WNJ67" s="3"/>
      <c r="WNK67" s="3"/>
      <c r="WNL67" s="3"/>
      <c r="WNM67" s="3"/>
      <c r="WNN67" s="3"/>
      <c r="WNO67" s="3"/>
      <c r="WNP67" s="3"/>
      <c r="WNQ67" s="3"/>
      <c r="WNR67" s="3"/>
      <c r="WNS67" s="3"/>
      <c r="WNT67" s="3"/>
      <c r="WNU67" s="3"/>
      <c r="WNV67" s="3"/>
      <c r="WNW67" s="3"/>
      <c r="WNX67" s="3"/>
      <c r="WNY67" s="3"/>
      <c r="WNZ67" s="3"/>
      <c r="WOA67" s="3"/>
      <c r="WOB67" s="3"/>
      <c r="WOC67" s="3"/>
      <c r="WOD67" s="3"/>
      <c r="WOE67" s="3"/>
      <c r="WOF67" s="3"/>
      <c r="WOG67" s="3"/>
      <c r="WOH67" s="3"/>
      <c r="WOI67" s="3"/>
      <c r="WOJ67" s="3"/>
      <c r="WOK67" s="3"/>
      <c r="WOL67" s="3"/>
      <c r="WOM67" s="3"/>
      <c r="WON67" s="3"/>
      <c r="WOO67" s="3"/>
      <c r="WOP67" s="3"/>
      <c r="WOQ67" s="3"/>
      <c r="WOR67" s="3"/>
      <c r="WOS67" s="3"/>
      <c r="WOT67" s="3"/>
      <c r="WOU67" s="3"/>
      <c r="WOV67" s="3"/>
      <c r="WOW67" s="3"/>
      <c r="WOX67" s="3"/>
      <c r="WOY67" s="3"/>
      <c r="WOZ67" s="3"/>
      <c r="WPA67" s="3"/>
      <c r="WPB67" s="3"/>
      <c r="WPC67" s="3"/>
      <c r="WPD67" s="3"/>
      <c r="WPE67" s="3"/>
      <c r="WPF67" s="3"/>
      <c r="WPG67" s="3"/>
      <c r="WPH67" s="3"/>
      <c r="WPI67" s="3"/>
      <c r="WPJ67" s="3"/>
      <c r="WPK67" s="3"/>
      <c r="WPL67" s="3"/>
      <c r="WPM67" s="3"/>
      <c r="WPN67" s="3"/>
      <c r="WPO67" s="3"/>
      <c r="WPP67" s="3"/>
      <c r="WPQ67" s="3"/>
      <c r="WPR67" s="3"/>
      <c r="WPS67" s="3"/>
      <c r="WPT67" s="3"/>
      <c r="WPU67" s="3"/>
      <c r="WPV67" s="3"/>
      <c r="WPW67" s="3"/>
      <c r="WPX67" s="3"/>
      <c r="WPY67" s="3"/>
      <c r="WPZ67" s="3"/>
      <c r="WQA67" s="3"/>
      <c r="WQB67" s="3"/>
      <c r="WQC67" s="3"/>
      <c r="WQD67" s="3"/>
      <c r="WQE67" s="3"/>
      <c r="WQF67" s="3"/>
      <c r="WQG67" s="3"/>
      <c r="WQH67" s="3"/>
      <c r="WQI67" s="3"/>
      <c r="WQJ67" s="3"/>
      <c r="WQK67" s="3"/>
      <c r="WQL67" s="3"/>
      <c r="WQM67" s="3"/>
      <c r="WQN67" s="3"/>
      <c r="WQO67" s="3"/>
      <c r="WQP67" s="3"/>
      <c r="WQQ67" s="3"/>
      <c r="WQR67" s="3"/>
      <c r="WQS67" s="3"/>
      <c r="WQT67" s="3"/>
      <c r="WQU67" s="3"/>
      <c r="WQV67" s="3"/>
      <c r="WQW67" s="3"/>
      <c r="WQX67" s="3"/>
      <c r="WQY67" s="3"/>
      <c r="WQZ67" s="3"/>
      <c r="WRA67" s="3"/>
      <c r="WRB67" s="3"/>
      <c r="WRC67" s="3"/>
      <c r="WRD67" s="3"/>
      <c r="WRE67" s="3"/>
      <c r="WRF67" s="3"/>
      <c r="WRG67" s="3"/>
      <c r="WRH67" s="3"/>
      <c r="WRI67" s="3"/>
      <c r="WRJ67" s="3"/>
      <c r="WRK67" s="3"/>
      <c r="WRL67" s="3"/>
      <c r="WRM67" s="3"/>
      <c r="WRN67" s="3"/>
      <c r="WRO67" s="3"/>
      <c r="WRP67" s="3"/>
      <c r="WRQ67" s="3"/>
      <c r="WRR67" s="3"/>
      <c r="WRS67" s="3"/>
      <c r="WRT67" s="3"/>
      <c r="WRU67" s="3"/>
      <c r="WRV67" s="3"/>
      <c r="WRW67" s="3"/>
      <c r="WRX67" s="3"/>
      <c r="WRY67" s="3"/>
      <c r="WRZ67" s="3"/>
      <c r="WSA67" s="3"/>
      <c r="WSB67" s="3"/>
      <c r="WSC67" s="3"/>
      <c r="WSD67" s="3"/>
      <c r="WSE67" s="3"/>
      <c r="WSF67" s="3"/>
      <c r="WSG67" s="3"/>
      <c r="WSH67" s="3"/>
      <c r="WSI67" s="3"/>
      <c r="WSJ67" s="3"/>
      <c r="WSK67" s="3"/>
      <c r="WSL67" s="3"/>
      <c r="WSM67" s="3"/>
      <c r="WSN67" s="3"/>
      <c r="WSO67" s="3"/>
    </row>
    <row r="68" spans="1:16057" s="1" customFormat="1" ht="14.25"/>
    <row r="69" spans="1:16057" s="7" customFormat="1" ht="14.25"/>
    <row r="70" spans="1:16057" s="7" customFormat="1" ht="14.25"/>
    <row r="71" spans="1:16057" s="1" customFormat="1" ht="14.25"/>
    <row r="72" spans="1:16057" s="1" customFormat="1" ht="14.25"/>
    <row r="73" spans="1:16057" s="1" customFormat="1" ht="14.25"/>
    <row r="74" spans="1:16057" s="1" customFormat="1" ht="14.25"/>
    <row r="75" spans="1:16057" s="1" customFormat="1" ht="14.25"/>
    <row r="77" spans="1:16057" s="1" customFormat="1" ht="14.25"/>
    <row r="78" spans="1:16057" s="1" customFormat="1" ht="14.25"/>
    <row r="79" spans="1:16057" s="1" customFormat="1" ht="14.25"/>
    <row r="80" spans="1:16057" s="1" customFormat="1" ht="14.25"/>
    <row r="81" s="1" customFormat="1" ht="14.25"/>
    <row r="82" s="1" customFormat="1" ht="14.25"/>
    <row r="84" s="1" customFormat="1" ht="14.25"/>
    <row r="85" s="1" customFormat="1" ht="14.25"/>
    <row r="86" s="1" customFormat="1" ht="14.25"/>
    <row r="87" s="1" customFormat="1" ht="14.25"/>
    <row r="88" s="1" customFormat="1" ht="14.25"/>
    <row r="89" s="1" customFormat="1" ht="14.25"/>
    <row r="90" s="1" customFormat="1" ht="14.25"/>
    <row r="95" s="1" customFormat="1" ht="14.25"/>
    <row r="96" s="5" customFormat="1" ht="14.25"/>
    <row r="100" s="8" customFormat="1"/>
    <row r="101" s="8" customFormat="1"/>
    <row r="102" s="8" customFormat="1"/>
    <row r="103" s="8" customFormat="1"/>
    <row r="107" s="8" customFormat="1"/>
    <row r="109" s="9" customFormat="1" ht="14.25"/>
    <row r="110" s="9" customFormat="1" ht="14.25"/>
    <row r="111" s="9" customFormat="1" ht="14.25"/>
    <row r="112" s="9" customFormat="1" ht="14.25"/>
    <row r="113" s="9" customFormat="1" ht="14.25"/>
    <row r="114" s="9" customFormat="1" ht="14.25"/>
    <row r="115" s="9" customFormat="1" ht="14.25"/>
    <row r="124" hidden="1"/>
    <row r="126" s="8" customFormat="1"/>
    <row r="131" hidden="1"/>
    <row r="133" s="8" customFormat="1"/>
    <row r="135" hidden="1"/>
    <row r="136" hidden="1"/>
    <row r="137" hidden="1"/>
    <row r="138" hidden="1"/>
    <row r="139" hidden="1"/>
    <row r="140" hidden="1"/>
  </sheetData>
  <mergeCells count="12">
    <mergeCell ref="B7:D7"/>
    <mergeCell ref="E7:F7"/>
    <mergeCell ref="G7:H7"/>
    <mergeCell ref="B13:D13"/>
    <mergeCell ref="B25:D25"/>
    <mergeCell ref="E25:F25"/>
    <mergeCell ref="G25:H25"/>
    <mergeCell ref="B31:D31"/>
    <mergeCell ref="E9:E12"/>
    <mergeCell ref="E27:E30"/>
    <mergeCell ref="F9:F12"/>
    <mergeCell ref="F27:F3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November</vt:lpstr>
      <vt:lpstr>Sheet1</vt:lpstr>
      <vt:lpstr>Trace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2020-09-29T04:26:00Z</cp:lastPrinted>
  <dcterms:created xsi:type="dcterms:W3CDTF">2019-05-08T06:22:00Z</dcterms:created>
  <dcterms:modified xsi:type="dcterms:W3CDTF">2022-01-19T09:21:36Z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